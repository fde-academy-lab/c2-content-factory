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Journey" sheetId="1" state="visible" r:id="rId3"/>
    <sheet name="Week 0"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<sst xmlns="http://schemas.openxmlformats.org/spreadsheetml/2006/main" count="232" uniqueCount="177">
  <si>
    <t xml:space="preserve">IIT Gandhinagar  ·  PG Diploma in AI-ML and Agentic AI Engineering  ·  Cohort 2</t>
  </si>
  <si>
    <t xml:space="preserve">Your 20 weeks</t>
  </si>
  <si>
    <t xml:space="preserve">Your client for all 20 weeks is Kalpa Group, a fictional conglomerate headquartered in Singapore with its data and AI centre in Bengaluru, and you are its newest data and AI team. On Day 1 Meera Raghavan, CEO of Kalpa Retail, asks where growth comes from and where it leaks. Each module answers a harder version of that question with a stronger tool.</t>
  </si>
  <si>
    <t xml:space="preserve">Week 1 starts (Monday)</t>
  </si>
  <si>
    <t xml:space="preserve">Every date on this sheet derives from this cell. Weeks run Monday to Saturday.</t>
  </si>
  <si>
    <t xml:space="preserve">Holidays (gazetted 2026 list)</t>
  </si>
  <si>
    <t xml:space="preserve">Date</t>
  </si>
  <si>
    <t xml:space="preserve">Holiday</t>
  </si>
  <si>
    <t xml:space="preserve">Gandhi Jayanti</t>
  </si>
  <si>
    <t xml:space="preserve">weeks</t>
  </si>
  <si>
    <t xml:space="preserve">teaching weeks</t>
  </si>
  <si>
    <t xml:space="preserve">build weeks</t>
  </si>
  <si>
    <t xml:space="preserve">capstone weeks</t>
  </si>
  <si>
    <t xml:space="preserve">major exams</t>
  </si>
  <si>
    <t xml:space="preserve">hours (33 credits, 10 modules)</t>
  </si>
  <si>
    <t xml:space="preserve">Dussehra</t>
  </si>
  <si>
    <t xml:space="preserve">Diwali holiday</t>
  </si>
  <si>
    <t xml:space="preserve">Week by week</t>
  </si>
  <si>
    <t xml:space="preserve">Guru Nanak Jayanti</t>
  </si>
  <si>
    <t xml:space="preserve">Starts and Ends are the Monday and Saturday of the week. Build weeks are tinted bronze and capstone weeks grey. Holidays are looked up from the table on the right.</t>
  </si>
  <si>
    <t xml:space="preserve">Institute holidays after Week 9 are added here when the institute announces them.</t>
  </si>
  <si>
    <t xml:space="preserve">Week</t>
  </si>
  <si>
    <t xml:space="preserve">Starts</t>
  </si>
  <si>
    <t xml:space="preserve">Ends</t>
  </si>
  <si>
    <t xml:space="preserve">Step</t>
  </si>
  <si>
    <t xml:space="preserve">Week type</t>
  </si>
  <si>
    <t xml:space="preserve">Module</t>
  </si>
  <si>
    <t xml:space="preserve">What you learn</t>
  </si>
  <si>
    <t xml:space="preserve">Main content</t>
  </si>
  <si>
    <t xml:space="preserve">Events</t>
  </si>
  <si>
    <t xml:space="preserve">Weeks 1 to 4: Analyst first</t>
  </si>
  <si>
    <t xml:space="preserve">Teaching week</t>
  </si>
  <si>
    <t xml:space="preserve">1. Foundations of AI and Data</t>
  </si>
  <si>
    <t xml:space="preserve">Data analysis with Python</t>
  </si>
  <si>
    <t xml:space="preserve">Python through data; descriptive statistics; hypothesis testing and inference; correlation against causation; insight communication.</t>
  </si>
  <si>
    <t xml:space="preserve">None</t>
  </si>
  <si>
    <t xml:space="preserve">SQL and data manipulation</t>
  </si>
  <si>
    <t xml:space="preserve">SQL joins and window functions; join semantics and validation; pandas groupby, merge and reshape; one Excel-for-analysts day.</t>
  </si>
  <si>
    <t xml:space="preserve">Build week</t>
  </si>
  <si>
    <t xml:space="preserve">Build 1: data to insight</t>
  </si>
  <si>
    <t xml:space="preserve">Mini-project on raw, messy data in Kalpa Health; insight set; challenges log; live demo.</t>
  </si>
  <si>
    <t xml:space="preserve">Mock interview 1; Group discussion 1</t>
  </si>
  <si>
    <t xml:space="preserve">2. Applied Machine Learning</t>
  </si>
  <si>
    <t xml:space="preserve">Business metrics and analyst craft</t>
  </si>
  <si>
    <t xml:space="preserve">Business metric design; market basket, lift and cross-sell; cohorts and funnels; forecasting basics; the cross-domain transfer drill.</t>
  </si>
  <si>
    <t xml:space="preserve">Weeks 5 to 6: Machine learning</t>
  </si>
  <si>
    <t xml:space="preserve">Machine learning core</t>
  </si>
  <si>
    <t xml:space="preserve">Regression and classification; the metric trap; feature engineering and leakage; overfitting and regularisation; model justification.</t>
  </si>
  <si>
    <t xml:space="preserve">Major Exam 1</t>
  </si>
  <si>
    <t xml:space="preserve">Build 2: machine learning</t>
  </si>
  <si>
    <t xml:space="preserve">Mini-project on an ML brief in Kalpa Financial Services with a built-in constraint; honest evaluation; recommendation; live demo.</t>
  </si>
  <si>
    <t xml:space="preserve">Mock interview 2; Group discussion 2</t>
  </si>
  <si>
    <t xml:space="preserve">Weeks 7 to 9: Inside a language model</t>
  </si>
  <si>
    <t xml:space="preserve">3. Deep Learning and Neural Networks</t>
  </si>
  <si>
    <t xml:space="preserve">Deep learning essentials</t>
  </si>
  <si>
    <t xml:space="preserve">Neuron and network; backprop intuition; optimisers and training dynamics; debugging a training run; the bridge to next-token prediction.</t>
  </si>
  <si>
    <t xml:space="preserve">4. Natural Language Processing</t>
  </si>
  <si>
    <t xml:space="preserve">Transformers and LLM internals</t>
  </si>
  <si>
    <t xml:space="preserve">Tokenization; attention and self-attention; embeddings; decoding controls; context windows and token economy.</t>
  </si>
  <si>
    <t xml:space="preserve">Build 3: LLM features</t>
  </si>
  <si>
    <t xml:space="preserve">Mini-project on an LLM brief in Kalpa Connect; debug a broken training loop with no assistant; controlled outputs; live demo.</t>
  </si>
  <si>
    <t xml:space="preserve">Mock interview 3; Group discussion 3</t>
  </si>
  <si>
    <t xml:space="preserve">Weeks 10 to 12: Generative AI and retrieval</t>
  </si>
  <si>
    <t xml:space="preserve">5. Generative AI Foundations</t>
  </si>
  <si>
    <t xml:space="preserve">Generative AI applied</t>
  </si>
  <si>
    <t xml:space="preserve">Prompt patterns and system prompts; structured and constrained outputs; function calling; prompt evaluation; cost and latency.</t>
  </si>
  <si>
    <t xml:space="preserve">Major Exam 2</t>
  </si>
  <si>
    <t xml:space="preserve">6. Applied Generative AI</t>
  </si>
  <si>
    <t xml:space="preserve">Retrieval-augmented generation</t>
  </si>
  <si>
    <t xml:space="preserve">Chunking trade-offs; embedding and vector store choice; hybrid search and reranking; RAG evaluation; citations and grounding.</t>
  </si>
  <si>
    <t xml:space="preserve">Build 4: RAG assistant</t>
  </si>
  <si>
    <t xml:space="preserve">Knowledge-base RAG with mandatory citations; evaluation harness with reported numbers; live demo.</t>
  </si>
  <si>
    <t xml:space="preserve">Mock interview 4; Group discussion 4</t>
  </si>
  <si>
    <t xml:space="preserve">Weeks 13 to 15: Agents</t>
  </si>
  <si>
    <t xml:space="preserve">8. Foundations of Agentic AI</t>
  </si>
  <si>
    <t xml:space="preserve">AI agents</t>
  </si>
  <si>
    <t xml:space="preserve">Tool use and tool schema design; ReAct, plan-and-execute, reflection; memory and state; controlled flows; agent failure modes.</t>
  </si>
  <si>
    <t xml:space="preserve">7. Production AI for Real-World Applications</t>
  </si>
  <si>
    <t xml:space="preserve">Agents in production</t>
  </si>
  <si>
    <t xml:space="preserve">Trajectory evaluation; guardrails for injection, PII and budget; checkpointing, retries, idempotency; cost, latency and quality; deployment and observability.</t>
  </si>
  <si>
    <t xml:space="preserve">9. Advanced Agentic AI and Multi-Agent Systems</t>
  </si>
  <si>
    <t xml:space="preserve">Build 5: agentic system</t>
  </si>
  <si>
    <t xml:space="preserve">Evaluated, guarded agentic system for a named customer; two-round mock simulation; live demo.</t>
  </si>
  <si>
    <t xml:space="preserve">Mock interview 5; Group discussion 5</t>
  </si>
  <si>
    <t xml:space="preserve">Weeks 16 to 20: Forward deployed engineer</t>
  </si>
  <si>
    <t xml:space="preserve">Forward deployed engineering</t>
  </si>
  <si>
    <t xml:space="preserve">Business problem framing; solution thinking and disqualification; alternatives and trade-off metrics; quantified option evaluation; POC against MVP pitch with options A, B and C.</t>
  </si>
  <si>
    <t xml:space="preserve">Major Exam 3; Capstone announced</t>
  </si>
  <si>
    <t xml:space="preserve">Capstone week</t>
  </si>
  <si>
    <t xml:space="preserve">10. Capstone Project</t>
  </si>
  <si>
    <t xml:space="preserve">Capstone build, sprint 1</t>
  </si>
  <si>
    <t xml:space="preserve">Architecture and core build with evaluation designed in; mentor checkpoint; FDE application simulations continue.</t>
  </si>
  <si>
    <t xml:space="preserve">Capstone build, sprint 2</t>
  </si>
  <si>
    <t xml:space="preserve">Feature completion, deployment beyond localhost, monitoring and documentation.</t>
  </si>
  <si>
    <t xml:space="preserve">Capstone build, sprint 3 and rehearsal</t>
  </si>
  <si>
    <t xml:space="preserve">Rehearsed live demo; defence drills where every decision is challenged; portfolio and README polish.</t>
  </si>
  <si>
    <t xml:space="preserve">Demo Day and closing</t>
  </si>
  <si>
    <t xml:space="preserve">Capstone presentation and defence to the panel; final mocks with external panels; closing formalities.</t>
  </si>
  <si>
    <t xml:space="preserve">Capstone Demo Day; Final mocks</t>
  </si>
  <si>
    <t xml:space="preserve">Six steps: skills, interview questions and what to practise on your own</t>
  </si>
  <si>
    <t xml:space="preserve">Weeks</t>
  </si>
  <si>
    <t xml:space="preserve">Capability</t>
  </si>
  <si>
    <t xml:space="preserve">Role you can interview for</t>
  </si>
  <si>
    <t xml:space="preserve">Focus on</t>
  </si>
  <si>
    <t xml:space="preserve">By the end you can answer</t>
  </si>
  <si>
    <t xml:space="preserve">Practise on your own</t>
  </si>
  <si>
    <t xml:space="preserve">Analyst first</t>
  </si>
  <si>
    <t xml:space="preserve">1 to 4</t>
  </si>
  <si>
    <t xml:space="preserve">Read, question and explain data</t>
  </si>
  <si>
    <t xml:space="preserve">Data or Business Analyst</t>
  </si>
  <si>
    <t xml:space="preserve">Python for data, SQL to the depth an interviewer probes (joins, window functions, validation), statistics you can defend, business metrics, and the one-page note to a stakeholder.</t>
  </si>
  <si>
    <t xml:space="preserve">Sales dropped 15 percent last month; how would you investigate? Your join grew the row count; name the cause and the check.</t>
  </si>
  <si>
    <t xml:space="preserve">Work through SQLBolt and PostgreSQL Exercises alongside Week 2, and redo each week's exercises from a fresh Codespace with the notebook closed.</t>
  </si>
  <si>
    <t xml:space="preserve">Machine learning</t>
  </si>
  <si>
    <t xml:space="preserve">5 to 6</t>
  </si>
  <si>
    <t xml:space="preserve">Predict and evaluate honestly</t>
  </si>
  <si>
    <t xml:space="preserve">Entry-level Data Scientist</t>
  </si>
  <si>
    <t xml:space="preserve">The modelling loop with a baseline first, the metric chosen from the business cost of an error, features without leakage, and a model you can justify in a short memo.</t>
  </si>
  <si>
    <t xml:space="preserve">Accuracy is 96 percent on a 96 to 4 split; is that a good model? What is data leakage, and how do you catch it before it ships?</t>
  </si>
  <si>
    <t xml:space="preserve">Rebuild the week's model from a blank notebook, rescore it when the cost of a miss changes, and watch the StatQuest lessons the pre-reads name.</t>
  </si>
  <si>
    <t xml:space="preserve">Inside a language model</t>
  </si>
  <si>
    <t xml:space="preserve">7 to 9</t>
  </si>
  <si>
    <t xml:space="preserve">Know what the model is doing</t>
  </si>
  <si>
    <t xml:space="preserve">Foundation for the AI Engineer track</t>
  </si>
  <si>
    <t xml:space="preserve">Training runs you can debug, loss curves you can read, tokens, attention and embeddings explained in plain words, and the cost of a feature worked out from tokens to a monthly number.</t>
  </si>
  <si>
    <t xml:space="preserve">Your loss printed nan; what are your first two moves? What is a token, and why do token counts decide cost?</t>
  </si>
  <si>
    <t xml:space="preserve">Watch the 3Blue1Brown neural network lessons and Karpathy's backprop lecture in Week 7, read The Illustrated Transformer in Week 8, and rerun every training run with a second seed.</t>
  </si>
  <si>
    <t xml:space="preserve">Generative AI and retrieval</t>
  </si>
  <si>
    <t xml:space="preserve">10 to 12</t>
  </si>
  <si>
    <t xml:space="preserve">Build a grounded assistant</t>
  </si>
  <si>
    <t xml:space="preserve">GenAI or AI Engineer</t>
  </si>
  <si>
    <t xml:space="preserve">Prompts that survive a model change, structured outputs with validation, function calling, retrieval with reranking, and an evaluation harness that reports real numbers.</t>
  </si>
  <si>
    <t xml:space="preserve">How do you keep an LLM feature inside budget? The answer cites the right document and is still wrong; how do you debug that?</t>
  </si>
  <si>
    <t xml:space="preserve">Keep a prompt library with the failures that shaped it, build a small golden set for your own retrieval task, and measure retrieval separately from generation.</t>
  </si>
  <si>
    <t xml:space="preserve">Agents</t>
  </si>
  <si>
    <t xml:space="preserve">13 to 15</t>
  </si>
  <si>
    <t xml:space="preserve">Make it act, safely, in production</t>
  </si>
  <si>
    <t xml:space="preserve">Agentic AI Engineer</t>
  </si>
  <si>
    <t xml:space="preserve">Tool schemas a model can act on, agent patterns and when a plain workflow beats an agent, guardrails against injection and overspend, checkpoints and retries, and tracing in production.</t>
  </si>
  <si>
    <t xml:space="preserve">When does a workflow beat an agent? How do you stop an agent from looping or overspending?</t>
  </si>
  <si>
    <t xml:space="preserve">Trace one agent run end to end and write down every step, record each failure you hit and the structural limit that fixed it, and cost every task.</t>
  </si>
  <si>
    <t xml:space="preserve">Forward deployed engineer</t>
  </si>
  <si>
    <t xml:space="preserve">16 to 20</t>
  </si>
  <si>
    <t xml:space="preserve">Frame, propose, build, defend</t>
  </si>
  <si>
    <t xml:space="preserve">Forward Deployed Engineer</t>
  </si>
  <si>
    <t xml:space="preserve">Separating the stated problem from the real one, a shortlist with disqualification criteria, trade-offs quantified before choosing, a POC or MVP pitch with options A, B and C, and a capstone you can defend line by line.</t>
  </si>
  <si>
    <t xml:space="preserve">Walk me through a project: what broke, and what did you do? How would you increase sales for an online retailer?</t>
  </si>
  <si>
    <t xml:space="preserve">Keep the challenges log current, rehearse the two-minute version of your capstone story, and prepare against each job description before the interview.</t>
  </si>
  <si>
    <t xml:space="preserve">Placement preparation runs through the whole programme: every mock interview is practice against a fixed rubric, behavioural questions join from the third, the challenges log on every project becomes your interview material, and company interviews come in the final weeks with preparation against each job description.</t>
  </si>
  <si>
    <t xml:space="preserve">Version 2, 27 September 2026. Kalpa Group is fictional, and any resemblance to a real company is coincidental.</t>
  </si>
  <si>
    <t xml:space="preserve">Week 0: the week before teaching starts</t>
  </si>
  <si>
    <t xml:space="preserve">Week 0 starts (Monday)</t>
  </si>
  <si>
    <t xml:space="preserve">Derived from the Week 1 start date on the Journey tab. Half-day blocks are shown; the institute publishes the exact slots.</t>
  </si>
  <si>
    <t xml:space="preserve">Day</t>
  </si>
  <si>
    <t xml:space="preserve">First half</t>
  </si>
  <si>
    <t xml:space="preserve">Second half</t>
  </si>
  <si>
    <t xml:space="preserve">Arrival, document verification and welcome, run by the institute.</t>
  </si>
  <si>
    <t xml:space="preserve">Programme orientation, about three hours: your 20 weeks, how a week runs, your client, the tools, then accounts and workspace setup. You also rate yourself on each baseline topic.</t>
  </si>
  <si>
    <t xml:space="preserve">Institute address and orientation.</t>
  </si>
  <si>
    <t xml:space="preserve">Baseline check on paper, about two hours, no AI: Python, SQL, statistics and problem articulation. A ten-minute briefing for Wednesday's introductions follows.</t>
  </si>
  <si>
    <t xml:space="preserve">Python brush-up, part one, about three hours: the Python that Week 1 uses (values, loops, records as dictionaries, functions, files, reading a traceback, count, sum, mean and median).</t>
  </si>
  <si>
    <t xml:space="preserve">Introduce yourself to the cohort, about three hours for the room: four minutes each, two on you and two on one thing you built and what broke in it.</t>
  </si>
  <si>
    <t xml:space="preserve">Python brush-up, part two, into SQL, about two hours, then a one-hour class on articulating a problem before solving it.</t>
  </si>
  <si>
    <t xml:space="preserve">SQL brush-up, about three hours: the SQL that Week 2 starts from (SELECT, WHERE, GROUP BY, HAVING, ORDER BY, and running a query from VS Code against Postgres).</t>
  </si>
  <si>
    <t xml:space="preserve">Gandhi Jayanti. No session.</t>
  </si>
  <si>
    <t xml:space="preserve">An optional self-paced practice set is available.</t>
  </si>
  <si>
    <t xml:space="preserve">Session with a working Forward Deployed Engineer, about four hours and up to six.</t>
  </si>
  <si>
    <t xml:space="preserve">The Saturday session runs as one block.</t>
  </si>
  <si>
    <t xml:space="preserve">The baseline check</t>
  </si>
  <si>
    <t xml:space="preserve">It has three steps: on Monday you rate yourself on each topic, on Tuesday you sit the paper, and on Wednesday or Thursday a ten-minute one-to-one with a TA, during lab time, agrees your starting point. It carries no marks.</t>
  </si>
  <si>
    <t xml:space="preserve">Why the brush-up</t>
  </si>
  <si>
    <t xml:space="preserve">Week 1 runs on Python from its first hour and Week 2 runs on SQL, so this week brings everyone to the same starting line.</t>
  </si>
  <si>
    <t xml:space="preserve">Saturday</t>
  </si>
  <si>
    <t xml:space="preserve">A working Forward Deployed Engineer spends the session on the job itself and on your questions. Every build week in the programme is run the way a forward deployed engineer would run it.</t>
  </si>
  <si>
    <t xml:space="preserve">By Saturday evening</t>
  </si>
  <si>
    <t xml:space="preserve">Your accounts and workspace are set up, so Week 1 opens on the work itself.
Your starting point in Python, SQL and statistics is agreed and signed off with a TA.
You have written and run the Python that Week 1 uses and the SQL that Week 2 starts from.
You have met every member of the cohort and heard what each has built.</t>
  </si>
  <si>
    <t xml:space="preserve">Version 2, 27 September 2026</t>
  </si>
</sst>
</file>

<file path=xl/styles.xml><?xml version="1.0" encoding="utf-8"?>
<styleSheet xmlns="http://schemas.openxmlformats.org/spreadsheetml/2006/main">
  <numFmts count="5">
    <numFmt numFmtId="164" formatCode="General"/>
    <numFmt numFmtId="165" formatCode="ddd\ d\ mmm\ yyyy"/>
    <numFmt numFmtId="166" formatCode="General"/>
    <numFmt numFmtId="167" formatCode="d\ mmm"/>
    <numFmt numFmtId="168" formatCode="d\ mmm\ yyyy"/>
  </numFmts>
  <fonts count="14">
    <font>
      <sz val="11"/>
      <color theme="1"/>
      <name val="Calibri"/>
      <family val="2"/>
      <charset val="1"/>
    </font>
    <font>
      <sz val="10"/>
      <name val="Arial"/>
      <family val="0"/>
    </font>
    <font>
      <sz val="10"/>
      <name val="Arial"/>
      <family val="0"/>
    </font>
    <font>
      <sz val="10"/>
      <name val="Arial"/>
      <family val="0"/>
    </font>
    <font>
      <sz val="9"/>
      <color rgb="FF6E6758"/>
      <name val="Arial"/>
      <family val="0"/>
      <charset val="1"/>
    </font>
    <font>
      <sz val="20"/>
      <color rgb="FF1C1B16"/>
      <name val="Georgia"/>
      <family val="0"/>
      <charset val="1"/>
    </font>
    <font>
      <sz val="10"/>
      <color rgb="FF1C1B16"/>
      <name val="Arial"/>
      <family val="0"/>
      <charset val="1"/>
    </font>
    <font>
      <b val="true"/>
      <sz val="10"/>
      <color rgb="FF1C1B16"/>
      <name val="Arial"/>
      <family val="0"/>
      <charset val="1"/>
    </font>
    <font>
      <sz val="10"/>
      <color rgb="FF0000FF"/>
      <name val="Arial"/>
      <family val="0"/>
      <charset val="1"/>
    </font>
    <font>
      <i val="true"/>
      <sz val="9"/>
      <color rgb="FF6E6758"/>
      <name val="Arial"/>
      <family val="0"/>
      <charset val="1"/>
    </font>
    <font>
      <b val="true"/>
      <sz val="9"/>
      <color rgb="FFFFFFFF"/>
      <name val="Arial"/>
      <family val="0"/>
      <charset val="1"/>
    </font>
    <font>
      <sz val="16"/>
      <color rgb="FF1C1B16"/>
      <name val="Georgia"/>
      <family val="0"/>
      <charset val="1"/>
    </font>
    <font>
      <sz val="8"/>
      <color rgb="FF6E6758"/>
      <name val="Arial"/>
      <family val="0"/>
      <charset val="1"/>
    </font>
    <font>
      <sz val="13"/>
      <color rgb="FF1C1B16"/>
      <name val="Georgia"/>
      <family val="0"/>
      <charset val="1"/>
    </font>
  </fonts>
  <fills count="9">
    <fill>
      <patternFill patternType="none"/>
    </fill>
    <fill>
      <patternFill patternType="gray125"/>
    </fill>
    <fill>
      <patternFill patternType="solid">
        <fgColor rgb="FFF9F8F3"/>
        <bgColor rgb="FFFFFFFF"/>
      </patternFill>
    </fill>
    <fill>
      <patternFill patternType="solid">
        <fgColor rgb="FFFFF6D6"/>
        <bgColor rgb="FFF9F8F3"/>
      </patternFill>
    </fill>
    <fill>
      <patternFill patternType="solid">
        <fgColor rgb="FF1C1B16"/>
        <bgColor rgb="FF333333"/>
      </patternFill>
    </fill>
    <fill>
      <patternFill patternType="solid">
        <fgColor rgb="FFFFFFFF"/>
        <bgColor rgb="FFF9F8F3"/>
      </patternFill>
    </fill>
    <fill>
      <patternFill patternType="solid">
        <fgColor rgb="FFF1E0C8"/>
        <bgColor rgb="FFE4E1D8"/>
      </patternFill>
    </fill>
    <fill>
      <patternFill patternType="solid">
        <fgColor rgb="FFE4E1D8"/>
        <bgColor rgb="FFF1E0C8"/>
      </patternFill>
    </fill>
    <fill>
      <patternFill patternType="solid">
        <fgColor rgb="FFF1EEE6"/>
        <bgColor rgb="FFF9F8F3"/>
      </patternFill>
    </fill>
  </fills>
  <borders count="3">
    <border diagonalUp="false" diagonalDown="false">
      <left/>
      <right/>
      <top/>
      <bottom/>
      <diagonal/>
    </border>
    <border diagonalUp="false" diagonalDown="false">
      <left/>
      <right/>
      <top style="medium">
        <color rgb="FFB37A33"/>
      </top>
      <bottom/>
      <diagonal/>
    </border>
    <border diagonalUp="false" diagonalDown="false">
      <left style="thin">
        <color rgb="FFD5D0C4"/>
      </left>
      <right style="thin">
        <color rgb="FFD5D0C4"/>
      </right>
      <top style="thin">
        <color rgb="FFD5D0C4"/>
      </top>
      <bottom style="thin">
        <color rgb="FFD5D0C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5" fontId="8" fillId="3" borderId="2"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10" fillId="4" borderId="2" xfId="0" applyFont="true" applyBorder="true" applyAlignment="false" applyProtection="false">
      <alignment horizontal="general" vertical="bottom" textRotation="0" wrapText="false" indent="0" shrinkToFit="false"/>
      <protection locked="true" hidden="false"/>
    </xf>
    <xf numFmtId="166" fontId="11" fillId="2" borderId="0" xfId="0" applyFont="true" applyBorder="true" applyAlignment="true" applyProtection="false">
      <alignment horizontal="left" vertical="bottom" textRotation="0" wrapText="false" indent="0" shrinkToFit="false"/>
      <protection locked="true" hidden="false"/>
    </xf>
    <xf numFmtId="166" fontId="11" fillId="2" borderId="0" xfId="0" applyFont="true" applyBorder="false" applyAlignment="true" applyProtection="false">
      <alignment horizontal="left" vertical="bottom" textRotation="0" wrapText="false" indent="0" shrinkToFit="false"/>
      <protection locked="true" hidden="false"/>
    </xf>
    <xf numFmtId="164" fontId="8" fillId="2" borderId="0" xfId="0" applyFont="true" applyBorder="false" applyAlignment="true" applyProtection="false">
      <alignment horizontal="left" vertical="bottom" textRotation="0" wrapText="false" indent="0" shrinkToFit="false"/>
      <protection locked="true" hidden="false"/>
    </xf>
    <xf numFmtId="164" fontId="8" fillId="3" borderId="2" xfId="0" applyFont="true" applyBorder="true" applyAlignment="fals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left" vertical="top" textRotation="0" wrapText="true" indent="0" shrinkToFit="false"/>
      <protection locked="true" hidden="false"/>
    </xf>
    <xf numFmtId="164" fontId="12" fillId="2" borderId="0" xfId="0" applyFont="true" applyBorder="false" applyAlignment="true" applyProtection="false">
      <alignment horizontal="left" vertical="top" textRotation="0" wrapText="tru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0" fillId="4" borderId="2" xfId="0" applyFont="true" applyBorder="true" applyAlignment="true" applyProtection="false">
      <alignment horizontal="general" vertical="center" textRotation="0" wrapText="true" indent="0" shrinkToFit="false"/>
      <protection locked="true" hidden="false"/>
    </xf>
    <xf numFmtId="164" fontId="7" fillId="5" borderId="2" xfId="0" applyFont="true" applyBorder="true" applyAlignment="true" applyProtection="false">
      <alignment horizontal="center" vertical="top" textRotation="0" wrapText="false" indent="0" shrinkToFit="false"/>
      <protection locked="true" hidden="false"/>
    </xf>
    <xf numFmtId="167" fontId="6" fillId="5" borderId="2" xfId="0" applyFont="true" applyBorder="true" applyAlignment="true" applyProtection="false">
      <alignment horizontal="general" vertical="top" textRotation="0" wrapText="true" indent="0" shrinkToFit="false"/>
      <protection locked="true" hidden="false"/>
    </xf>
    <xf numFmtId="168" fontId="6" fillId="5" borderId="2" xfId="0" applyFont="true" applyBorder="true" applyAlignment="true" applyProtection="false">
      <alignment horizontal="general" vertical="top" textRotation="0" wrapText="true" indent="0" shrinkToFit="false"/>
      <protection locked="true" hidden="false"/>
    </xf>
    <xf numFmtId="164" fontId="6" fillId="5" borderId="2" xfId="0" applyFont="true" applyBorder="true" applyAlignment="true" applyProtection="false">
      <alignment horizontal="general" vertical="top" textRotation="0" wrapText="true" indent="0" shrinkToFit="false"/>
      <protection locked="true" hidden="false"/>
    </xf>
    <xf numFmtId="164" fontId="7" fillId="5" borderId="2" xfId="0" applyFont="true" applyBorder="true" applyAlignment="true" applyProtection="false">
      <alignment horizontal="general" vertical="top" textRotation="0" wrapText="true" indent="0" shrinkToFit="false"/>
      <protection locked="true" hidden="false"/>
    </xf>
    <xf numFmtId="164" fontId="7" fillId="6" borderId="2" xfId="0" applyFont="true" applyBorder="true" applyAlignment="true" applyProtection="false">
      <alignment horizontal="center" vertical="top" textRotation="0" wrapText="false" indent="0" shrinkToFit="false"/>
      <protection locked="true" hidden="false"/>
    </xf>
    <xf numFmtId="167" fontId="6" fillId="6" borderId="2" xfId="0" applyFont="true" applyBorder="true" applyAlignment="true" applyProtection="false">
      <alignment horizontal="general" vertical="top" textRotation="0" wrapText="true" indent="0" shrinkToFit="false"/>
      <protection locked="true" hidden="false"/>
    </xf>
    <xf numFmtId="168" fontId="6" fillId="6" borderId="2" xfId="0" applyFont="true" applyBorder="true" applyAlignment="true" applyProtection="false">
      <alignment horizontal="general" vertical="top" textRotation="0" wrapText="true" indent="0" shrinkToFit="false"/>
      <protection locked="true" hidden="false"/>
    </xf>
    <xf numFmtId="164" fontId="6" fillId="6" borderId="2" xfId="0" applyFont="true" applyBorder="true" applyAlignment="true" applyProtection="false">
      <alignment horizontal="general" vertical="top" textRotation="0" wrapText="true" indent="0" shrinkToFit="false"/>
      <protection locked="true" hidden="false"/>
    </xf>
    <xf numFmtId="164" fontId="7" fillId="6" borderId="2" xfId="0" applyFont="true" applyBorder="true" applyAlignment="true" applyProtection="false">
      <alignment horizontal="general" vertical="top" textRotation="0" wrapText="true" indent="0" shrinkToFit="false"/>
      <protection locked="true" hidden="false"/>
    </xf>
    <xf numFmtId="164" fontId="7" fillId="7" borderId="2" xfId="0" applyFont="true" applyBorder="true" applyAlignment="true" applyProtection="false">
      <alignment horizontal="center" vertical="top" textRotation="0" wrapText="false" indent="0" shrinkToFit="false"/>
      <protection locked="true" hidden="false"/>
    </xf>
    <xf numFmtId="167" fontId="6" fillId="7" borderId="2" xfId="0" applyFont="true" applyBorder="true" applyAlignment="true" applyProtection="false">
      <alignment horizontal="general" vertical="top" textRotation="0" wrapText="true" indent="0" shrinkToFit="false"/>
      <protection locked="true" hidden="false"/>
    </xf>
    <xf numFmtId="168" fontId="6" fillId="7" borderId="2" xfId="0" applyFont="true" applyBorder="true" applyAlignment="true" applyProtection="false">
      <alignment horizontal="general" vertical="top" textRotation="0" wrapText="true" indent="0" shrinkToFit="false"/>
      <protection locked="true" hidden="false"/>
    </xf>
    <xf numFmtId="164" fontId="6" fillId="7" borderId="2" xfId="0" applyFont="true" applyBorder="true" applyAlignment="true" applyProtection="false">
      <alignment horizontal="general" vertical="top" textRotation="0" wrapText="true" indent="0" shrinkToFit="false"/>
      <protection locked="true" hidden="false"/>
    </xf>
    <xf numFmtId="164" fontId="7" fillId="7" borderId="2" xfId="0" applyFont="true" applyBorder="tru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general" vertical="top" textRotation="0" wrapText="true" indent="0" shrinkToFit="false"/>
      <protection locked="true" hidden="false"/>
    </xf>
    <xf numFmtId="165" fontId="6" fillId="2" borderId="2"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7" fillId="8" borderId="2" xfId="0" applyFont="true" applyBorder="true" applyAlignment="true" applyProtection="false">
      <alignment horizontal="general" vertical="top" textRotation="0" wrapText="true" indent="0" shrinkToFit="false"/>
      <protection locked="true" hidden="false"/>
    </xf>
    <xf numFmtId="168" fontId="6" fillId="8" borderId="2" xfId="0" applyFont="true" applyBorder="true" applyAlignment="true" applyProtection="false">
      <alignment horizontal="general" vertical="top" textRotation="0" wrapText="true" indent="0" shrinkToFit="false"/>
      <protection locked="true" hidden="false"/>
    </xf>
    <xf numFmtId="164" fontId="6" fillId="8" borderId="2"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37A33"/>
      <rgbColor rgb="FF800080"/>
      <rgbColor rgb="FF008080"/>
      <rgbColor rgb="FFD5D0C4"/>
      <rgbColor rgb="FF808080"/>
      <rgbColor rgb="FF9999FF"/>
      <rgbColor rgb="FF993366"/>
      <rgbColor rgb="FFFFF6D6"/>
      <rgbColor rgb="FFF1EEE6"/>
      <rgbColor rgb="FF660066"/>
      <rgbColor rgb="FFFF8080"/>
      <rgbColor rgb="FF0066CC"/>
      <rgbColor rgb="FFE4E1D8"/>
      <rgbColor rgb="FF000080"/>
      <rgbColor rgb="FFFF00FF"/>
      <rgbColor rgb="FFFFFF00"/>
      <rgbColor rgb="FF00FFFF"/>
      <rgbColor rgb="FF800080"/>
      <rgbColor rgb="FF800000"/>
      <rgbColor rgb="FF008080"/>
      <rgbColor rgb="FF0000FF"/>
      <rgbColor rgb="FF00CCFF"/>
      <rgbColor rgb="FFF9F8F3"/>
      <rgbColor rgb="FFCCFFCC"/>
      <rgbColor rgb="FFFFFF99"/>
      <rgbColor rgb="FF99CCFF"/>
      <rgbColor rgb="FFFF99CC"/>
      <rgbColor rgb="FFCC99FF"/>
      <rgbColor rgb="FFF1E0C8"/>
      <rgbColor rgb="FF3366FF"/>
      <rgbColor rgb="FF33CCCC"/>
      <rgbColor rgb="FF99CC00"/>
      <rgbColor rgb="FFFFCC00"/>
      <rgbColor rgb="FFFF9900"/>
      <rgbColor rgb="FFFF6600"/>
      <rgbColor rgb="FF6E6758"/>
      <rgbColor rgb="FF969696"/>
      <rgbColor rgb="FF003366"/>
      <rgbColor rgb="FF339966"/>
      <rgbColor rgb="FF003300"/>
      <rgbColor rgb="FF1C1B16"/>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60"/>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2"/>
    <col collapsed="false" customWidth="true" hidden="false" outlineLevel="0" max="4" min="4" style="0" width="26"/>
    <col collapsed="false" customWidth="true" hidden="false" outlineLevel="0" max="5" min="5" style="0" width="15"/>
    <col collapsed="false" customWidth="true" hidden="false" outlineLevel="0" max="7" min="6" style="0" width="34"/>
    <col collapsed="false" customWidth="true" hidden="false" outlineLevel="0" max="8" min="8" style="0" width="60"/>
    <col collapsed="false" customWidth="true" hidden="false" outlineLevel="0" max="9" min="9" style="0" width="30"/>
    <col collapsed="false" customWidth="true" hidden="false" outlineLevel="0" max="10" min="10" style="0" width="26"/>
  </cols>
  <sheetData>
    <row r="1" customFormat="false" ht="7.5" hidden="false" customHeight="true" outlineLevel="0" collapsed="false">
      <c r="A1" s="1"/>
      <c r="B1" s="1"/>
      <c r="C1" s="1"/>
      <c r="D1" s="1"/>
      <c r="E1" s="1"/>
      <c r="F1" s="1"/>
      <c r="G1" s="1"/>
      <c r="H1" s="1"/>
      <c r="I1" s="1"/>
      <c r="J1" s="1"/>
      <c r="K1" s="2"/>
      <c r="L1" s="2"/>
      <c r="M1" s="2"/>
      <c r="N1" s="2"/>
      <c r="O1" s="2"/>
      <c r="P1" s="2"/>
    </row>
    <row r="2" customFormat="false" ht="15" hidden="false" customHeight="false" outlineLevel="0" collapsed="false">
      <c r="A2" s="3" t="s">
        <v>0</v>
      </c>
      <c r="B2" s="2"/>
      <c r="C2" s="2"/>
      <c r="D2" s="2"/>
      <c r="E2" s="2"/>
      <c r="F2" s="2"/>
      <c r="G2" s="2"/>
      <c r="H2" s="2"/>
      <c r="I2" s="2"/>
      <c r="J2" s="2"/>
      <c r="K2" s="2"/>
      <c r="L2" s="2"/>
      <c r="M2" s="2"/>
      <c r="N2" s="2"/>
      <c r="O2" s="2"/>
      <c r="P2" s="2"/>
    </row>
    <row r="3" customFormat="false" ht="30" hidden="false" customHeight="true" outlineLevel="0" collapsed="false">
      <c r="A3" s="4" t="s">
        <v>1</v>
      </c>
      <c r="B3" s="2"/>
      <c r="C3" s="2"/>
      <c r="D3" s="2"/>
      <c r="E3" s="2"/>
      <c r="F3" s="2"/>
      <c r="G3" s="2"/>
      <c r="H3" s="2"/>
      <c r="I3" s="2"/>
      <c r="J3" s="2"/>
      <c r="K3" s="2"/>
      <c r="L3" s="2"/>
      <c r="M3" s="2"/>
      <c r="N3" s="2"/>
      <c r="O3" s="2"/>
      <c r="P3" s="2"/>
    </row>
    <row r="4" customFormat="false" ht="43.5" hidden="false" customHeight="true" outlineLevel="0" collapsed="false">
      <c r="A4" s="5" t="s">
        <v>2</v>
      </c>
      <c r="B4" s="5"/>
      <c r="C4" s="5"/>
      <c r="D4" s="5"/>
      <c r="E4" s="5"/>
      <c r="F4" s="5"/>
      <c r="G4" s="5"/>
      <c r="H4" s="5"/>
      <c r="I4" s="2"/>
      <c r="J4" s="2"/>
      <c r="K4" s="2"/>
      <c r="L4" s="2"/>
      <c r="M4" s="2"/>
      <c r="N4" s="2"/>
      <c r="O4" s="2"/>
      <c r="P4" s="2"/>
    </row>
    <row r="5" customFormat="false" ht="15" hidden="false" customHeight="false" outlineLevel="0" collapsed="false">
      <c r="A5" s="2"/>
      <c r="B5" s="2"/>
      <c r="C5" s="2"/>
      <c r="D5" s="2"/>
      <c r="E5" s="2"/>
      <c r="F5" s="2"/>
      <c r="G5" s="2"/>
      <c r="H5" s="2"/>
      <c r="I5" s="2"/>
      <c r="J5" s="2"/>
      <c r="K5" s="2"/>
      <c r="L5" s="2"/>
      <c r="M5" s="2"/>
      <c r="N5" s="2"/>
      <c r="O5" s="2"/>
      <c r="P5" s="2"/>
    </row>
    <row r="6" customFormat="false" ht="15" hidden="false" customHeight="false" outlineLevel="0" collapsed="false">
      <c r="A6" s="6" t="s">
        <v>3</v>
      </c>
      <c r="B6" s="6"/>
      <c r="C6" s="7" t="n">
        <v>46300</v>
      </c>
      <c r="D6" s="8" t="s">
        <v>4</v>
      </c>
      <c r="E6" s="8"/>
      <c r="F6" s="8"/>
      <c r="G6" s="8"/>
      <c r="H6" s="2"/>
      <c r="I6" s="6" t="s">
        <v>5</v>
      </c>
      <c r="J6" s="6"/>
      <c r="K6" s="2"/>
      <c r="L6" s="2"/>
      <c r="M6" s="2"/>
      <c r="N6" s="2"/>
      <c r="O6" s="2"/>
      <c r="P6" s="2"/>
    </row>
    <row r="7" customFormat="false" ht="15" hidden="false" customHeight="false" outlineLevel="0" collapsed="false">
      <c r="A7" s="2"/>
      <c r="B7" s="2"/>
      <c r="C7" s="2"/>
      <c r="D7" s="2"/>
      <c r="E7" s="2"/>
      <c r="F7" s="2"/>
      <c r="G7" s="2"/>
      <c r="H7" s="2"/>
      <c r="I7" s="9" t="s">
        <v>6</v>
      </c>
      <c r="J7" s="9" t="s">
        <v>7</v>
      </c>
      <c r="K7" s="2"/>
      <c r="L7" s="2"/>
      <c r="M7" s="2"/>
      <c r="N7" s="2"/>
      <c r="O7" s="2"/>
      <c r="P7" s="2"/>
    </row>
    <row r="8" customFormat="false" ht="19.7" hidden="false" customHeight="false" outlineLevel="0" collapsed="false">
      <c r="A8" s="10" t="n">
        <f aca="false">COUNTA(A15:A34)</f>
        <v>20</v>
      </c>
      <c r="B8" s="10"/>
      <c r="C8" s="11" t="n">
        <f aca="false">COUNTIF(E15:E34,"Teaching week")</f>
        <v>11</v>
      </c>
      <c r="D8" s="11" t="n">
        <f aca="false">COUNTIF(E15:E34,"Build week")</f>
        <v>5</v>
      </c>
      <c r="E8" s="11" t="n">
        <f aca="false">COUNTIF(E15:E34,"Capstone week")</f>
        <v>4</v>
      </c>
      <c r="F8" s="11" t="n">
        <f aca="false">COUNTIF(I15:I34,"*Major Exam*")</f>
        <v>3</v>
      </c>
      <c r="G8" s="12" t="n">
        <v>510</v>
      </c>
      <c r="H8" s="2"/>
      <c r="I8" s="7" t="n">
        <v>46297</v>
      </c>
      <c r="J8" s="13" t="s">
        <v>8</v>
      </c>
      <c r="K8" s="2"/>
      <c r="L8" s="2"/>
      <c r="M8" s="2"/>
      <c r="N8" s="2"/>
      <c r="O8" s="2"/>
      <c r="P8" s="2"/>
    </row>
    <row r="9" customFormat="false" ht="15" hidden="false" customHeight="true" outlineLevel="0" collapsed="false">
      <c r="A9" s="14" t="s">
        <v>9</v>
      </c>
      <c r="B9" s="14"/>
      <c r="C9" s="15" t="s">
        <v>10</v>
      </c>
      <c r="D9" s="15" t="s">
        <v>11</v>
      </c>
      <c r="E9" s="15" t="s">
        <v>12</v>
      </c>
      <c r="F9" s="15" t="s">
        <v>13</v>
      </c>
      <c r="G9" s="15" t="s">
        <v>14</v>
      </c>
      <c r="H9" s="2"/>
      <c r="I9" s="7" t="n">
        <v>46315</v>
      </c>
      <c r="J9" s="13" t="s">
        <v>15</v>
      </c>
      <c r="K9" s="2"/>
      <c r="L9" s="2"/>
      <c r="M9" s="2"/>
      <c r="N9" s="2"/>
      <c r="O9" s="2"/>
      <c r="P9" s="2"/>
    </row>
    <row r="10" customFormat="false" ht="15" hidden="false" customHeight="false" outlineLevel="0" collapsed="false">
      <c r="A10" s="2"/>
      <c r="B10" s="2"/>
      <c r="C10" s="2"/>
      <c r="D10" s="2"/>
      <c r="E10" s="2"/>
      <c r="F10" s="2"/>
      <c r="G10" s="2"/>
      <c r="H10" s="2"/>
      <c r="I10" s="7" t="n">
        <v>46335</v>
      </c>
      <c r="J10" s="13" t="s">
        <v>16</v>
      </c>
      <c r="K10" s="2"/>
      <c r="L10" s="2"/>
      <c r="M10" s="2"/>
      <c r="N10" s="2"/>
      <c r="O10" s="2"/>
      <c r="P10" s="2"/>
    </row>
    <row r="11" customFormat="false" ht="16.15" hidden="false" customHeight="false" outlineLevel="0" collapsed="false">
      <c r="A11" s="16" t="s">
        <v>17</v>
      </c>
      <c r="B11" s="2"/>
      <c r="C11" s="2"/>
      <c r="D11" s="2"/>
      <c r="E11" s="2"/>
      <c r="F11" s="2"/>
      <c r="G11" s="2"/>
      <c r="H11" s="2"/>
      <c r="I11" s="7" t="n">
        <v>46350</v>
      </c>
      <c r="J11" s="13" t="s">
        <v>18</v>
      </c>
      <c r="K11" s="2"/>
      <c r="L11" s="2"/>
      <c r="M11" s="2"/>
      <c r="N11" s="2"/>
      <c r="O11" s="2"/>
      <c r="P11" s="2"/>
    </row>
    <row r="12" customFormat="false" ht="15" hidden="false" customHeight="false" outlineLevel="0" collapsed="false">
      <c r="A12" s="8" t="s">
        <v>19</v>
      </c>
      <c r="B12" s="8"/>
      <c r="C12" s="8"/>
      <c r="D12" s="8"/>
      <c r="E12" s="8"/>
      <c r="F12" s="8"/>
      <c r="G12" s="8"/>
      <c r="H12" s="8"/>
      <c r="I12" s="8" t="s">
        <v>20</v>
      </c>
      <c r="J12" s="8"/>
      <c r="K12" s="2"/>
      <c r="L12" s="2"/>
      <c r="M12" s="2"/>
      <c r="N12" s="2"/>
      <c r="O12" s="2"/>
      <c r="P12" s="2"/>
    </row>
    <row r="13" customFormat="false" ht="15" hidden="false" customHeight="false" outlineLevel="0" collapsed="false">
      <c r="A13" s="2"/>
      <c r="B13" s="2"/>
      <c r="C13" s="2"/>
      <c r="D13" s="2"/>
      <c r="E13" s="2"/>
      <c r="F13" s="2"/>
      <c r="G13" s="2"/>
      <c r="H13" s="2"/>
      <c r="I13" s="2"/>
      <c r="J13" s="2"/>
      <c r="K13" s="2"/>
      <c r="L13" s="2"/>
      <c r="M13" s="2"/>
      <c r="N13" s="2"/>
      <c r="O13" s="2"/>
      <c r="P13" s="2"/>
    </row>
    <row r="14" customFormat="false" ht="30" hidden="false" customHeight="true" outlineLevel="0" collapsed="false">
      <c r="A14" s="17" t="s">
        <v>21</v>
      </c>
      <c r="B14" s="17" t="s">
        <v>22</v>
      </c>
      <c r="C14" s="17" t="s">
        <v>23</v>
      </c>
      <c r="D14" s="17" t="s">
        <v>24</v>
      </c>
      <c r="E14" s="17" t="s">
        <v>25</v>
      </c>
      <c r="F14" s="17" t="s">
        <v>26</v>
      </c>
      <c r="G14" s="17" t="s">
        <v>27</v>
      </c>
      <c r="H14" s="17" t="s">
        <v>28</v>
      </c>
      <c r="I14" s="17" t="s">
        <v>29</v>
      </c>
      <c r="J14" s="17" t="s">
        <v>7</v>
      </c>
      <c r="K14" s="2"/>
      <c r="L14" s="2"/>
      <c r="M14" s="2"/>
      <c r="N14" s="2"/>
      <c r="O14" s="2"/>
      <c r="P14" s="2"/>
    </row>
    <row r="15" customFormat="false" ht="57.75" hidden="false" customHeight="true" outlineLevel="0" collapsed="false">
      <c r="A15" s="18" t="n">
        <v>1</v>
      </c>
      <c r="B15" s="19" t="n">
        <f aca="false">$C$6+7*(A15-1)</f>
        <v>46300</v>
      </c>
      <c r="C15" s="20" t="n">
        <f aca="false">B15+5</f>
        <v>46305</v>
      </c>
      <c r="D15" s="21" t="s">
        <v>30</v>
      </c>
      <c r="E15" s="21" t="s">
        <v>31</v>
      </c>
      <c r="F15" s="21" t="s">
        <v>32</v>
      </c>
      <c r="G15" s="22" t="s">
        <v>33</v>
      </c>
      <c r="H15" s="21" t="s">
        <v>34</v>
      </c>
      <c r="I15" s="21" t="s">
        <v>35</v>
      </c>
      <c r="J15" s="21" t="str">
        <f aca="false">IF(SUMPRODUCT(($I$8:$I$11&gt;=B15)*($I$8:$I$11&lt;=C15))=0,"None",INDEX($J$8:$J$11,SUMPRODUCT(($I$8:$I$11&gt;=B15)*($I$8:$I$11&lt;=C15)*(ROW($I$8:$I$11)-ROW($I$8)+1)))&amp;", "&amp;TEXT(INDEX($I$8:$I$11,SUMPRODUCT(($I$8:$I$11&gt;=B15)*($I$8:$I$11&lt;=C15)*(ROW($I$8:$I$11)-ROW($I$8)+1))),"ddd d mmm"))</f>
        <v>None</v>
      </c>
      <c r="K15" s="2"/>
      <c r="L15" s="2"/>
      <c r="M15" s="2"/>
      <c r="N15" s="2"/>
      <c r="O15" s="2"/>
      <c r="P15" s="2"/>
    </row>
    <row r="16" customFormat="false" ht="57.75" hidden="false" customHeight="true" outlineLevel="0" collapsed="false">
      <c r="A16" s="18" t="n">
        <v>2</v>
      </c>
      <c r="B16" s="19" t="n">
        <f aca="false">$C$6+7*(A16-1)</f>
        <v>46307</v>
      </c>
      <c r="C16" s="20" t="n">
        <f aca="false">B16+5</f>
        <v>46312</v>
      </c>
      <c r="D16" s="21" t="s">
        <v>30</v>
      </c>
      <c r="E16" s="21" t="s">
        <v>31</v>
      </c>
      <c r="F16" s="21" t="s">
        <v>32</v>
      </c>
      <c r="G16" s="22" t="s">
        <v>36</v>
      </c>
      <c r="H16" s="21" t="s">
        <v>37</v>
      </c>
      <c r="I16" s="21" t="s">
        <v>35</v>
      </c>
      <c r="J16" s="21" t="str">
        <f aca="false">IF(SUMPRODUCT(($I$8:$I$11&gt;=B16)*($I$8:$I$11&lt;=C16))=0,"None",INDEX($J$8:$J$11,SUMPRODUCT(($I$8:$I$11&gt;=B16)*($I$8:$I$11&lt;=C16)*(ROW($I$8:$I$11)-ROW($I$8)+1)))&amp;", "&amp;TEXT(INDEX($I$8:$I$11,SUMPRODUCT(($I$8:$I$11&gt;=B16)*($I$8:$I$11&lt;=C16)*(ROW($I$8:$I$11)-ROW($I$8)+1))),"ddd d mmm"))</f>
        <v>None</v>
      </c>
      <c r="K16" s="2"/>
      <c r="L16" s="2"/>
      <c r="M16" s="2"/>
      <c r="N16" s="2"/>
      <c r="O16" s="2"/>
      <c r="P16" s="2"/>
    </row>
    <row r="17" customFormat="false" ht="57.75" hidden="false" customHeight="true" outlineLevel="0" collapsed="false">
      <c r="A17" s="23" t="n">
        <v>3</v>
      </c>
      <c r="B17" s="24" t="n">
        <f aca="false">$C$6+7*(A17-1)</f>
        <v>46314</v>
      </c>
      <c r="C17" s="25" t="n">
        <f aca="false">B17+5</f>
        <v>46319</v>
      </c>
      <c r="D17" s="26" t="s">
        <v>30</v>
      </c>
      <c r="E17" s="26" t="s">
        <v>38</v>
      </c>
      <c r="F17" s="26" t="s">
        <v>32</v>
      </c>
      <c r="G17" s="27" t="s">
        <v>39</v>
      </c>
      <c r="H17" s="26" t="s">
        <v>40</v>
      </c>
      <c r="I17" s="26" t="s">
        <v>41</v>
      </c>
      <c r="J17" s="26" t="str">
        <f aca="false">IF(SUMPRODUCT(($I$8:$I$11&gt;=B17)*($I$8:$I$11&lt;=C17))=0,"None",INDEX($J$8:$J$11,SUMPRODUCT(($I$8:$I$11&gt;=B17)*($I$8:$I$11&lt;=C17)*(ROW($I$8:$I$11)-ROW($I$8)+1)))&amp;", "&amp;TEXT(INDEX($I$8:$I$11,SUMPRODUCT(($I$8:$I$11&gt;=B17)*($I$8:$I$11&lt;=C17)*(ROW($I$8:$I$11)-ROW($I$8)+1))),"ddd d mmm"))</f>
        <v>Dussehra, Tue 20 Oct</v>
      </c>
      <c r="K17" s="2"/>
      <c r="L17" s="2"/>
      <c r="M17" s="2"/>
      <c r="N17" s="2"/>
      <c r="O17" s="2"/>
      <c r="P17" s="2"/>
    </row>
    <row r="18" customFormat="false" ht="57.75" hidden="false" customHeight="true" outlineLevel="0" collapsed="false">
      <c r="A18" s="18" t="n">
        <v>4</v>
      </c>
      <c r="B18" s="19" t="n">
        <f aca="false">$C$6+7*(A18-1)</f>
        <v>46321</v>
      </c>
      <c r="C18" s="20" t="n">
        <f aca="false">B18+5</f>
        <v>46326</v>
      </c>
      <c r="D18" s="21" t="s">
        <v>30</v>
      </c>
      <c r="E18" s="21" t="s">
        <v>31</v>
      </c>
      <c r="F18" s="21" t="s">
        <v>42</v>
      </c>
      <c r="G18" s="22" t="s">
        <v>43</v>
      </c>
      <c r="H18" s="21" t="s">
        <v>44</v>
      </c>
      <c r="I18" s="21" t="s">
        <v>35</v>
      </c>
      <c r="J18" s="21" t="str">
        <f aca="false">IF(SUMPRODUCT(($I$8:$I$11&gt;=B18)*($I$8:$I$11&lt;=C18))=0,"None",INDEX($J$8:$J$11,SUMPRODUCT(($I$8:$I$11&gt;=B18)*($I$8:$I$11&lt;=C18)*(ROW($I$8:$I$11)-ROW($I$8)+1)))&amp;", "&amp;TEXT(INDEX($I$8:$I$11,SUMPRODUCT(($I$8:$I$11&gt;=B18)*($I$8:$I$11&lt;=C18)*(ROW($I$8:$I$11)-ROW($I$8)+1))),"ddd d mmm"))</f>
        <v>None</v>
      </c>
      <c r="K18" s="2"/>
      <c r="L18" s="2"/>
      <c r="M18" s="2"/>
      <c r="N18" s="2"/>
      <c r="O18" s="2"/>
      <c r="P18" s="2"/>
    </row>
    <row r="19" customFormat="false" ht="57.75" hidden="false" customHeight="true" outlineLevel="0" collapsed="false">
      <c r="A19" s="18" t="n">
        <v>5</v>
      </c>
      <c r="B19" s="19" t="n">
        <f aca="false">$C$6+7*(A19-1)</f>
        <v>46328</v>
      </c>
      <c r="C19" s="20" t="n">
        <f aca="false">B19+5</f>
        <v>46333</v>
      </c>
      <c r="D19" s="21" t="s">
        <v>45</v>
      </c>
      <c r="E19" s="21" t="s">
        <v>31</v>
      </c>
      <c r="F19" s="21" t="s">
        <v>42</v>
      </c>
      <c r="G19" s="22" t="s">
        <v>46</v>
      </c>
      <c r="H19" s="21" t="s">
        <v>47</v>
      </c>
      <c r="I19" s="21" t="s">
        <v>48</v>
      </c>
      <c r="J19" s="21" t="str">
        <f aca="false">IF(SUMPRODUCT(($I$8:$I$11&gt;=B19)*($I$8:$I$11&lt;=C19))=0,"None",INDEX($J$8:$J$11,SUMPRODUCT(($I$8:$I$11&gt;=B19)*($I$8:$I$11&lt;=C19)*(ROW($I$8:$I$11)-ROW($I$8)+1)))&amp;", "&amp;TEXT(INDEX($I$8:$I$11,SUMPRODUCT(($I$8:$I$11&gt;=B19)*($I$8:$I$11&lt;=C19)*(ROW($I$8:$I$11)-ROW($I$8)+1))),"ddd d mmm"))</f>
        <v>None</v>
      </c>
      <c r="K19" s="2"/>
      <c r="L19" s="2"/>
      <c r="M19" s="2"/>
      <c r="N19" s="2"/>
      <c r="O19" s="2"/>
      <c r="P19" s="2"/>
    </row>
    <row r="20" customFormat="false" ht="57.75" hidden="false" customHeight="true" outlineLevel="0" collapsed="false">
      <c r="A20" s="23" t="n">
        <v>6</v>
      </c>
      <c r="B20" s="24" t="n">
        <f aca="false">$C$6+7*(A20-1)</f>
        <v>46335</v>
      </c>
      <c r="C20" s="25" t="n">
        <f aca="false">B20+5</f>
        <v>46340</v>
      </c>
      <c r="D20" s="26" t="s">
        <v>45</v>
      </c>
      <c r="E20" s="26" t="s">
        <v>38</v>
      </c>
      <c r="F20" s="26" t="s">
        <v>42</v>
      </c>
      <c r="G20" s="27" t="s">
        <v>49</v>
      </c>
      <c r="H20" s="26" t="s">
        <v>50</v>
      </c>
      <c r="I20" s="26" t="s">
        <v>51</v>
      </c>
      <c r="J20" s="26" t="str">
        <f aca="false">IF(SUMPRODUCT(($I$8:$I$11&gt;=B20)*($I$8:$I$11&lt;=C20))=0,"None",INDEX($J$8:$J$11,SUMPRODUCT(($I$8:$I$11&gt;=B20)*($I$8:$I$11&lt;=C20)*(ROW($I$8:$I$11)-ROW($I$8)+1)))&amp;", "&amp;TEXT(INDEX($I$8:$I$11,SUMPRODUCT(($I$8:$I$11&gt;=B20)*($I$8:$I$11&lt;=C20)*(ROW($I$8:$I$11)-ROW($I$8)+1))),"ddd d mmm"))</f>
        <v>Diwali holiday, Mon 9 Nov</v>
      </c>
      <c r="K20" s="2"/>
      <c r="L20" s="2"/>
      <c r="M20" s="2"/>
      <c r="N20" s="2"/>
      <c r="O20" s="2"/>
      <c r="P20" s="2"/>
    </row>
    <row r="21" customFormat="false" ht="57.75" hidden="false" customHeight="true" outlineLevel="0" collapsed="false">
      <c r="A21" s="18" t="n">
        <v>7</v>
      </c>
      <c r="B21" s="19" t="n">
        <f aca="false">$C$6+7*(A21-1)</f>
        <v>46342</v>
      </c>
      <c r="C21" s="20" t="n">
        <f aca="false">B21+5</f>
        <v>46347</v>
      </c>
      <c r="D21" s="21" t="s">
        <v>52</v>
      </c>
      <c r="E21" s="21" t="s">
        <v>31</v>
      </c>
      <c r="F21" s="21" t="s">
        <v>53</v>
      </c>
      <c r="G21" s="22" t="s">
        <v>54</v>
      </c>
      <c r="H21" s="21" t="s">
        <v>55</v>
      </c>
      <c r="I21" s="21" t="s">
        <v>35</v>
      </c>
      <c r="J21" s="21" t="str">
        <f aca="false">IF(SUMPRODUCT(($I$8:$I$11&gt;=B21)*($I$8:$I$11&lt;=C21))=0,"None",INDEX($J$8:$J$11,SUMPRODUCT(($I$8:$I$11&gt;=B21)*($I$8:$I$11&lt;=C21)*(ROW($I$8:$I$11)-ROW($I$8)+1)))&amp;", "&amp;TEXT(INDEX($I$8:$I$11,SUMPRODUCT(($I$8:$I$11&gt;=B21)*($I$8:$I$11&lt;=C21)*(ROW($I$8:$I$11)-ROW($I$8)+1))),"ddd d mmm"))</f>
        <v>None</v>
      </c>
      <c r="K21" s="2"/>
      <c r="L21" s="2"/>
      <c r="M21" s="2"/>
      <c r="N21" s="2"/>
      <c r="O21" s="2"/>
      <c r="P21" s="2"/>
    </row>
    <row r="22" customFormat="false" ht="57.75" hidden="false" customHeight="true" outlineLevel="0" collapsed="false">
      <c r="A22" s="18" t="n">
        <v>8</v>
      </c>
      <c r="B22" s="19" t="n">
        <f aca="false">$C$6+7*(A22-1)</f>
        <v>46349</v>
      </c>
      <c r="C22" s="20" t="n">
        <f aca="false">B22+5</f>
        <v>46354</v>
      </c>
      <c r="D22" s="21" t="s">
        <v>52</v>
      </c>
      <c r="E22" s="21" t="s">
        <v>31</v>
      </c>
      <c r="F22" s="21" t="s">
        <v>56</v>
      </c>
      <c r="G22" s="22" t="s">
        <v>57</v>
      </c>
      <c r="H22" s="21" t="s">
        <v>58</v>
      </c>
      <c r="I22" s="21" t="s">
        <v>35</v>
      </c>
      <c r="J22" s="21" t="str">
        <f aca="false">IF(SUMPRODUCT(($I$8:$I$11&gt;=B22)*($I$8:$I$11&lt;=C22))=0,"None",INDEX($J$8:$J$11,SUMPRODUCT(($I$8:$I$11&gt;=B22)*($I$8:$I$11&lt;=C22)*(ROW($I$8:$I$11)-ROW($I$8)+1)))&amp;", "&amp;TEXT(INDEX($I$8:$I$11,SUMPRODUCT(($I$8:$I$11&gt;=B22)*($I$8:$I$11&lt;=C22)*(ROW($I$8:$I$11)-ROW($I$8)+1))),"ddd d mmm"))</f>
        <v>Guru Nanak Jayanti, Tue 24 Nov</v>
      </c>
      <c r="K22" s="2"/>
      <c r="L22" s="2"/>
      <c r="M22" s="2"/>
      <c r="N22" s="2"/>
      <c r="O22" s="2"/>
      <c r="P22" s="2"/>
    </row>
    <row r="23" customFormat="false" ht="57.75" hidden="false" customHeight="true" outlineLevel="0" collapsed="false">
      <c r="A23" s="23" t="n">
        <v>9</v>
      </c>
      <c r="B23" s="24" t="n">
        <f aca="false">$C$6+7*(A23-1)</f>
        <v>46356</v>
      </c>
      <c r="C23" s="25" t="n">
        <f aca="false">B23+5</f>
        <v>46361</v>
      </c>
      <c r="D23" s="26" t="s">
        <v>52</v>
      </c>
      <c r="E23" s="26" t="s">
        <v>38</v>
      </c>
      <c r="F23" s="26" t="s">
        <v>53</v>
      </c>
      <c r="G23" s="27" t="s">
        <v>59</v>
      </c>
      <c r="H23" s="26" t="s">
        <v>60</v>
      </c>
      <c r="I23" s="26" t="s">
        <v>61</v>
      </c>
      <c r="J23" s="26" t="str">
        <f aca="false">IF(SUMPRODUCT(($I$8:$I$11&gt;=B23)*($I$8:$I$11&lt;=C23))=0,"None",INDEX($J$8:$J$11,SUMPRODUCT(($I$8:$I$11&gt;=B23)*($I$8:$I$11&lt;=C23)*(ROW($I$8:$I$11)-ROW($I$8)+1)))&amp;", "&amp;TEXT(INDEX($I$8:$I$11,SUMPRODUCT(($I$8:$I$11&gt;=B23)*($I$8:$I$11&lt;=C23)*(ROW($I$8:$I$11)-ROW($I$8)+1))),"ddd d mmm"))</f>
        <v>None</v>
      </c>
      <c r="K23" s="2"/>
      <c r="L23" s="2"/>
      <c r="M23" s="2"/>
      <c r="N23" s="2"/>
      <c r="O23" s="2"/>
      <c r="P23" s="2"/>
    </row>
    <row r="24" customFormat="false" ht="57.75" hidden="false" customHeight="true" outlineLevel="0" collapsed="false">
      <c r="A24" s="18" t="n">
        <v>10</v>
      </c>
      <c r="B24" s="19" t="n">
        <f aca="false">$C$6+7*(A24-1)</f>
        <v>46363</v>
      </c>
      <c r="C24" s="20" t="n">
        <f aca="false">B24+5</f>
        <v>46368</v>
      </c>
      <c r="D24" s="21" t="s">
        <v>62</v>
      </c>
      <c r="E24" s="21" t="s">
        <v>31</v>
      </c>
      <c r="F24" s="21" t="s">
        <v>63</v>
      </c>
      <c r="G24" s="22" t="s">
        <v>64</v>
      </c>
      <c r="H24" s="21" t="s">
        <v>65</v>
      </c>
      <c r="I24" s="21" t="s">
        <v>66</v>
      </c>
      <c r="J24" s="21" t="str">
        <f aca="false">IF(SUMPRODUCT(($I$8:$I$11&gt;=B24)*($I$8:$I$11&lt;=C24))=0,"None",INDEX($J$8:$J$11,SUMPRODUCT(($I$8:$I$11&gt;=B24)*($I$8:$I$11&lt;=C24)*(ROW($I$8:$I$11)-ROW($I$8)+1)))&amp;", "&amp;TEXT(INDEX($I$8:$I$11,SUMPRODUCT(($I$8:$I$11&gt;=B24)*($I$8:$I$11&lt;=C24)*(ROW($I$8:$I$11)-ROW($I$8)+1))),"ddd d mmm"))</f>
        <v>None</v>
      </c>
      <c r="K24" s="2"/>
      <c r="L24" s="2"/>
      <c r="M24" s="2"/>
      <c r="N24" s="2"/>
      <c r="O24" s="2"/>
      <c r="P24" s="2"/>
    </row>
    <row r="25" customFormat="false" ht="57.75" hidden="false" customHeight="true" outlineLevel="0" collapsed="false">
      <c r="A25" s="18" t="n">
        <v>11</v>
      </c>
      <c r="B25" s="19" t="n">
        <f aca="false">$C$6+7*(A25-1)</f>
        <v>46370</v>
      </c>
      <c r="C25" s="20" t="n">
        <f aca="false">B25+5</f>
        <v>46375</v>
      </c>
      <c r="D25" s="21" t="s">
        <v>62</v>
      </c>
      <c r="E25" s="21" t="s">
        <v>31</v>
      </c>
      <c r="F25" s="21" t="s">
        <v>67</v>
      </c>
      <c r="G25" s="22" t="s">
        <v>68</v>
      </c>
      <c r="H25" s="21" t="s">
        <v>69</v>
      </c>
      <c r="I25" s="21" t="s">
        <v>35</v>
      </c>
      <c r="J25" s="21" t="str">
        <f aca="false">IF(SUMPRODUCT(($I$8:$I$11&gt;=B25)*($I$8:$I$11&lt;=C25))=0,"None",INDEX($J$8:$J$11,SUMPRODUCT(($I$8:$I$11&gt;=B25)*($I$8:$I$11&lt;=C25)*(ROW($I$8:$I$11)-ROW($I$8)+1)))&amp;", "&amp;TEXT(INDEX($I$8:$I$11,SUMPRODUCT(($I$8:$I$11&gt;=B25)*($I$8:$I$11&lt;=C25)*(ROW($I$8:$I$11)-ROW($I$8)+1))),"ddd d mmm"))</f>
        <v>None</v>
      </c>
      <c r="K25" s="2"/>
      <c r="L25" s="2"/>
      <c r="M25" s="2"/>
      <c r="N25" s="2"/>
      <c r="O25" s="2"/>
      <c r="P25" s="2"/>
    </row>
    <row r="26" customFormat="false" ht="57.75" hidden="false" customHeight="true" outlineLevel="0" collapsed="false">
      <c r="A26" s="23" t="n">
        <v>12</v>
      </c>
      <c r="B26" s="24" t="n">
        <f aca="false">$C$6+7*(A26-1)</f>
        <v>46377</v>
      </c>
      <c r="C26" s="25" t="n">
        <f aca="false">B26+5</f>
        <v>46382</v>
      </c>
      <c r="D26" s="26" t="s">
        <v>62</v>
      </c>
      <c r="E26" s="26" t="s">
        <v>38</v>
      </c>
      <c r="F26" s="26" t="s">
        <v>67</v>
      </c>
      <c r="G26" s="27" t="s">
        <v>70</v>
      </c>
      <c r="H26" s="26" t="s">
        <v>71</v>
      </c>
      <c r="I26" s="26" t="s">
        <v>72</v>
      </c>
      <c r="J26" s="26" t="str">
        <f aca="false">IF(SUMPRODUCT(($I$8:$I$11&gt;=B26)*($I$8:$I$11&lt;=C26))=0,"None",INDEX($J$8:$J$11,SUMPRODUCT(($I$8:$I$11&gt;=B26)*($I$8:$I$11&lt;=C26)*(ROW($I$8:$I$11)-ROW($I$8)+1)))&amp;", "&amp;TEXT(INDEX($I$8:$I$11,SUMPRODUCT(($I$8:$I$11&gt;=B26)*($I$8:$I$11&lt;=C26)*(ROW($I$8:$I$11)-ROW($I$8)+1))),"ddd d mmm"))</f>
        <v>None</v>
      </c>
      <c r="K26" s="2"/>
      <c r="L26" s="2"/>
      <c r="M26" s="2"/>
      <c r="N26" s="2"/>
      <c r="O26" s="2"/>
      <c r="P26" s="2"/>
    </row>
    <row r="27" customFormat="false" ht="57.75" hidden="false" customHeight="true" outlineLevel="0" collapsed="false">
      <c r="A27" s="18" t="n">
        <v>13</v>
      </c>
      <c r="B27" s="19" t="n">
        <f aca="false">$C$6+7*(A27-1)</f>
        <v>46384</v>
      </c>
      <c r="C27" s="20" t="n">
        <f aca="false">B27+5</f>
        <v>46389</v>
      </c>
      <c r="D27" s="21" t="s">
        <v>73</v>
      </c>
      <c r="E27" s="21" t="s">
        <v>31</v>
      </c>
      <c r="F27" s="21" t="s">
        <v>74</v>
      </c>
      <c r="G27" s="22" t="s">
        <v>75</v>
      </c>
      <c r="H27" s="21" t="s">
        <v>76</v>
      </c>
      <c r="I27" s="21" t="s">
        <v>35</v>
      </c>
      <c r="J27" s="21" t="str">
        <f aca="false">IF(SUMPRODUCT(($I$8:$I$11&gt;=B27)*($I$8:$I$11&lt;=C27))=0,"None",INDEX($J$8:$J$11,SUMPRODUCT(($I$8:$I$11&gt;=B27)*($I$8:$I$11&lt;=C27)*(ROW($I$8:$I$11)-ROW($I$8)+1)))&amp;", "&amp;TEXT(INDEX($I$8:$I$11,SUMPRODUCT(($I$8:$I$11&gt;=B27)*($I$8:$I$11&lt;=C27)*(ROW($I$8:$I$11)-ROW($I$8)+1))),"ddd d mmm"))</f>
        <v>None</v>
      </c>
      <c r="K27" s="2"/>
      <c r="L27" s="2"/>
      <c r="M27" s="2"/>
      <c r="N27" s="2"/>
      <c r="O27" s="2"/>
      <c r="P27" s="2"/>
    </row>
    <row r="28" customFormat="false" ht="57.75" hidden="false" customHeight="true" outlineLevel="0" collapsed="false">
      <c r="A28" s="18" t="n">
        <v>14</v>
      </c>
      <c r="B28" s="19" t="n">
        <f aca="false">$C$6+7*(A28-1)</f>
        <v>46391</v>
      </c>
      <c r="C28" s="20" t="n">
        <f aca="false">B28+5</f>
        <v>46396</v>
      </c>
      <c r="D28" s="21" t="s">
        <v>73</v>
      </c>
      <c r="E28" s="21" t="s">
        <v>31</v>
      </c>
      <c r="F28" s="21" t="s">
        <v>77</v>
      </c>
      <c r="G28" s="22" t="s">
        <v>78</v>
      </c>
      <c r="H28" s="21" t="s">
        <v>79</v>
      </c>
      <c r="I28" s="21" t="s">
        <v>35</v>
      </c>
      <c r="J28" s="21" t="str">
        <f aca="false">IF(SUMPRODUCT(($I$8:$I$11&gt;=B28)*($I$8:$I$11&lt;=C28))=0,"None",INDEX($J$8:$J$11,SUMPRODUCT(($I$8:$I$11&gt;=B28)*($I$8:$I$11&lt;=C28)*(ROW($I$8:$I$11)-ROW($I$8)+1)))&amp;", "&amp;TEXT(INDEX($I$8:$I$11,SUMPRODUCT(($I$8:$I$11&gt;=B28)*($I$8:$I$11&lt;=C28)*(ROW($I$8:$I$11)-ROW($I$8)+1))),"ddd d mmm"))</f>
        <v>None</v>
      </c>
      <c r="K28" s="2"/>
      <c r="L28" s="2"/>
      <c r="M28" s="2"/>
      <c r="N28" s="2"/>
      <c r="O28" s="2"/>
      <c r="P28" s="2"/>
    </row>
    <row r="29" customFormat="false" ht="57.75" hidden="false" customHeight="true" outlineLevel="0" collapsed="false">
      <c r="A29" s="23" t="n">
        <v>15</v>
      </c>
      <c r="B29" s="24" t="n">
        <f aca="false">$C$6+7*(A29-1)</f>
        <v>46398</v>
      </c>
      <c r="C29" s="25" t="n">
        <f aca="false">B29+5</f>
        <v>46403</v>
      </c>
      <c r="D29" s="26" t="s">
        <v>73</v>
      </c>
      <c r="E29" s="26" t="s">
        <v>38</v>
      </c>
      <c r="F29" s="26" t="s">
        <v>80</v>
      </c>
      <c r="G29" s="27" t="s">
        <v>81</v>
      </c>
      <c r="H29" s="26" t="s">
        <v>82</v>
      </c>
      <c r="I29" s="26" t="s">
        <v>83</v>
      </c>
      <c r="J29" s="26" t="str">
        <f aca="false">IF(SUMPRODUCT(($I$8:$I$11&gt;=B29)*($I$8:$I$11&lt;=C29))=0,"None",INDEX($J$8:$J$11,SUMPRODUCT(($I$8:$I$11&gt;=B29)*($I$8:$I$11&lt;=C29)*(ROW($I$8:$I$11)-ROW($I$8)+1)))&amp;", "&amp;TEXT(INDEX($I$8:$I$11,SUMPRODUCT(($I$8:$I$11&gt;=B29)*($I$8:$I$11&lt;=C29)*(ROW($I$8:$I$11)-ROW($I$8)+1))),"ddd d mmm"))</f>
        <v>None</v>
      </c>
      <c r="K29" s="2"/>
      <c r="L29" s="2"/>
      <c r="M29" s="2"/>
      <c r="N29" s="2"/>
      <c r="O29" s="2"/>
      <c r="P29" s="2"/>
    </row>
    <row r="30" customFormat="false" ht="57.75" hidden="false" customHeight="true" outlineLevel="0" collapsed="false">
      <c r="A30" s="18" t="n">
        <v>16</v>
      </c>
      <c r="B30" s="19" t="n">
        <f aca="false">$C$6+7*(A30-1)</f>
        <v>46405</v>
      </c>
      <c r="C30" s="20" t="n">
        <f aca="false">B30+5</f>
        <v>46410</v>
      </c>
      <c r="D30" s="21" t="s">
        <v>84</v>
      </c>
      <c r="E30" s="21" t="s">
        <v>31</v>
      </c>
      <c r="F30" s="21" t="s">
        <v>77</v>
      </c>
      <c r="G30" s="22" t="s">
        <v>85</v>
      </c>
      <c r="H30" s="21" t="s">
        <v>86</v>
      </c>
      <c r="I30" s="21" t="s">
        <v>87</v>
      </c>
      <c r="J30" s="21" t="str">
        <f aca="false">IF(SUMPRODUCT(($I$8:$I$11&gt;=B30)*($I$8:$I$11&lt;=C30))=0,"None",INDEX($J$8:$J$11,SUMPRODUCT(($I$8:$I$11&gt;=B30)*($I$8:$I$11&lt;=C30)*(ROW($I$8:$I$11)-ROW($I$8)+1)))&amp;", "&amp;TEXT(INDEX($I$8:$I$11,SUMPRODUCT(($I$8:$I$11&gt;=B30)*($I$8:$I$11&lt;=C30)*(ROW($I$8:$I$11)-ROW($I$8)+1))),"ddd d mmm"))</f>
        <v>None</v>
      </c>
      <c r="K30" s="2"/>
      <c r="L30" s="2"/>
      <c r="M30" s="2"/>
      <c r="N30" s="2"/>
      <c r="O30" s="2"/>
      <c r="P30" s="2"/>
    </row>
    <row r="31" customFormat="false" ht="57.75" hidden="false" customHeight="true" outlineLevel="0" collapsed="false">
      <c r="A31" s="28" t="n">
        <v>17</v>
      </c>
      <c r="B31" s="29" t="n">
        <f aca="false">$C$6+7*(A31-1)</f>
        <v>46412</v>
      </c>
      <c r="C31" s="30" t="n">
        <f aca="false">B31+5</f>
        <v>46417</v>
      </c>
      <c r="D31" s="31" t="s">
        <v>84</v>
      </c>
      <c r="E31" s="31" t="s">
        <v>88</v>
      </c>
      <c r="F31" s="31" t="s">
        <v>89</v>
      </c>
      <c r="G31" s="32" t="s">
        <v>90</v>
      </c>
      <c r="H31" s="31" t="s">
        <v>91</v>
      </c>
      <c r="I31" s="31" t="s">
        <v>35</v>
      </c>
      <c r="J31" s="31" t="str">
        <f aca="false">IF(SUMPRODUCT(($I$8:$I$11&gt;=B31)*($I$8:$I$11&lt;=C31))=0,"None",INDEX($J$8:$J$11,SUMPRODUCT(($I$8:$I$11&gt;=B31)*($I$8:$I$11&lt;=C31)*(ROW($I$8:$I$11)-ROW($I$8)+1)))&amp;", "&amp;TEXT(INDEX($I$8:$I$11,SUMPRODUCT(($I$8:$I$11&gt;=B31)*($I$8:$I$11&lt;=C31)*(ROW($I$8:$I$11)-ROW($I$8)+1))),"ddd d mmm"))</f>
        <v>None</v>
      </c>
      <c r="K31" s="2"/>
      <c r="L31" s="2"/>
      <c r="M31" s="2"/>
      <c r="N31" s="2"/>
      <c r="O31" s="2"/>
      <c r="P31" s="2"/>
    </row>
    <row r="32" customFormat="false" ht="57.75" hidden="false" customHeight="true" outlineLevel="0" collapsed="false">
      <c r="A32" s="28" t="n">
        <v>18</v>
      </c>
      <c r="B32" s="29" t="n">
        <f aca="false">$C$6+7*(A32-1)</f>
        <v>46419</v>
      </c>
      <c r="C32" s="30" t="n">
        <f aca="false">B32+5</f>
        <v>46424</v>
      </c>
      <c r="D32" s="31" t="s">
        <v>84</v>
      </c>
      <c r="E32" s="31" t="s">
        <v>88</v>
      </c>
      <c r="F32" s="31" t="s">
        <v>89</v>
      </c>
      <c r="G32" s="32" t="s">
        <v>92</v>
      </c>
      <c r="H32" s="31" t="s">
        <v>93</v>
      </c>
      <c r="I32" s="31" t="s">
        <v>35</v>
      </c>
      <c r="J32" s="31" t="str">
        <f aca="false">IF(SUMPRODUCT(($I$8:$I$11&gt;=B32)*($I$8:$I$11&lt;=C32))=0,"None",INDEX($J$8:$J$11,SUMPRODUCT(($I$8:$I$11&gt;=B32)*($I$8:$I$11&lt;=C32)*(ROW($I$8:$I$11)-ROW($I$8)+1)))&amp;", "&amp;TEXT(INDEX($I$8:$I$11,SUMPRODUCT(($I$8:$I$11&gt;=B32)*($I$8:$I$11&lt;=C32)*(ROW($I$8:$I$11)-ROW($I$8)+1))),"ddd d mmm"))</f>
        <v>None</v>
      </c>
      <c r="K32" s="2"/>
      <c r="L32" s="2"/>
      <c r="M32" s="2"/>
      <c r="N32" s="2"/>
      <c r="O32" s="2"/>
      <c r="P32" s="2"/>
    </row>
    <row r="33" customFormat="false" ht="57.75" hidden="false" customHeight="true" outlineLevel="0" collapsed="false">
      <c r="A33" s="28" t="n">
        <v>19</v>
      </c>
      <c r="B33" s="29" t="n">
        <f aca="false">$C$6+7*(A33-1)</f>
        <v>46426</v>
      </c>
      <c r="C33" s="30" t="n">
        <f aca="false">B33+5</f>
        <v>46431</v>
      </c>
      <c r="D33" s="31" t="s">
        <v>84</v>
      </c>
      <c r="E33" s="31" t="s">
        <v>88</v>
      </c>
      <c r="F33" s="31" t="s">
        <v>89</v>
      </c>
      <c r="G33" s="32" t="s">
        <v>94</v>
      </c>
      <c r="H33" s="31" t="s">
        <v>95</v>
      </c>
      <c r="I33" s="31" t="s">
        <v>35</v>
      </c>
      <c r="J33" s="31" t="str">
        <f aca="false">IF(SUMPRODUCT(($I$8:$I$11&gt;=B33)*($I$8:$I$11&lt;=C33))=0,"None",INDEX($J$8:$J$11,SUMPRODUCT(($I$8:$I$11&gt;=B33)*($I$8:$I$11&lt;=C33)*(ROW($I$8:$I$11)-ROW($I$8)+1)))&amp;", "&amp;TEXT(INDEX($I$8:$I$11,SUMPRODUCT(($I$8:$I$11&gt;=B33)*($I$8:$I$11&lt;=C33)*(ROW($I$8:$I$11)-ROW($I$8)+1))),"ddd d mmm"))</f>
        <v>None</v>
      </c>
      <c r="K33" s="2"/>
      <c r="L33" s="2"/>
      <c r="M33" s="2"/>
      <c r="N33" s="2"/>
      <c r="O33" s="2"/>
      <c r="P33" s="2"/>
    </row>
    <row r="34" customFormat="false" ht="57.75" hidden="false" customHeight="true" outlineLevel="0" collapsed="false">
      <c r="A34" s="28" t="n">
        <v>20</v>
      </c>
      <c r="B34" s="29" t="n">
        <f aca="false">$C$6+7*(A34-1)</f>
        <v>46433</v>
      </c>
      <c r="C34" s="30" t="n">
        <f aca="false">B34+5</f>
        <v>46438</v>
      </c>
      <c r="D34" s="31" t="s">
        <v>84</v>
      </c>
      <c r="E34" s="31" t="s">
        <v>88</v>
      </c>
      <c r="F34" s="31" t="s">
        <v>89</v>
      </c>
      <c r="G34" s="32" t="s">
        <v>96</v>
      </c>
      <c r="H34" s="31" t="s">
        <v>97</v>
      </c>
      <c r="I34" s="31" t="s">
        <v>98</v>
      </c>
      <c r="J34" s="31" t="str">
        <f aca="false">IF(SUMPRODUCT(($I$8:$I$11&gt;=B34)*($I$8:$I$11&lt;=C34))=0,"None",INDEX($J$8:$J$11,SUMPRODUCT(($I$8:$I$11&gt;=B34)*($I$8:$I$11&lt;=C34)*(ROW($I$8:$I$11)-ROW($I$8)+1)))&amp;", "&amp;TEXT(INDEX($I$8:$I$11,SUMPRODUCT(($I$8:$I$11&gt;=B34)*($I$8:$I$11&lt;=C34)*(ROW($I$8:$I$11)-ROW($I$8)+1))),"ddd d mmm"))</f>
        <v>None</v>
      </c>
      <c r="K34" s="2"/>
      <c r="L34" s="2"/>
      <c r="M34" s="2"/>
      <c r="N34" s="2"/>
      <c r="O34" s="2"/>
      <c r="P34" s="2"/>
    </row>
    <row r="35" customFormat="false" ht="15" hidden="false" customHeight="false" outlineLevel="0" collapsed="false">
      <c r="A35" s="2"/>
      <c r="B35" s="2"/>
      <c r="C35" s="2"/>
      <c r="D35" s="2"/>
      <c r="E35" s="2"/>
      <c r="F35" s="2"/>
      <c r="G35" s="2"/>
      <c r="H35" s="2"/>
      <c r="I35" s="2"/>
      <c r="J35" s="2"/>
      <c r="K35" s="2"/>
      <c r="L35" s="2"/>
      <c r="M35" s="2"/>
      <c r="N35" s="2"/>
      <c r="O35" s="2"/>
      <c r="P35" s="2"/>
    </row>
    <row r="36" customFormat="false" ht="15" hidden="false" customHeight="false" outlineLevel="0" collapsed="false">
      <c r="A36" s="2"/>
      <c r="B36" s="2"/>
      <c r="C36" s="2"/>
      <c r="D36" s="2"/>
      <c r="E36" s="2"/>
      <c r="F36" s="2"/>
      <c r="G36" s="2"/>
      <c r="H36" s="2"/>
      <c r="I36" s="2"/>
      <c r="J36" s="2"/>
      <c r="K36" s="2"/>
      <c r="L36" s="2"/>
      <c r="M36" s="2"/>
      <c r="N36" s="2"/>
      <c r="O36" s="2"/>
      <c r="P36" s="2"/>
    </row>
    <row r="37" customFormat="false" ht="16.15" hidden="false" customHeight="false" outlineLevel="0" collapsed="false">
      <c r="A37" s="16" t="s">
        <v>99</v>
      </c>
      <c r="B37" s="2"/>
      <c r="C37" s="2"/>
      <c r="D37" s="2"/>
      <c r="E37" s="2"/>
      <c r="F37" s="2"/>
      <c r="G37" s="2"/>
      <c r="H37" s="2"/>
      <c r="I37" s="2"/>
      <c r="J37" s="2"/>
      <c r="K37" s="2"/>
      <c r="L37" s="2"/>
      <c r="M37" s="2"/>
      <c r="N37" s="2"/>
      <c r="O37" s="2"/>
      <c r="P37" s="2"/>
    </row>
    <row r="38" customFormat="false" ht="15" hidden="false" customHeight="false" outlineLevel="0" collapsed="false">
      <c r="A38" s="2"/>
      <c r="B38" s="2"/>
      <c r="C38" s="2"/>
      <c r="D38" s="2"/>
      <c r="E38" s="2"/>
      <c r="F38" s="2"/>
      <c r="G38" s="2"/>
      <c r="H38" s="2"/>
      <c r="I38" s="2"/>
      <c r="J38" s="2"/>
      <c r="K38" s="2"/>
      <c r="L38" s="2"/>
      <c r="M38" s="2"/>
      <c r="N38" s="2"/>
      <c r="O38" s="2"/>
      <c r="P38" s="2"/>
    </row>
    <row r="39" customFormat="false" ht="30" hidden="false" customHeight="true" outlineLevel="0" collapsed="false">
      <c r="A39" s="17" t="s">
        <v>24</v>
      </c>
      <c r="B39" s="17"/>
      <c r="C39" s="17" t="s">
        <v>100</v>
      </c>
      <c r="D39" s="17" t="s">
        <v>101</v>
      </c>
      <c r="E39" s="17" t="s">
        <v>102</v>
      </c>
      <c r="F39" s="17" t="s">
        <v>103</v>
      </c>
      <c r="G39" s="17" t="s">
        <v>104</v>
      </c>
      <c r="H39" s="17" t="s">
        <v>105</v>
      </c>
      <c r="I39" s="2"/>
      <c r="J39" s="2"/>
      <c r="K39" s="2"/>
      <c r="L39" s="2"/>
      <c r="M39" s="2"/>
      <c r="N39" s="2"/>
      <c r="O39" s="2"/>
      <c r="P39" s="2"/>
    </row>
    <row r="40" customFormat="false" ht="96" hidden="false" customHeight="true" outlineLevel="0" collapsed="false">
      <c r="A40" s="22" t="s">
        <v>106</v>
      </c>
      <c r="B40" s="22"/>
      <c r="C40" s="21" t="s">
        <v>107</v>
      </c>
      <c r="D40" s="21" t="s">
        <v>108</v>
      </c>
      <c r="E40" s="21" t="s">
        <v>109</v>
      </c>
      <c r="F40" s="21" t="s">
        <v>110</v>
      </c>
      <c r="G40" s="21" t="s">
        <v>111</v>
      </c>
      <c r="H40" s="21" t="s">
        <v>112</v>
      </c>
      <c r="I40" s="2"/>
      <c r="J40" s="2"/>
      <c r="K40" s="2"/>
      <c r="L40" s="2"/>
      <c r="M40" s="2"/>
      <c r="N40" s="2"/>
      <c r="O40" s="2"/>
      <c r="P40" s="2"/>
    </row>
    <row r="41" customFormat="false" ht="96" hidden="false" customHeight="true" outlineLevel="0" collapsed="false">
      <c r="A41" s="22" t="s">
        <v>113</v>
      </c>
      <c r="B41" s="22"/>
      <c r="C41" s="21" t="s">
        <v>114</v>
      </c>
      <c r="D41" s="21" t="s">
        <v>115</v>
      </c>
      <c r="E41" s="21" t="s">
        <v>116</v>
      </c>
      <c r="F41" s="21" t="s">
        <v>117</v>
      </c>
      <c r="G41" s="21" t="s">
        <v>118</v>
      </c>
      <c r="H41" s="21" t="s">
        <v>119</v>
      </c>
      <c r="I41" s="2"/>
      <c r="J41" s="2"/>
      <c r="K41" s="2"/>
      <c r="L41" s="2"/>
      <c r="M41" s="2"/>
      <c r="N41" s="2"/>
      <c r="O41" s="2"/>
      <c r="P41" s="2"/>
    </row>
    <row r="42" customFormat="false" ht="96" hidden="false" customHeight="true" outlineLevel="0" collapsed="false">
      <c r="A42" s="22" t="s">
        <v>120</v>
      </c>
      <c r="B42" s="22"/>
      <c r="C42" s="21" t="s">
        <v>121</v>
      </c>
      <c r="D42" s="21" t="s">
        <v>122</v>
      </c>
      <c r="E42" s="21" t="s">
        <v>123</v>
      </c>
      <c r="F42" s="21" t="s">
        <v>124</v>
      </c>
      <c r="G42" s="21" t="s">
        <v>125</v>
      </c>
      <c r="H42" s="21" t="s">
        <v>126</v>
      </c>
      <c r="I42" s="2"/>
      <c r="J42" s="2"/>
      <c r="K42" s="2"/>
      <c r="L42" s="2"/>
      <c r="M42" s="2"/>
      <c r="N42" s="2"/>
      <c r="O42" s="2"/>
      <c r="P42" s="2"/>
    </row>
    <row r="43" customFormat="false" ht="96" hidden="false" customHeight="true" outlineLevel="0" collapsed="false">
      <c r="A43" s="22" t="s">
        <v>127</v>
      </c>
      <c r="B43" s="22"/>
      <c r="C43" s="21" t="s">
        <v>128</v>
      </c>
      <c r="D43" s="21" t="s">
        <v>129</v>
      </c>
      <c r="E43" s="21" t="s">
        <v>130</v>
      </c>
      <c r="F43" s="21" t="s">
        <v>131</v>
      </c>
      <c r="G43" s="21" t="s">
        <v>132</v>
      </c>
      <c r="H43" s="21" t="s">
        <v>133</v>
      </c>
      <c r="I43" s="2"/>
      <c r="J43" s="2"/>
      <c r="K43" s="2"/>
      <c r="L43" s="2"/>
      <c r="M43" s="2"/>
      <c r="N43" s="2"/>
      <c r="O43" s="2"/>
      <c r="P43" s="2"/>
    </row>
    <row r="44" customFormat="false" ht="96" hidden="false" customHeight="true" outlineLevel="0" collapsed="false">
      <c r="A44" s="22" t="s">
        <v>134</v>
      </c>
      <c r="B44" s="22"/>
      <c r="C44" s="21" t="s">
        <v>135</v>
      </c>
      <c r="D44" s="21" t="s">
        <v>136</v>
      </c>
      <c r="E44" s="21" t="s">
        <v>137</v>
      </c>
      <c r="F44" s="21" t="s">
        <v>138</v>
      </c>
      <c r="G44" s="21" t="s">
        <v>139</v>
      </c>
      <c r="H44" s="21" t="s">
        <v>140</v>
      </c>
      <c r="I44" s="2"/>
      <c r="J44" s="2"/>
      <c r="K44" s="2"/>
      <c r="L44" s="2"/>
      <c r="M44" s="2"/>
      <c r="N44" s="2"/>
      <c r="O44" s="2"/>
      <c r="P44" s="2"/>
    </row>
    <row r="45" customFormat="false" ht="96" hidden="false" customHeight="true" outlineLevel="0" collapsed="false">
      <c r="A45" s="22" t="s">
        <v>141</v>
      </c>
      <c r="B45" s="22"/>
      <c r="C45" s="21" t="s">
        <v>142</v>
      </c>
      <c r="D45" s="21" t="s">
        <v>143</v>
      </c>
      <c r="E45" s="21" t="s">
        <v>144</v>
      </c>
      <c r="F45" s="21" t="s">
        <v>145</v>
      </c>
      <c r="G45" s="21" t="s">
        <v>146</v>
      </c>
      <c r="H45" s="21" t="s">
        <v>147</v>
      </c>
      <c r="I45" s="2"/>
      <c r="J45" s="2"/>
      <c r="K45" s="2"/>
      <c r="L45" s="2"/>
      <c r="M45" s="2"/>
      <c r="N45" s="2"/>
      <c r="O45" s="2"/>
      <c r="P45" s="2"/>
    </row>
    <row r="46" customFormat="false" ht="15" hidden="false" customHeight="false" outlineLevel="0" collapsed="false">
      <c r="A46" s="2"/>
      <c r="B46" s="2"/>
      <c r="C46" s="2"/>
      <c r="D46" s="2"/>
      <c r="E46" s="2"/>
      <c r="F46" s="2"/>
      <c r="G46" s="2"/>
      <c r="H46" s="2"/>
      <c r="I46" s="2"/>
      <c r="J46" s="2"/>
      <c r="K46" s="2"/>
      <c r="L46" s="2"/>
      <c r="M46" s="2"/>
      <c r="N46" s="2"/>
      <c r="O46" s="2"/>
      <c r="P46" s="2"/>
    </row>
    <row r="47" customFormat="false" ht="31.5" hidden="false" customHeight="true" outlineLevel="0" collapsed="false">
      <c r="A47" s="33" t="s">
        <v>148</v>
      </c>
      <c r="B47" s="33"/>
      <c r="C47" s="33"/>
      <c r="D47" s="33"/>
      <c r="E47" s="33"/>
      <c r="F47" s="33"/>
      <c r="G47" s="33"/>
      <c r="H47" s="33"/>
      <c r="I47" s="2"/>
      <c r="J47" s="2"/>
      <c r="K47" s="2"/>
      <c r="L47" s="2"/>
      <c r="M47" s="2"/>
      <c r="N47" s="2"/>
      <c r="O47" s="2"/>
      <c r="P47" s="2"/>
    </row>
    <row r="48" customFormat="false" ht="15" hidden="false" customHeight="false" outlineLevel="0" collapsed="false">
      <c r="A48" s="2"/>
      <c r="B48" s="2"/>
      <c r="C48" s="2"/>
      <c r="D48" s="2"/>
      <c r="E48" s="2"/>
      <c r="F48" s="2"/>
      <c r="G48" s="2"/>
      <c r="H48" s="2"/>
      <c r="I48" s="2"/>
      <c r="J48" s="2"/>
      <c r="K48" s="2"/>
      <c r="L48" s="2"/>
      <c r="M48" s="2"/>
      <c r="N48" s="2"/>
      <c r="O48" s="2"/>
      <c r="P48" s="2"/>
    </row>
    <row r="49" customFormat="false" ht="15" hidden="false" customHeight="false" outlineLevel="0" collapsed="false">
      <c r="A49" s="8" t="s">
        <v>149</v>
      </c>
      <c r="B49" s="8"/>
      <c r="C49" s="8"/>
      <c r="D49" s="8"/>
      <c r="E49" s="8"/>
      <c r="F49" s="8"/>
      <c r="G49" s="8"/>
      <c r="H49" s="8"/>
      <c r="I49" s="2"/>
      <c r="J49" s="2"/>
      <c r="K49" s="2"/>
      <c r="L49" s="2"/>
      <c r="M49" s="2"/>
      <c r="N49" s="2"/>
      <c r="O49" s="2"/>
      <c r="P49" s="2"/>
    </row>
    <row r="50" customFormat="false" ht="15" hidden="false" customHeight="false" outlineLevel="0" collapsed="false">
      <c r="A50" s="2"/>
      <c r="B50" s="2"/>
      <c r="C50" s="2"/>
      <c r="D50" s="2"/>
      <c r="E50" s="2"/>
      <c r="F50" s="2"/>
      <c r="G50" s="2"/>
      <c r="H50" s="2"/>
      <c r="I50" s="2"/>
      <c r="J50" s="2"/>
      <c r="K50" s="2"/>
      <c r="L50" s="2"/>
      <c r="M50" s="2"/>
      <c r="N50" s="2"/>
      <c r="O50" s="2"/>
      <c r="P50" s="2"/>
    </row>
    <row r="51" customFormat="false" ht="15" hidden="false" customHeight="false" outlineLevel="0" collapsed="false">
      <c r="A51" s="2"/>
      <c r="B51" s="2"/>
      <c r="C51" s="2"/>
      <c r="D51" s="2"/>
      <c r="E51" s="2"/>
      <c r="F51" s="2"/>
      <c r="G51" s="2"/>
      <c r="H51" s="2"/>
      <c r="I51" s="2"/>
      <c r="J51" s="2"/>
      <c r="K51" s="2"/>
      <c r="L51" s="2"/>
      <c r="M51" s="2"/>
      <c r="N51" s="2"/>
      <c r="O51" s="2"/>
      <c r="P51" s="2"/>
    </row>
    <row r="52" customFormat="false" ht="15" hidden="false" customHeight="false" outlineLevel="0" collapsed="false">
      <c r="A52" s="2"/>
      <c r="B52" s="2"/>
      <c r="C52" s="2"/>
      <c r="D52" s="2"/>
      <c r="E52" s="2"/>
      <c r="F52" s="2"/>
      <c r="G52" s="2"/>
      <c r="H52" s="2"/>
      <c r="I52" s="2"/>
      <c r="J52" s="2"/>
      <c r="K52" s="2"/>
      <c r="L52" s="2"/>
      <c r="M52" s="2"/>
      <c r="N52" s="2"/>
      <c r="O52" s="2"/>
      <c r="P52" s="2"/>
    </row>
    <row r="53" customFormat="false" ht="15" hidden="false" customHeight="false" outlineLevel="0" collapsed="false">
      <c r="A53" s="2"/>
      <c r="B53" s="2"/>
      <c r="C53" s="2"/>
      <c r="D53" s="2"/>
      <c r="E53" s="2"/>
      <c r="F53" s="2"/>
      <c r="G53" s="2"/>
      <c r="H53" s="2"/>
      <c r="I53" s="2"/>
      <c r="J53" s="2"/>
      <c r="K53" s="2"/>
      <c r="L53" s="2"/>
      <c r="M53" s="2"/>
      <c r="N53" s="2"/>
      <c r="O53" s="2"/>
      <c r="P53" s="2"/>
    </row>
    <row r="54" customFormat="false" ht="15" hidden="false" customHeight="false" outlineLevel="0" collapsed="false">
      <c r="A54" s="2"/>
      <c r="B54" s="2"/>
      <c r="C54" s="2"/>
      <c r="D54" s="2"/>
      <c r="E54" s="2"/>
      <c r="F54" s="2"/>
      <c r="G54" s="2"/>
      <c r="H54" s="2"/>
      <c r="I54" s="2"/>
      <c r="J54" s="2"/>
      <c r="K54" s="2"/>
      <c r="L54" s="2"/>
      <c r="M54" s="2"/>
      <c r="N54" s="2"/>
      <c r="O54" s="2"/>
      <c r="P54" s="2"/>
    </row>
    <row r="55" customFormat="false" ht="15" hidden="false" customHeight="false" outlineLevel="0" collapsed="false">
      <c r="A55" s="2"/>
      <c r="B55" s="2"/>
      <c r="C55" s="2"/>
      <c r="D55" s="2"/>
      <c r="E55" s="2"/>
      <c r="F55" s="2"/>
      <c r="G55" s="2"/>
      <c r="H55" s="2"/>
      <c r="I55" s="2"/>
      <c r="J55" s="2"/>
      <c r="K55" s="2"/>
      <c r="L55" s="2"/>
      <c r="M55" s="2"/>
      <c r="N55" s="2"/>
      <c r="O55" s="2"/>
      <c r="P55" s="2"/>
    </row>
    <row r="56" customFormat="false" ht="15" hidden="false" customHeight="false" outlineLevel="0" collapsed="false">
      <c r="A56" s="2"/>
      <c r="B56" s="2"/>
      <c r="C56" s="2"/>
      <c r="D56" s="2"/>
      <c r="E56" s="2"/>
      <c r="F56" s="2"/>
      <c r="G56" s="2"/>
      <c r="H56" s="2"/>
      <c r="I56" s="2"/>
      <c r="J56" s="2"/>
      <c r="K56" s="2"/>
      <c r="L56" s="2"/>
      <c r="M56" s="2"/>
      <c r="N56" s="2"/>
      <c r="O56" s="2"/>
      <c r="P56" s="2"/>
    </row>
    <row r="57" customFormat="false" ht="15" hidden="false" customHeight="false" outlineLevel="0" collapsed="false">
      <c r="A57" s="2"/>
      <c r="B57" s="2"/>
      <c r="C57" s="2"/>
      <c r="D57" s="2"/>
      <c r="E57" s="2"/>
      <c r="F57" s="2"/>
      <c r="G57" s="2"/>
      <c r="H57" s="2"/>
      <c r="I57" s="2"/>
      <c r="J57" s="2"/>
      <c r="K57" s="2"/>
      <c r="L57" s="2"/>
      <c r="M57" s="2"/>
      <c r="N57" s="2"/>
      <c r="O57" s="2"/>
      <c r="P57" s="2"/>
    </row>
    <row r="58" customFormat="false" ht="15" hidden="false" customHeight="false" outlineLevel="0" collapsed="false">
      <c r="A58" s="2"/>
      <c r="B58" s="2"/>
      <c r="C58" s="2"/>
      <c r="D58" s="2"/>
      <c r="E58" s="2"/>
      <c r="F58" s="2"/>
      <c r="G58" s="2"/>
      <c r="H58" s="2"/>
      <c r="I58" s="2"/>
      <c r="J58" s="2"/>
      <c r="K58" s="2"/>
      <c r="L58" s="2"/>
      <c r="M58" s="2"/>
      <c r="N58" s="2"/>
      <c r="O58" s="2"/>
      <c r="P58" s="2"/>
    </row>
    <row r="59" customFormat="false" ht="15" hidden="false" customHeight="false" outlineLevel="0" collapsed="false">
      <c r="A59" s="2"/>
      <c r="B59" s="2"/>
      <c r="C59" s="2"/>
      <c r="D59" s="2"/>
      <c r="E59" s="2"/>
      <c r="F59" s="2"/>
      <c r="G59" s="2"/>
      <c r="H59" s="2"/>
      <c r="I59" s="2"/>
      <c r="J59" s="2"/>
      <c r="K59" s="2"/>
      <c r="L59" s="2"/>
      <c r="M59" s="2"/>
      <c r="N59" s="2"/>
      <c r="O59" s="2"/>
      <c r="P59" s="2"/>
    </row>
    <row r="60" customFormat="false" ht="15" hidden="false" customHeight="false" outlineLevel="0" collapsed="false">
      <c r="A60" s="2"/>
      <c r="B60" s="2"/>
      <c r="C60" s="2"/>
      <c r="D60" s="2"/>
      <c r="E60" s="2"/>
      <c r="F60" s="2"/>
      <c r="G60" s="2"/>
      <c r="H60" s="2"/>
      <c r="I60" s="2"/>
      <c r="J60" s="2"/>
      <c r="K60" s="2"/>
      <c r="L60" s="2"/>
      <c r="M60" s="2"/>
      <c r="N60" s="2"/>
      <c r="O60" s="2"/>
      <c r="P60" s="2"/>
    </row>
  </sheetData>
  <mergeCells count="17">
    <mergeCell ref="A4:H4"/>
    <mergeCell ref="A6:B6"/>
    <mergeCell ref="D6:G6"/>
    <mergeCell ref="I6:J6"/>
    <mergeCell ref="A8:B8"/>
    <mergeCell ref="A9:B9"/>
    <mergeCell ref="A12:H12"/>
    <mergeCell ref="I12:J12"/>
    <mergeCell ref="A39:B39"/>
    <mergeCell ref="A40:B40"/>
    <mergeCell ref="A41:B41"/>
    <mergeCell ref="A42:B42"/>
    <mergeCell ref="A43:B43"/>
    <mergeCell ref="A44:B44"/>
    <mergeCell ref="A45:B45"/>
    <mergeCell ref="A47:H47"/>
    <mergeCell ref="A49:H49"/>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4" min="3" style="0" width="62"/>
  </cols>
  <sheetData>
    <row r="1" customFormat="false" ht="7.5" hidden="false" customHeight="true" outlineLevel="0" collapsed="false">
      <c r="A1" s="1"/>
      <c r="B1" s="1"/>
      <c r="C1" s="1"/>
      <c r="D1" s="1"/>
      <c r="E1" s="2"/>
      <c r="F1" s="2"/>
      <c r="G1" s="2"/>
      <c r="H1" s="2"/>
      <c r="I1" s="2"/>
      <c r="J1" s="2"/>
    </row>
    <row r="2" customFormat="false" ht="15" hidden="false" customHeight="false" outlineLevel="0" collapsed="false">
      <c r="A2" s="3" t="s">
        <v>0</v>
      </c>
      <c r="B2" s="2"/>
      <c r="C2" s="2"/>
      <c r="D2" s="2"/>
      <c r="E2" s="2"/>
      <c r="F2" s="2"/>
      <c r="G2" s="2"/>
      <c r="H2" s="2"/>
      <c r="I2" s="2"/>
      <c r="J2" s="2"/>
    </row>
    <row r="3" customFormat="false" ht="30" hidden="false" customHeight="true" outlineLevel="0" collapsed="false">
      <c r="A3" s="4" t="s">
        <v>150</v>
      </c>
      <c r="B3" s="2"/>
      <c r="C3" s="2"/>
      <c r="D3" s="2"/>
      <c r="E3" s="2"/>
      <c r="F3" s="2"/>
      <c r="G3" s="2"/>
      <c r="H3" s="2"/>
      <c r="I3" s="2"/>
      <c r="J3" s="2"/>
    </row>
    <row r="4" customFormat="false" ht="22.35" hidden="false" customHeight="false" outlineLevel="0" collapsed="false">
      <c r="A4" s="6" t="s">
        <v>151</v>
      </c>
      <c r="B4" s="6"/>
      <c r="C4" s="34" t="n">
        <f aca="false">Journey!C6-7</f>
        <v>46293</v>
      </c>
      <c r="D4" s="35" t="s">
        <v>152</v>
      </c>
      <c r="E4" s="2"/>
      <c r="F4" s="2"/>
      <c r="G4" s="2"/>
      <c r="H4" s="2"/>
      <c r="I4" s="2"/>
      <c r="J4" s="2"/>
    </row>
    <row r="5" customFormat="false" ht="15" hidden="false" customHeight="false" outlineLevel="0" collapsed="false">
      <c r="A5" s="2"/>
      <c r="B5" s="2"/>
      <c r="C5" s="2"/>
      <c r="D5" s="2"/>
      <c r="E5" s="2"/>
      <c r="F5" s="2"/>
      <c r="G5" s="2"/>
      <c r="H5" s="2"/>
      <c r="I5" s="2"/>
      <c r="J5" s="2"/>
    </row>
    <row r="6" customFormat="false" ht="30" hidden="false" customHeight="true" outlineLevel="0" collapsed="false">
      <c r="A6" s="17" t="s">
        <v>153</v>
      </c>
      <c r="B6" s="17" t="s">
        <v>6</v>
      </c>
      <c r="C6" s="17" t="s">
        <v>154</v>
      </c>
      <c r="D6" s="17" t="s">
        <v>155</v>
      </c>
      <c r="E6" s="2"/>
      <c r="F6" s="2"/>
      <c r="G6" s="2"/>
      <c r="H6" s="2"/>
      <c r="I6" s="2"/>
      <c r="J6" s="2"/>
    </row>
    <row r="7" customFormat="false" ht="63.75" hidden="false" customHeight="true" outlineLevel="0" collapsed="false">
      <c r="A7" s="22" t="str">
        <f aca="false">TEXT(B7,"dddd")</f>
        <v>Monday</v>
      </c>
      <c r="B7" s="20" t="n">
        <f aca="false">$C$4+0</f>
        <v>46293</v>
      </c>
      <c r="C7" s="21" t="s">
        <v>156</v>
      </c>
      <c r="D7" s="21" t="s">
        <v>157</v>
      </c>
      <c r="E7" s="2"/>
      <c r="F7" s="2"/>
      <c r="G7" s="2"/>
      <c r="H7" s="2"/>
      <c r="I7" s="2"/>
      <c r="J7" s="2"/>
    </row>
    <row r="8" customFormat="false" ht="63.75" hidden="false" customHeight="true" outlineLevel="0" collapsed="false">
      <c r="A8" s="22" t="str">
        <f aca="false">TEXT(B8,"dddd")</f>
        <v>Tuesday</v>
      </c>
      <c r="B8" s="20" t="n">
        <f aca="false">$C$4+1</f>
        <v>46294</v>
      </c>
      <c r="C8" s="21" t="s">
        <v>158</v>
      </c>
      <c r="D8" s="21" t="s">
        <v>159</v>
      </c>
      <c r="E8" s="2"/>
      <c r="F8" s="2"/>
      <c r="G8" s="2"/>
      <c r="H8" s="2"/>
      <c r="I8" s="2"/>
      <c r="J8" s="2"/>
    </row>
    <row r="9" customFormat="false" ht="63.75" hidden="false" customHeight="true" outlineLevel="0" collapsed="false">
      <c r="A9" s="22" t="str">
        <f aca="false">TEXT(B9,"dddd")</f>
        <v>Wednesday</v>
      </c>
      <c r="B9" s="20" t="n">
        <f aca="false">$C$4+2</f>
        <v>46295</v>
      </c>
      <c r="C9" s="21" t="s">
        <v>160</v>
      </c>
      <c r="D9" s="21" t="s">
        <v>161</v>
      </c>
      <c r="E9" s="2"/>
      <c r="F9" s="2"/>
      <c r="G9" s="2"/>
      <c r="H9" s="2"/>
      <c r="I9" s="2"/>
      <c r="J9" s="2"/>
    </row>
    <row r="10" customFormat="false" ht="63.75" hidden="false" customHeight="true" outlineLevel="0" collapsed="false">
      <c r="A10" s="22" t="str">
        <f aca="false">TEXT(B10,"dddd")</f>
        <v>Thursday</v>
      </c>
      <c r="B10" s="20" t="n">
        <f aca="false">$C$4+3</f>
        <v>46296</v>
      </c>
      <c r="C10" s="21" t="s">
        <v>162</v>
      </c>
      <c r="D10" s="21" t="s">
        <v>163</v>
      </c>
      <c r="E10" s="2"/>
      <c r="F10" s="2"/>
      <c r="G10" s="2"/>
      <c r="H10" s="2"/>
      <c r="I10" s="2"/>
      <c r="J10" s="2"/>
    </row>
    <row r="11" customFormat="false" ht="63.75" hidden="false" customHeight="true" outlineLevel="0" collapsed="false">
      <c r="A11" s="36" t="str">
        <f aca="false">TEXT(B11,"dddd")</f>
        <v>Friday</v>
      </c>
      <c r="B11" s="37" t="n">
        <f aca="false">$C$4+4</f>
        <v>46297</v>
      </c>
      <c r="C11" s="38" t="s">
        <v>164</v>
      </c>
      <c r="D11" s="38" t="s">
        <v>165</v>
      </c>
      <c r="E11" s="2"/>
      <c r="F11" s="2"/>
      <c r="G11" s="2"/>
      <c r="H11" s="2"/>
      <c r="I11" s="2"/>
      <c r="J11" s="2"/>
    </row>
    <row r="12" customFormat="false" ht="63.75" hidden="false" customHeight="true" outlineLevel="0" collapsed="false">
      <c r="A12" s="27" t="str">
        <f aca="false">TEXT(B12,"dddd")</f>
        <v>Saturday</v>
      </c>
      <c r="B12" s="25" t="n">
        <f aca="false">$C$4+5</f>
        <v>46298</v>
      </c>
      <c r="C12" s="26" t="s">
        <v>166</v>
      </c>
      <c r="D12" s="26" t="s">
        <v>167</v>
      </c>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33.75" hidden="false" customHeight="true" outlineLevel="0" collapsed="false">
      <c r="A14" s="39" t="s">
        <v>168</v>
      </c>
      <c r="B14" s="39"/>
      <c r="C14" s="5" t="s">
        <v>169</v>
      </c>
      <c r="D14" s="5"/>
      <c r="E14" s="2"/>
      <c r="F14" s="2"/>
      <c r="G14" s="2"/>
      <c r="H14" s="2"/>
      <c r="I14" s="2"/>
      <c r="J14" s="2"/>
    </row>
    <row r="15" customFormat="false" ht="33.75" hidden="false" customHeight="true" outlineLevel="0" collapsed="false">
      <c r="A15" s="39" t="s">
        <v>170</v>
      </c>
      <c r="B15" s="39"/>
      <c r="C15" s="5" t="s">
        <v>171</v>
      </c>
      <c r="D15" s="5"/>
      <c r="E15" s="2"/>
      <c r="F15" s="2"/>
      <c r="G15" s="2"/>
      <c r="H15" s="2"/>
      <c r="I15" s="2"/>
      <c r="J15" s="2"/>
    </row>
    <row r="16" customFormat="false" ht="33.75" hidden="false" customHeight="true" outlineLevel="0" collapsed="false">
      <c r="A16" s="39" t="s">
        <v>172</v>
      </c>
      <c r="B16" s="39"/>
      <c r="C16" s="5" t="s">
        <v>173</v>
      </c>
      <c r="D16" s="5"/>
      <c r="E16" s="2"/>
      <c r="F16" s="2"/>
      <c r="G16" s="2"/>
      <c r="H16" s="2"/>
      <c r="I16" s="2"/>
      <c r="J16" s="2"/>
    </row>
    <row r="17" customFormat="false" ht="61.5" hidden="false" customHeight="true" outlineLevel="0" collapsed="false">
      <c r="A17" s="6" t="s">
        <v>174</v>
      </c>
      <c r="B17" s="6"/>
      <c r="C17" s="5" t="s">
        <v>175</v>
      </c>
      <c r="D17" s="5"/>
      <c r="E17" s="2"/>
      <c r="F17" s="2"/>
      <c r="G17" s="2"/>
      <c r="H17" s="2"/>
      <c r="I17" s="2"/>
      <c r="J17" s="2"/>
    </row>
    <row r="18" customFormat="false" ht="15" hidden="false" customHeight="false" outlineLevel="0" collapsed="false">
      <c r="A18" s="2"/>
      <c r="B18" s="2"/>
      <c r="C18" s="2"/>
      <c r="D18" s="2"/>
      <c r="E18" s="2"/>
      <c r="F18" s="2"/>
      <c r="G18" s="2"/>
      <c r="H18" s="2"/>
      <c r="I18" s="2"/>
      <c r="J18" s="2"/>
    </row>
    <row r="19" customFormat="false" ht="15" hidden="false" customHeight="false" outlineLevel="0" collapsed="false">
      <c r="A19" s="40" t="s">
        <v>176</v>
      </c>
      <c r="B19" s="2"/>
      <c r="C19" s="2"/>
      <c r="D19" s="2"/>
      <c r="E19" s="2"/>
      <c r="F19" s="2"/>
      <c r="G19" s="2"/>
      <c r="H19" s="2"/>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row r="26" customFormat="false" ht="15" hidden="false" customHeight="false" outlineLevel="0" collapsed="false">
      <c r="A26" s="2"/>
      <c r="B26" s="2"/>
      <c r="C26" s="2"/>
      <c r="D26" s="2"/>
      <c r="E26" s="2"/>
      <c r="F26" s="2"/>
      <c r="G26" s="2"/>
      <c r="H26" s="2"/>
      <c r="I26" s="2"/>
      <c r="J26" s="2"/>
    </row>
    <row r="27" customFormat="false" ht="15" hidden="false" customHeight="false" outlineLevel="0" collapsed="false">
      <c r="A27" s="2"/>
      <c r="B27" s="2"/>
      <c r="C27" s="2"/>
      <c r="D27" s="2"/>
      <c r="E27" s="2"/>
      <c r="F27" s="2"/>
      <c r="G27" s="2"/>
      <c r="H27" s="2"/>
      <c r="I27" s="2"/>
      <c r="J27" s="2"/>
    </row>
    <row r="28" customFormat="false" ht="15" hidden="false" customHeight="false" outlineLevel="0" collapsed="false">
      <c r="A28" s="2"/>
      <c r="B28" s="2"/>
      <c r="C28" s="2"/>
      <c r="D28" s="2"/>
      <c r="E28" s="2"/>
      <c r="F28" s="2"/>
      <c r="G28" s="2"/>
      <c r="H28" s="2"/>
      <c r="I28" s="2"/>
      <c r="J28" s="2"/>
    </row>
    <row r="29" customFormat="false" ht="15" hidden="false" customHeight="false" outlineLevel="0" collapsed="false">
      <c r="A29" s="2"/>
      <c r="B29" s="2"/>
      <c r="C29" s="2"/>
      <c r="D29" s="2"/>
      <c r="E29" s="2"/>
      <c r="F29" s="2"/>
      <c r="G29" s="2"/>
      <c r="H29" s="2"/>
      <c r="I29" s="2"/>
      <c r="J29" s="2"/>
    </row>
    <row r="30" customFormat="false" ht="15" hidden="false" customHeight="false" outlineLevel="0" collapsed="false">
      <c r="A30" s="2"/>
      <c r="B30" s="2"/>
      <c r="C30" s="2"/>
      <c r="D30" s="2"/>
      <c r="E30" s="2"/>
      <c r="F30" s="2"/>
      <c r="G30" s="2"/>
      <c r="H30" s="2"/>
      <c r="I30" s="2"/>
      <c r="J30" s="2"/>
    </row>
  </sheetData>
  <mergeCells count="9">
    <mergeCell ref="A4:B4"/>
    <mergeCell ref="A14:B14"/>
    <mergeCell ref="C14:D14"/>
    <mergeCell ref="A15:B15"/>
    <mergeCell ref="C15:D15"/>
    <mergeCell ref="A16:B16"/>
    <mergeCell ref="C16:D16"/>
    <mergeCell ref="A17:B17"/>
    <mergeCell ref="C17:D1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2026-09-27T16:04:03Z</dcterms:created>
  <dc:creator>openpyxl</dc:creator>
  <dc:description/>
  <dc:language>en-US</dc:language>
  <cp:lastModifiedBy/>
  <dcterms:modified xsi:type="dcterms:W3CDTF">2026-09-27T16:04:03Z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