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essions" sheetId="2" state="visible" r:id="rId4"/>
    <sheet name="Reference library" sheetId="3" state="visible" r:id="rId5"/>
  </sheets>
  <definedNames>
    <definedName function="false" hidden="false" localSheetId="2" name="_xlnm.Print_Titles" vbProcedure="false">'Reference library'!$4:$4</definedName>
    <definedName function="false" hidden="true" localSheetId="2" name="_xlnm._FilterDatabase" vbProcedure="false">'Reference library'!$A$4:$G$254</definedName>
    <definedName function="false" hidden="false" localSheetId="1" name="_xlnm.Print_Titles" vbProcedure="false">Sessions!$4:$5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<sst xmlns="http://schemas.openxmlformats.org/spreadsheetml/2006/main" count="2336" uniqueCount="1225">
  <si>
    <t xml:space="preserve">IIT Gandhinagar faculty sessions  ·  PG Diploma in AI-ML and Agentic AI Engineering  ·  Cohort 2</t>
  </si>
  <si>
    <t xml:space="preserve">A proposal for the faculty's teaching hours in Cohort 2: what each session covers, when it runs, where it sits in the curriculum and what the learners will already know. Every session is tentative until IIT Gandhinagar confirms the faculty member and the date. Version 2, 21 September 2026.</t>
  </si>
  <si>
    <t xml:space="preserve">Faculty sessions</t>
  </si>
  <si>
    <t xml:space="preserve">Faculty hours</t>
  </si>
  <si>
    <t xml:space="preserve">Week 0 begins (orientation and baseline week)</t>
  </si>
  <si>
    <t xml:space="preserve">Teaching begins (Week 1)</t>
  </si>
  <si>
    <t xml:space="preserve">First faculty session (Week 2)</t>
  </si>
  <si>
    <t xml:space="preserve">Last faculty session</t>
  </si>
  <si>
    <t xml:space="preserve">Sessions confirmed so far</t>
  </si>
  <si>
    <t xml:space="preserve">Calendar inputs, and what we request from IIT Gandhinagar</t>
  </si>
  <si>
    <t xml:space="preserve">Input</t>
  </si>
  <si>
    <t xml:space="preserve">Teaching Week 1 begins on</t>
  </si>
  <si>
    <t xml:space="preserve">Request 1. Please name a faculty lead for each of the seven weeks in the yellow column of the table below. One faculty member for a whole week is the ideal, so that the week reads as one short course.</t>
  </si>
  <si>
    <t xml:space="preserve">Session length (minutes)</t>
  </si>
  <si>
    <t xml:space="preserve">Request 2. On the Sessions tab, please mark each session as Confirmed or Change requested, and add a remark where a date, a topic or a reference should change.</t>
  </si>
  <si>
    <t xml:space="preserve">Faculty hours committed</t>
  </si>
  <si>
    <t xml:space="preserve">Design of the faculty sessions</t>
  </si>
  <si>
    <t xml:space="preserve">1.</t>
  </si>
  <si>
    <t xml:space="preserve">Each session runs for 120 minutes and follows that day's applied session, which an industry trainer teaches on the same topic through a running business case.</t>
  </si>
  <si>
    <t xml:space="preserve">2.</t>
  </si>
  <si>
    <t xml:space="preserve">The faculty session then carries the theory beneath the method the learners have just used: the derivation, the mathematics and the conditions under which the method holds. Theory therefore arrives once the learners have a reason to want it.</t>
  </si>
  <si>
    <t xml:space="preserve">3.</t>
  </si>
  <si>
    <t xml:space="preserve">Sessions run on consecutive teaching days within a week, in seven weeks between Week 2 and Week 11. From Week 13 the programme moves to agentic systems, deployment and the capstone, which are taught by industry practitioners.</t>
  </si>
  <si>
    <t xml:space="preserve">The seven weeks, each as one short course</t>
  </si>
  <si>
    <t xml:space="preserve">Week</t>
  </si>
  <si>
    <t xml:space="preserve">Dates (Mon to Sat)</t>
  </si>
  <si>
    <t xml:space="preserve">Module (credits)</t>
  </si>
  <si>
    <t xml:space="preserve">Industry-led applied track that week</t>
  </si>
  <si>
    <t xml:space="preserve">Faculty short course and its sessions</t>
  </si>
  <si>
    <t xml:space="preserve">Suggested faculty expertise</t>
  </si>
  <si>
    <t xml:space="preserve">Sessions</t>
  </si>
  <si>
    <t xml:space="preserve">Hours</t>
  </si>
  <si>
    <t xml:space="preserve">Faculty lead (IIT Gandhinagar to complete)</t>
  </si>
  <si>
    <t xml:space="preserve">Module 1: Foundations of AI and Data (3 credits).</t>
  </si>
  <si>
    <t xml:space="preserve">Data manipulation: SQL joins and window functions, pandas, Excel for analysts</t>
  </si>
  <si>
    <t xml:space="preserve">Statistical inference
1. Sampling distributions and the central limit theorem
2. Confidence intervals and the t-test family
3. Errors, power and sample size; multiple comparisons</t>
  </si>
  <si>
    <t xml:space="preserve">Statistics</t>
  </si>
  <si>
    <t xml:space="preserve">To be confirmed</t>
  </si>
  <si>
    <t xml:space="preserve">Module 2: Applied Machine Learning (4 credits).</t>
  </si>
  <si>
    <t xml:space="preserve">Business and data analyst craft: metric design, market basket analysis, cohort and funnel analysis, forecasting baselines</t>
  </si>
  <si>
    <t xml:space="preserve">Statistical foundations of business analytics
1. Design of experiments
2. Association rule mining
3. Time-to-event analysis
4. Time series foundations</t>
  </si>
  <si>
    <t xml:space="preserve">Statistics, data mining or time series analysis</t>
  </si>
  <si>
    <t xml:space="preserve">Machine learning core in scikit-learn: regression and classification, metrics under class imbalance, feature engineering and leakage, overfitting and regularisation, model justification</t>
  </si>
  <si>
    <t xml:space="preserve">Mathematical foundations of machine learning
1. Linear and logistic regression from first principles
2. Classifier evaluation
3. Multicollinearity, identifiability, and explanatory against predictive modelling
4. The bias-variance trade-off, regularisation and resampling
5. Decision trees, bagging, random forests and gradient boosting</t>
  </si>
  <si>
    <t xml:space="preserve">Machine learning or statistical learning</t>
  </si>
  <si>
    <t xml:space="preserve">Module 3: Deep Learning and Neural Networks (4 credits). Friday's session belongs to Module 4: Natural Language Processing.</t>
  </si>
  <si>
    <t xml:space="preserve">Deep learning essentials over four days (the network, learning, training diagnostics, sequence models), then tokenization on Friday</t>
  </si>
  <si>
    <t xml:space="preserve">Deep learning from first principles
1. Feed-forward networks
2. Backpropagation derived, and gradient-based optimisation
3. Vanishing and exploding gradients, initialisation, normalisation and regularisation in deep networks
4. Recurrent networks, LSTM and the path to attention
5. Subword tokenization and the evaluation of language models</t>
  </si>
  <si>
    <t xml:space="preserve">Deep learning</t>
  </si>
  <si>
    <t xml:space="preserve">Module 4: Natural Language Processing (3 credits).</t>
  </si>
  <si>
    <t xml:space="preserve">Transformers and LLM internals: attention and the transformer block, embeddings with BERT against GPT, decoding controls, context windows and token economics</t>
  </si>
  <si>
    <t xml:space="preserve">The mathematics of transformers
1. Scaled dot-product attention and the transformer block
2. Word and sentence embeddings
3. Decoding as search
4. Positional encodings, long-context attention and scaling laws</t>
  </si>
  <si>
    <t xml:space="preserve">Natural language processing</t>
  </si>
  <si>
    <t xml:space="preserve">Module 5: Generative AI Foundations (3 credits).</t>
  </si>
  <si>
    <t xml:space="preserve">Generative AI applied: prompting techniques compared, structured outputs, function calling, prompt evaluation, production cost and latency</t>
  </si>
  <si>
    <t xml:space="preserve">Theory of applied generative AI
1. From pretraining to instruction following
2. Constrained decoding
3. The statistics of model evaluation
4. The arithmetic of LLM inference</t>
  </si>
  <si>
    <t xml:space="preserve">Natural language processing or machine learning systems</t>
  </si>
  <si>
    <t xml:space="preserve">Module 6: Applied Generative AI (3 credits).</t>
  </si>
  <si>
    <t xml:space="preserve">Retrieval-augmented generation end to end: chunking, embedding models and vector stores, hybrid search and reranking, evaluation, grounding and citations</t>
  </si>
  <si>
    <t xml:space="preserve">Information retrieval
1. Classical information retrieval
2. Approximate nearest-neighbour search
3. Learning to rank, neural rerankers and rank fusion
4. Evaluating retrieval and retrieval-augmented generation
5. Long-context behaviour, grounding and hallucination in language models</t>
  </si>
  <si>
    <t xml:space="preserve">Information retrieval</t>
  </si>
  <si>
    <t xml:space="preserve">Total</t>
  </si>
  <si>
    <t xml:space="preserve">Every session is tentative</t>
  </si>
  <si>
    <t xml:space="preserve">The programme at a glance: where the seven weeks sit in the twenty</t>
  </si>
  <si>
    <t xml:space="preserve">Module</t>
  </si>
  <si>
    <t xml:space="preserve">Focus of the week</t>
  </si>
  <si>
    <t xml:space="preserve">Assessment in the week</t>
  </si>
  <si>
    <t xml:space="preserve">Public holiday in the week</t>
  </si>
  <si>
    <t xml:space="preserve">Taught by</t>
  </si>
  <si>
    <t xml:space="preserve">Before Module 1</t>
  </si>
  <si>
    <t xml:space="preserve">Orientation and baseline week: diagnostic by topic, Python and SQL refreshers, problem framing</t>
  </si>
  <si>
    <t xml:space="preserve">None</t>
  </si>
  <si>
    <t xml:space="preserve">Fri 02 Oct, Gandhi Jayanti</t>
  </si>
  <si>
    <t xml:space="preserve">Programme team</t>
  </si>
  <si>
    <t xml:space="preserve">Module 1: Foundations of AI and Data</t>
  </si>
  <si>
    <t xml:space="preserve">Data analysis foundations</t>
  </si>
  <si>
    <t xml:space="preserve">Industry practitioner</t>
  </si>
  <si>
    <t xml:space="preserve">Data manipulation at depth: SQL, pandas, Excel</t>
  </si>
  <si>
    <t xml:space="preserve">Industry trainer, with IIT Gandhinagar faculty on the theory</t>
  </si>
  <si>
    <t xml:space="preserve">Build week 1: data to insight (health-care operations data)</t>
  </si>
  <si>
    <t xml:space="preserve">Mini project 1, mock interview 1, business group discussion 1</t>
  </si>
  <si>
    <t xml:space="preserve">Tue 20 Oct, Dussehra</t>
  </si>
  <si>
    <t xml:space="preserve">Programme team and an industry panel; no new teaching</t>
  </si>
  <si>
    <t xml:space="preserve">Module 2: Applied Machine Learning</t>
  </si>
  <si>
    <t xml:space="preserve">Business and data analyst craft</t>
  </si>
  <si>
    <t xml:space="preserve">Machine learning core</t>
  </si>
  <si>
    <t xml:space="preserve">Major Exam 1</t>
  </si>
  <si>
    <t xml:space="preserve">Build week 2: machine learning (lending data)</t>
  </si>
  <si>
    <t xml:space="preserve">Mini project 2, mock interview 2, business group discussion 2</t>
  </si>
  <si>
    <t xml:space="preserve">Mon 09 Nov, the day after Diwali</t>
  </si>
  <si>
    <t xml:space="preserve">Module 3: Deep Learning and Neural Networks</t>
  </si>
  <si>
    <t xml:space="preserve">Deep learning essentials, then tokenization</t>
  </si>
  <si>
    <t xml:space="preserve">Module 4: Natural Language Processing</t>
  </si>
  <si>
    <t xml:space="preserve">Transformers and LLM internals</t>
  </si>
  <si>
    <t xml:space="preserve">Tue 24 Nov, Guru Nanak Jayanti</t>
  </si>
  <si>
    <t xml:space="preserve">Build week 3: deep learning and LLMs (telecom support text)</t>
  </si>
  <si>
    <t xml:space="preserve">Mini project 3, mock interview 3, business group discussion 3</t>
  </si>
  <si>
    <t xml:space="preserve">Module 5: Generative AI Foundations</t>
  </si>
  <si>
    <t xml:space="preserve">Generative AI applied</t>
  </si>
  <si>
    <t xml:space="preserve">Major Exam 2</t>
  </si>
  <si>
    <t xml:space="preserve">Module 6: Applied Generative AI</t>
  </si>
  <si>
    <t xml:space="preserve">Retrieval-augmented generation</t>
  </si>
  <si>
    <t xml:space="preserve">Build week 4: retrieval assistant (logistics documents)</t>
  </si>
  <si>
    <t xml:space="preserve">Mini project 4, mock interview 4, business group discussion 4</t>
  </si>
  <si>
    <t xml:space="preserve">Fri 25 Dec, Christmas Day</t>
  </si>
  <si>
    <t xml:space="preserve">Module 8: Foundations of Agentic AI</t>
  </si>
  <si>
    <t xml:space="preserve">AI agents</t>
  </si>
  <si>
    <t xml:space="preserve">Module 7: Production AI for Real-World Applications</t>
  </si>
  <si>
    <t xml:space="preserve">Agents in production</t>
  </si>
  <si>
    <t xml:space="preserve">Module 9: Advanced Agentic AI and Multi-Agent Systems</t>
  </si>
  <si>
    <t xml:space="preserve">Build week 5: agentic system (retail at scale)</t>
  </si>
  <si>
    <t xml:space="preserve">Mini project 5, mock interview 5, business group discussion 5</t>
  </si>
  <si>
    <t xml:space="preserve">Major Exam 3, then forward deployed engineering: design to deployment</t>
  </si>
  <si>
    <t xml:space="preserve">Major Exam 3</t>
  </si>
  <si>
    <t xml:space="preserve">Module 10: Capstone Project</t>
  </si>
  <si>
    <t xml:space="preserve">Capstone sprint 1</t>
  </si>
  <si>
    <t xml:space="preserve">Capstone project</t>
  </si>
  <si>
    <t xml:space="preserve">Tue 26 Jan, Republic Day</t>
  </si>
  <si>
    <t xml:space="preserve">Mentors and an industry panel</t>
  </si>
  <si>
    <t xml:space="preserve">Capstone sprint 2</t>
  </si>
  <si>
    <t xml:space="preserve">Capstone sprint 3</t>
  </si>
  <si>
    <t xml:space="preserve">Capstone demonstration, panel defence and closure</t>
  </si>
  <si>
    <t xml:space="preserve">Shading: bronze tint marks the seven weeks that carry faculty sessions; grey marks build weeks, in which learners complete a graded project and no new content is taught. Blue text on yellow marks a cell to be completed or an input. The running business case used in the applied sessions, Kalpa Group, is fictional: a retailer with sister businesses in finance, logistics, health care and telecom. Any resemblance to a real company is coincidental.</t>
  </si>
  <si>
    <t xml:space="preserve">IIT Gandhinagar faculty sessions  ·  session plan  ·  every session is tentative until confirmed</t>
  </si>
  <si>
    <t xml:space="preserve">One row per session, read from left to right: what the session teaches, where it sits in the programme, what learners arrive with, what is reserved for later, and what to prepare from. Reference numbers (R001 and so on) resolve to clickable links on the Reference library tab. The three yellow columns are for IIT Gandhinagar to complete. Dates follow from the start date on the Overview tab.</t>
  </si>
  <si>
    <t xml:space="preserve">SESSION</t>
  </si>
  <si>
    <t xml:space="preserve">WHAT THE SESSION TEACHES</t>
  </si>
  <si>
    <t xml:space="preserve">CONTEXT AND SCOPE</t>
  </si>
  <si>
    <t xml:space="preserve">PREPARATION</t>
  </si>
  <si>
    <t xml:space="preserve">TO BE COMPLETED BY IIT GANDHINAGAR</t>
  </si>
  <si>
    <t xml:space="preserve">Session</t>
  </si>
  <si>
    <t xml:space="preserve">Date</t>
  </si>
  <si>
    <t xml:space="preserve">Duration (min)</t>
  </si>
  <si>
    <t xml:space="preserve">Module and subject</t>
  </si>
  <si>
    <t xml:space="preserve">Session topic</t>
  </si>
  <si>
    <t xml:space="preserve">Subtopics</t>
  </si>
  <si>
    <t xml:space="preserve">Learning outcomes</t>
  </si>
  <si>
    <t xml:space="preserve">Place in the programme</t>
  </si>
  <si>
    <t xml:space="preserve">Prior coverage</t>
  </si>
  <si>
    <t xml:space="preserve">Reserved for later sessions</t>
  </si>
  <si>
    <t xml:space="preserve">Suggested references</t>
  </si>
  <si>
    <t xml:space="preserve">Faculty member</t>
  </si>
  <si>
    <t xml:space="preserve">Status</t>
  </si>
  <si>
    <t xml:space="preserve">Remarks</t>
  </si>
  <si>
    <t xml:space="preserve">Learner progress before this week: One week of data analysis in Python on a retail dataset: descriptive statistics, a revenue driver tree, data profiling and cleaning with reconciliation, a permutation test with the p-value stated correctly, correlation against causation with a confounder, and a one-page note for a business stakeholder. No formula-based inference has been taught. The industry-led track this week is SQL and pandas, so these three sessions run alongside it and complete the inference that Week 1 opened.</t>
  </si>
  <si>
    <t xml:space="preserve">W2-1</t>
  </si>
  <si>
    <t xml:space="preserve">Module 1: Foundations of AI and Data
Subject: Statistical inference</t>
  </si>
  <si>
    <t xml:space="preserve">Sampling distributions and the central limit theorem</t>
  </si>
  <si>
    <t xml:space="preserve">• Random variables, expectation and variance, as far as the session needs them
• The sampling distribution of a statistic, linked to the simulated distribution learners built in Week 1
• The standard error of a mean and of a proportion
• The central limit theorem: statement, conditions and a simulation
• Why small samples give wide sampling distributions</t>
  </si>
  <si>
    <t xml:space="preserve">Learners can define a standard error, explain why sample means are approximately normal, and explain why an estimate from a very small sample is unreliable.</t>
  </si>
  <si>
    <t xml:space="preserve">Session 1 of 3 in the Week 2 short course. The same-day applied session (SQL foundations) is unrelated in content; the link is to Week 1, where inference was introduced through simulation only. Leads to W2-2 and W2-3, and to the statistics component of Major Exam 1 (Week 5).</t>
  </si>
  <si>
    <t xml:space="preserve">Week 1: descriptive statistics in Python; a permutation test run by hand and then in code with 5,000 label shuffles; the p-value stated as the share of chance-only outcomes at least as extreme as the observed one; the confidence interval named and never constructed. No formula-based inference has been taught.</t>
  </si>
  <si>
    <t xml:space="preserve">Confidence intervals and the t-test family (W2-2); power, sample size and multiple comparisons (W2-3).</t>
  </si>
  <si>
    <t xml:space="preserve">R001 · Diez, Çetinkaya-Rundel and Barr, OpenIntro Statistics, 4th ed. (Ch. 5, Foundations for inference)
R002 · Poldrack, Statistical Thinking for the 21st Century (sampling and the central limit theorem)
R003 · Wasserman (2004), All of Statistics (Ch. 5 and 6)
R004 · MIT OpenCourseWare 18.650, Statistics for Applications (sessions 1 to 3)
R005 · Seeing Theory (Brown University), interactive visualisations (Probability Distributions; Frequentist Inference)
R006 · 3Blue1Brown, But what is the Central Limit Theorem?</t>
  </si>
  <si>
    <t xml:space="preserve">Tentative</t>
  </si>
  <si>
    <t xml:space="preserve">None yet</t>
  </si>
  <si>
    <t xml:space="preserve">W2-2</t>
  </si>
  <si>
    <t xml:space="preserve">Confidence intervals and the t-test family</t>
  </si>
  <si>
    <t xml:space="preserve">• A confidence interval for a mean and for a proportion: construction and correct interpretation
• The t distribution, and why it replaces the normal for small samples
• One-sample, two-sample (Welch) and paired t-tests
• The chi-square test of independence, at recognition depth
• Choosing a test from the study design and the type of data
• The interval and the test as two views of the same evidence</t>
  </si>
  <si>
    <t xml:space="preserve">Learners can construct and interpret a 95 percent confidence interval, select an appropriate test for a given comparison, and explain what an interval adds to a p-value.</t>
  </si>
  <si>
    <t xml:space="preserve">Session 2 of 3. The same-day applied session (SQL joins) is unrelated in content. Builds directly on W2-1. Leads to W2-3 and to experiment design in Week 4 (W4-1).</t>
  </si>
  <si>
    <t xml:space="preserve">W2-1: sampling distributions, the standard error and the central limit theorem. From Week 1: the permutation test and the meaning of a p-value.</t>
  </si>
  <si>
    <t xml:space="preserve">Power, sample size and multiple comparisons (W2-3); inference on regression coefficients (W5-1).</t>
  </si>
  <si>
    <t xml:space="preserve">R001 · Diez, Çetinkaya-Rundel and Barr, OpenIntro Statistics, 4th ed. (Ch. 5 to 7)
R003 · Wasserman (2004), All of Statistics (Ch. 6 and 10)
R004 · MIT OpenCourseWare 18.650, Statistics for Applications (sessions 7 to 10, parametric hypothesis testing)
R007 · Greenland et al. (2016), Statistical tests, P values, confidence intervals, and power: a guide to misinterpretations
R008 · American Statistical Association (2016), statement on statistical significance and p-values
R005 · Seeing Theory (Brown University), interactive visualisations (Frequentist Inference)
R009 · SciPy, scipy.stats.ttest_ind</t>
  </si>
  <si>
    <t xml:space="preserve">W2-3</t>
  </si>
  <si>
    <t xml:space="preserve">Errors, power and sample size; multiple comparisons</t>
  </si>
  <si>
    <t xml:space="preserve">• Type I and Type II errors; significance level and power
• What determines power: effect size, variance, sample size and the significance level
• Sample size for comparing two means or two proportions
• Multiple comparisons: family-wise error, Bonferroni, and the false discovery rate (Benjamini-Hochberg)
• Statistical significance against practical significance; effect sizes</t>
  </si>
  <si>
    <t xml:space="preserve">Learners can estimate the sample size a comparison needs, explain why testing many segments produces spurious findings, and distinguish a statistically significant result from a practically important one.</t>
  </si>
  <si>
    <t xml:space="preserve">Session 3 of 3; closes the Week 2 short course and the statistics that Major Exam 1 draws on. The same-day applied session (SQL window functions) is unrelated in content. Leads to experiment design (W4-1) and to evaluation statistics in Week 10 (W10-3).</t>
  </si>
  <si>
    <t xml:space="preserve">W2-1 and W2-2. From Week 1: correlation against causation, confounding and Simpson's paradox, taught on a marketing campaign dataset; a working rule that a rate computed on fewer than thirty observations is unreliable.</t>
  </si>
  <si>
    <t xml:space="preserve">Experiment design and A/B testing (W4-1); regression (Week 5).</t>
  </si>
  <si>
    <t xml:space="preserve">R010 · James, Witten, Hastie and Tibshirani (2021), An Introduction to Statistical Learning (ISLR), 2nd ed. (Ch. 13, Multiple Testing)
R001 · Diez, Çetinkaya-Rundel and Barr, OpenIntro Statistics, 4th ed. (Section 7.4, power calculations)
R011 · Button et al. (2013), Power failure: why small sample size undermines the reliability of neuroscience
R012 · Gelman and Loken (2013), The garden of forking paths
R007 · Greenland et al. (2016), Statistical tests, P values, confidence intervals, and power: a guide to misinterpretations
R013 · statsmodels, statistics module: power and sample size
R014 · Evan Miller, sample size calculator for A/B tests</t>
  </si>
  <si>
    <t xml:space="preserve">Learner progress before this week: Weeks 1 and 2 (Python for analysis, descriptive statistics, the permutation test, SQL joins and window functions, pandas) and a first build week on health-care operations data. The Week 2 faculty sessions covered sampling distributions, confidence intervals, the t-test family, power and multiple comparisons. Tuesday of this week is a stakeholder communication and case day and carries no faculty session.</t>
  </si>
  <si>
    <t xml:space="preserve">W4-1</t>
  </si>
  <si>
    <t xml:space="preserve">Module 2: Applied Machine Learning
Subject: Experimentation and causal measurement</t>
  </si>
  <si>
    <t xml:space="preserve">Design of experiments: randomised controlled trials and A/B testing</t>
  </si>
  <si>
    <t xml:space="preserve">• Why randomisation identifies a causal effect; treatment and control groups
• The unit of randomisation, interference between units, and novelty effects
• The primary metric, guardrail metrics and the minimum detectable effect
• Sample size and test duration; the problem with peeking and early stopping
• Reading the result: the interval on the difference, and practical significance
• Variance reduction with pre-experiment data (CUPED), at recognition depth</t>
  </si>
  <si>
    <t xml:space="preserve">Learners can design an A/B test for a product change, specifying the unit randomised, the primary and guardrail metrics, the sample size and the duration, and can name two ways such a test goes wrong.</t>
  </si>
  <si>
    <t xml:space="preserve">Session 1 of 4 in the Week 4 short course. Same-day applied session: business metric design. Builds on the Week 2 sessions on power and sample size. It also prepares a standard interview question: how would you measure the success of a new feature.</t>
  </si>
  <si>
    <t xml:space="preserve">Applied session: a north-star metric with guardrail metrics, leading against lagging indicators, metric definitions with numerator, denominator and window, and how a target gets gamed. Weeks 1 and 2: the permutation test, t-tests, power, sample size and confounding.</t>
  </si>
  <si>
    <t xml:space="preserve">Classification metrics and prediction (Week 5). Causal inference from observational data, beyond confounding, is outside the programme.</t>
  </si>
  <si>
    <t xml:space="preserve">R015 · Kohavi, Tang and Xu (2020), Trustworthy Online Controlled Experiments
R016 · Kohavi et al. (2009), Controlled experiments on the web: survey and practical guide
R017 · Kohavi et al. (2012), Trustworthy Online Controlled Experiments: Five Puzzling Outcomes Explained
R018 · Deng et al. (2013), Improving the Sensitivity of Online Controlled Experiments by Utilizing Pre-Experiment Data (CUPED)
R019 · Johari et al. (2015), Always Valid Inference: Bringing Sequential Analysis to A/B Testing
R020 · Evan Miller, How Not To Run an A/B Test
R014 · Evan Miller, sample size calculator for A/B tests
R013 · statsmodels, statistics module: power and sample size (power and sample size)</t>
  </si>
  <si>
    <t xml:space="preserve">W4-2</t>
  </si>
  <si>
    <t xml:space="preserve">Module 2: Applied Machine Learning
Subject: Association analysis</t>
  </si>
  <si>
    <t xml:space="preserve">Association rule mining: probability foundations and the Apriori algorithm</t>
  </si>
  <si>
    <t xml:space="preserve">• Support, confidence and lift as joint and conditional probabilities
• Independence, and why a lift near one signals no association
• The Apriori principle (anti-monotonicity of support) and candidate pruning
• Frequent itemset generation; FP-growth at recognition depth
• Interest measures and their pitfalls: conviction, the phi coefficient and the chi-square view
• The multiple-comparisons problem in rule mining</t>
  </si>
  <si>
    <t xml:space="preserve">Learners can derive lift from a contingency table, explain how frequent itemsets are found without enumerating every combination, and state why high confidence alone is misleading.</t>
  </si>
  <si>
    <t xml:space="preserve">Session 2 of 4. Same-day applied session: market basket analysis and cross-sell. Links back to W2-3 (multiple comparisons).</t>
  </si>
  <si>
    <t xml:space="preserve">Applied session: support, confidence and lift computed by counting on twelve baskets and then in code; a best-selling item with confidence 0.82 and lift 0.97, recognised as uninformative; one recommendation costed as expected incremental margin less promotion cost.</t>
  </si>
  <si>
    <t xml:space="preserve">Recommender systems and collaborative filtering are outside the programme.</t>
  </si>
  <si>
    <t xml:space="preserve">R021 · Tan, Steinbach, Karpatne and Kumar (2018), Introduction to Data Mining, 2nd ed., Ch. 5 Association Analysis (sample chapter)
R022 · Leskovec, Rajaraman and Ullman, Mining of Massive Datasets, Ch. 6 Frequent Itemsets
R023 · Agrawal and Srikant (1994), Fast Algorithms for Mining Association Rules
R024 · Han, Pei and Yin (2000), Mining Frequent Patterns without Candidate Generation
R025 · Hahsler, A Probabilistic Comparison of Commonly Used Interest Measures for Association Rules
R026 · mlxtend, association rules user guide</t>
  </si>
  <si>
    <t xml:space="preserve">W4-3</t>
  </si>
  <si>
    <t xml:space="preserve">Module 2: Applied Machine Learning
Subject: Survival and retention analysis</t>
  </si>
  <si>
    <t xml:space="preserve">Time-to-event analysis: survival curves, censoring and hazard</t>
  </si>
  <si>
    <t xml:space="preserve">• Time-to-event data and right censoring; why ignoring censoring biases a retention estimate upward
• The survival function and the hazard function
• The Kaplan-Meier estimator, worked by hand on a small table
• Comparing two groups: the log-rank test
• The Cox proportional hazards model, at recognition depth
• The link to customer retention curves and churn</t>
  </si>
  <si>
    <t xml:space="preserve">Learners can read a Kaplan-Meier curve, explain censoring and its effect on a retention estimate, and state when two retention curves differ by more than chance.</t>
  </si>
  <si>
    <t xml:space="preserve">Session 3 of 4. Same-day applied session: cohort and funnel analysis. Prepares the churn-style prediction targets of Week 5.</t>
  </si>
  <si>
    <t xml:space="preserve">Applied session: cohorts built by signup month; funnels read with the correct denominator at each stage; retention curves; a blended retention rate that stays flat while every cohort declines, which is a mix effect related to the Simpson's paradox example of Week 1.</t>
  </si>
  <si>
    <t xml:space="preserve">Predictive churn models (Week 5). Customer lifetime value modelling is outside the programme.</t>
  </si>
  <si>
    <t xml:space="preserve">R010 · James, Witten, Hastie and Tibshirani (2021), An Introduction to Statistical Learning (ISLR), 2nd ed. (Ch. 11, Survival Analysis and Censored Data)
R029 · Kleinbaum and Klein (2012), Survival Analysis: A Self-Learning Text, 3rd ed.
R027 · Rodríguez (Princeton), Lecture Notes on Generalized Linear Models, Ch. 7 Survival Models
R028 · Clark et al. (2003), Survival Analysis Part I: Basic concepts and first analyses
R030 · Fader and Hardie (2007), How to Project Customer Retention
R031 · lifelines, Introduction to survival analysis</t>
  </si>
  <si>
    <t xml:space="preserve">W4-4</t>
  </si>
  <si>
    <t xml:space="preserve">Module 2: Applied Machine Learning
Subject: Time series and forecasting</t>
  </si>
  <si>
    <t xml:space="preserve">Time series foundations: autocorrelation, stationarity, exponential smoothing and ARIMA</t>
  </si>
  <si>
    <t xml:space="preserve">• Components of a series: trend, seasonality and remainder; classical decomposition
• Autocorrelation and the ACF plot; white noise
• Stationarity and differencing
• Exponential smoothing as a weighted average of the past: simple, Holt and Holt-Winters
• ARIMA at recognition depth: what p, d and q mean
• Forecast evaluation: time series cross-validation, scaled errors, and why naive baselines are hard to beat</t>
  </si>
  <si>
    <t xml:space="preserve">Learners can read an autocorrelation plot, explain exponential smoothing as a weighted memory of the past, and state what a fitted model must beat before it is preferred to a seasonal-naive forecast.</t>
  </si>
  <si>
    <t xml:space="preserve">Session 4 of 4; closes the Week 4 short course. Same-day applied session: forecasting baselines.</t>
  </si>
  <si>
    <t xml:space="preserve">Applied session: trend and seasonality read from 24 months of revenue with an annual festival peak; last-value, seasonal-naive and drift forecasts built by hand; a six-month hold-out scored with mean absolute error; a vendor forecast that lost to the seasonal-naive baseline.</t>
  </si>
  <si>
    <t xml:space="preserve">Machine-learning and neural forecasting methods are outside the programme.</t>
  </si>
  <si>
    <t xml:space="preserve">R032 · Hyndman and Athanasopoulos (2021), Forecasting: Principles and Practice (FPP3), 3rd ed. (Ch. 2 (2.8 to 2.9), 3, 5 (5.2, 5.8, 5.10), 8 and 9)
R033 · Shumway and Stoffer (2017), Time Series Analysis and Its Applications, 4th ed. (companion repository) (Ch. 1 to 3)
R034 · NIST/SEMATECH e-Handbook of Statistical Methods, Section 6.4 Introduction to Time Series Analysis
R035 · Nau (Duke University), Statistical forecasting: notes on regression and time series analysis (exponential smoothing and ARIMA notes)
R036 · Makridakis, Spiliotis and Assimakopoulos (2018), Statistical and Machine Learning forecasting methods: Concerns and ways forward
R037 · statsmodels, time series analysis (tsa)
R038 · statsmodels, exponential smoothing worked example</t>
  </si>
  <si>
    <t xml:space="preserve">Learner progress before this week: All of the above, together with metric design, lift, cohort retention and naive forecasting baselines. A pre-work bridge course has introduced linear and logistic regression. The applied work all week uses a repeat-purchase target that is imbalanced at roughly 96 to 4. Major Exam 1 is held during this week.</t>
  </si>
  <si>
    <t xml:space="preserve">W5-1</t>
  </si>
  <si>
    <t xml:space="preserve">Module 2: Applied Machine Learning
Subject: Supervised learning: linear models</t>
  </si>
  <si>
    <t xml:space="preserve">Linear and logistic regression from first principles</t>
  </si>
  <si>
    <t xml:space="preserve">• Least squares as projection: the normal equations and their geometry
• Maximum likelihood estimation; least squares as maximum likelihood under Gaussian noise
• The logistic function, log-odds, and cross-entropy loss as a likelihood
• Standard errors and confidence intervals for coefficients; the t-statistic
• Assumptions and diagnostics: linearity, constant variance, residual analysis
• Gradient descent as the numerical route when no closed form exists</t>
  </si>
  <si>
    <t xml:space="preserve">Learners can explain where least-squares and logistic-regression estimates come from, interpret a coefficient together with its standard error, and state the assumptions behind the inference.</t>
  </si>
  <si>
    <t xml:space="preserve">Session 1 of 5 in the Week 5 short course. Same-day applied session: regression and classification in scikit-learn. Major Exam 1 is held this week.</t>
  </si>
  <si>
    <t xml:space="preserve">Applied session: a prediction problem framed as input, target and prediction time; train, validation and test splits; a naive baseline; linear and logistic regression fitted in scikit-learn, with coefficients interpreted in business units and residual plots examined. A pre-work bridge course introduced both models. Week 2: intervals and t-tests.</t>
  </si>
  <si>
    <t xml:space="preserve">Evaluation metrics (W5-2); multicollinearity (W5-3); regularisation (W5-4).</t>
  </si>
  <si>
    <t xml:space="preserve">R010 · James, Witten, Hastie and Tibshirani (2021), An Introduction to Statistical Learning (ISLR), 2nd ed. (Ch. 3 and 4)
R039 · Hastie, Tibshirani and Friedman (2009), The Elements of Statistical Learning (ESL), 2nd ed. (Ch. 3 and 4)
R041 · Bishop (2006), Pattern Recognition and Machine Learning (Ch. 3 and 4)
R042 · Shalizi, Advanced Data Analysis from an Elementary Point of View
R040 · Stanford CS229 lecture notes (Ma and Ng) (Part I, linear and logistic regression)
R043 · Penn State STAT 501, Regression Methods (open course notes)
R044 · MIT OpenCourseWare 18.06, Linear Algebra (Strang) (projections and least squares)
R045 · statsmodels, linear regression</t>
  </si>
  <si>
    <t xml:space="preserve">W5-2</t>
  </si>
  <si>
    <t xml:space="preserve">Module 2: Applied Machine Learning
Subject: Model evaluation</t>
  </si>
  <si>
    <t xml:space="preserve">Classifier evaluation: ROC analysis, precision-recall and cost-sensitive decisions</t>
  </si>
  <si>
    <t xml:space="preserve">• The ROC curve and AUC; AUC as the probability that a positive is ranked above a negative
• Precision-recall curves, and why they are more informative under class imbalance
• Expected cost and the optimal decision threshold (the Bayes decision rule)
• Probability calibration: reliability diagrams, Platt scaling and isotonic regression
• Proper scoring rules: log loss and the Brier score</t>
  </si>
  <si>
    <t xml:space="preserve">Learners can read ROC and precision-recall curves, derive a decision threshold from two misclassification costs, and explain why a model that ranks well can still be poorly calibrated.</t>
  </si>
  <si>
    <t xml:space="preserve">Session 2 of 5. Same-day applied session: classification metrics under class imbalance.</t>
  </si>
  <si>
    <t xml:space="preserve">Applied session: the confusion matrix, precision, recall and F1; a classifier that is 96 percent accurate on a 96-to-4 outcome and identifies no positives; metric selection from the cost of each error type; a threshold chosen from two costs in a retail case, and again in a lending case where the costs reverse. ROC and AUC were named only.</t>
  </si>
  <si>
    <t xml:space="preserve">Statistical comparison of models on a shared test set (W10-3).</t>
  </si>
  <si>
    <t xml:space="preserve">R010 · James, Witten, Hastie and Tibshirani (2021), An Introduction to Statistical Learning (ISLR), 2nd ed. (Ch. 4, the confusion matrix and ROC curves)
R046 · Fawcett (2006), An introduction to ROC analysis
R047 · Saito and Rehmsmeier (2015), The Precision-Recall Plot Is More Informative than the ROC Plot When Evaluating Binary Classifiers on Imbalanced Datasets
R048 · Elkan (2001), The Foundations of Cost-Sensitive Learning
R049 · Niculescu-Mizil and Caruana (2005), Predicting Good Probabilities With Supervised Learning
R050 · Gneiting and Raftery (2007), Strictly Proper Scoring Rules, Prediction, and Estimation
R051 · Hand (2009), Measuring classifier performance: a coherent alternative to the area under the ROC curve
R052 · scikit-learn user guide, Metrics and scoring (classification metrics)
R053 · scikit-learn user guide, Probability calibration</t>
  </si>
  <si>
    <t xml:space="preserve">W5-3</t>
  </si>
  <si>
    <t xml:space="preserve">Module 2: Applied Machine Learning
Subject: Model specification and feature engineering</t>
  </si>
  <si>
    <t xml:space="preserve">Multicollinearity, identifiability, and explanatory against predictive modelling</t>
  </si>
  <si>
    <t xml:space="preserve">• Multicollinearity: its effect on coefficient variance and sign; the variance inflation factor
• Identifiability, and why prediction can survive collinearity while explanation cannot
• Interaction terms and non-linear transformations; categorical encodings and the dummy-variable trap
• Feature scaling: where it matters (distance-based and regularised models) and where it does not
• Target leakage formalised as information unavailable at prediction time
• Explanatory against predictive modelling</t>
  </si>
  <si>
    <t xml:space="preserve">Learners can diagnose multicollinearity with a variance inflation factor, explain why a coefficient changed sign, and state when a model is fit to explain and when it is fit only to predict.</t>
  </si>
  <si>
    <t xml:space="preserve">Session 3 of 5. Same-day applied session: feature engineering and leakage. Motivates regularisation in W5-4.</t>
  </si>
  <si>
    <t xml:space="preserve">Applied session: recency, frequency and monetary features, ratios, encoding and scaling; leakage detected by asking whether a value is known at prediction time; two correlated features that reversed a coefficient's sign in the learners' own model.</t>
  </si>
  <si>
    <t xml:space="preserve">Regularisation as the remedy for unstable coefficients (W5-4).</t>
  </si>
  <si>
    <t xml:space="preserve">R010 · James, Witten, Hastie and Tibshirani (2021), An Introduction to Statistical Learning (ISLR), 2nd ed. (Section 3.3.3 and Ch. 6)
R058 · Kuhn and Johnson (2019), Feature Engineering and Selection
R054 · Penn State STAT 501, Lesson 12: Multicollinearity and Other Regression Pitfalls
R055 · Shmueli (2010), To Explain or to Predict?
R056 · Breiman (2001), Statistical Modeling: The Two Cultures
R057 · Kaufman, Rosset and Perlich (2011), Leakage in Data Mining: Formulation, Detection, and Avoidance
R059 · statsmodels, variance_inflation_factor</t>
  </si>
  <si>
    <t xml:space="preserve">W5-4</t>
  </si>
  <si>
    <t xml:space="preserve">Module 2: Applied Machine Learning
Subject: Generalisation and regularisation</t>
  </si>
  <si>
    <t xml:space="preserve">The bias-variance trade-off, regularisation and resampling</t>
  </si>
  <si>
    <t xml:space="preserve">• Decomposition of expected test error into bias, variance and irreducible noise
• Model complexity, overfitting and the classical U-shaped curve; double descent noted as a current research finding
• Ridge and lasso as penalised estimation; their Bayesian reading; sparsity under the L1 penalty
• The regularisation path and the choice of penalty
• Cross-validation: k-fold and leave-one-out, bias and variance of the estimate; nested cross-validation for model selection</t>
  </si>
  <si>
    <t xml:space="preserve">Learners can explain the bias-variance decomposition, state what ridge and lasso penalties do to the coefficients and why, and describe how cross-validation estimates generalisation error without touching the test set.</t>
  </si>
  <si>
    <t xml:space="preserve">Session 4 of 5. Same-day applied session: overfitting and regularisation.</t>
  </si>
  <si>
    <t xml:space="preserve">Applied session: an unrestricted decision tree scoring 100 percent on training data and 61 percent on validation data; learning curves; regularisation strength and k-fold cross-validation used in scikit-learn; trees, ensembles and clustering met at recognition depth.</t>
  </si>
  <si>
    <t xml:space="preserve">The internals of trees and ensembles (W5-5); regularisation in neural networks (W7-3).</t>
  </si>
  <si>
    <t xml:space="preserve">R039 · Hastie, Tibshirani and Friedman (2009), The Elements of Statistical Learning (ESL), 2nd ed. (Section 3.4 and Ch. 7)
R010 · James, Witten, Hastie and Tibshirani (2021), An Introduction to Statistical Learning (ISLR), 2nd ed. (Ch. 5 and 6)
R060 · Belkin et al. (2018), Reconciling modern machine learning practice and the bias-variance trade-off
R061 · Arlot and Celisse (2010), A survey of cross-validation procedures for model selection
R062 · Varma and Simon (2006), Bias in error estimation when using cross-validation for model selection
R063 · Cawley and Talbot (2010), On Over-fitting in Model Selection and Subsequent Selection Bias in Performance Evaluation
R065 · MLU-Explain, Bias Variance Tradeoff (interactive article)
R064 · scikit-learn user guide, Cross-validation</t>
  </si>
  <si>
    <t xml:space="preserve">W5-5</t>
  </si>
  <si>
    <t xml:space="preserve">Module 2: Applied Machine Learning
Subject: Tree-based and ensemble methods</t>
  </si>
  <si>
    <t xml:space="preserve">Decision trees, bagging, random forests and gradient boosting</t>
  </si>
  <si>
    <t xml:space="preserve">• Recursive partitioning; split criteria (Gini impurity, entropy, variance reduction); one split computed by hand
• Cost-complexity pruning
• Bagging and why averaging reduces variance; out-of-bag error
• Random forests: feature subsampling and the decorrelation of trees
• Gradient boosting as stagewise additive modelling: fitting the negative gradient; shrinkage and early stopping
• Feature importance: impurity-based against permutation importance, and their biases</t>
  </si>
  <si>
    <t xml:space="preserve">Learners can compute one split by hand, explain why averaging many trees lowers variance, and describe what each boosting iteration fits.</t>
  </si>
  <si>
    <t xml:space="preserve">Session 5 of 5; closes the Week 5 short course and the machine-learning theory that Major Exam 1 draws on. Same-day applied session: model justification. The build week that follows (Week 6) applies the week's methods to lending data.</t>
  </si>
  <si>
    <t xml:space="preserve">Applied session: a model justification memo in which the simpler model is recommended when performance ties, the cost of errors is stated in currency and a retraining rule is set. Decision trees, random forests and gradient boosting were used in scikit-learn on Thursday without examining their internals.</t>
  </si>
  <si>
    <t xml:space="preserve">Neural networks (Week 7).</t>
  </si>
  <si>
    <t xml:space="preserve">R039 · Hastie, Tibshirani and Friedman (2009), The Elements of Statistical Learning (ESL), 2nd ed. (Ch. 9, 10 and 15)
R010 · James, Witten, Hastie and Tibshirani (2021), An Introduction to Statistical Learning (ISLR), 2nd ed. (Ch. 8)
R066 · Breiman (1996), Bagging predictors
R067 · Breiman (2001), Random Forests
R068 · Friedman (2001), Greedy function approximation: A gradient boosting machine
R069 · Chen and Guestrin (2016), XGBoost: A Scalable Tree Boosting System
R070 · Ke et al. (2017), LightGBM: A Highly Efficient Gradient Boosting Decision Tree
R071 · Strobl et al. (2007), Bias in random forest variable importance measures
R072 · Grinsztajn et al. (2022), Why do tree-based models still outperform deep learning on tabular data?
R074 · StatQuest, Gradient Boost Part 1 (of 4): Regression Main Ideas
R073 · scikit-learn user guide, Ensembles</t>
  </si>
  <si>
    <t xml:space="preserve">Learner progress before this week: The machine learning core and a second build week on lending data with unequal misclassification costs. Learners have not yet met a neural network in class; the bridge course introduced the single neuron. Friday's topic, tokenization, opens Module 4 a day early because a public holiday falls in Week 8.</t>
  </si>
  <si>
    <t xml:space="preserve">W7-1</t>
  </si>
  <si>
    <t xml:space="preserve">Module 3: Deep Learning and Neural Networks
Subject: Neural network fundamentals</t>
  </si>
  <si>
    <t xml:space="preserve">Feed-forward networks: representation, non-linearity and depth</t>
  </si>
  <si>
    <t xml:space="preserve">• The perceptron and its limits (XOR); the multilayer perceptron
• Why non-linear activations are necessary: a stack of linear layers is linear
• Activation functions compared: sigmoid, tanh, ReLU and variants; saturation
• The universal approximation theorem: the statement, and what it does not promise
• Depth against width: what depth buys in representational efficiency
• Logistic regression as a network with no hidden layer; softmax outputs</t>
  </si>
  <si>
    <t xml:space="preserve">Learners can explain why a network needs non-linear activations, state the universal approximation theorem and its limits, and relate a single neuron to logistic regression.</t>
  </si>
  <si>
    <t xml:space="preserve">Session 1 of 5 in the Week 7 short course. Same-day applied session: the neuron, the network and activation functions.</t>
  </si>
  <si>
    <t xml:space="preserve">Applied session: the neuron; a forward pass traced by hand on two neurons; sigmoid, tanh and ReLU compared on one input range; the collapse of stacked layers when the activation is removed; a small network that only matches logistic regression on tabular data. Week 5: logistic regression and regularisation.</t>
  </si>
  <si>
    <t xml:space="preserve">Backpropagation and optimisers (W7-2); initialisation and normalisation (W7-3). Convolutional networks are outside the programme.</t>
  </si>
  <si>
    <t xml:space="preserve">R075 · Goodfellow, Bengio and Courville (2016), Deep Learning, Ch. 6 Deep Feedforward Networks
R076 · Zhang, Lipton, Li and Smola, Dive into Deep Learning, Ch. 5 Multilayer Perceptrons
R077 · Nielsen (2015), Neural Networks and Deep Learning, Ch. 4: a visual proof that neural nets can compute any function
R078 · Stanford CS231n notes, Neural Networks Part 1
R079 · Cybenko (1989), Approximation by superpositions of a sigmoidal function
R080 · Telgarsky (2016), Benefits of depth in neural networks
R081 · Glorot, Bordes and Bengio (2011), Deep Sparse Rectifier Neural Networks
R082 · 3Blue1Brown, But what is a neural network? (Deep learning, chapter 1)
R083 · TensorFlow, A Neural Network Playground</t>
  </si>
  <si>
    <t xml:space="preserve">W7-2</t>
  </si>
  <si>
    <t xml:space="preserve">Module 3: Deep Learning and Neural Networks
Subject: Optimisation and backpropagation</t>
  </si>
  <si>
    <t xml:space="preserve">Backpropagation derived, and gradient-based optimisation</t>
  </si>
  <si>
    <t xml:space="preserve">• The chain rule on a computational graph; backpropagation derived for a two-layer network
• Reverse-mode automatic differentiation: what a framework does when it computes gradients
• Stochastic gradient descent and mini-batches
• Momentum, RMSProp and Adam: what each corrects
• The learning rate and its schedules; saddle points and conditioning of the loss surface</t>
  </si>
  <si>
    <t xml:space="preserve">Learners can derive the gradients of a two-layer network by hand, explain what reverse-mode automatic differentiation computes, and state what momentum and Adam each change about plain gradient descent.</t>
  </si>
  <si>
    <t xml:space="preserve">Session 2 of 5. Same-day applied session: loss functions, backpropagation at intuition depth, and optimisers.</t>
  </si>
  <si>
    <t xml:space="preserve">Applied session: loss functions for regression and classification; backpropagation explained as error attribution, with one weight updated by hand from a given gradient; SGD, momentum, RMSProp and Adam at recognition depth; the effect of the learning rate; a training run that diverged to NaN.</t>
  </si>
  <si>
    <t xml:space="preserve">Vanishing and exploding gradients, initialisation and normalisation (W7-3).</t>
  </si>
  <si>
    <t xml:space="preserve">R075 · Goodfellow, Bengio and Courville (2016), Deep Learning, Ch. 6 Deep Feedforward Networks
R084 · Goodfellow, Bengio and Courville (2016), Deep Learning, Ch. 8 Optimization for Training Deep Models
R085 · Nielsen (2015), Neural Networks and Deep Learning, Ch. 2: how the backpropagation algorithm works
R086 · Stanford CS231n notes, Backpropagation, Intuitions
R087 · Rumelhart, Hinton and Williams (1986), Learning representations by back-propagating errors
R088 · Baydin et al. (2018), Automatic Differentiation in Machine Learning: a Survey
R089 · Kingma and Ba (2014), Adam: A Method for Stochastic Optimization
R090 · Ruder (2016), An overview of gradient descent optimization algorithms
R091 · Goh (2017), Why Momentum Really Works (Distill)
R092 · Karpathy, The spelled-out intro to neural networks and backpropagation: building micrograd</t>
  </si>
  <si>
    <t xml:space="preserve">W7-3</t>
  </si>
  <si>
    <t xml:space="preserve">Module 3: Deep Learning and Neural Networks
Subject: Training dynamics and regularisation</t>
  </si>
  <si>
    <t xml:space="preserve">Vanishing and exploding gradients, initialisation, normalisation and regularisation in deep networks</t>
  </si>
  <si>
    <t xml:space="preserve">• Why gradients vanish or explode: products of Jacobians and the role of saturating activations
• Weight initialisation: the Xavier (Glorot) and He schemes, derived from variance preservation
• Batch normalisation and layer normalisation: what each computes and why it helps
• Residual connections and gradient flow
• Dropout as approximate model averaging; weight decay against L2 regularisation (AdamW); early stopping
• Gradient clipping</t>
  </si>
  <si>
    <t xml:space="preserve">Learners can explain why deep sigmoid networks train slowly, give the variance argument behind Xavier and He initialisation, and state what batch normalisation, dropout and weight decay each do.</t>
  </si>
  <si>
    <t xml:space="preserve">Session 3 of 5. Same-day applied session: training dynamics and debugging. Learners repeat that diagnostic exercise unaided in the Week 9 build week.</t>
  </si>
  <si>
    <t xml:space="preserve">Applied session: loss curves read as a diagnostic vocabulary; vanishing and exploding gradients at intuition depth; three faulty training runs diagnosed from their curves; regularisation, dropout, early stopping and random seeds applied as remedies. W5-4: ridge and lasso.</t>
  </si>
  <si>
    <t xml:space="preserve">Recurrent networks (W7-4), where the same gradient problem reappears through time.</t>
  </si>
  <si>
    <t xml:space="preserve">R093 · Goodfellow, Bengio and Courville (2016), Deep Learning, Ch. 7 Regularization for Deep Learning
R084 · Goodfellow, Bengio and Courville (2016), Deep Learning, Ch. 8 Optimization for Training Deep Models
R094 · Glorot and Bengio (2010), Understanding the difficulty of training deep feedforward neural networks
R095 · He et al. (2015), Delving Deep into Rectifiers: Surpassing Human-Level Performance on ImageNet Classification
R096 · Ioffe and Szegedy (2015), Batch Normalization: Accelerating Deep Network Training by Reducing Internal Covariate Shift
R097 · Ba et al. (2016), Layer Normalization
R098 · Santurkar et al. (2018), How Does Batch Normalization Help Optimization?
R099 · He et al. (2015), Deep Residual Learning for Image Recognition
R100 · Srivastava et al. (2014), Dropout: A Simple Way to Prevent Neural Networks from Overfitting
R101 · Loshchilov and Hutter (2017), Decoupled Weight Decay Regularization
R102 · Karpathy (2019), A Recipe for Training Neural Networks</t>
  </si>
  <si>
    <t xml:space="preserve">W7-4</t>
  </si>
  <si>
    <t xml:space="preserve">Module 3: Deep Learning and Neural Networks
Subject: Sequence models</t>
  </si>
  <si>
    <t xml:space="preserve">Recurrent networks, LSTM and the path to attention</t>
  </si>
  <si>
    <t xml:space="preserve">• The recurrent network and backpropagation through time
• Vanishing gradients through time, and why long-range dependencies are hard to learn
• The LSTM cell: gates, and the cell state as a path for gradients; the GRU in brief
• Encoder-decoder (sequence-to-sequence) models and the fixed-vector bottleneck
• Additive (Bahdanau) attention as the remedy, which motivates Week 8
• Language modelling as next-token prediction; teacher forcing</t>
  </si>
  <si>
    <t xml:space="preserve">Learners can unroll a recurrent network, explain how LSTM gating eases the vanishing-gradient problem, and state the bottleneck that attention was introduced to remove.</t>
  </si>
  <si>
    <t xml:space="preserve">Session 4 of 5; closes the theory of Module 3. Same-day applied session: sequence models and the bridge to language models. Leads to W8-1 (attention).</t>
  </si>
  <si>
    <t xml:space="preserve">Applied session: text as token ids and vectors; recurrent, LSTM (GRU named), bidirectional and encoder-decoder families placed on one map; next-token prediction and auto-regression with a small character-level model; the long-range dependency failure, and why attention replaced recurrence, at intuition depth.</t>
  </si>
  <si>
    <t xml:space="preserve">Self-attention and the transformer (W8-1).</t>
  </si>
  <si>
    <t xml:space="preserve">R103 · Goodfellow, Bengio and Courville (2016), Deep Learning, Ch. 10 Sequence Modeling
R104 · Zhang, Lipton, Li and Smola, Dive into Deep Learning, Ch. 9 Recurrent Neural Networks
R105 · Jurafsky and Martin, Speech and Language Processing, 3rd ed. draft (19 Aug 2026 release) (Ch. 14, RNNs and LSTMs)
R106 · Hochreiter and Schmidhuber (1997), Long Short-Term Memory
R107 · Pascanu, Mikolov and Bengio (2013), On the difficulty of training recurrent neural networks
R108 · Cho et al. (2014), Learning Phrase Representations using RNN Encoder-Decoder for Statistical Machine Translation
R109 · Sutskever et al. (2014), Sequence to Sequence Learning with Neural Networks
R110 · Bahdanau et al. (2014), Neural Machine Translation by Jointly Learning to Align and Translate
R111 · Olah (2015), Understanding LSTM Networks
R112 · Karpathy (2015), The Unreasonable Effectiveness of Recurrent Neural Networks</t>
  </si>
  <si>
    <t xml:space="preserve">W7-5</t>
  </si>
  <si>
    <t xml:space="preserve">Module 4: Natural Language Processing
Subject: Tokenization and statistical language modelling</t>
  </si>
  <si>
    <t xml:space="preserve">Subword tokenization and the evaluation of language models</t>
  </si>
  <si>
    <t xml:space="preserve">• Byte-pair encoding: the merge algorithm worked by hand on a small corpus
• WordPiece and the unigram language model (SentencePiece): how they differ from BPE
• Byte-level tokenization and the open-vocabulary problem; vocabulary size as a design trade-off
• n-gram language models and smoothing, as the historical baseline
• Cross-entropy, perplexity and bits per token; why perplexities are not comparable across tokenizers
• Tokenization effects on multilingual text and on numbers</t>
  </si>
  <si>
    <t xml:space="preserve">Learners can run byte-pair encoding merges by hand, compute perplexity from token probabilities, and explain why two models' perplexities cannot be compared when their tokenizers differ.</t>
  </si>
  <si>
    <t xml:space="preserve">Session 5 of 5 in Week 7, and the first session of Module 4 (Natural Language Processing), which continues through Week 8. Same-day applied session: tokenization.</t>
  </si>
  <si>
    <t xml:space="preserve">Applied session: why models read tokens and not words; what byte-pair encoding optimises; token counts as a cost driver, with one day of customer-support tickets costed; BPE, WordPiece and SentencePiece named; a product code that fragments into five tokens. W7-4: next-token prediction.</t>
  </si>
  <si>
    <t xml:space="preserve">Attention and the transformer (W8-1); embeddings (W8-2).</t>
  </si>
  <si>
    <t xml:space="preserve">R105 · Jurafsky and Martin, Speech and Language Processing, 3rd ed. draft (19 Aug 2026 release) (Ch. 2, Words and Tokens; Ch. 3, N-gram Language Models)
R118 · Hugging Face LLM Course, Ch. 6 The Tokenizers library
R113 · Sennrich, Haddow and Birch (2016), Neural Machine Translation of Rare Words with Subword Units
R114 · Kudo (2018), Subword Regularization: Improving Neural Network Translation Models with Multiple Subword Candidates
R115 · Kudo and Richardson (2018), SentencePiece
R116 · Radford et al. (2019), Language Models are Unsupervised Multitask Learners (byte-level BPE)
R117 · Petrov et al. (2023), Language Model Tokenizers Introduce Unfairness Between Languages
R119 · Karpathy, Let's build the GPT Tokenizer
R120 · OpenAI tiktoken, BPE tokeniser library</t>
  </si>
  <si>
    <t xml:space="preserve">Learner progress before this week: Feed-forward networks, backpropagation, optimisers, training diagnostics, recurrent and LSTM networks, and subword tokenization, each taught first in applied form and then in theory by the Week 7 faculty sessions. Tuesday 24 November is Guru Nanak Jayanti, so the week has four teaching days.</t>
  </si>
  <si>
    <t xml:space="preserve">W8-1</t>
  </si>
  <si>
    <t xml:space="preserve">Module 4: Natural Language Processing
Subject: Attention and the transformer architecture</t>
  </si>
  <si>
    <t xml:space="preserve">Scaled dot-product attention and the transformer block</t>
  </si>
  <si>
    <t xml:space="preserve">• Attention as a soft dictionary lookup: queries, keys and values as learned projections
• Scaled dot-product attention; why the scores are divided by the square root of the key dimension
• Multi-head attention: what separate heads can specialise in
• The transformer block: residual stream, layer normalisation (pre-norm against post-norm) and the position-wise feed-forward network
• Causal masking for decoders; encoder, decoder and encoder-decoder variants
• Computational cost: quadratic time and memory in sequence length</t>
  </si>
  <si>
    <t xml:space="preserve">Learners can write scaled dot-product attention as matrix operations, justify the scaling factor, and state the time and memory cost of self-attention in sequence length.</t>
  </si>
  <si>
    <t xml:space="preserve">Session 1 of 4 in the Week 8 short course (Tuesday 24 November is a public holiday). Same-day applied session: attention and the transformer block.</t>
  </si>
  <si>
    <t xml:space="preserve">Applied session: attention explained as every token consulting every other token; queries, keys and values; one attention step computed by hand on three tokens; multi-head attention and positional information introduced; the transformer of Vaswani et al. (2017) with six layers, eight heads and model width 512. W7-4: the encoder-decoder bottleneck and additive attention.</t>
  </si>
  <si>
    <t xml:space="preserve">Positional encodings and long contexts (W8-4); key-value cache memory (W10-4).</t>
  </si>
  <si>
    <t xml:space="preserve">R105 · Jurafsky and Martin, Speech and Language Processing, 3rd ed. draft (19 Aug 2026 release) (Ch. 7, Transformers and Pretraining)
R129 · Stanford CS224N, Natural Language Processing with Deep Learning
R121 · Vaswani et al. (2017), Attention Is All You Need
R122 · Phuong and Hutter (2022), Formal Algorithms for Transformers
R125 · Xiong et al. (2020), On Layer Normalization in the Transformer Architecture
R123 · Harvard NLP, The Annotated Transformer
R124 · Elhage et al. (2021), A Mathematical Framework for Transformer Circuits
R126 · Alammar, The Illustrated Transformer
R127 · 3Blue1Brown, Attention in transformers, step-by-step (Deep learning, chapter 6)
R128 · Karpathy, Let's build GPT: from scratch, in code, spelled out</t>
  </si>
  <si>
    <t xml:space="preserve">W8-2</t>
  </si>
  <si>
    <t xml:space="preserve">Module 4: Natural Language Processing
Subject: Representation learning for text</t>
  </si>
  <si>
    <t xml:space="preserve">Word and sentence embeddings: how they are learned and what their geometry means</t>
  </si>
  <si>
    <t xml:space="preserve">• The distributional hypothesis; word2vec skip-gram with negative sampling; GloVe in brief
• From static to contextual embeddings: masked language modelling in BERT
• Sentence embeddings: pooling, siamese training (Sentence-BERT) and contrastive objectives (SimCSE)
• Cosine similarity, anisotropy, and why a high similarity score does not guarantee relevance
• Evaluation of embeddings: intrinsic tasks and retrieval benchmarks (MTEB)</t>
  </si>
  <si>
    <t xml:space="preserve">Learners can explain the skip-gram objective, distinguish static from contextual embeddings, and explain how a sentence-embedding model is trained and why a high cosine similarity can still mislead.</t>
  </si>
  <si>
    <t xml:space="preserve">Session 2 of 4. Same-day applied session: embeddings, and BERT against GPT. Prepares the retrieval sessions of Week 11.</t>
  </si>
  <si>
    <t xml:space="preserve">Applied session: the progression from TF-IDF and static word vectors to contextual embeddings; BERT as an encoder and GPT as a decoder, and the tasks each suits; a similar-ticket search in which a neighbour with cosine similarity 0.91 was not relevant.</t>
  </si>
  <si>
    <t xml:space="preserve">Retrieval, indexing and ranking (Week 11).</t>
  </si>
  <si>
    <t xml:space="preserve">R105 · Jurafsky and Martin, Speech and Language Processing, 3rd ed. draft (19 Aug 2026 release) (Ch. 5, Embeddings; Ch. 9, Masked Language Models)
R130 · Mikolov et al. (2013), Efficient Estimation of Word Representations in Vector Space
R131 · Mikolov et al. (2013), Distributed Representations of Words and Phrases and their Compositionality
R132 · Pennington, Socher and Manning (2014), GloVe: Global Vectors for Word Representation
R133 · Levy and Goldberg (2014), Neural Word Embedding as Implicit Matrix Factorization
R134 · Devlin et al. (2018), BERT: Pre-training of Deep Bidirectional Transformers for Language Understanding
R135 · Reimers and Gurevych (2019), Sentence-BERT: Sentence Embeddings using Siamese BERT-Networks
R136 · Gao et al. (2021), SimCSE: Simple Contrastive Learning of Sentence Embeddings
R137 · Ethayarajh (2019), How Contextual are Contextualized Word Representations?
R138 · Muennighoff et al. (2022), MTEB: Massive Text Embedding Benchmark
R139 · Alammar, The Illustrated BERT, ELMo, and co.</t>
  </si>
  <si>
    <t xml:space="preserve">W8-3</t>
  </si>
  <si>
    <t xml:space="preserve">Module 4: Natural Language Processing
Subject: Text generation and decoding</t>
  </si>
  <si>
    <t xml:space="preserve">Decoding as search: from beam search to sampling methods</t>
  </si>
  <si>
    <t xml:space="preserve">• Generation as search over sequences; greedy decoding and beam search; length normalisation
• Why likelihood maximisation produces degenerate, repetitive text
• Temperature as a rescaling of the softmax
• Top-k and nucleus (top-p) sampling; locally typical sampling in brief
• Repetition penalties and stopping criteria
• Speculative decoding, at recognition depth</t>
  </si>
  <si>
    <t xml:space="preserve">Learners can explain why beam search yields repetitive output in open-ended generation, state what temperature, top-k and top-p each do to the next-token distribution, and choose a decoding strategy for a given task.</t>
  </si>
  <si>
    <t xml:space="preserve">Session 3 of 4. Same-day applied session: decoding controls. Prepares constrained decoding (W10-2).</t>
  </si>
  <si>
    <t xml:space="preserve">Applied session: greedy decoding against sampling; temperature, top-k and top-p adjusted live on one customer-support ticket; stop conditions and determinism; an unterminated generation and its cost.</t>
  </si>
  <si>
    <t xml:space="preserve">Constrained and grammar-guided decoding (W10-2).</t>
  </si>
  <si>
    <t xml:space="preserve">R105 · Jurafsky and Martin, Speech and Language Processing, 3rd ed. draft (19 Aug 2026 release) (Ch. 7, sampling for generation)
R140 · Holtzman et al. (2019), The Curious Case of Neural Text Degeneration
R141 · Fan et al. (2018), Hierarchical Neural Story Generation
R142 · Meister et al. (2022), Locally Typical Sampling
R143 · Welleck et al. (2019), Neural Text Generation with Unlikelihood Training
R144 · Wiher et al. (2022), On Decoding Strategies for Neural Text Generators
R145 · Freitag and Al-Onaizan (2017), Beam Search Strategies for Neural Machine Translation
R146 · Leviathan et al. (2022), Fast Inference from Transformers via Speculative Decoding
R147 · von Platen (2020), How to generate text: using different decoding methods</t>
  </si>
  <si>
    <t xml:space="preserve">W8-4</t>
  </si>
  <si>
    <t xml:space="preserve">Module 4: Natural Language Processing
Subject: Position, long context and scaling</t>
  </si>
  <si>
    <t xml:space="preserve">Positional encodings, long-context attention and scaling laws</t>
  </si>
  <si>
    <t xml:space="preserve">• Why self-attention needs positional information; sinusoidal and learned absolute encodings
• Relative position methods: rotary position embeddings (RoPE) and ALiBi; length extrapolation
• The quadratic cost of attention and approaches to long context: sparse and local attention; FlashAttention as an exact, IO-aware method
• Neural scaling laws: loss as a power law in parameters, data and compute
• Compute-optimal training (Chinchilla) and what it implies for model and data size</t>
  </si>
  <si>
    <t xml:space="preserve">Learners can explain how position enters a transformer, why doubling the context more than doubles the computation, and what a scaling law predicts and does not predict.</t>
  </si>
  <si>
    <t xml:space="preserve">Session 4 of 4; closes the Week 8 short course and the Module 4 theory that Major Exam 2 (Week 10) draws on. Same-day applied session: context windows and the token economy.</t>
  </si>
  <si>
    <t xml:space="preserve">Applied session: the context window as a fixed budget, and what is lost when it overflows; input and output tokens priced differently; prefill against decode, time to first token and the key-value cache named; batching; a cost model for two thousand support tickets a day. W8-1: the cost of attention.</t>
  </si>
  <si>
    <t xml:space="preserve">Key-value cache memory, batching arithmetic and quantisation (W10-4); the lost-in-the-middle effect (W11-5).</t>
  </si>
  <si>
    <t xml:space="preserve">R148 · Su et al. (2021), RoFormer: Enhanced Transformer with Rotary Position Embedding
R149 · Press et al. (2021), Train Short, Test Long: Attention with Linear Biases Enables Input Length Extrapolation
R150 · Shaw et al. (2018), Self-Attention with Relative Position Representations
R151 · Kazemnejad et al. (2023), The Impact of Positional Encoding on Length Generalization in Transformers
R153 · Tay et al. (2020), Efficient Transformers: A Survey
R154 · Beltagy et al. (2020), Longformer: The Long-Document Transformer
R155 · Dao et al. (2022), FlashAttention: Fast and Memory-Efficient Exact Attention with IO-Awareness
R156 · Kaplan et al. (2020), Scaling Laws for Neural Language Models
R157 · Hoffmann et al. (2022), Training Compute-Optimal Large Language Models
R152 · EleutherAI (2021), Rotary Embeddings: A Relative Revolution</t>
  </si>
  <si>
    <t xml:space="preserve">Learner progress before this week: Transformer and LLM internals, and a third build week on telecom customer-support text delivered under an output contract and a cost ceiling. Major Exam 2 is held during this week. Wednesday's topic, function calling, stays with the industry trainer and carries no faculty session.</t>
  </si>
  <si>
    <t xml:space="preserve">W10-1</t>
  </si>
  <si>
    <t xml:space="preserve">Module 5: Generative AI Foundations
Subject: Alignment and in-context learning</t>
  </si>
  <si>
    <t xml:space="preserve">From pretraining to instruction following: instruction tuning, preference optimisation and in-context learning</t>
  </si>
  <si>
    <t xml:space="preserve">• The three-stage pipeline: pretraining, supervised instruction tuning and preference optimisation
• RLHF in outline: reward modelling and policy optimisation; direct preference optimisation (DPO) as the simpler alternative
• In-context learning: what changes when examples are placed in the prompt, and what does not
• Accounts of in-context learning: implicit Bayesian inference; induction heads
• Sensitivity to example order and label distribution; calibration of few-shot prompts
• Chain-of-thought prompting: the evidence and its limits</t>
  </si>
  <si>
    <t xml:space="preserve">Learners can describe the training stages that produce an instruction-following model, explain why few-shot examples change behaviour without any weight update, and name two known sensitivities of few-shot prompting.</t>
  </si>
  <si>
    <t xml:space="preserve">Session 1 of 4 in the Week 10 short course. Same-day applied session: prompting techniques compared, and system prompts. Major Exam 2 is held this week.</t>
  </si>
  <si>
    <t xml:space="preserve">Applied session: zero-shot, few-shot, chain-of-thought and task decomposition compared on forty labelled support tickets with a single score; the role of a system prompt; a few-shot example set that biased every prediction toward one category. Week 8: transformer internals and decoding.</t>
  </si>
  <si>
    <t xml:space="preserve">Evaluation statistics (W10-3). Parameter-efficient fine-tuning is not part of this session.</t>
  </si>
  <si>
    <t xml:space="preserve">R105 · Jurafsky and Martin, Speech and Language Processing, 3rd ed. draft (19 Aug 2026 release) (Ch. 8, Post-training)
R158 · Brown et al. (2020), Language Models are Few-Shot Learners
R159 · Wei et al. (2021), Finetuned Language Models Are Zero-Shot Learners
R160 · Ouyang et al. (2022), Training language models to follow instructions with human feedback
R161 · Christiano et al. (2017), Deep reinforcement learning from human preferences
R162 · Rafailov et al. (2023), Direct Preference Optimization: Your Language Model is Secretly a Reward Model
R163 · Wei et al. (2022), Chain-of-Thought Prompting Elicits Reasoning in Large Language Models
R164 · Kojima et al. (2022), Large Language Models are Zero-Shot Reasoners
R165 · Min et al. (2022), Rethinking the Role of Demonstrations: What Makes In-Context Learning Work?
R166 · Zhao et al. (2021), Calibrate Before Use: Improving Few-Shot Performance of Language Models
R167 · Lu et al. (2022), Fantastically Ordered Prompts and Where to Find Them
R168 · Xie et al. (2021), An Explanation of In-context Learning as Implicit Bayesian Inference
R170 · Dong et al. (2022), A Survey on In-context Learning
R169 · Olsson et al. (2022), In-context Learning and Induction Heads</t>
  </si>
  <si>
    <t xml:space="preserve">W10-2</t>
  </si>
  <si>
    <t xml:space="preserve">Module 5: Generative AI Foundations
Subject: Structured and constrained generation</t>
  </si>
  <si>
    <t xml:space="preserve">Constrained decoding: formal grammars, automata and token masking</t>
  </si>
  <si>
    <t xml:space="preserve">• Regular and context-free languages, and where JSON Schema sits between them
• Compiling a schema to a finite-state machine or a pushdown automaton over the token vocabulary
• Masking the next-token distribution so that only valid continuations remain
• The token-boundary problem: grammars are defined over characters, models emit subword tokens
• What constrained decoding guarantees (syntactic validity) and what it cannot (semantic correctness)
• Effects on output quality and throughput, where the current evidence is mixed</t>
  </si>
  <si>
    <t xml:space="preserve">Learners can explain how a schema becomes a token mask at each decoding step, and distinguish what constrained decoding guarantees (well-formed output) from what still requires validation (correct content).</t>
  </si>
  <si>
    <t xml:space="preserve">Session 2 of 4. Same-day applied session: structured and constrained outputs. Builds on W8-3 (decoding).</t>
  </si>
  <si>
    <t xml:space="preserve">Applied session: an output contract defined as a schema, a validator and a failure policy; JSON Schema and typed data models; a bounded repair loop; a provider's structured-output mode enabled and its guarantees noted.</t>
  </si>
  <si>
    <t xml:space="preserve">Function calling and tool use are taught by the industry trainer on Wednesday.</t>
  </si>
  <si>
    <t xml:space="preserve">R178 · MIT OpenCourseWare 18.404J, Theory of Computation (Sipser)
R171 · Willard and Louf (2023), Efficient Guided Generation for Large Language Models
R172 · Dong et al. (2024), XGrammar: Flexible and Efficient Structured Generation Engine for Large Language Models
R173 · Geng et al. (2023), Grammar-Constrained Decoding for Structured NLP Tasks without Finetuning
R174 · Beurer-Kellner et al. (2024), Guiding LLMs The Right Way: Fast, Non-Invasive Constrained Generation
R175 · Koo et al. (2024), Automata-based constraints for language model decoding
R176 · Scholak et al. (2021), PICARD: Parsing Incrementally for Constrained Auto-Regressive Decoding from Language Models
R177 · Tam et al. (2024), Let Me Speak Freely? A Study on the Impact of Format Restrictions on Performance of Large Language Models
R179 · JSON Schema, specification and guides
R180 · Outlines (dottxt-ai), structured generation library</t>
  </si>
  <si>
    <t xml:space="preserve">W10-3</t>
  </si>
  <si>
    <t xml:space="preserve">Module 5: Generative AI Foundations
Subject: Evaluation methodology</t>
  </si>
  <si>
    <t xml:space="preserve">The statistics of model evaluation: sample size, agreement and significance</t>
  </si>
  <si>
    <t xml:space="preserve">• A benchmark score as an estimate: the standard error and confidence interval of a pass rate
• How many test items are needed to detect a given difference (power, revisited from Week 2)
• Paired comparison of two systems on the same items: McNemar's test, the paired bootstrap and permutation tests
• Inter-annotator agreement: Cohen's kappa and Krippendorff's alpha, and what level is adequate
• Model-as-judge evaluation: position, verbosity and self-preference biases; validating a judge against human labels
• Multiple comparisons when many prompts or models are tested</t>
  </si>
  <si>
    <t xml:space="preserve">Learners can attach a confidence interval to an evaluation score, test whether two prompt or model versions differ on a shared test set, and compute and interpret Cohen's kappa between a model judge and a human annotator.</t>
  </si>
  <si>
    <t xml:space="preserve">Session 3 of 4. Same-day applied session: prompt evaluation. Builds on W2-2 and W2-3. Prepares retrieval evaluation (W11-4).</t>
  </si>
  <si>
    <t xml:space="preserve">Applied session: a golden test set and a rubric of binary checks; programmatic checks, human labels and a model as judge, applied in that order; judge bias by answer length and by position demonstrated; a regression run across three prompt versions. Week 2: intervals, tests, power and multiple comparisons.</t>
  </si>
  <si>
    <t xml:space="preserve">Ranking metrics such as nDCG (W11-4).</t>
  </si>
  <si>
    <t xml:space="preserve">R181 · Miller (2024), Adding Error Bars to Evals: A Statistical Approach to Language Model Evaluations
R182 · Dror et al. (2018), The Hitchhiker's Guide to Testing Statistical Significance in Natural Language Processing
R183 · Berg-Kirkpatrick, Burkett and Klein (2012), An Empirical Investigation of Statistical Significance in NLP
R184 · Koehn (2004), Statistical Significance Tests for Machine Translation Evaluation
R185 · Dietterich (1998), Approximate Statistical Tests for Comparing Supervised Classification Learning Algorithms
R186 · Card et al. (2020), With Little Power Comes Great Responsibility
R187 · Artstein and Poesio (2008), Inter-Coder Agreement for Computational Linguistics
R188 · Zheng et al. (2023), Judging LLM-as-a-Judge with MT-Bench and Chatbot Arena
R189 · Wang et al. (2023), Large Language Models are not Fair Evaluators
R190 · scikit-learn, cohen_kappa_score</t>
  </si>
  <si>
    <t xml:space="preserve">W10-4</t>
  </si>
  <si>
    <t xml:space="preserve">Module 5: Generative AI Foundations
Subject: Inference efficiency</t>
  </si>
  <si>
    <t xml:space="preserve">The arithmetic of LLM inference: memory, throughput and quantisation</t>
  </si>
  <si>
    <t xml:space="preserve">• Prefill against decode: compute-bound and memory-bandwidth-bound phases; why output tokens cost more than input tokens
• The key-value cache: memory as a function of layers, heads, head dimension, sequence length and batch size, with a worked estimate
• Multi-query and grouped-query attention as reductions of the cache
• Batching: static against continuous batching; the latency-throughput trade-off; paged attention
• Quantisation at recognition depth: weight-only INT8 and INT4, and the effect on accuracy
• Speculative decoding and prompt (prefix) caching</t>
  </si>
  <si>
    <t xml:space="preserve">Learners can estimate the key-value cache memory for a given model and context length, explain why decoding is limited by memory bandwidth, and describe the trade-off between latency and throughput under batching.</t>
  </si>
  <si>
    <t xml:space="preserve">Session 4 of 4; closes the Week 10 short course and the theory that Major Exam 2 draws on. Same-day applied session: production cost and latency.</t>
  </si>
  <si>
    <t xml:space="preserve">Applied session: cost per request, time to first token and total latency measured; the prompt shortened and its prefix cached; simple requests routed to a smaller model with a quality check on that slice; streaming. W8-4: the key-value cache named, and the quadratic cost of attention.</t>
  </si>
  <si>
    <t xml:space="preserve">Model serving and deployment (Week 14, industry practitioners).</t>
  </si>
  <si>
    <t xml:space="preserve">R193 · Pope et al. (2022), Efficiently Scaling Transformer Inference
R194 · Kwon et al. (2023), Efficient Memory Management for Large Language Model Serving with PagedAttention
R195 · Yu et al. (2022), Orca: A Distributed Serving System for Transformer-Based Generative Models
R196 · Shazeer (2019), Fast Transformer Decoding: One Write-Head is All You Need
R197 · Ainslie et al. (2023), GQA: Training Generalized Multi-Query Transformer Models from Multi-Head Checkpoints
R155 · Dao et al. (2022), FlashAttention: Fast and Memory-Efficient Exact Attention with IO-Awareness
R198 · Dettmers et al. (2022), LLM.int8(): 8-bit Matrix Multiplication for Transformers at Scale
R199 · Frantar et al. (2022), GPTQ: Accurate Post-Training Quantization for Generative Pre-trained Transformers
R200 · Lin et al. (2023), AWQ: Activation-aware Weight Quantization for LLM Compression and Acceleration
R146 · Leviathan et al. (2022), Fast Inference from Transformers via Speculative Decoding
R191 · kipply (2022), Transformer Inference Arithmetic
R192 · EleutherAI (2023), Transformer Math 101
R201 · NVIDIA Technical Blog, Mastering LLM Techniques: Inference Optimization</t>
  </si>
  <si>
    <t xml:space="preserve">Learner progress before this week: Applied generative AI: prompting, output contracts, one tool call, an evaluation suite and a cost review, with the Week 10 faculty sessions on in-context learning, constrained decoding, evaluation statistics and inference arithmetic. The faculty sessions close on Friday of this week; the agentic weeks that follow are taught by industry practitioners.</t>
  </si>
  <si>
    <t xml:space="preserve">W11-1</t>
  </si>
  <si>
    <t xml:space="preserve">Module 6: Applied Generative AI
Subject: Information retrieval: classical models</t>
  </si>
  <si>
    <t xml:space="preserve">Classical information retrieval: the vector space model, TF-IDF and BM25</t>
  </si>
  <si>
    <t xml:space="preserve">• The retrieval problem and the inverted index
• The vector space model; term frequency and inverse document frequency, with the justification for IDF
• The probabilistic relevance framework and the derivation of BM25; term-frequency saturation and length normalisation (k1 and b)
• Query-likelihood language models, in brief
• Why lexical retrieval remains a strong baseline beside dense retrieval (the BEIR evidence)</t>
  </si>
  <si>
    <t xml:space="preserve">Learners can compute TF-IDF and BM25 scores by hand for a small collection, explain what the k1 and b parameters control, and state when lexical retrieval outperforms dense retrieval.</t>
  </si>
  <si>
    <t xml:space="preserve">Session 1 of 5 in the Week 11 short course, which closes the faculty sessions. Same-day applied session: a retrieval-augmented generation pipeline and chunking.</t>
  </si>
  <si>
    <t xml:space="preserve">Applied session: a minimal retrieval-augmented pipeline built end to end (split, embed, store, retrieve, generate from the retrieved evidence only); chunk size, overlap and structure-aware splitting compared on ten questions. Week 8: TF-IDF recalled; embeddings (W8-2).</t>
  </si>
  <si>
    <t xml:space="preserve">Approximate nearest-neighbour search (W11-2); rank fusion and learning to rank (W11-3); evaluation metrics (W11-4).</t>
  </si>
  <si>
    <t xml:space="preserve">R202 · Manning, Raghavan and Schütze (2008), Introduction to Information Retrieval (Ch. 1, 2, 6, 11 and 12)
R203 · Croft, Metzler and Strohman (2015), Search Engines: Information Retrieval in Practice
R105 · Jurafsky and Martin, Speech and Language Processing, 3rd ed. draft (19 Aug 2026 release) (Ch. 11, Information Retrieval and RAG)
R208 · Stanford CS276, Information Retrieval and Web Search
R204 · Robertson and Zaragoza (2009), The Probabilistic Relevance Framework: BM25 and Beyond
R205 · Robertson (2004), Understanding Inverse Document Frequency: On theoretical arguments for IDF
R206 · Thakur et al. (2021), BEIR: A Heterogenous Benchmark for Zero-shot Evaluation of Information Retrieval Models
R207 · Lin et al. (2020), Pretrained Transformers for Text Ranking: BERT and Beyond
R209 · Elastic, Practical BM25, Part 2: The BM25 Algorithm and its Variables</t>
  </si>
  <si>
    <t xml:space="preserve">W11-2</t>
  </si>
  <si>
    <t xml:space="preserve">Module 6: Applied Generative AI
Subject: Vector search and indexing</t>
  </si>
  <si>
    <t xml:space="preserve">Approximate nearest-neighbour search: LSH, product quantisation and HNSW</t>
  </si>
  <si>
    <t xml:space="preserve">• Exact k-nearest-neighbour search and why it does not scale; the curse of dimensionality
• Locality-sensitive hashing
• Inverted-file indexes (IVF) and product quantisation: compressing vectors, asymmetric distance computation
• Graph-based search: navigable small-world graphs and HNSW; the parameters M, efConstruction and efSearch
• The trade-off between recall, latency and memory; benchmarking an index (ANN-Benchmarks)
• Filtered search: filtering before against after the vector search</t>
  </si>
  <si>
    <t xml:space="preserve">Learners can explain why approximate search trades recall for speed, describe how HNSW and product quantisation work, and tune an index parameter against a recall target.</t>
  </si>
  <si>
    <t xml:space="preserve">Session 2 of 5. Same-day applied session: embedding models and vector stores.</t>
  </si>
  <si>
    <t xml:space="preserve">Applied session: an embedding model selected on the organisation's own questions, including mixed-language queries; a vector index in PostgreSQL (pgvector) with exact and approximate search compared as a setting; metadata filtering; index refresh when documents change. W8-2: embeddings and cosine similarity.</t>
  </si>
  <si>
    <t xml:space="preserve">Hybrid retrieval, rank fusion and reranking (W11-3).</t>
  </si>
  <si>
    <t xml:space="preserve">R212 · Leskovec, Rajaraman and Ullman, Mining of Massive Datasets, Ch. 3 Finding Similar Items (LSH)
R210 · Malkov and Yashunin (2016), Approximate nearest neighbor search using Hierarchical Navigable Small World graphs (the HNSW paper)
R211 · Jégou, Douze and Schmid (2011), Product quantization for nearest neighbor search
R213 · Douze et al. (2024), The Faiss library
R214 · Johnson et al. (2017), Billion-scale similarity search with GPUs
R215 · Guo et al. (2019), Accelerating Large-Scale Inference with Anisotropic Vector Quantization
R216 · Subramanya et al. (2019), DiskANN: Fast Accurate Billion-point Nearest Neighbor Search on a Single Node
R217 · Beyer et al. (1999), When Is Nearest Neighbor Meaningful?
R218 · Aumüller et al. (2018), ANN-Benchmarks: A Benchmarking Tool for Approximate Nearest Neighbor Algorithms
R220 · Pinecone, Faiss: The Missing Manual
R219 · ANN-Benchmarks, benchmark results site
R221 · pgvector, vector similarity search for PostgreSQL</t>
  </si>
  <si>
    <t xml:space="preserve">W11-3</t>
  </si>
  <si>
    <t xml:space="preserve">Module 6: Applied Generative AI
Subject: Ranking and fusion</t>
  </si>
  <si>
    <t xml:space="preserve">Learning to rank, neural rerankers and rank fusion</t>
  </si>
  <si>
    <t xml:space="preserve">• Retrieve-then-rerank: why two stages
• Bi-encoders against cross-encoders; late interaction (ColBERT)
• Learning to rank: pointwise, pairwise and listwise objectives; from RankNet to LambdaMART
• Training dense retrievers: contrastive loss, in-batch and hard negatives (DPR, ANCE)
• Rank fusion: reciprocal rank fusion against score normalisation, and why ranks fuse more safely than scores
• Learned sparse retrieval and query expansion, in brief</t>
  </si>
  <si>
    <t xml:space="preserve">Learners can explain why a cross-encoder ranks more accurately than a bi-encoder and costs more, distinguish pointwise, pairwise and listwise training, and compute a reciprocal rank fusion by hand.</t>
  </si>
  <si>
    <t xml:space="preserve">Session 3 of 5. Same-day applied session: hybrid search and reranking.</t>
  </si>
  <si>
    <t xml:space="preserve">Applied session: BM25 keyword search run beside vector search; reciprocal rank fusion computed by hand and in code; a reranker reducing fifty candidates to five, with its latency measured; query rewriting for follow-up questions. W11-1 and W11-2.</t>
  </si>
  <si>
    <t xml:space="preserve">nDCG and significance testing (W11-4).</t>
  </si>
  <si>
    <t xml:space="preserve">R222 · Burges (2010), From RankNet to LambdaRank to LambdaMART: An Overview
R207 · Lin et al. (2020), Pretrained Transformers for Text Ranking: BERT and Beyond
R223 · Nogueira and Cho (2019), Passage Re-ranking with BERT
R224 · Khattab and Zaharia (2020), ColBERT: Efficient and Effective Passage Search via Contextualized Late Interaction over BERT
R225 · Karpukhin et al. (2020), Dense Passage Retrieval for Open-Domain Question Answering
R226 · Xiong et al. (2020), Approximate Nearest Neighbor Negative Contrastive Learning for Dense Text Retrieval
R227 · Formal et al. (2021), SPLADE: Sparse Lexical and Expansion Model for First Stage Ranking
R228 · Cormack, Clarke and Büttcher (2009), Reciprocal Rank Fusion outperforms Condorcet and individual Rank Learning Methods
R206 · Thakur et al. (2021), BEIR: A Heterogenous Benchmark for Zero-shot Evaluation of Information Retrieval Models
R229 · Sentence Transformers, Cross-Encoders</t>
  </si>
  <si>
    <t xml:space="preserve">W11-4</t>
  </si>
  <si>
    <t xml:space="preserve">Module 6: Applied Generative AI
Subject: Retrieval and RAG evaluation</t>
  </si>
  <si>
    <t xml:space="preserve">Evaluating retrieval and retrieval-augmented generation</t>
  </si>
  <si>
    <t xml:space="preserve">• Test collections and relevance judgements: the Cranfield paradigm; pooling and its bias
• Set-based and rank-based metrics: precision and recall at k, MRR, MAP and nDCG (graded relevance and the discount)
• Significance testing between two retrieval systems: paired t-test, randomisation and bootstrap tests over queries; how many queries are enough
• Evaluating the generation stage: faithfulness, answer relevance, context precision and recall (RAGAS, ARES)
• Attributing an end-to-end failure to retrieval or to generation</t>
  </si>
  <si>
    <t xml:space="preserve">Learners can compute nDCG and MRR by hand, test whether an improvement across a query set exceeds chance, and separate a retrieval failure from a generation failure.</t>
  </si>
  <si>
    <t xml:space="preserve">Session 4 of 5. Same-day applied session: RAG evaluation. Builds on W10-3 (evaluation statistics).</t>
  </si>
  <si>
    <t xml:space="preserve">Applied session: a retrieval test set that includes unanswerable questions; recall at k, precision at k and reciprocal rank computed by hand and in code; faithfulness and relevance graded; each failure attributed to retrieval or to generation. W10-3: intervals, paired tests and agreement.</t>
  </si>
  <si>
    <t xml:space="preserve">Long-context behaviour and hallucination (W11-5).</t>
  </si>
  <si>
    <t xml:space="preserve">R230 · Manning, Raghavan and Schütze (2008), Introduction to Information Retrieval, Ch. 8 Evaluation in information retrieval
R231 · Järvelin and Kekäläinen (2002), Cumulated Gain-Based Evaluation of IR Techniques
R232 · Voorhees (2002), The Philosophy of Information Retrieval Evaluation
R233 · Urbano et al. (2019), Statistical Significance Testing in Information Retrieval: An Empirical Analysis of Type I, Type II and Type III Errors
R234 · Es et al. (2023), Ragas: Automated Evaluation of Retrieval Augmented Generation
R235 · Saad-Falcon et al. (2023), ARES: An Automated Evaluation Framework for Retrieval-Augmented Generation Systems
R236 · Yu et al. (2024), Evaluation of Retrieval-Augmented Generation: A Survey
R206 · Thakur et al. (2021), BEIR: A Heterogenous Benchmark for Zero-shot Evaluation of Information Retrieval Models
R237 · NIST, Text REtrieval Conference (TREC)</t>
  </si>
  <si>
    <t xml:space="preserve">W11-5</t>
  </si>
  <si>
    <t xml:space="preserve">Module 6: Applied Generative AI
Subject: Grounding, long context and hallucination</t>
  </si>
  <si>
    <t xml:space="preserve">Long-context behaviour, grounding and hallucination in language models</t>
  </si>
  <si>
    <t xml:space="preserve">• Retrieval-augmented generation in its original formulation (Lewis et al., 2020): parametric and non-parametric memory
• Long-context models against retrieval: cost, accuracy and the evidence to date
• The lost-in-the-middle effect: findings and candidate mechanisms; long-context benchmarks (needle in a haystack, RULER)
• Hallucination: taxonomy (intrinsic and extrinsic; factuality and faithfulness) and proposed causes
• Calibration: whether a model's confidence tracks its correctness; abstention
• Attribution and citation: evaluating whether a cited source supports a claim</t>
  </si>
  <si>
    <t xml:space="preserve">Learners can state the lost-in-the-middle finding and one proposed mechanism, classify a hallucination by type, and explain why a model's stated confidence is a weak guide to its factual accuracy.</t>
  </si>
  <si>
    <t xml:space="preserve">Session 5 of 5; the final faculty session of the cohort. Same-day applied session: grounding, citations and long context. The Week 12 build week applies the week's methods; agentic systems follow from Week 13 with industry practitioners.</t>
  </si>
  <si>
    <t xml:space="preserve">Applied session: citations checked programmatically; abstaining when the retrieved evidence is insufficient; two source documents that conflict; an entire policy document placed in a long context as a costed alternative to retrieval, with weaker use of mid-context information observed. W8-4: context windows and the cost of attention.</t>
  </si>
  <si>
    <t xml:space="preserve">Agentic systems, tool use and multi-agent design (Weeks 13 to 15, industry practitioners).</t>
  </si>
  <si>
    <t xml:space="preserve">R238 · Lewis et al. (2020), Retrieval-Augmented Generation for Knowledge-Intensive NLP Tasks
R239 · Liu et al. (2023), Lost in the Middle: How Language Models Use Long Contexts
R240 · Hsieh et al. (2024), RULER: What's the Real Context Size of Your Long-Context Language Models?
R242 · Xu et al. (2023), Retrieval meets Long Context Large Language Models
R243 · Ji et al. (2022), Survey of Hallucination in Natural Language Generation
R244 · Huang et al. (2023), A Survey on Hallucination in Large Language Models: Principles, Taxonomy, Challenges, and Open Questions
R245 · Kalai and Vempala (2023), Calibrated Language Models Must Hallucinate
R246 · Kadavath et al. (2022), Language Models (Mostly) Know What They Know
R247 · Lin et al. (2021), TruthfulQA: Measuring How Models Mimic Human Falsehoods
R248 · Min et al. (2023), FActScore: Fine-grained Atomic Evaluation of Factual Precision in Long Form Text Generation
R249 · Gao et al. (2023), Enabling Large Language Models to Generate Text with Citations
R250 · Rashkin et al. (2021), Measuring Attribution in Natural Language Generation Models
R241 · Kamradt, needle-in-a-haystack long-context test</t>
  </si>
  <si>
    <t xml:space="preserve">Reference library  ·  the sources behind the Suggested references column</t>
  </si>
  <si>
    <t xml:space="preserve">250 sources, numbered in the order the sessions first use them. Every link was opened on 21 Sep 2026; a publisher page may need the institute's subscription for the full text. Filter on the Used in sessions column to see one session's reading.</t>
  </si>
  <si>
    <t xml:space="preserve">Ref</t>
  </si>
  <si>
    <t xml:space="preserve">Type</t>
  </si>
  <si>
    <t xml:space="preserve">Reference</t>
  </si>
  <si>
    <t xml:space="preserve">Link</t>
  </si>
  <si>
    <t xml:space="preserve">Access</t>
  </si>
  <si>
    <t xml:space="preserve">Used in sessions</t>
  </si>
  <si>
    <t xml:space="preserve">Link check</t>
  </si>
  <si>
    <t xml:space="preserve">R001</t>
  </si>
  <si>
    <t xml:space="preserve">Textbook</t>
  </si>
  <si>
    <t xml:space="preserve">Diez, D., Çetinkaya-Rundel, M. and Barr, C. (2019). OpenIntro Statistics, 4th edition. OpenIntro. Free PDF.</t>
  </si>
  <si>
    <t xml:space="preserve">https://www.openintro.org/book/os/</t>
  </si>
  <si>
    <t xml:space="preserve">Open access</t>
  </si>
  <si>
    <t xml:space="preserve">W2-1 (Ch. 5, Foundations for inference); W2-2 (Ch. 5 to 7); W2-3 (Section 7.4, power calculations)</t>
  </si>
  <si>
    <t xml:space="preserve">Opened 21 Sep 2026</t>
  </si>
  <si>
    <t xml:space="preserve">R002</t>
  </si>
  <si>
    <t xml:space="preserve">Poldrack, R. Statistical Thinking for the 21st Century. Free online textbook.</t>
  </si>
  <si>
    <t xml:space="preserve">https://statsthinking21.github.io/statsthinking21-core-site/</t>
  </si>
  <si>
    <t xml:space="preserve">W2-1 (sampling and the central limit theorem)</t>
  </si>
  <si>
    <t xml:space="preserve">R003</t>
  </si>
  <si>
    <t xml:space="preserve">Wasserman, L. (2004). All of Statistics: A Concise Course in Statistical Inference. Springer. Author's page with errata and data sets.</t>
  </si>
  <si>
    <t xml:space="preserve">https://www.stat.cmu.edu/~larry/all-of-statistics/</t>
  </si>
  <si>
    <t xml:space="preserve">Author page</t>
  </si>
  <si>
    <t xml:space="preserve">W2-1 (Ch. 5 and 6); W2-2 (Ch. 6 and 10)</t>
  </si>
  <si>
    <t xml:space="preserve">R004</t>
  </si>
  <si>
    <t xml:space="preserve">Course</t>
  </si>
  <si>
    <t xml:space="preserve">Rigollet, P. (2016). 18.650 Statistics for Applications. MIT OpenCourseWare. Lecture slides and videos.</t>
  </si>
  <si>
    <t xml:space="preserve">https://ocw.mit.edu/courses/18-650-statistics-for-applications-fall-2016/</t>
  </si>
  <si>
    <t xml:space="preserve">W2-1 (sessions 1 to 3); W2-2 (sessions 7 to 10, parametric hypothesis testing)</t>
  </si>
  <si>
    <t xml:space="preserve">R005</t>
  </si>
  <si>
    <t xml:space="preserve">Interactive</t>
  </si>
  <si>
    <t xml:space="preserve">Seeing Theory: a visual introduction to probability and statistics. Brown University.</t>
  </si>
  <si>
    <t xml:space="preserve">https://seeing-theory.brown.edu/</t>
  </si>
  <si>
    <t xml:space="preserve">W2-1 (Probability Distributions; Frequentist Inference); W2-2 (Frequentist Inference)</t>
  </si>
  <si>
    <t xml:space="preserve">R006</t>
  </si>
  <si>
    <t xml:space="preserve">Video</t>
  </si>
  <si>
    <t xml:space="preserve">3Blue1Brown. But what is the Central Limit Theorem? Video lecture.</t>
  </si>
  <si>
    <t xml:space="preserve">https://www.youtube.com/watch?v=zeJD6dqJ5lo</t>
  </si>
  <si>
    <t xml:space="preserve">R007</t>
  </si>
  <si>
    <t xml:space="preserve">Paper</t>
  </si>
  <si>
    <t xml:space="preserve">Greenland, S., Senn, S. J., Rothman, K. J., Carlin, J. B., Poole, C., Goodman, S. N. and Altman, D. G. (2016). Statistical tests, P values, confidence intervals, and power: a guide to misinterpretations. European Journal of Epidemiology 31.</t>
  </si>
  <si>
    <t xml:space="preserve">https://link.springer.com/article/10.1007/s10654-016-0149-3</t>
  </si>
  <si>
    <t xml:space="preserve">W2-2; W2-3</t>
  </si>
  <si>
    <t xml:space="preserve">R008</t>
  </si>
  <si>
    <t xml:space="preserve">Statement</t>
  </si>
  <si>
    <t xml:space="preserve">American Statistical Association (2016). Statement on Statistical Significance and P-Values: release and six principles.</t>
  </si>
  <si>
    <t xml:space="preserve">https://www.amstat.org/asa/files/pdfs/p-valuestatement.pdf</t>
  </si>
  <si>
    <t xml:space="preserve">R009</t>
  </si>
  <si>
    <t xml:space="preserve">Documentation</t>
  </si>
  <si>
    <t xml:space="preserve">SciPy reference manual: scipy.stats.ttest_ind, with the Welch option.</t>
  </si>
  <si>
    <t xml:space="preserve">https://docs.scipy.org/doc/scipy/reference/generated/scipy.stats.ttest_ind.html</t>
  </si>
  <si>
    <t xml:space="preserve">R010</t>
  </si>
  <si>
    <t xml:space="preserve">James, G., Witten, D., Hastie, T. and Tibshirani, R. (2021). An Introduction to Statistical Learning, 2nd edition. Springer. Free PDF from the authors.</t>
  </si>
  <si>
    <t xml:space="preserve">https://www.statlearning.com/</t>
  </si>
  <si>
    <t xml:space="preserve">W2-3 (Ch. 13, Multiple Testing); W4-3 (Ch. 11, Survival Analysis and Censored Data); W5-1 (Ch. 3 and 4); W5-2 (Ch. 4, the confusion matrix and ROC curves); W5-3 (Section 3.3.3 and Ch. 6); W5-4 (Ch. 5 and 6); W5-5 (Ch. 8)</t>
  </si>
  <si>
    <t xml:space="preserve">R011</t>
  </si>
  <si>
    <t xml:space="preserve">Button, K. S., Ioannidis, J. P. A., Mokrysz, C., Nosek, B. A., Flint, J., Robinson, E. S. J. and Munafò, M. R. (2013). Power failure: why small sample size undermines the reliability of neuroscience. Nature Reviews Neuroscience 14.</t>
  </si>
  <si>
    <t xml:space="preserve">https://www.nature.com/articles/nrn3475</t>
  </si>
  <si>
    <t xml:space="preserve">Publisher page</t>
  </si>
  <si>
    <t xml:space="preserve">R012</t>
  </si>
  <si>
    <t xml:space="preserve">Gelman, A. and Loken, E. (2013). The garden of forking paths: why multiple comparisons can be a problem, even when there is no fishing expedition or p-hacking. Manuscript, Columbia University.</t>
  </si>
  <si>
    <t xml:space="preserve">https://sites.stat.columbia.edu/gelman/research/unpublished/p_hacking.pdf</t>
  </si>
  <si>
    <t xml:space="preserve">R013</t>
  </si>
  <si>
    <t xml:space="preserve">statsmodels user guide: statistics (stats), including power and sample size calculations.</t>
  </si>
  <si>
    <t xml:space="preserve">https://www.statsmodels.org/stable/stats.html</t>
  </si>
  <si>
    <t xml:space="preserve">W2-3; W4-1 (power and sample size)</t>
  </si>
  <si>
    <t xml:space="preserve">R014</t>
  </si>
  <si>
    <t xml:space="preserve">Tool</t>
  </si>
  <si>
    <t xml:space="preserve">Miller, E. Sample Size Calculator. Evan's Awesome A/B Tools.</t>
  </si>
  <si>
    <t xml:space="preserve">https://www.evanmiller.org/ab-testing/sample-size.html</t>
  </si>
  <si>
    <t xml:space="preserve">W2-3; W4-1</t>
  </si>
  <si>
    <t xml:space="preserve">R015</t>
  </si>
  <si>
    <t xml:space="preserve">Kohavi, R., Tang, D. and Xu, Y. (2020). Trustworthy Online Controlled Experiments: A Practical Guide to A/B Testing. Cambridge University Press. Book site.</t>
  </si>
  <si>
    <t xml:space="preserve">https://experimentguide.com/</t>
  </si>
  <si>
    <t xml:space="preserve">Book site</t>
  </si>
  <si>
    <t xml:space="preserve">R016</t>
  </si>
  <si>
    <t xml:space="preserve">Kohavi, R., Longbotham, R., Sommerfield, D. and Henne, R. M. (2009). Controlled experiments on the web: survey and practical guide. Data Mining and Knowledge Discovery 18.</t>
  </si>
  <si>
    <t xml:space="preserve">https://ai.stanford.edu/~ronnyk/2009controlledExperimentsOnTheWebSurvey.pdf</t>
  </si>
  <si>
    <t xml:space="preserve">Author or host copy</t>
  </si>
  <si>
    <t xml:space="preserve">R017</t>
  </si>
  <si>
    <t xml:space="preserve">Kohavi, R., Deng, A., Frasca, B., Longbotham, R., Walker, T. and Xu, Y. (2012). Trustworthy Online Controlled Experiments: Five Puzzling Outcomes Explained. KDD 2012.</t>
  </si>
  <si>
    <t xml:space="preserve">https://exp-platform.com/Documents/puzzlingOutcomesInControlledExperiments.pdf</t>
  </si>
  <si>
    <t xml:space="preserve">R018</t>
  </si>
  <si>
    <t xml:space="preserve">Deng, A., Xu, Y., Kohavi, R. and Walker, T. (2013). Improving the Sensitivity of Online Controlled Experiments by Utilizing Pre-Experiment Data. WSDM 2013.</t>
  </si>
  <si>
    <t xml:space="preserve">https://exp-platform.com/Documents/2013-02-CUPED-ImprovingSensitivityOfControlledExperiments.pdf</t>
  </si>
  <si>
    <t xml:space="preserve">R019</t>
  </si>
  <si>
    <t xml:space="preserve">Ramesh Johari et al. (2015). Always Valid Inference: Bringing Sequential Analysis to A/B Testing. arXiv:1512.04922.</t>
  </si>
  <si>
    <t xml:space="preserve">https://arxiv.org/abs/1512.04922</t>
  </si>
  <si>
    <t xml:space="preserve">R020</t>
  </si>
  <si>
    <t xml:space="preserve">Article</t>
  </si>
  <si>
    <t xml:space="preserve">Miller, E. (2010). How Not To Run an A/B Test.</t>
  </si>
  <si>
    <t xml:space="preserve">https://www.evanmiller.org/how-not-to-run-an-ab-test.html</t>
  </si>
  <si>
    <t xml:space="preserve">R021</t>
  </si>
  <si>
    <t xml:space="preserve">Tan, P.-N., Steinbach, M., Karpatne, A. and Kumar, V. (2018). Introduction to Data Mining, 2nd edition. Pearson. Chapter 5, Association Analysis: Basic Concepts and Algorithms (free sample chapter).</t>
  </si>
  <si>
    <t xml:space="preserve">https://www-users.cse.umn.edu/~kumar001/dmbook/ch5_association_analysis.pdf</t>
  </si>
  <si>
    <t xml:space="preserve">R022</t>
  </si>
  <si>
    <t xml:space="preserve">Leskovec, J., Rajaraman, A. and Ullman, J. D. Mining of Massive Datasets. Cambridge University Press. Chapter 6, Frequent Itemsets (free chapter PDF).</t>
  </si>
  <si>
    <t xml:space="preserve">http://infolab.stanford.edu/~ullman/mmds/ch6.pdf</t>
  </si>
  <si>
    <t xml:space="preserve">R023</t>
  </si>
  <si>
    <t xml:space="preserve">Agrawal, R. and Srikant, R. (1994). Fast Algorithms for Mining Association Rules. VLDB 1994.</t>
  </si>
  <si>
    <t xml:space="preserve">https://www.vldb.org/conf/1994/P487.PDF</t>
  </si>
  <si>
    <t xml:space="preserve">R024</t>
  </si>
  <si>
    <t xml:space="preserve">Han, J., Pei, J. and Yin, Y. (2000). Mining Frequent Patterns without Candidate Generation. SIGMOD 2000.</t>
  </si>
  <si>
    <t xml:space="preserve">https://www.cs.sfu.ca/~jpei/publications/sigmod00.pdf</t>
  </si>
  <si>
    <t xml:space="preserve">R025</t>
  </si>
  <si>
    <t xml:space="preserve">Hahsler, M. A Probabilistic Comparison of Commonly Used Interest Measures for Association Rules. Online reference maintained with the arules package.</t>
  </si>
  <si>
    <t xml:space="preserve">https://michael.hahsler.net/arules/docs/measures</t>
  </si>
  <si>
    <t xml:space="preserve">R026</t>
  </si>
  <si>
    <t xml:space="preserve">mlxtend user guide: association_rules, with the definitions of each interest measure.</t>
  </si>
  <si>
    <t xml:space="preserve">https://rasbt.github.io/mlxtend/user_guide/frequent_patterns/association_rules/</t>
  </si>
  <si>
    <t xml:space="preserve">R027</t>
  </si>
  <si>
    <t xml:space="preserve">Course notes</t>
  </si>
  <si>
    <t xml:space="preserve">Rodríguez, G. Lecture Notes on Generalized Linear Models. Chapter 7, Survival Models. Princeton University.</t>
  </si>
  <si>
    <t xml:space="preserve">https://grodri.github.io/glms/notes/c7.pdf</t>
  </si>
  <si>
    <t xml:space="preserve">R028</t>
  </si>
  <si>
    <t xml:space="preserve">Clark, T. G., Bradburn, M. J., Love, S. B. and Altman, D. G. (2003). Survival Analysis Part I: Basic concepts and first analyses. British Journal of Cancer 89.</t>
  </si>
  <si>
    <t xml:space="preserve">https://www.nature.com/articles/6601118</t>
  </si>
  <si>
    <t xml:space="preserve">R029</t>
  </si>
  <si>
    <t xml:space="preserve">Kleinbaum, D. G. and Klein, M. (2012). Survival Analysis: A Self-Learning Text, 3rd edition. Springer.</t>
  </si>
  <si>
    <t xml:space="preserve">https://link.springer.com/book/10.1007/978-1-4419-6646-9</t>
  </si>
  <si>
    <t xml:space="preserve">R030</t>
  </si>
  <si>
    <t xml:space="preserve">Fader, P. S. and Hardie, B. G. S. (2007). How to Project Customer Retention. Journal of Interactive Marketing 21(1).</t>
  </si>
  <si>
    <t xml:space="preserve">https://faculty.wharton.upenn.edu/wp-content/uploads/2012/04/Fader_hardie_jim_07.pdf</t>
  </si>
  <si>
    <t xml:space="preserve">R031</t>
  </si>
  <si>
    <t xml:space="preserve">lifelines documentation: Introduction to survival analysis (Kaplan-Meier, censoring, hazard).</t>
  </si>
  <si>
    <t xml:space="preserve">https://lifelines.readthedocs.io/en/latest/Survival%20Analysis%20intro.html</t>
  </si>
  <si>
    <t xml:space="preserve">R032</t>
  </si>
  <si>
    <t xml:space="preserve">Hyndman, R. J. and Athanasopoulos, G. (2021). Forecasting: Principles and Practice, 3rd edition. OTexts. Free online; last updated 16 September 2026.</t>
  </si>
  <si>
    <t xml:space="preserve">https://otexts.com/fpp3/</t>
  </si>
  <si>
    <t xml:space="preserve">W4-4 (Ch. 2 (2.8 to 2.9), 3, 5 (5.2, 5.8, 5.10), 8 and 9)</t>
  </si>
  <si>
    <t xml:space="preserve">Opened 21 Sep 2026 through a browser fetch</t>
  </si>
  <si>
    <t xml:space="preserve">R033</t>
  </si>
  <si>
    <t xml:space="preserve">Shumway, R. H. and Stoffer, D. S. (2017). Time Series Analysis and Its Applications, 4th edition. Springer. Companion repository with the R code for every example.</t>
  </si>
  <si>
    <t xml:space="preserve">https://github.com/nickpoison/tsa4</t>
  </si>
  <si>
    <t xml:space="preserve">Companion site</t>
  </si>
  <si>
    <t xml:space="preserve">W4-4 (Ch. 1 to 3)</t>
  </si>
  <si>
    <t xml:space="preserve">R034</t>
  </si>
  <si>
    <t xml:space="preserve">NIST/SEMATECH. e-Handbook of Statistical Methods. Section 6.4, Introduction to Time Series Analysis. Free online.</t>
  </si>
  <si>
    <t xml:space="preserve">https://www.itl.nist.gov/div898/handbook/pmc/section4/pmc4.htm</t>
  </si>
  <si>
    <t xml:space="preserve">R035</t>
  </si>
  <si>
    <t xml:space="preserve">Nau, R. Statistical forecasting: notes on regression and time series analysis. Fuqua School of Business, Duke University. Free online.</t>
  </si>
  <si>
    <t xml:space="preserve">https://people.duke.edu/~rnau/411home.htm</t>
  </si>
  <si>
    <t xml:space="preserve">W4-4 (exponential smoothing and ARIMA notes)</t>
  </si>
  <si>
    <t xml:space="preserve">R036</t>
  </si>
  <si>
    <t xml:space="preserve">Makridakis, S., Spiliotis, E. and Assimakopoulos, V. (2018). Statistical and Machine Learning forecasting methods: Concerns and ways forward. PLOS ONE 13(3).</t>
  </si>
  <si>
    <t xml:space="preserve">https://journals.plos.org/plosone/article?id=10.1371/journal.pone.0194889</t>
  </si>
  <si>
    <t xml:space="preserve">R037</t>
  </si>
  <si>
    <t xml:space="preserve">statsmodels user guide: time series analysis (tsa), including ACF, exponential smoothing and ARIMA.</t>
  </si>
  <si>
    <t xml:space="preserve">https://www.statsmodels.org/stable/tsa.html</t>
  </si>
  <si>
    <t xml:space="preserve">R038</t>
  </si>
  <si>
    <t xml:space="preserve">statsmodels examples: Exponential smoothing (simple, Holt and Holt-Winters) as a worked notebook.</t>
  </si>
  <si>
    <t xml:space="preserve">https://www.statsmodels.org/stable/examples/notebooks/generated/exponential_smoothing.html</t>
  </si>
  <si>
    <t xml:space="preserve">R039</t>
  </si>
  <si>
    <t xml:space="preserve">Hastie, T., Tibshirani, R. and Friedman, J. (2009). The Elements of Statistical Learning, 2nd edition. Springer. Publisher page; the authors also host a free PDF.</t>
  </si>
  <si>
    <t xml:space="preserve">https://link.springer.com/book/10.1007/978-0-387-84858-7</t>
  </si>
  <si>
    <t xml:space="preserve">W5-1 (Ch. 3 and 4); W5-4 (Section 3.4 and Ch. 7); W5-5 (Ch. 9, 10 and 15)</t>
  </si>
  <si>
    <t xml:space="preserve">R040</t>
  </si>
  <si>
    <t xml:space="preserve">Ma, T. and Ng, A. CS229 Lecture Notes. Stanford University.</t>
  </si>
  <si>
    <t xml:space="preserve">https://cs229.stanford.edu/main_notes.pdf</t>
  </si>
  <si>
    <t xml:space="preserve">W5-1 (Part I, linear and logistic regression)</t>
  </si>
  <si>
    <t xml:space="preserve">R041</t>
  </si>
  <si>
    <t xml:space="preserve">Bishop, C. M. (2006). Pattern Recognition and Machine Learning. Springer. Free PDF from Microsoft Research.</t>
  </si>
  <si>
    <t xml:space="preserve">https://www.microsoft.com/en-us/research/publication/pattern-recognition-machine-learning/</t>
  </si>
  <si>
    <t xml:space="preserve">W5-1 (Ch. 3 and 4)</t>
  </si>
  <si>
    <t xml:space="preserve">R042</t>
  </si>
  <si>
    <t xml:space="preserve">Shalizi, C. R. Advanced Data Analysis from an Elementary Point of View. Draft textbook, Carnegie Mellon University. Free online.</t>
  </si>
  <si>
    <t xml:space="preserve">https://www.stat.cmu.edu/~cshalizi/ADAfaEPoV/</t>
  </si>
  <si>
    <t xml:space="preserve">R043</t>
  </si>
  <si>
    <t xml:space="preserve">Penn State Department of Statistics. STAT 501: Regression Methods. Open course notes.</t>
  </si>
  <si>
    <t xml:space="preserve">https://online.stat.psu.edu/stat501/</t>
  </si>
  <si>
    <t xml:space="preserve">R044</t>
  </si>
  <si>
    <t xml:space="preserve">Strang, G. 18.06 Linear Algebra. MIT OpenCourseWare. Lectures on projections and least squares.</t>
  </si>
  <si>
    <t xml:space="preserve">https://ocw.mit.edu/courses/18-06-linear-algebra-spring-2010/</t>
  </si>
  <si>
    <t xml:space="preserve">W5-1 (projections and least squares)</t>
  </si>
  <si>
    <t xml:space="preserve">R045</t>
  </si>
  <si>
    <t xml:space="preserve">statsmodels user guide: linear regression, with standard errors and diagnostics.</t>
  </si>
  <si>
    <t xml:space="preserve">https://www.statsmodels.org/stable/regression.html</t>
  </si>
  <si>
    <t xml:space="preserve">R046</t>
  </si>
  <si>
    <t xml:space="preserve">Fawcett, T. (2006). An introduction to ROC analysis. Pattern Recognition Letters 27.</t>
  </si>
  <si>
    <t xml:space="preserve">https://people.inf.elte.hu/kiss/11dwhdm/roc.pdf</t>
  </si>
  <si>
    <t xml:space="preserve">R047</t>
  </si>
  <si>
    <t xml:space="preserve">Saito, T. and Rehmsmeier, M. (2015). The Precision-Recall Plot Is More Informative than the ROC Plot When Evaluating Binary Classifiers on Imbalanced Datasets. PLOS ONE 10(3).</t>
  </si>
  <si>
    <t xml:space="preserve">https://journals.plos.org/plosone/article?id=10.1371/journal.pone.0118432</t>
  </si>
  <si>
    <t xml:space="preserve">R048</t>
  </si>
  <si>
    <t xml:space="preserve">Elkan, C. (2001). The Foundations of Cost-Sensitive Learning. IJCAI 2001.</t>
  </si>
  <si>
    <t xml:space="preserve">https://cseweb.ucsd.edu/~elkan/rescale.pdf</t>
  </si>
  <si>
    <t xml:space="preserve">R049</t>
  </si>
  <si>
    <t xml:space="preserve">Niculescu-Mizil, A. and Caruana, R. (2005). Predicting Good Probabilities With Supervised Learning. ICML 2005.</t>
  </si>
  <si>
    <t xml:space="preserve">https://www.cs.cornell.edu/~alexn/papers/calibration.icml05.crc.rev3.pdf</t>
  </si>
  <si>
    <t xml:space="preserve">R050</t>
  </si>
  <si>
    <t xml:space="preserve">Gneiting, T. and Raftery, A. E. (2007). Strictly Proper Scoring Rules, Prediction, and Estimation. Journal of the American Statistical Association 102.</t>
  </si>
  <si>
    <t xml:space="preserve">https://sites.stat.washington.edu/raftery/Research/PDF/Gneiting2007jasa.pdf</t>
  </si>
  <si>
    <t xml:space="preserve">R051</t>
  </si>
  <si>
    <t xml:space="preserve">Hand, D. J. (2009). Measuring classifier performance: a coherent alternative to the area under the ROC curve. Machine Learning 77.</t>
  </si>
  <si>
    <t xml:space="preserve">https://link.springer.com/article/10.1007/s10994-009-5119-5</t>
  </si>
  <si>
    <t xml:space="preserve">R052</t>
  </si>
  <si>
    <t xml:space="preserve">scikit-learn user guide: Metrics and scoring, quantifying the quality of predictions.</t>
  </si>
  <si>
    <t xml:space="preserve">https://scikit-learn.org/stable/modules/model_evaluation.html</t>
  </si>
  <si>
    <t xml:space="preserve">W5-2 (classification metrics)</t>
  </si>
  <si>
    <t xml:space="preserve">R053</t>
  </si>
  <si>
    <t xml:space="preserve">scikit-learn user guide: Probability calibration.</t>
  </si>
  <si>
    <t xml:space="preserve">https://scikit-learn.org/stable/modules/calibration.html</t>
  </si>
  <si>
    <t xml:space="preserve">R054</t>
  </si>
  <si>
    <t xml:space="preserve">Penn State Department of Statistics. STAT 501, Lesson 12: Multicollinearity and Other Regression Pitfalls. Open course notes.</t>
  </si>
  <si>
    <t xml:space="preserve">https://online.stat.psu.edu/stat501/lesson/12</t>
  </si>
  <si>
    <t xml:space="preserve">R055</t>
  </si>
  <si>
    <t xml:space="preserve">Shmueli, G. (2010). To Explain or to Predict? Statistical Science 25(3).</t>
  </si>
  <si>
    <t xml:space="preserve">https://projecteuclid.org/journals/statistical-science/volume-25/issue-3/To-Explain-or-to-Predict/10.1214/10-STS330.full</t>
  </si>
  <si>
    <t xml:space="preserve">R056</t>
  </si>
  <si>
    <t xml:space="preserve">Breiman, L. (2001). Statistical Modeling: The Two Cultures (with comments and a rejoinder by the author). Statistical Science 16(3).</t>
  </si>
  <si>
    <t xml:space="preserve">https://projecteuclid.org/journals/statistical-science/volume-16/issue-3/Statistical-Modeling--The-Two-Cultures-with-comments-and-a/10.1214/ss/1009213726.full</t>
  </si>
  <si>
    <t xml:space="preserve">R057</t>
  </si>
  <si>
    <t xml:space="preserve">Kaufman, S., Rosset, S. and Perlich, C. (2011). Leakage in Data Mining: Formulation, Detection, and Avoidance. KDD 2011.</t>
  </si>
  <si>
    <t xml:space="preserve">https://www.cs.umb.edu/~ding/history/470_670_fall_2011/papers/cs670_Tran_PreferredPaper_LeakingInDataMining.pdf</t>
  </si>
  <si>
    <t xml:space="preserve">R058</t>
  </si>
  <si>
    <t xml:space="preserve">Kuhn, M. and Johnson, K. (2019). Feature Engineering and Selection: A Practical Approach for Predictive Models. Chapman and Hall/CRC. Free online.</t>
  </si>
  <si>
    <t xml:space="preserve">https://feat.engineering/</t>
  </si>
  <si>
    <t xml:space="preserve">R059</t>
  </si>
  <si>
    <t xml:space="preserve">statsmodels reference: statsmodels.stats.outliers_influence.variance_inflation_factor.</t>
  </si>
  <si>
    <t xml:space="preserve">https://www.statsmodels.org/stable/generated/statsmodels.stats.outliers_influence.variance_inflation_factor.html</t>
  </si>
  <si>
    <t xml:space="preserve">R060</t>
  </si>
  <si>
    <t xml:space="preserve">Mikhail Belkin et al. (2018). Reconciling modern machine learning practice and the bias-variance trade-off. arXiv:1812.11118.</t>
  </si>
  <si>
    <t xml:space="preserve">https://arxiv.org/abs/1812.11118</t>
  </si>
  <si>
    <t xml:space="preserve">R061</t>
  </si>
  <si>
    <t xml:space="preserve">Survey</t>
  </si>
  <si>
    <t xml:space="preserve">Arlot, S. and Celisse, A. (2010). A survey of cross-validation procedures for model selection. Statistics Surveys 4.</t>
  </si>
  <si>
    <t xml:space="preserve">https://projecteuclid.org/journals/statistics-surveys/volume-4/issue-none/A-survey-of-cross-validation-procedures-for-model-selection/10.1214/09-SS054.full</t>
  </si>
  <si>
    <t xml:space="preserve">R062</t>
  </si>
  <si>
    <t xml:space="preserve">Varma, S. and Simon, R. (2006). Bias in error estimation when using cross-validation for model selection. BMC Bioinformatics 7, article 91.</t>
  </si>
  <si>
    <t xml:space="preserve">https://bmcbioinformatics.biomedcentral.com/articles/10.1186/1471-2105-7-91</t>
  </si>
  <si>
    <t xml:space="preserve">R063</t>
  </si>
  <si>
    <t xml:space="preserve">Cawley, G. C. and Talbot, N. L. C. (2010). On Over-fitting in Model Selection and Subsequent Selection Bias in Performance Evaluation. Journal of Machine Learning Research 11.</t>
  </si>
  <si>
    <t xml:space="preserve">https://jmlr.org/papers/v11/cawley10a.html</t>
  </si>
  <si>
    <t xml:space="preserve">R064</t>
  </si>
  <si>
    <t xml:space="preserve">scikit-learn user guide: Cross-validation, evaluating estimator performance.</t>
  </si>
  <si>
    <t xml:space="preserve">https://scikit-learn.org/stable/modules/cross_validation.html</t>
  </si>
  <si>
    <t xml:space="preserve">R065</t>
  </si>
  <si>
    <t xml:space="preserve">MLU-Explain (Amazon). The Bias Variance Tradeoff. Interactive article.</t>
  </si>
  <si>
    <t xml:space="preserve">https://mlu-explain.github.io/bias-variance/</t>
  </si>
  <si>
    <t xml:space="preserve">R066</t>
  </si>
  <si>
    <t xml:space="preserve">Breiman, L. (1996). Bagging predictors. Machine Learning 24.</t>
  </si>
  <si>
    <t xml:space="preserve">https://link.springer.com/article/10.1007/BF00058655</t>
  </si>
  <si>
    <t xml:space="preserve">R067</t>
  </si>
  <si>
    <t xml:space="preserve">Breiman, L. (2001). Random Forests. Machine Learning 45.</t>
  </si>
  <si>
    <t xml:space="preserve">https://link.springer.com/article/10.1023/A:1010933404324</t>
  </si>
  <si>
    <t xml:space="preserve">R068</t>
  </si>
  <si>
    <t xml:space="preserve">Friedman, J. H. (2001). Greedy function approximation: A gradient boosting machine. Annals of Statistics 29(5).</t>
  </si>
  <si>
    <t xml:space="preserve">https://projecteuclid.org/journals/annals-of-statistics/volume-29/issue-5/Greedy-function-approximation-A-gradient-boosting-machine/10.1214/aos/1013203451.full</t>
  </si>
  <si>
    <t xml:space="preserve">R069</t>
  </si>
  <si>
    <t xml:space="preserve">Tianqi Chen and Carlos Guestrin (2016). XGBoost: A Scalable Tree Boosting System. arXiv:1603.02754.</t>
  </si>
  <si>
    <t xml:space="preserve">https://arxiv.org/abs/1603.02754</t>
  </si>
  <si>
    <t xml:space="preserve">R070</t>
  </si>
  <si>
    <t xml:space="preserve">Ke, G., Meng, Q., Finley, T., Wang, T., Chen, W., Ma, W., Ye, Q. and Liu, T.-Y. (2017). LightGBM: A Highly Efficient Gradient Boosting Decision Tree. NeurIPS 2017.</t>
  </si>
  <si>
    <t xml:space="preserve">https://papers.nips.cc/paper_files/paper/2017/hash/6449f44a102fde848669bdd9eb6b76fa-Abstract.html</t>
  </si>
  <si>
    <t xml:space="preserve">R071</t>
  </si>
  <si>
    <t xml:space="preserve">Strobl, C., Boulesteix, A.-L., Zeileis, A. and Hothorn, T. (2007). Bias in random forest variable importance measures: Illustrations, sources and a solution. BMC Bioinformatics 8, article 25.</t>
  </si>
  <si>
    <t xml:space="preserve">https://bmcbioinformatics.biomedcentral.com/articles/10.1186/1471-2105-8-25</t>
  </si>
  <si>
    <t xml:space="preserve">R072</t>
  </si>
  <si>
    <t xml:space="preserve">Léo Grinsztajn et al. (2022). Why do tree-based models still outperform deep learning on tabular data?. arXiv:2207.08815.</t>
  </si>
  <si>
    <t xml:space="preserve">https://arxiv.org/abs/2207.08815</t>
  </si>
  <si>
    <t xml:space="preserve">R073</t>
  </si>
  <si>
    <t xml:space="preserve">scikit-learn user guide: Ensembles (gradient boosting, random forests, bagging, voting, stacking).</t>
  </si>
  <si>
    <t xml:space="preserve">https://scikit-learn.org/stable/modules/ensemble.html</t>
  </si>
  <si>
    <t xml:space="preserve">R074</t>
  </si>
  <si>
    <t xml:space="preserve">StatQuest with Josh Starmer. Gradient Boost Part 1 (of 4): Regression Main Ideas. Video lecture.</t>
  </si>
  <si>
    <t xml:space="preserve">https://www.youtube.com/watch?v=3CC4N4z3GJc</t>
  </si>
  <si>
    <t xml:space="preserve">R075</t>
  </si>
  <si>
    <t xml:space="preserve">Goodfellow, I., Bengio, Y. and Courville, A. (2016). Deep Learning. MIT Press. Chapter 6, Deep Feedforward Networks. Free online.</t>
  </si>
  <si>
    <t xml:space="preserve">https://www.deeplearningbook.org/contents/mlp.html</t>
  </si>
  <si>
    <t xml:space="preserve">W7-1; W7-2</t>
  </si>
  <si>
    <t xml:space="preserve">R076</t>
  </si>
  <si>
    <t xml:space="preserve">Zhang, A., Lipton, Z. C., Li, M. and Smola, A. J. Dive into Deep Learning (version 1.0.3). Chapter 5, Multilayer Perceptrons. Free online, with code.</t>
  </si>
  <si>
    <t xml:space="preserve">https://d2l.ai/chapter_multilayer-perceptrons/index.html</t>
  </si>
  <si>
    <t xml:space="preserve">R077</t>
  </si>
  <si>
    <t xml:space="preserve">Nielsen, M. (2015). Neural Networks and Deep Learning. Determination Press. Chapter 4, A visual proof that neural nets can compute any function. Free online.</t>
  </si>
  <si>
    <t xml:space="preserve">http://neuralnetworksanddeeplearning.com/chap4.html</t>
  </si>
  <si>
    <t xml:space="preserve">R078</t>
  </si>
  <si>
    <t xml:space="preserve">Stanford CS231n course notes. Neural Networks Part 1: setting up the architecture.</t>
  </si>
  <si>
    <t xml:space="preserve">https://cs231n.github.io/neural-networks-1/</t>
  </si>
  <si>
    <t xml:space="preserve">R079</t>
  </si>
  <si>
    <t xml:space="preserve">Cybenko, G. (1989). Approximation by superpositions of a sigmoidal function. Mathematics of Control, Signals and Systems 2.</t>
  </si>
  <si>
    <t xml:space="preserve">https://link.springer.com/article/10.1007/BF02551274</t>
  </si>
  <si>
    <t xml:space="preserve">R080</t>
  </si>
  <si>
    <t xml:space="preserve">Matus Telgarsky (2016). Benefits of depth in neural networks. arXiv:1602.04485.</t>
  </si>
  <si>
    <t xml:space="preserve">https://arxiv.org/abs/1602.04485</t>
  </si>
  <si>
    <t xml:space="preserve">R081</t>
  </si>
  <si>
    <t xml:space="preserve">Glorot, X., Bordes, A. and Bengio, Y. (2011). Deep Sparse Rectifier Neural Networks. AISTATS 2011, PMLR 15.</t>
  </si>
  <si>
    <t xml:space="preserve">https://proceedings.mlr.press/v15/glorot11a.html</t>
  </si>
  <si>
    <t xml:space="preserve">R082</t>
  </si>
  <si>
    <t xml:space="preserve">3Blue1Brown. But what is a neural network? Deep learning, chapter 1. Video lecture, first of a series.</t>
  </si>
  <si>
    <t xml:space="preserve">https://www.youtube.com/watch?v=aircAruvnKk</t>
  </si>
  <si>
    <t xml:space="preserve">R083</t>
  </si>
  <si>
    <t xml:space="preserve">A Neural Network Playground. Interactive visualisation of small feed-forward networks.</t>
  </si>
  <si>
    <t xml:space="preserve">https://playground.tensorflow.org/</t>
  </si>
  <si>
    <t xml:space="preserve">R084</t>
  </si>
  <si>
    <t xml:space="preserve">Goodfellow, I., Bengio, Y. and Courville, A. (2016). Deep Learning. MIT Press. Chapter 8, Optimization for Training Deep Models. Free online.</t>
  </si>
  <si>
    <t xml:space="preserve">https://www.deeplearningbook.org/contents/optimization.html</t>
  </si>
  <si>
    <t xml:space="preserve">W7-2; W7-3</t>
  </si>
  <si>
    <t xml:space="preserve">R085</t>
  </si>
  <si>
    <t xml:space="preserve">Nielsen, M. (2015). Neural Networks and Deep Learning. Determination Press. Chapter 2, How the backpropagation algorithm works. Free online.</t>
  </si>
  <si>
    <t xml:space="preserve">http://neuralnetworksanddeeplearning.com/chap2.html</t>
  </si>
  <si>
    <t xml:space="preserve">R086</t>
  </si>
  <si>
    <t xml:space="preserve">Stanford CS231n course notes. Backpropagation, Intuitions.</t>
  </si>
  <si>
    <t xml:space="preserve">https://cs231n.github.io/optimization-2/</t>
  </si>
  <si>
    <t xml:space="preserve">R087</t>
  </si>
  <si>
    <t xml:space="preserve">Rumelhart, D. E., Hinton, G. E. and Williams, R. J. (1986). Learning representations by back-propagating errors. Nature 323.</t>
  </si>
  <si>
    <t xml:space="preserve">https://www.nature.com/articles/323533a0</t>
  </si>
  <si>
    <t xml:space="preserve">R088</t>
  </si>
  <si>
    <t xml:space="preserve">Baydin, A. G., Pearlmutter, B. A., Radul, A. A. and Siskind, J. M. (2018). Automatic Differentiation in Machine Learning: a Survey. Journal of Machine Learning Research 18.</t>
  </si>
  <si>
    <t xml:space="preserve">https://jmlr.org/papers/v18/17-468.html</t>
  </si>
  <si>
    <t xml:space="preserve">R089</t>
  </si>
  <si>
    <t xml:space="preserve">Diederik P. Kingma and Jimmy Ba (2014). Adam: A Method for Stochastic Optimization. arXiv:1412.6980.</t>
  </si>
  <si>
    <t xml:space="preserve">https://arxiv.org/abs/1412.6980</t>
  </si>
  <si>
    <t xml:space="preserve">R090</t>
  </si>
  <si>
    <t xml:space="preserve">Sebastian Ruder (2016). An overview of gradient descent optimization algorithms. arXiv:1609.04747.</t>
  </si>
  <si>
    <t xml:space="preserve">https://arxiv.org/abs/1609.04747</t>
  </si>
  <si>
    <t xml:space="preserve">R091</t>
  </si>
  <si>
    <t xml:space="preserve">Goh, G. (2017). Why Momentum Really Works. Distill.</t>
  </si>
  <si>
    <t xml:space="preserve">https://distill.pub/2017/momentum/</t>
  </si>
  <si>
    <t xml:space="preserve">R092</t>
  </si>
  <si>
    <t xml:space="preserve">Karpathy, A. The spelled-out intro to neural networks and backpropagation: building micrograd. Video lecture.</t>
  </si>
  <si>
    <t xml:space="preserve">https://www.youtube.com/watch?v=VMj-3S1tku0</t>
  </si>
  <si>
    <t xml:space="preserve">R093</t>
  </si>
  <si>
    <t xml:space="preserve">Goodfellow, I., Bengio, Y. and Courville, A. (2016). Deep Learning. MIT Press. Chapter 7, Regularization for Deep Learning. Free online.</t>
  </si>
  <si>
    <t xml:space="preserve">https://www.deeplearningbook.org/contents/regularization.html</t>
  </si>
  <si>
    <t xml:space="preserve">R094</t>
  </si>
  <si>
    <t xml:space="preserve">Glorot, X. and Bengio, Y. (2010). Understanding the difficulty of training deep feedforward neural networks. AISTATS 2010, PMLR 9.</t>
  </si>
  <si>
    <t xml:space="preserve">https://proceedings.mlr.press/v9/glorot10a.html</t>
  </si>
  <si>
    <t xml:space="preserve">R095</t>
  </si>
  <si>
    <t xml:space="preserve">Kaiming He et al. (2015). Delving Deep into Rectifiers: Surpassing Human-Level Performance on ImageNet Classification. arXiv:1502.01852.</t>
  </si>
  <si>
    <t xml:space="preserve">https://arxiv.org/abs/1502.01852</t>
  </si>
  <si>
    <t xml:space="preserve">R096</t>
  </si>
  <si>
    <t xml:space="preserve">Sergey Ioffe and Christian Szegedy (2015). Batch Normalization: Accelerating Deep Network Training by Reducing Internal Covariate Shift. arXiv:1502.03167.</t>
  </si>
  <si>
    <t xml:space="preserve">https://arxiv.org/abs/1502.03167</t>
  </si>
  <si>
    <t xml:space="preserve">R097</t>
  </si>
  <si>
    <t xml:space="preserve">Jimmy Lei Ba et al. (2016). Layer Normalization. arXiv:1607.06450.</t>
  </si>
  <si>
    <t xml:space="preserve">https://arxiv.org/abs/1607.06450</t>
  </si>
  <si>
    <t xml:space="preserve">R098</t>
  </si>
  <si>
    <t xml:space="preserve">Shibani Santurkar et al. (2018). How Does Batch Normalization Help Optimization?. arXiv:1805.11604.</t>
  </si>
  <si>
    <t xml:space="preserve">https://arxiv.org/abs/1805.11604</t>
  </si>
  <si>
    <t xml:space="preserve">R099</t>
  </si>
  <si>
    <t xml:space="preserve">Kaiming He et al. (2015). Deep Residual Learning for Image Recognition. arXiv:1512.03385.</t>
  </si>
  <si>
    <t xml:space="preserve">https://arxiv.org/abs/1512.03385</t>
  </si>
  <si>
    <t xml:space="preserve">R100</t>
  </si>
  <si>
    <t xml:space="preserve">Srivastava, N., Hinton, G., Krizhevsky, A., Sutskever, I. and Salakhutdinov, R. (2014). Dropout: A Simple Way to Prevent Neural Networks from Overfitting. Journal of Machine Learning Research 15.</t>
  </si>
  <si>
    <t xml:space="preserve">https://jmlr.org/papers/v15/srivastava14a.html</t>
  </si>
  <si>
    <t xml:space="preserve">R101</t>
  </si>
  <si>
    <t xml:space="preserve">Ilya Loshchilov and Frank Hutter (2017). Decoupled Weight Decay Regularization. arXiv:1711.05101.</t>
  </si>
  <si>
    <t xml:space="preserve">https://arxiv.org/abs/1711.05101</t>
  </si>
  <si>
    <t xml:space="preserve">R102</t>
  </si>
  <si>
    <t xml:space="preserve">Karpathy, A. (2019). A Recipe for Training Neural Networks.</t>
  </si>
  <si>
    <t xml:space="preserve">https://karpathy.github.io/2019/04/25/recipe/</t>
  </si>
  <si>
    <t xml:space="preserve">R103</t>
  </si>
  <si>
    <t xml:space="preserve">Goodfellow, I., Bengio, Y. and Courville, A. (2016). Deep Learning. MIT Press. Chapter 10, Sequence Modeling: Recurrent and Recursive Nets. Free online.</t>
  </si>
  <si>
    <t xml:space="preserve">https://www.deeplearningbook.org/contents/rnn.html</t>
  </si>
  <si>
    <t xml:space="preserve">R104</t>
  </si>
  <si>
    <t xml:space="preserve">Zhang, A., Lipton, Z. C., Li, M. and Smola, A. J. Dive into Deep Learning (version 1.0.3). Chapter 9, Recurrent Neural Networks. Free online, with code.</t>
  </si>
  <si>
    <t xml:space="preserve">https://d2l.ai/chapter_recurrent-neural-networks/index.html</t>
  </si>
  <si>
    <t xml:space="preserve">R105</t>
  </si>
  <si>
    <t xml:space="preserve">Jurafsky, D. and Martin, J. H. (2026). Speech and Language Processing, 3rd edition. Online manuscript released 19 August 2026. Free chapter PDFs and slides.</t>
  </si>
  <si>
    <t xml:space="preserve">https://web.stanford.edu/~jurafsky/slp3/</t>
  </si>
  <si>
    <t xml:space="preserve">W7-4 (Ch. 14, RNNs and LSTMs); W7-5 (Ch. 2, Words and Tokens; Ch. 3, N-gram Language Models); W8-1 (Ch. 7, Transformers and Pretraining); W8-2 (Ch. 5, Embeddings; Ch. 9, Masked Language Models); W8-3 (Ch. 7, sampling for generation); W10-1 (Ch. 8, Post-training); W11-1 (Ch. 11, Information Retrieval and RAG)</t>
  </si>
  <si>
    <t xml:space="preserve">R106</t>
  </si>
  <si>
    <t xml:space="preserve">Hochreiter, S. and Schmidhuber, J. (1997). Long Short-Term Memory. Neural Computation 9(8).</t>
  </si>
  <si>
    <t xml:space="preserve">https://www.bioinf.jku.at/publications/older/2604.pdf</t>
  </si>
  <si>
    <t xml:space="preserve">R107</t>
  </si>
  <si>
    <t xml:space="preserve">Pascanu, R., Mikolov, T. and Bengio, Y. (2013). On the difficulty of training recurrent neural networks. ICML 2013, PMLR 28.</t>
  </si>
  <si>
    <t xml:space="preserve">https://proceedings.mlr.press/v28/pascanu13.html</t>
  </si>
  <si>
    <t xml:space="preserve">R108</t>
  </si>
  <si>
    <t xml:space="preserve">Kyunghyun Cho et al. (2014). Learning Phrase Representations using RNN Encoder-Decoder for Statistical Machine Translation. arXiv:1406.1078.</t>
  </si>
  <si>
    <t xml:space="preserve">https://arxiv.org/abs/1406.1078</t>
  </si>
  <si>
    <t xml:space="preserve">R109</t>
  </si>
  <si>
    <t xml:space="preserve">Ilya Sutskever et al. (2014). Sequence to Sequence Learning with Neural Networks. arXiv:1409.3215.</t>
  </si>
  <si>
    <t xml:space="preserve">https://arxiv.org/abs/1409.3215</t>
  </si>
  <si>
    <t xml:space="preserve">R110</t>
  </si>
  <si>
    <t xml:space="preserve">Dzmitry Bahdanau et al. (2014). Neural Machine Translation by Jointly Learning to Align and Translate. arXiv:1409.0473.</t>
  </si>
  <si>
    <t xml:space="preserve">https://arxiv.org/abs/1409.0473</t>
  </si>
  <si>
    <t xml:space="preserve">R111</t>
  </si>
  <si>
    <t xml:space="preserve">Olah, C. (2015). Understanding LSTM Networks.</t>
  </si>
  <si>
    <t xml:space="preserve">https://colah.github.io/posts/2015-08-Understanding-LSTMs/</t>
  </si>
  <si>
    <t xml:space="preserve">R112</t>
  </si>
  <si>
    <t xml:space="preserve">Karpathy, A. (2015). The Unreasonable Effectiveness of Recurrent Neural Networks.</t>
  </si>
  <si>
    <t xml:space="preserve">https://karpathy.github.io/2015/05/21/rnn-effectiveness/</t>
  </si>
  <si>
    <t xml:space="preserve">R113</t>
  </si>
  <si>
    <t xml:space="preserve">Sennrich, R., Haddow, B. and Birch, A. (2016). Neural Machine Translation of Rare Words with Subword Units. ACL 2016.</t>
  </si>
  <si>
    <t xml:space="preserve">https://aclanthology.org/P16-1162/</t>
  </si>
  <si>
    <t xml:space="preserve">R114</t>
  </si>
  <si>
    <t xml:space="preserve">Kudo, T. (2018). Subword Regularization: Improving Neural Network Translation Models with Multiple Subword Candidates. ACL 2018.</t>
  </si>
  <si>
    <t xml:space="preserve">https://aclanthology.org/P18-1007/</t>
  </si>
  <si>
    <t xml:space="preserve">R115</t>
  </si>
  <si>
    <t xml:space="preserve">Kudo, T. and Richardson, J. (2018). SentencePiece: A simple and language independent subword tokenizer and detokenizer for Neural Text Processing. EMNLP 2018, system demonstrations.</t>
  </si>
  <si>
    <t xml:space="preserve">https://aclanthology.org/D18-2012/</t>
  </si>
  <si>
    <t xml:space="preserve">R116</t>
  </si>
  <si>
    <t xml:space="preserve">Radford, A., Wu, J., Child, R., Luan, D., Amodei, D. and Sutskever, I. (2019). Language Models are Unsupervised Multitask Learners. OpenAI technical report.</t>
  </si>
  <si>
    <t xml:space="preserve">https://cdn.openai.com/better-language-models/language_models_are_unsupervised_multitask_learners.pdf</t>
  </si>
  <si>
    <t xml:space="preserve">R117</t>
  </si>
  <si>
    <t xml:space="preserve">Aleksandar Petrov et al. (2023). Language Model Tokenizers Introduce Unfairness Between Languages. arXiv:2305.15425.</t>
  </si>
  <si>
    <t xml:space="preserve">https://arxiv.org/abs/2305.15425</t>
  </si>
  <si>
    <t xml:space="preserve">R118</t>
  </si>
  <si>
    <t xml:space="preserve">Hugging Face. LLM Course, Chapter 6: The Tokenizers library. Free online, with code.</t>
  </si>
  <si>
    <t xml:space="preserve">https://huggingface.co/learn/llm-course/chapter6/1</t>
  </si>
  <si>
    <t xml:space="preserve">R119</t>
  </si>
  <si>
    <t xml:space="preserve">Karpathy, A. Let's build the GPT Tokenizer. Video lecture.</t>
  </si>
  <si>
    <t xml:space="preserve">https://www.youtube.com/watch?v=zduSFxRajkE</t>
  </si>
  <si>
    <t xml:space="preserve">R120</t>
  </si>
  <si>
    <t xml:space="preserve">OpenAI. tiktoken: a fast BPE tokeniser. Source repository.</t>
  </si>
  <si>
    <t xml:space="preserve">https://github.com/openai/tiktoken</t>
  </si>
  <si>
    <t xml:space="preserve">R121</t>
  </si>
  <si>
    <t xml:space="preserve">Ashish Vaswani et al. (2017). Attention Is All You Need. arXiv:1706.03762.</t>
  </si>
  <si>
    <t xml:space="preserve">https://arxiv.org/abs/1706.03762</t>
  </si>
  <si>
    <t xml:space="preserve">R122</t>
  </si>
  <si>
    <t xml:space="preserve">Mary Phuong and Marcus Hutter (2022). Formal Algorithms for Transformers. arXiv:2207.09238.</t>
  </si>
  <si>
    <t xml:space="preserve">https://arxiv.org/abs/2207.09238</t>
  </si>
  <si>
    <t xml:space="preserve">R123</t>
  </si>
  <si>
    <t xml:space="preserve">Harvard NLP. The Annotated Transformer. A line-by-line implementation of the 2017 paper.</t>
  </si>
  <si>
    <t xml:space="preserve">https://nlp.seas.harvard.edu/annotated-transformer/</t>
  </si>
  <si>
    <t xml:space="preserve">R124</t>
  </si>
  <si>
    <t xml:space="preserve">Elhage, N. et al. (2021). A Mathematical Framework for Transformer Circuits. Transformer Circuits Thread.</t>
  </si>
  <si>
    <t xml:space="preserve">https://transformer-circuits.pub/2021/framework/index.html</t>
  </si>
  <si>
    <t xml:space="preserve">R125</t>
  </si>
  <si>
    <t xml:space="preserve">Ruibin Xiong et al. (2020). On Layer Normalization in the Transformer Architecture. arXiv:2002.04745.</t>
  </si>
  <si>
    <t xml:space="preserve">https://arxiv.org/abs/2002.04745</t>
  </si>
  <si>
    <t xml:space="preserve">R126</t>
  </si>
  <si>
    <t xml:space="preserve">Alammar, J. The Illustrated Transformer.</t>
  </si>
  <si>
    <t xml:space="preserve">https://jalammar.github.io/illustrated-transformer/</t>
  </si>
  <si>
    <t xml:space="preserve">R127</t>
  </si>
  <si>
    <t xml:space="preserve">3Blue1Brown. Attention in transformers, step-by-step. Deep learning, chapter 6. Video lecture.</t>
  </si>
  <si>
    <t xml:space="preserve">https://www.youtube.com/watch?v=eMlx5fFNoYc</t>
  </si>
  <si>
    <t xml:space="preserve">R128</t>
  </si>
  <si>
    <t xml:space="preserve">Karpathy, A. Let's build GPT: from scratch, in code, spelled out. Video lecture.</t>
  </si>
  <si>
    <t xml:space="preserve">https://www.youtube.com/watch?v=kCc8FmEb1nY</t>
  </si>
  <si>
    <t xml:space="preserve">R129</t>
  </si>
  <si>
    <t xml:space="preserve">Stanford CS224N: Natural Language Processing with Deep Learning. Course site with slides and notes.</t>
  </si>
  <si>
    <t xml:space="preserve">https://web.stanford.edu/class/cs224n/</t>
  </si>
  <si>
    <t xml:space="preserve">R130</t>
  </si>
  <si>
    <t xml:space="preserve">Tomas Mikolov et al. (2013). Efficient Estimation of Word Representations in Vector Space. arXiv:1301.3781.</t>
  </si>
  <si>
    <t xml:space="preserve">https://arxiv.org/abs/1301.3781</t>
  </si>
  <si>
    <t xml:space="preserve">R131</t>
  </si>
  <si>
    <t xml:space="preserve">Tomas Mikolov et al. (2013). Distributed Representations of Words and Phrases and their Compositionality. arXiv:1310.4546.</t>
  </si>
  <si>
    <t xml:space="preserve">https://arxiv.org/abs/1310.4546</t>
  </si>
  <si>
    <t xml:space="preserve">R132</t>
  </si>
  <si>
    <t xml:space="preserve">Pennington, J., Socher, R. and Manning, C. D. (2014). GloVe: Global Vectors for Word Representation. EMNLP 2014.</t>
  </si>
  <si>
    <t xml:space="preserve">https://aclanthology.org/D14-1162/</t>
  </si>
  <si>
    <t xml:space="preserve">R133</t>
  </si>
  <si>
    <t xml:space="preserve">Levy, O. and Goldberg, Y. (2014). Neural Word Embedding as Implicit Matrix Factorization. NeurIPS 2014.</t>
  </si>
  <si>
    <t xml:space="preserve">https://papers.nips.cc/paper_files/paper/2014/hash/b78666971ceae55a8e87efb7cbfd9ad4-Abstract.html</t>
  </si>
  <si>
    <t xml:space="preserve">R134</t>
  </si>
  <si>
    <t xml:space="preserve">Jacob Devlin et al. (2018). BERT: Pre-training of Deep Bidirectional Transformers for Language Understanding. arXiv:1810.04805.</t>
  </si>
  <si>
    <t xml:space="preserve">https://arxiv.org/abs/1810.04805</t>
  </si>
  <si>
    <t xml:space="preserve">R135</t>
  </si>
  <si>
    <t xml:space="preserve">Nils Reimers and Iryna Gurevych (2019). Sentence-BERT: Sentence Embeddings using Siamese BERT-Networks. arXiv:1908.10084.</t>
  </si>
  <si>
    <t xml:space="preserve">https://arxiv.org/abs/1908.10084</t>
  </si>
  <si>
    <t xml:space="preserve">R136</t>
  </si>
  <si>
    <t xml:space="preserve">Tianyu Gao et al. (2021). SimCSE: Simple Contrastive Learning of Sentence Embeddings. arXiv:2104.08821.</t>
  </si>
  <si>
    <t xml:space="preserve">https://arxiv.org/abs/2104.08821</t>
  </si>
  <si>
    <t xml:space="preserve">R137</t>
  </si>
  <si>
    <t xml:space="preserve">Ethayarajh, K. (2019). How Contextual are Contextualized Word Representations? Comparing the Geometry of BERT, ELMo, and GPT-2 Embeddings. EMNLP 2019.</t>
  </si>
  <si>
    <t xml:space="preserve">https://aclanthology.org/D19-1006/</t>
  </si>
  <si>
    <t xml:space="preserve">R138</t>
  </si>
  <si>
    <t xml:space="preserve">Niklas Muennighoff et al. (2022). MTEB: Massive Text Embedding Benchmark. arXiv:2210.07316.</t>
  </si>
  <si>
    <t xml:space="preserve">https://arxiv.org/abs/2210.07316</t>
  </si>
  <si>
    <t xml:space="preserve">R139</t>
  </si>
  <si>
    <t xml:space="preserve">Alammar, J. The Illustrated BERT, ELMo, and co. (How NLP Cracked Transfer Learning).</t>
  </si>
  <si>
    <t xml:space="preserve">https://jalammar.github.io/illustrated-bert/</t>
  </si>
  <si>
    <t xml:space="preserve">R140</t>
  </si>
  <si>
    <t xml:space="preserve">Ari Holtzman et al. (2019). The Curious Case of Neural Text Degeneration. arXiv:1904.09751.</t>
  </si>
  <si>
    <t xml:space="preserve">https://arxiv.org/abs/1904.09751</t>
  </si>
  <si>
    <t xml:space="preserve">R141</t>
  </si>
  <si>
    <t xml:space="preserve">Angela Fan et al. (2018). Hierarchical Neural Story Generation. arXiv:1805.04833.</t>
  </si>
  <si>
    <t xml:space="preserve">https://arxiv.org/abs/1805.04833</t>
  </si>
  <si>
    <t xml:space="preserve">R142</t>
  </si>
  <si>
    <t xml:space="preserve">Clara Meister et al. (2022). Locally Typical Sampling. arXiv:2202.00666.</t>
  </si>
  <si>
    <t xml:space="preserve">https://arxiv.org/abs/2202.00666</t>
  </si>
  <si>
    <t xml:space="preserve">R143</t>
  </si>
  <si>
    <t xml:space="preserve">Sean Welleck et al. (2019). Neural Text Generation with Unlikelihood Training. arXiv:1908.04319.</t>
  </si>
  <si>
    <t xml:space="preserve">https://arxiv.org/abs/1908.04319</t>
  </si>
  <si>
    <t xml:space="preserve">R144</t>
  </si>
  <si>
    <t xml:space="preserve">Gian Wiher et al. (2022). On Decoding Strategies for Neural Text Generators. arXiv:2203.15721.</t>
  </si>
  <si>
    <t xml:space="preserve">https://arxiv.org/abs/2203.15721</t>
  </si>
  <si>
    <t xml:space="preserve">R145</t>
  </si>
  <si>
    <t xml:space="preserve">Freitag, M. and Al-Onaizan, Y. (2017). Beam Search Strategies for Neural Machine Translation. First Workshop on Neural Machine Translation.</t>
  </si>
  <si>
    <t xml:space="preserve">https://aclanthology.org/W17-3207/</t>
  </si>
  <si>
    <t xml:space="preserve">R146</t>
  </si>
  <si>
    <t xml:space="preserve">Yaniv Leviathan et al. (2022). Fast Inference from Transformers via Speculative Decoding. arXiv:2211.17192.</t>
  </si>
  <si>
    <t xml:space="preserve">https://arxiv.org/abs/2211.17192</t>
  </si>
  <si>
    <t xml:space="preserve">W8-3; W10-4</t>
  </si>
  <si>
    <t xml:space="preserve">R147</t>
  </si>
  <si>
    <t xml:space="preserve">von Platen, P. (2020). How to generate text: using different decoding methods for language generation with Transformers. Hugging Face blog.</t>
  </si>
  <si>
    <t xml:space="preserve">https://huggingface.co/blog/how-to-generate</t>
  </si>
  <si>
    <t xml:space="preserve">R148</t>
  </si>
  <si>
    <t xml:space="preserve">Jianlin Su et al. (2021). RoFormer: Enhanced Transformer with Rotary Position Embedding. arXiv:2104.09864.</t>
  </si>
  <si>
    <t xml:space="preserve">https://arxiv.org/abs/2104.09864</t>
  </si>
  <si>
    <t xml:space="preserve">R149</t>
  </si>
  <si>
    <t xml:space="preserve">Ofir Press et al. (2021). Train Short, Test Long: Attention with Linear Biases Enables Input Length Extrapolation. arXiv:2108.12409.</t>
  </si>
  <si>
    <t xml:space="preserve">https://arxiv.org/abs/2108.12409</t>
  </si>
  <si>
    <t xml:space="preserve">R150</t>
  </si>
  <si>
    <t xml:space="preserve">Peter Shaw et al. (2018). Self-Attention with Relative Position Representations. arXiv:1803.02155.</t>
  </si>
  <si>
    <t xml:space="preserve">https://arxiv.org/abs/1803.02155</t>
  </si>
  <si>
    <t xml:space="preserve">R151</t>
  </si>
  <si>
    <t xml:space="preserve">Amirhossein Kazemnejad et al. (2023). The Impact of Positional Encoding on Length Generalization in Transformers. arXiv:2305.19466.</t>
  </si>
  <si>
    <t xml:space="preserve">https://arxiv.org/abs/2305.19466</t>
  </si>
  <si>
    <t xml:space="preserve">R152</t>
  </si>
  <si>
    <t xml:space="preserve">EleutherAI (2021). Rotary Embeddings: A Relative Revolution. EleutherAI blog.</t>
  </si>
  <si>
    <t xml:space="preserve">https://blog.eleuther.ai/rotary-embeddings/</t>
  </si>
  <si>
    <t xml:space="preserve">R153</t>
  </si>
  <si>
    <t xml:space="preserve">Yi Tay et al. (2020). Efficient Transformers: A Survey. arXiv:2009.06732.</t>
  </si>
  <si>
    <t xml:space="preserve">https://arxiv.org/abs/2009.06732</t>
  </si>
  <si>
    <t xml:space="preserve">R154</t>
  </si>
  <si>
    <t xml:space="preserve">Iz Beltagy et al. (2020). Longformer: The Long-Document Transformer. arXiv:2004.05150.</t>
  </si>
  <si>
    <t xml:space="preserve">https://arxiv.org/abs/2004.05150</t>
  </si>
  <si>
    <t xml:space="preserve">R155</t>
  </si>
  <si>
    <t xml:space="preserve">Tri Dao et al. (2022). FlashAttention: Fast and Memory-Efficient Exact Attention with IO-Awareness. arXiv:2205.14135.</t>
  </si>
  <si>
    <t xml:space="preserve">https://arxiv.org/abs/2205.14135</t>
  </si>
  <si>
    <t xml:space="preserve">W8-4; W10-4</t>
  </si>
  <si>
    <t xml:space="preserve">R156</t>
  </si>
  <si>
    <t xml:space="preserve">Jared Kaplan et al. (2020). Scaling Laws for Neural Language Models. arXiv:2001.08361.</t>
  </si>
  <si>
    <t xml:space="preserve">https://arxiv.org/abs/2001.08361</t>
  </si>
  <si>
    <t xml:space="preserve">R157</t>
  </si>
  <si>
    <t xml:space="preserve">Jordan Hoffmann et al. (2022). Training Compute-Optimal Large Language Models. arXiv:2203.15556.</t>
  </si>
  <si>
    <t xml:space="preserve">https://arxiv.org/abs/2203.15556</t>
  </si>
  <si>
    <t xml:space="preserve">R158</t>
  </si>
  <si>
    <t xml:space="preserve">Tom B. Brown et al. (2020). Language Models are Few-Shot Learners. arXiv:2005.14165.</t>
  </si>
  <si>
    <t xml:space="preserve">https://arxiv.org/abs/2005.14165</t>
  </si>
  <si>
    <t xml:space="preserve">R159</t>
  </si>
  <si>
    <t xml:space="preserve">Jason Wei et al. (2021). Finetuned Language Models Are Zero-Shot Learners. arXiv:2109.01652.</t>
  </si>
  <si>
    <t xml:space="preserve">https://arxiv.org/abs/2109.01652</t>
  </si>
  <si>
    <t xml:space="preserve">R160</t>
  </si>
  <si>
    <t xml:space="preserve">Long Ouyang et al. (2022). Training language models to follow instructions with human feedback. arXiv:2203.02155.</t>
  </si>
  <si>
    <t xml:space="preserve">https://arxiv.org/abs/2203.02155</t>
  </si>
  <si>
    <t xml:space="preserve">R161</t>
  </si>
  <si>
    <t xml:space="preserve">Paul Christiano et al. (2017). Deep reinforcement learning from human preferences. arXiv:1706.03741.</t>
  </si>
  <si>
    <t xml:space="preserve">https://arxiv.org/abs/1706.03741</t>
  </si>
  <si>
    <t xml:space="preserve">R162</t>
  </si>
  <si>
    <t xml:space="preserve">Rafael Rafailov et al. (2023). Direct Preference Optimization: Your Language Model is Secretly a Reward Model. arXiv:2305.18290.</t>
  </si>
  <si>
    <t xml:space="preserve">https://arxiv.org/abs/2305.18290</t>
  </si>
  <si>
    <t xml:space="preserve">R163</t>
  </si>
  <si>
    <t xml:space="preserve">Jason Wei et al. (2022). Chain-of-Thought Prompting Elicits Reasoning in Large Language Models. arXiv:2201.11903.</t>
  </si>
  <si>
    <t xml:space="preserve">https://arxiv.org/abs/2201.11903</t>
  </si>
  <si>
    <t xml:space="preserve">R164</t>
  </si>
  <si>
    <t xml:space="preserve">Takeshi Kojima et al. (2022). Large Language Models are Zero-Shot Reasoners. arXiv:2205.11916.</t>
  </si>
  <si>
    <t xml:space="preserve">https://arxiv.org/abs/2205.11916</t>
  </si>
  <si>
    <t xml:space="preserve">R165</t>
  </si>
  <si>
    <t xml:space="preserve">Sewon Min et al. (2022). Rethinking the Role of Demonstrations: What Makes In-Context Learning Work?. arXiv:2202.12837.</t>
  </si>
  <si>
    <t xml:space="preserve">https://arxiv.org/abs/2202.12837</t>
  </si>
  <si>
    <t xml:space="preserve">R166</t>
  </si>
  <si>
    <t xml:space="preserve">Tony Z. Zhao et al. (2021). Calibrate Before Use: Improving Few-Shot Performance of Language Models. arXiv:2102.09690.</t>
  </si>
  <si>
    <t xml:space="preserve">https://arxiv.org/abs/2102.09690</t>
  </si>
  <si>
    <t xml:space="preserve">R167</t>
  </si>
  <si>
    <t xml:space="preserve">Lu, Y., Bartolo, M., Moore, A., Riedel, S. and Stenetorp, P. (2022). Fantastically Ordered Prompts and Where to Find Them: Overcoming Few-Shot Prompt Order Sensitivity. ACL 2022.</t>
  </si>
  <si>
    <t xml:space="preserve">https://aclanthology.org/2022.acl-long.556/</t>
  </si>
  <si>
    <t xml:space="preserve">R168</t>
  </si>
  <si>
    <t xml:space="preserve">Sang Michael Xie et al. (2021). An Explanation of In-context Learning as Implicit Bayesian Inference. arXiv:2111.02080.</t>
  </si>
  <si>
    <t xml:space="preserve">https://arxiv.org/abs/2111.02080</t>
  </si>
  <si>
    <t xml:space="preserve">R169</t>
  </si>
  <si>
    <t xml:space="preserve">Olsson, C. et al. (2022). In-context Learning and Induction Heads. Transformer Circuits Thread.</t>
  </si>
  <si>
    <t xml:space="preserve">https://transformer-circuits.pub/2022/in-context-learning-and-induction-heads/index.html</t>
  </si>
  <si>
    <t xml:space="preserve">R170</t>
  </si>
  <si>
    <t xml:space="preserve">Qingxiu Dong et al. (2022). A Survey on In-context Learning. arXiv:2301.00234.</t>
  </si>
  <si>
    <t xml:space="preserve">https://arxiv.org/abs/2301.00234</t>
  </si>
  <si>
    <t xml:space="preserve">R171</t>
  </si>
  <si>
    <t xml:space="preserve">Brandon T. Willard and Rémi Louf (2023). Efficient Guided Generation for Large Language Models. arXiv:2307.09702.</t>
  </si>
  <si>
    <t xml:space="preserve">https://arxiv.org/abs/2307.09702</t>
  </si>
  <si>
    <t xml:space="preserve">R172</t>
  </si>
  <si>
    <t xml:space="preserve">Yixin Dong et al. (2024). XGrammar: Flexible and Efficient Structured Generation Engine for Large Language Models. arXiv:2411.15100.</t>
  </si>
  <si>
    <t xml:space="preserve">https://arxiv.org/abs/2411.15100</t>
  </si>
  <si>
    <t xml:space="preserve">R173</t>
  </si>
  <si>
    <t xml:space="preserve">Saibo Geng et al. (2023). Grammar-Constrained Decoding for Structured NLP Tasks without Finetuning. arXiv:2305.13971.</t>
  </si>
  <si>
    <t xml:space="preserve">https://arxiv.org/abs/2305.13971</t>
  </si>
  <si>
    <t xml:space="preserve">R174</t>
  </si>
  <si>
    <t xml:space="preserve">Luca Beurer-Kellner et al. (2024). Guiding LLMs The Right Way: Fast, Non-Invasive Constrained Generation. arXiv:2403.06988.</t>
  </si>
  <si>
    <t xml:space="preserve">https://arxiv.org/abs/2403.06988</t>
  </si>
  <si>
    <t xml:space="preserve">R175</t>
  </si>
  <si>
    <t xml:space="preserve">Terry Koo et al. (2024). Automata-based constraints for language model decoding. arXiv:2407.08103.</t>
  </si>
  <si>
    <t xml:space="preserve">https://arxiv.org/abs/2407.08103</t>
  </si>
  <si>
    <t xml:space="preserve">R176</t>
  </si>
  <si>
    <t xml:space="preserve">Torsten Scholak et al. (2021). PICARD: Parsing Incrementally for Constrained Auto-Regressive Decoding from Language Models. arXiv:2109.05093.</t>
  </si>
  <si>
    <t xml:space="preserve">https://arxiv.org/abs/2109.05093</t>
  </si>
  <si>
    <t xml:space="preserve">R177</t>
  </si>
  <si>
    <t xml:space="preserve">Zhi Rui Tam et al. (2024). Let Me Speak Freely? A Study on the Impact of Format Restrictions on Performance of Large Language Models. arXiv:2408.02442.</t>
  </si>
  <si>
    <t xml:space="preserve">https://arxiv.org/abs/2408.02442</t>
  </si>
  <si>
    <t xml:space="preserve">R178</t>
  </si>
  <si>
    <t xml:space="preserve">Sipser, M. (2020). 18.404J Theory of Computation. MIT OpenCourseWare. Regular and context-free languages, automata.</t>
  </si>
  <si>
    <t xml:space="preserve">https://ocw.mit.edu/courses/18-404j-theory-of-computation-fall-2020/</t>
  </si>
  <si>
    <t xml:space="preserve">R179</t>
  </si>
  <si>
    <t xml:space="preserve">JSON Schema. Specification, reference and guides.</t>
  </si>
  <si>
    <t xml:space="preserve">https://json-schema.org/</t>
  </si>
  <si>
    <t xml:space="preserve">R180</t>
  </si>
  <si>
    <t xml:space="preserve">dottxt-ai. Outlines: structured outputs for language models. Source repository.</t>
  </si>
  <si>
    <t xml:space="preserve">https://github.com/dottxt-ai/outlines</t>
  </si>
  <si>
    <t xml:space="preserve">R181</t>
  </si>
  <si>
    <t xml:space="preserve">Evan Miller (2024). Adding Error Bars to Evals: A Statistical Approach to Language Model Evaluations. arXiv:2411.00640.</t>
  </si>
  <si>
    <t xml:space="preserve">https://arxiv.org/abs/2411.00640</t>
  </si>
  <si>
    <t xml:space="preserve">R182</t>
  </si>
  <si>
    <t xml:space="preserve">Dror, R., Baumer, G., Shlomov, S. and Reichart, R. (2018). The Hitchhiker's Guide to Testing Statistical Significance in Natural Language Processing. ACL 2018.</t>
  </si>
  <si>
    <t xml:space="preserve">https://aclanthology.org/P18-1128/</t>
  </si>
  <si>
    <t xml:space="preserve">R183</t>
  </si>
  <si>
    <t xml:space="preserve">Berg-Kirkpatrick, T., Burkett, D. and Klein, D. (2012). An Empirical Investigation of Statistical Significance in NLP. EMNLP 2012.</t>
  </si>
  <si>
    <t xml:space="preserve">https://aclanthology.org/D12-1091/</t>
  </si>
  <si>
    <t xml:space="preserve">R184</t>
  </si>
  <si>
    <t xml:space="preserve">Koehn, P. (2004). Statistical Significance Tests for Machine Translation Evaluation. EMNLP 2004.</t>
  </si>
  <si>
    <t xml:space="preserve">https://aclanthology.org/W04-3250/</t>
  </si>
  <si>
    <t xml:space="preserve">R185</t>
  </si>
  <si>
    <t xml:space="preserve">Dietterich, T. G. (1998). Approximate Statistical Tests for Comparing Supervised Classification Learning Algorithms. Neural Computation 10(7).</t>
  </si>
  <si>
    <t xml:space="preserve">https://sci2s.ugr.es/keel/pdf/algorithm/articulo/dietterich1998.pdf</t>
  </si>
  <si>
    <t xml:space="preserve">R186</t>
  </si>
  <si>
    <t xml:space="preserve">Card, D., Henderson, P., Khandelwal, U., Jia, R., Mahowald, K. and Jurafsky, D. (2020). With Little Power Comes Great Responsibility. EMNLP 2020.</t>
  </si>
  <si>
    <t xml:space="preserve">https://aclanthology.org/2020.emnlp-main.745/</t>
  </si>
  <si>
    <t xml:space="preserve">R187</t>
  </si>
  <si>
    <t xml:space="preserve">Artstein, R. and Poesio, M. (2008). Inter-Coder Agreement for Computational Linguistics. Computational Linguistics 34(4).</t>
  </si>
  <si>
    <t xml:space="preserve">https://aclanthology.org/J08-4004/</t>
  </si>
  <si>
    <t xml:space="preserve">R188</t>
  </si>
  <si>
    <t xml:space="preserve">Lianmin Zheng et al. (2023). Judging LLM-as-a-Judge with MT-Bench and Chatbot Arena. arXiv:2306.05685.</t>
  </si>
  <si>
    <t xml:space="preserve">https://arxiv.org/abs/2306.05685</t>
  </si>
  <si>
    <t xml:space="preserve">R189</t>
  </si>
  <si>
    <t xml:space="preserve">Peiyi Wang et al. (2023). Large Language Models are not Fair Evaluators. arXiv:2305.17926.</t>
  </si>
  <si>
    <t xml:space="preserve">https://arxiv.org/abs/2305.17926</t>
  </si>
  <si>
    <t xml:space="preserve">R190</t>
  </si>
  <si>
    <t xml:space="preserve">scikit-learn reference: sklearn.metrics.cohen_kappa_score.</t>
  </si>
  <si>
    <t xml:space="preserve">https://scikit-learn.org/stable/modules/generated/sklearn.metrics.cohen_kappa_score.html</t>
  </si>
  <si>
    <t xml:space="preserve">R191</t>
  </si>
  <si>
    <t xml:space="preserve">kipply (2022). Transformer Inference Arithmetic.</t>
  </si>
  <si>
    <t xml:space="preserve">https://kipp.ly/p/transformer-inference-arithmetic</t>
  </si>
  <si>
    <t xml:space="preserve">R192</t>
  </si>
  <si>
    <t xml:space="preserve">EleutherAI (2023). Transformer Math 101. EleutherAI blog.</t>
  </si>
  <si>
    <t xml:space="preserve">https://blog.eleuther.ai/transformer-math/</t>
  </si>
  <si>
    <t xml:space="preserve">R193</t>
  </si>
  <si>
    <t xml:space="preserve">Reiner Pope et al. (2022). Efficiently Scaling Transformer Inference. arXiv:2211.05102.</t>
  </si>
  <si>
    <t xml:space="preserve">https://arxiv.org/abs/2211.05102</t>
  </si>
  <si>
    <t xml:space="preserve">R194</t>
  </si>
  <si>
    <t xml:space="preserve">Woosuk Kwon et al. (2023). Efficient Memory Management for Large Language Model Serving with PagedAttention. arXiv:2309.06180.</t>
  </si>
  <si>
    <t xml:space="preserve">https://arxiv.org/abs/2309.06180</t>
  </si>
  <si>
    <t xml:space="preserve">R195</t>
  </si>
  <si>
    <t xml:space="preserve">Yu, G.-I., Jeong, J. S., Kim, G.-W., Kim, S. and Chun, B.-G. (2022). Orca: A Distributed Serving System for Transformer-Based Generative Models. OSDI 2022.</t>
  </si>
  <si>
    <t xml:space="preserve">https://www.usenix.org/conference/osdi22/presentation/yu</t>
  </si>
  <si>
    <t xml:space="preserve">R196</t>
  </si>
  <si>
    <t xml:space="preserve">Noam Shazeer (2019). Fast Transformer Decoding: One Write-Head is All You Need. arXiv:1911.02150.</t>
  </si>
  <si>
    <t xml:space="preserve">https://arxiv.org/abs/1911.02150</t>
  </si>
  <si>
    <t xml:space="preserve">R197</t>
  </si>
  <si>
    <t xml:space="preserve">Joshua Ainslie et al. (2023). GQA: Training Generalized Multi-Query Transformer Models from Multi-Head Checkpoints. arXiv:2305.13245.</t>
  </si>
  <si>
    <t xml:space="preserve">https://arxiv.org/abs/2305.13245</t>
  </si>
  <si>
    <t xml:space="preserve">R198</t>
  </si>
  <si>
    <t xml:space="preserve">Tim Dettmers et al. (2022). LLM.int8(): 8-bit Matrix Multiplication for Transformers at Scale. arXiv:2208.07339.</t>
  </si>
  <si>
    <t xml:space="preserve">https://arxiv.org/abs/2208.07339</t>
  </si>
  <si>
    <t xml:space="preserve">R199</t>
  </si>
  <si>
    <t xml:space="preserve">Elias Frantar et al. (2022). GPTQ: Accurate Post-Training Quantization for Generative Pre-trained Transformers. arXiv:2210.17323.</t>
  </si>
  <si>
    <t xml:space="preserve">https://arxiv.org/abs/2210.17323</t>
  </si>
  <si>
    <t xml:space="preserve">R200</t>
  </si>
  <si>
    <t xml:space="preserve">Ji Lin et al. (2023). AWQ: Activation-aware Weight Quantization for LLM Compression and Acceleration. arXiv:2306.00978.</t>
  </si>
  <si>
    <t xml:space="preserve">https://arxiv.org/abs/2306.00978</t>
  </si>
  <si>
    <t xml:space="preserve">R201</t>
  </si>
  <si>
    <t xml:space="preserve">NVIDIA Technical Blog. Mastering LLM Techniques: Inference Optimization.</t>
  </si>
  <si>
    <t xml:space="preserve">https://developer.nvidia.com/blog/mastering-llm-techniques-inference-optimization/</t>
  </si>
  <si>
    <t xml:space="preserve">R202</t>
  </si>
  <si>
    <t xml:space="preserve">Manning, C. D., Raghavan, P. and Schütze, H. (2008). Introduction to Information Retrieval. Cambridge University Press. Free online.</t>
  </si>
  <si>
    <t xml:space="preserve">https://nlp.stanford.edu/IR-book/</t>
  </si>
  <si>
    <t xml:space="preserve">W11-1 (Ch. 1, 2, 6, 11 and 12)</t>
  </si>
  <si>
    <t xml:space="preserve">R203</t>
  </si>
  <si>
    <t xml:space="preserve">Croft, W. B., Metzler, D. and Strohman, T. (2015). Search Engines: Information Retrieval in Practice. Free PDF from the authors.</t>
  </si>
  <si>
    <t xml:space="preserve">https://ciir.cs.umass.edu/irbook/</t>
  </si>
  <si>
    <t xml:space="preserve">R204</t>
  </si>
  <si>
    <t xml:space="preserve">Robertson, S. and Zaragoza, H. (2009). The Probabilistic Relevance Framework: BM25 and Beyond. Foundations and Trends in Information Retrieval 3(4).</t>
  </si>
  <si>
    <t xml:space="preserve">https://www.staff.city.ac.uk/~sbrp622/papers/foundations_bm25_review.pdf</t>
  </si>
  <si>
    <t xml:space="preserve">R205</t>
  </si>
  <si>
    <t xml:space="preserve">Robertson, S. (2004). Understanding Inverse Document Frequency: On theoretical arguments for IDF. Journal of Documentation 60(5).</t>
  </si>
  <si>
    <t xml:space="preserve">https://www.staff.city.ac.uk/~sbrp622/idfpapers/Robertson_idf_JDoc.pdf</t>
  </si>
  <si>
    <t xml:space="preserve">R206</t>
  </si>
  <si>
    <t xml:space="preserve">Nandan Thakur et al. (2021). BEIR: A Heterogenous Benchmark for Zero-shot Evaluation of Information Retrieval Models. arXiv:2104.08663.</t>
  </si>
  <si>
    <t xml:space="preserve">https://arxiv.org/abs/2104.08663</t>
  </si>
  <si>
    <t xml:space="preserve">W11-1; W11-3; W11-4</t>
  </si>
  <si>
    <t xml:space="preserve">R207</t>
  </si>
  <si>
    <t xml:space="preserve">Jimmy Lin et al. (2020). Pretrained Transformers for Text Ranking: BERT and Beyond. arXiv:2010.06467.</t>
  </si>
  <si>
    <t xml:space="preserve">https://arxiv.org/abs/2010.06467</t>
  </si>
  <si>
    <t xml:space="preserve">W11-1; W11-3</t>
  </si>
  <si>
    <t xml:space="preserve">R208</t>
  </si>
  <si>
    <t xml:space="preserve">Stanford CS276: Information Retrieval and Web Search. Course site with slides.</t>
  </si>
  <si>
    <t xml:space="preserve">https://web.stanford.edu/class/cs276/</t>
  </si>
  <si>
    <t xml:space="preserve">R209</t>
  </si>
  <si>
    <t xml:space="preserve">Elastic blog. Practical BM25, Part 2: The BM25 Algorithm and its Variables.</t>
  </si>
  <si>
    <t xml:space="preserve">https://www.elastic.co/blog/practical-bm25-part-2-the-bm25-algorithm-and-its-variables</t>
  </si>
  <si>
    <t xml:space="preserve">R210</t>
  </si>
  <si>
    <t xml:space="preserve">Yu. A. Malkov and D. A. Yashunin (2016). Approximate nearest neighbor search using Hierarchical Navigable Small World graphs (the HNSW paper). arXiv:1603.09320.</t>
  </si>
  <si>
    <t xml:space="preserve">https://arxiv.org/abs/1603.09320</t>
  </si>
  <si>
    <t xml:space="preserve">R211</t>
  </si>
  <si>
    <t xml:space="preserve">Jégou, H., Douze, M. and Schmid, C. (2011). Product quantization for nearest neighbor search. IEEE Transactions on Pattern Analysis and Machine Intelligence 33(1).</t>
  </si>
  <si>
    <t xml:space="preserve">https://www.irisa.fr/texmex/people/jegou/papers/jegou_searching_with_quantization.pdf</t>
  </si>
  <si>
    <t xml:space="preserve">R212</t>
  </si>
  <si>
    <t xml:space="preserve">Leskovec, J., Rajaraman, A. and Ullman, J. D. Mining of Massive Datasets. Cambridge University Press. Chapter 3, Finding Similar Items (free chapter PDF).</t>
  </si>
  <si>
    <t xml:space="preserve">http://infolab.stanford.edu/~ullman/mmds/ch3.pdf</t>
  </si>
  <si>
    <t xml:space="preserve">R213</t>
  </si>
  <si>
    <t xml:space="preserve">Matthijs Douze et al. (2024). The Faiss library. arXiv:2401.08281.</t>
  </si>
  <si>
    <t xml:space="preserve">https://arxiv.org/abs/2401.08281</t>
  </si>
  <si>
    <t xml:space="preserve">R214</t>
  </si>
  <si>
    <t xml:space="preserve">Jeff Johnson et al. (2017). Billion-scale similarity search with GPUs. arXiv:1702.08734.</t>
  </si>
  <si>
    <t xml:space="preserve">https://arxiv.org/abs/1702.08734</t>
  </si>
  <si>
    <t xml:space="preserve">R215</t>
  </si>
  <si>
    <t xml:space="preserve">Ruiqi Guo et al. (2019). Accelerating Large-Scale Inference with Anisotropic Vector Quantization. arXiv:1908.10396.</t>
  </si>
  <si>
    <t xml:space="preserve">https://arxiv.org/abs/1908.10396</t>
  </si>
  <si>
    <t xml:space="preserve">R216</t>
  </si>
  <si>
    <t xml:space="preserve">Subramanya, S. J., Devvrit, Kadekodi, R., Krishnaswamy, R. and Simhadri, H. V. (2019). DiskANN: Fast Accurate Billion-point Nearest Neighbor Search on a Single Node. NeurIPS 2019.</t>
  </si>
  <si>
    <t xml:space="preserve">https://papers.nips.cc/paper_files/paper/2019/hash/09853c7fb1d3f8ee67a61b6bf4a7f8e6-Abstract.html</t>
  </si>
  <si>
    <t xml:space="preserve">R217</t>
  </si>
  <si>
    <t xml:space="preserve">Beyer, K., Goldstein, J., Ramakrishnan, R. and Shaft, U. (1999). When Is Nearest Neighbor Meaningful? ICDT 1999, LNCS 1540.</t>
  </si>
  <si>
    <t xml:space="preserve">https://link.springer.com/chapter/10.1007/3-540-49257-7_15</t>
  </si>
  <si>
    <t xml:space="preserve">R218</t>
  </si>
  <si>
    <t xml:space="preserve">Martin Aumüller et al. (2018). ANN-Benchmarks: A Benchmarking Tool for Approximate Nearest Neighbor Algorithms. arXiv:1807.05614.</t>
  </si>
  <si>
    <t xml:space="preserve">https://arxiv.org/abs/1807.05614</t>
  </si>
  <si>
    <t xml:space="preserve">R219</t>
  </si>
  <si>
    <t xml:space="preserve">ANN-Benchmarks. Recall against throughput for approximate nearest-neighbour libraries.</t>
  </si>
  <si>
    <t xml:space="preserve">https://ann-benchmarks.com/</t>
  </si>
  <si>
    <t xml:space="preserve">R220</t>
  </si>
  <si>
    <t xml:space="preserve">Pinecone. Faiss: The Missing Manual. Tutorial series on IVF, product quantisation and HNSW.</t>
  </si>
  <si>
    <t xml:space="preserve">https://www.pinecone.io/learn/series/faiss/</t>
  </si>
  <si>
    <t xml:space="preserve">R221</t>
  </si>
  <si>
    <t xml:space="preserve">pgvector. Open-source vector similarity search for Postgres. Source repository and documentation.</t>
  </si>
  <si>
    <t xml:space="preserve">https://github.com/pgvector/pgvector</t>
  </si>
  <si>
    <t xml:space="preserve">R222</t>
  </si>
  <si>
    <t xml:space="preserve">Burges, C. J. C. (2010). From RankNet to LambdaRank to LambdaMART: An Overview. Microsoft Research Technical Report MSR-TR-2010-82.</t>
  </si>
  <si>
    <t xml:space="preserve">https://www.microsoft.com/en-us/research/publication/from-ranknet-to-lambdarank-to-lambdamart-an-overview/</t>
  </si>
  <si>
    <t xml:space="preserve">R223</t>
  </si>
  <si>
    <t xml:space="preserve">Rodrigo Nogueira and Kyunghyun Cho (2019). Passage Re-ranking with BERT. arXiv:1901.04085.</t>
  </si>
  <si>
    <t xml:space="preserve">https://arxiv.org/abs/1901.04085</t>
  </si>
  <si>
    <t xml:space="preserve">R224</t>
  </si>
  <si>
    <t xml:space="preserve">Omar Khattab and Matei Zaharia (2020). ColBERT: Efficient and Effective Passage Search via Contextualized Late Interaction over BERT. arXiv:2004.12832.</t>
  </si>
  <si>
    <t xml:space="preserve">https://arxiv.org/abs/2004.12832</t>
  </si>
  <si>
    <t xml:space="preserve">R225</t>
  </si>
  <si>
    <t xml:space="preserve">Vladimir Karpukhin et al. (2020). Dense Passage Retrieval for Open-Domain Question Answering. arXiv:2004.04906.</t>
  </si>
  <si>
    <t xml:space="preserve">https://arxiv.org/abs/2004.04906</t>
  </si>
  <si>
    <t xml:space="preserve">R226</t>
  </si>
  <si>
    <t xml:space="preserve">Lee Xiong et al. (2020). Approximate Nearest Neighbor Negative Contrastive Learning for Dense Text Retrieval. arXiv:2007.00808.</t>
  </si>
  <si>
    <t xml:space="preserve">https://arxiv.org/abs/2007.00808</t>
  </si>
  <si>
    <t xml:space="preserve">R227</t>
  </si>
  <si>
    <t xml:space="preserve">Thibault Formal et al. (2021). SPLADE: Sparse Lexical and Expansion Model for First Stage Ranking. arXiv:2107.05720.</t>
  </si>
  <si>
    <t xml:space="preserve">https://arxiv.org/abs/2107.05720</t>
  </si>
  <si>
    <t xml:space="preserve">R228</t>
  </si>
  <si>
    <t xml:space="preserve">Cormack, G. V., Clarke, C. L. A. and Büttcher, S. (2009). Reciprocal Rank Fusion outperforms Condorcet and individual Rank Learning Methods. SIGIR 2009.</t>
  </si>
  <si>
    <t xml:space="preserve">https://plg.uwaterloo.ca/~gvcormac/cormacksigir09-rrf.pdf</t>
  </si>
  <si>
    <t xml:space="preserve">R229</t>
  </si>
  <si>
    <t xml:space="preserve">Sentence Transformers documentation: Cross-Encoders, usage and retrieve-and-rerank.</t>
  </si>
  <si>
    <t xml:space="preserve">https://sbert.net/examples/cross_encoder/applications/README.html</t>
  </si>
  <si>
    <t xml:space="preserve">R230</t>
  </si>
  <si>
    <t xml:space="preserve">Manning, C. D., Raghavan, P. and Schütze, H. (2008). Introduction to Information Retrieval. Cambridge University Press. Chapter 8, Evaluation in information retrieval. Free online.</t>
  </si>
  <si>
    <t xml:space="preserve">https://nlp.stanford.edu/IR-book/html/htmledition/evaluation-in-information-retrieval-1.html</t>
  </si>
  <si>
    <t xml:space="preserve">R231</t>
  </si>
  <si>
    <t xml:space="preserve">Järvelin, K. and Kekäläinen, J. (2002). Cumulated Gain-Based Evaluation of IR Techniques. ACM Transactions on Information Systems 20(4).</t>
  </si>
  <si>
    <t xml:space="preserve">https://faculty.cc.gatech.edu/~zha/CS8803WST/dcg.pdf</t>
  </si>
  <si>
    <t xml:space="preserve">R232</t>
  </si>
  <si>
    <t xml:space="preserve">Voorhees, E. M. (2002). The Philosophy of Information Retrieval Evaluation. CLEF 2001, LNCS 2406.</t>
  </si>
  <si>
    <t xml:space="preserve">https://link.springer.com/chapter/10.1007/3-540-45691-0_34</t>
  </si>
  <si>
    <t xml:space="preserve">R233</t>
  </si>
  <si>
    <t xml:space="preserve">Julián Urbano et al. (2019). Statistical Significance Testing in Information Retrieval: An Empirical Analysis of Type I, Type II and Type III Errors. arXiv:1905.11096.</t>
  </si>
  <si>
    <t xml:space="preserve">https://arxiv.org/abs/1905.11096</t>
  </si>
  <si>
    <t xml:space="preserve">R234</t>
  </si>
  <si>
    <t xml:space="preserve">Shahul Es et al. (2023). Ragas: Automated Evaluation of Retrieval Augmented Generation. arXiv:2309.15217.</t>
  </si>
  <si>
    <t xml:space="preserve">https://arxiv.org/abs/2309.15217</t>
  </si>
  <si>
    <t xml:space="preserve">R235</t>
  </si>
  <si>
    <t xml:space="preserve">Jon Saad-Falcon et al. (2023). ARES: An Automated Evaluation Framework for Retrieval-Augmented Generation Systems. arXiv:2311.09476.</t>
  </si>
  <si>
    <t xml:space="preserve">https://arxiv.org/abs/2311.09476</t>
  </si>
  <si>
    <t xml:space="preserve">R236</t>
  </si>
  <si>
    <t xml:space="preserve">Hao Yu et al. (2024). Evaluation of Retrieval-Augmented Generation: A Survey. arXiv:2405.07437.</t>
  </si>
  <si>
    <t xml:space="preserve">https://arxiv.org/abs/2405.07437</t>
  </si>
  <si>
    <t xml:space="preserve">R237</t>
  </si>
  <si>
    <t xml:space="preserve">Resource</t>
  </si>
  <si>
    <t xml:space="preserve">National Institute of Standards and Technology. Text REtrieval Conference (TREC): test collections, tracks and proceedings.</t>
  </si>
  <si>
    <t xml:space="preserve">https://trec.nist.gov/</t>
  </si>
  <si>
    <t xml:space="preserve">R238</t>
  </si>
  <si>
    <t xml:space="preserve">Patrick Lewis et al. (2020). Retrieval-Augmented Generation for Knowledge-Intensive NLP Tasks. arXiv:2005.11401.</t>
  </si>
  <si>
    <t xml:space="preserve">https://arxiv.org/abs/2005.11401</t>
  </si>
  <si>
    <t xml:space="preserve">R239</t>
  </si>
  <si>
    <t xml:space="preserve">Nelson F. Liu et al. (2023). Lost in the Middle: How Language Models Use Long Contexts. arXiv:2307.03172.</t>
  </si>
  <si>
    <t xml:space="preserve">https://arxiv.org/abs/2307.03172</t>
  </si>
  <si>
    <t xml:space="preserve">R240</t>
  </si>
  <si>
    <t xml:space="preserve">Cheng-Ping Hsieh et al. (2024). RULER: What's the Real Context Size of Your Long-Context Language Models?. arXiv:2404.06654.</t>
  </si>
  <si>
    <t xml:space="preserve">https://arxiv.org/abs/2404.06654</t>
  </si>
  <si>
    <t xml:space="preserve">R241</t>
  </si>
  <si>
    <t xml:space="preserve">Kamradt, G. needle-in-a-haystack: retrieval from language models at various context lengths. Source repository.</t>
  </si>
  <si>
    <t xml:space="preserve">https://github.com/gkamradt/needle-in-a-haystack</t>
  </si>
  <si>
    <t xml:space="preserve">R242</t>
  </si>
  <si>
    <t xml:space="preserve">Peng Xu et al. (2023). Retrieval meets Long Context Large Language Models. arXiv:2310.03025.</t>
  </si>
  <si>
    <t xml:space="preserve">https://arxiv.org/abs/2310.03025</t>
  </si>
  <si>
    <t xml:space="preserve">R243</t>
  </si>
  <si>
    <t xml:space="preserve">Ziwei Ji et al. (2022). Survey of Hallucination in Natural Language Generation. arXiv:2202.03629.</t>
  </si>
  <si>
    <t xml:space="preserve">https://arxiv.org/abs/2202.03629</t>
  </si>
  <si>
    <t xml:space="preserve">R244</t>
  </si>
  <si>
    <t xml:space="preserve">Lei Huang et al. (2023). A Survey on Hallucination in Large Language Models: Principles, Taxonomy, Challenges, and Open Questions. arXiv:2311.05232.</t>
  </si>
  <si>
    <t xml:space="preserve">https://arxiv.org/abs/2311.05232</t>
  </si>
  <si>
    <t xml:space="preserve">R245</t>
  </si>
  <si>
    <t xml:space="preserve">Adam Tauman Kalai and Santosh S. Vempala (2023). Calibrated Language Models Must Hallucinate. arXiv:2311.14648.</t>
  </si>
  <si>
    <t xml:space="preserve">https://arxiv.org/abs/2311.14648</t>
  </si>
  <si>
    <t xml:space="preserve">R246</t>
  </si>
  <si>
    <t xml:space="preserve">Saurav Kadavath et al. (2022). Language Models (Mostly) Know What They Know. arXiv:2207.05221.</t>
  </si>
  <si>
    <t xml:space="preserve">https://arxiv.org/abs/2207.05221</t>
  </si>
  <si>
    <t xml:space="preserve">R247</t>
  </si>
  <si>
    <t xml:space="preserve">Stephanie Lin et al. (2021). TruthfulQA: Measuring How Models Mimic Human Falsehoods. arXiv:2109.07958.</t>
  </si>
  <si>
    <t xml:space="preserve">https://arxiv.org/abs/2109.07958</t>
  </si>
  <si>
    <t xml:space="preserve">R248</t>
  </si>
  <si>
    <t xml:space="preserve">Sewon Min et al. (2023). FActScore: Fine-grained Atomic Evaluation of Factual Precision in Long Form Text Generation. arXiv:2305.14251.</t>
  </si>
  <si>
    <t xml:space="preserve">https://arxiv.org/abs/2305.14251</t>
  </si>
  <si>
    <t xml:space="preserve">R249</t>
  </si>
  <si>
    <t xml:space="preserve">Tianyu Gao et al. (2023). Enabling Large Language Models to Generate Text with Citations. arXiv:2305.14627.</t>
  </si>
  <si>
    <t xml:space="preserve">https://arxiv.org/abs/2305.14627</t>
  </si>
  <si>
    <t xml:space="preserve">R250</t>
  </si>
  <si>
    <t xml:space="preserve">Hannah Rashkin et al. (2021). Measuring Attribution in Natural Language Generation Models. arXiv:2112.12870.</t>
  </si>
  <si>
    <t xml:space="preserve">https://arxiv.org/abs/2112.12870</t>
  </si>
</sst>
</file>

<file path=xl/styles.xml><?xml version="1.0" encoding="utf-8"?>
<styleSheet xmlns="http://schemas.openxmlformats.org/spreadsheetml/2006/main">
  <numFmts count="6">
    <numFmt numFmtId="164" formatCode="General"/>
    <numFmt numFmtId="165" formatCode="0"/>
    <numFmt numFmtId="166" formatCode="dd\ mmm\ yyyy"/>
    <numFmt numFmtId="167" formatCode="ddd\ dd\ mmm\ yyyy"/>
    <numFmt numFmtId="168" formatCode="&quot;Week &quot;0"/>
    <numFmt numFmtId="169" formatCode="General"/>
  </numFmts>
  <fonts count="25">
    <font>
      <sz val="11"/>
      <color theme="1"/>
      <name val="Calibri"/>
      <family val="2"/>
      <charset val="1"/>
    </font>
    <font>
      <sz val="10"/>
      <name val="Arial"/>
      <family val="0"/>
    </font>
    <font>
      <sz val="10"/>
      <name val="Arial"/>
      <family val="0"/>
    </font>
    <font>
      <sz val="10"/>
      <name val="Arial"/>
      <family val="0"/>
    </font>
    <font>
      <b val="true"/>
      <sz val="15"/>
      <color rgb="FF1C1B16"/>
      <name val="Georgia"/>
      <family val="0"/>
      <charset val="1"/>
    </font>
    <font>
      <i val="true"/>
      <sz val="9"/>
      <color rgb="FF595959"/>
      <name val="Arial"/>
      <family val="0"/>
      <charset val="1"/>
    </font>
    <font>
      <b val="true"/>
      <sz val="20"/>
      <color rgb="FF7A4E12"/>
      <name val="Georgia"/>
      <family val="0"/>
      <charset val="1"/>
    </font>
    <font>
      <b val="true"/>
      <sz val="17"/>
      <color rgb="FF7A4E12"/>
      <name val="Georgia"/>
      <family val="0"/>
      <charset val="1"/>
    </font>
    <font>
      <b val="true"/>
      <sz val="14"/>
      <color rgb="FF7A4E12"/>
      <name val="Georgia"/>
      <family val="0"/>
      <charset val="1"/>
    </font>
    <font>
      <sz val="9"/>
      <color rgb="FF595959"/>
      <name val="Arial"/>
      <family val="0"/>
      <charset val="1"/>
    </font>
    <font>
      <b val="true"/>
      <sz val="11"/>
      <color rgb="FFFFFFFF"/>
      <name val="Georgia"/>
      <family val="0"/>
      <charset val="1"/>
    </font>
    <font>
      <b val="true"/>
      <sz val="9"/>
      <color rgb="FF595959"/>
      <name val="Arial"/>
      <family val="0"/>
      <charset val="1"/>
    </font>
    <font>
      <sz val="10"/>
      <color rgb="FF1C1B16"/>
      <name val="Arial"/>
      <family val="0"/>
      <charset val="1"/>
    </font>
    <font>
      <b val="true"/>
      <sz val="10"/>
      <color rgb="FF0000FF"/>
      <name val="Arial"/>
      <family val="0"/>
      <charset val="1"/>
    </font>
    <font>
      <b val="true"/>
      <sz val="10"/>
      <color rgb="FF7A4E12"/>
      <name val="Arial"/>
      <family val="0"/>
      <charset val="1"/>
    </font>
    <font>
      <b val="true"/>
      <sz val="10"/>
      <color rgb="FFFFFFFF"/>
      <name val="Arial"/>
      <family val="0"/>
      <charset val="1"/>
    </font>
    <font>
      <b val="true"/>
      <sz val="10"/>
      <color rgb="FF1C1B16"/>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FFFFFF"/>
      <name val="Arial"/>
      <family val="0"/>
      <charset val="1"/>
    </font>
    <font>
      <i val="true"/>
      <sz val="9"/>
      <color rgb="FF3A3A3A"/>
      <name val="Arial"/>
      <family val="0"/>
      <charset val="1"/>
    </font>
    <font>
      <sz val="9"/>
      <color rgb="FF1C1B16"/>
      <name val="Arial"/>
      <family val="0"/>
      <charset val="1"/>
    </font>
    <font>
      <u val="single"/>
      <sz val="10"/>
      <color rgb="FF0563C1"/>
      <name val="Arial"/>
      <family val="0"/>
      <charset val="1"/>
    </font>
  </fonts>
  <fills count="9">
    <fill>
      <patternFill patternType="none"/>
    </fill>
    <fill>
      <patternFill patternType="gray125"/>
    </fill>
    <fill>
      <patternFill patternType="solid">
        <fgColor rgb="FFB37A33"/>
        <bgColor rgb="FF878787"/>
      </patternFill>
    </fill>
    <fill>
      <patternFill patternType="solid">
        <fgColor rgb="FFF9F8F3"/>
        <bgColor rgb="FFFFFFFF"/>
      </patternFill>
    </fill>
    <fill>
      <patternFill patternType="solid">
        <fgColor rgb="FF1C1B16"/>
        <bgColor rgb="FF003300"/>
      </patternFill>
    </fill>
    <fill>
      <patternFill patternType="solid">
        <fgColor rgb="FFFFF4CC"/>
        <bgColor rgb="FFF3E6D3"/>
      </patternFill>
    </fill>
    <fill>
      <patternFill patternType="solid">
        <fgColor rgb="FF7A4E12"/>
        <bgColor rgb="FF595959"/>
      </patternFill>
    </fill>
    <fill>
      <patternFill patternType="solid">
        <fgColor rgb="FFEFEDE8"/>
        <bgColor rgb="FFF3E6D3"/>
      </patternFill>
    </fill>
    <fill>
      <patternFill patternType="solid">
        <fgColor rgb="FFF3E6D3"/>
        <bgColor rgb="FFFBE3C0"/>
      </patternFill>
    </fill>
  </fills>
  <borders count="4">
    <border diagonalUp="false" diagonalDown="false">
      <left/>
      <right/>
      <top/>
      <bottom/>
      <diagonal/>
    </border>
    <border diagonalUp="false" diagonalDown="false">
      <left style="thin">
        <color rgb="FFD5D0C4"/>
      </left>
      <right style="thin">
        <color rgb="FFD5D0C4"/>
      </right>
      <top style="medium">
        <color rgb="FFB37A33"/>
      </top>
      <bottom/>
      <diagonal/>
    </border>
    <border diagonalUp="false" diagonalDown="false">
      <left style="thin">
        <color rgb="FFD5D0C4"/>
      </left>
      <right style="thin">
        <color rgb="FFD5D0C4"/>
      </right>
      <top/>
      <bottom style="thin">
        <color rgb="FFD5D0C4"/>
      </bottom>
      <diagonal/>
    </border>
    <border diagonalUp="false" diagonalDown="false">
      <left style="thin">
        <color rgb="FFD5D0C4"/>
      </left>
      <right style="thin">
        <color rgb="FFD5D0C4"/>
      </right>
      <top style="thin">
        <color rgb="FFD5D0C4"/>
      </top>
      <bottom style="thin">
        <color rgb="FFD5D0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6" fontId="7" fillId="3" borderId="1" xfId="0" applyFont="true" applyBorder="true" applyAlignment="true" applyProtection="false">
      <alignment horizontal="center"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7" fontId="13" fillId="5" borderId="3"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5" fontId="13" fillId="5" borderId="3"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center" vertical="top" textRotation="0" wrapText="tru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4" fontId="15" fillId="6" borderId="3" xfId="0" applyFont="true" applyBorder="true" applyAlignment="true" applyProtection="false">
      <alignment horizontal="center" vertical="center" textRotation="0" wrapText="true" indent="0" shrinkToFit="false"/>
      <protection locked="true" hidden="false"/>
    </xf>
    <xf numFmtId="168" fontId="14" fillId="0" borderId="3" xfId="0" applyFont="true" applyBorder="true" applyAlignment="true" applyProtection="false">
      <alignment horizontal="center" vertical="top" textRotation="0" wrapText="true" indent="0" shrinkToFit="false"/>
      <protection locked="true" hidden="false"/>
    </xf>
    <xf numFmtId="164" fontId="12" fillId="0" borderId="3" xfId="0" applyFont="true" applyBorder="true" applyAlignment="true" applyProtection="false">
      <alignment horizontal="center" vertical="top" textRotation="0" wrapText="true" indent="0" shrinkToFit="false"/>
      <protection locked="true" hidden="false"/>
    </xf>
    <xf numFmtId="164" fontId="12" fillId="0" borderId="3" xfId="0" applyFont="true" applyBorder="true" applyAlignment="true" applyProtection="false">
      <alignment horizontal="left" vertical="top" textRotation="0" wrapText="true" indent="0" shrinkToFit="false"/>
      <protection locked="true" hidden="false"/>
    </xf>
    <xf numFmtId="169" fontId="16" fillId="0" borderId="3" xfId="0" applyFont="true" applyBorder="true" applyAlignment="true" applyProtection="false">
      <alignment horizontal="center" vertical="top" textRotation="0" wrapText="true" indent="0" shrinkToFit="false"/>
      <protection locked="true" hidden="false"/>
    </xf>
    <xf numFmtId="165" fontId="16" fillId="0" borderId="3" xfId="0" applyFont="true" applyBorder="true" applyAlignment="true" applyProtection="false">
      <alignment horizontal="center" vertical="top" textRotation="0" wrapText="true" indent="0" shrinkToFit="false"/>
      <protection locked="true" hidden="false"/>
    </xf>
    <xf numFmtId="164" fontId="17" fillId="5" borderId="3" xfId="0" applyFont="true" applyBorder="true" applyAlignment="true" applyProtection="false">
      <alignment horizontal="left" vertical="top" textRotation="0" wrapText="true" indent="0" shrinkToFit="false"/>
      <protection locked="true" hidden="false"/>
    </xf>
    <xf numFmtId="164" fontId="16" fillId="7" borderId="3" xfId="0" applyFont="true" applyBorder="true" applyAlignment="true" applyProtection="false">
      <alignment horizontal="left" vertical="top" textRotation="0" wrapText="true" indent="0" shrinkToFit="false"/>
      <protection locked="true" hidden="false"/>
    </xf>
    <xf numFmtId="169" fontId="16" fillId="7" borderId="3" xfId="0" applyFont="true" applyBorder="true" applyAlignment="true" applyProtection="false">
      <alignment horizontal="center" vertical="top" textRotation="0" wrapText="true" indent="0" shrinkToFit="false"/>
      <protection locked="true" hidden="false"/>
    </xf>
    <xf numFmtId="165" fontId="16" fillId="7" borderId="3" xfId="0" applyFont="true" applyBorder="true" applyAlignment="true" applyProtection="false">
      <alignment horizontal="center" vertical="top"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8" fontId="16" fillId="0" borderId="3" xfId="0" applyFont="true" applyBorder="true" applyAlignment="true" applyProtection="false">
      <alignment horizontal="center" vertical="top" textRotation="0" wrapText="true" indent="0" shrinkToFit="false"/>
      <protection locked="true" hidden="false"/>
    </xf>
    <xf numFmtId="165" fontId="12" fillId="0" borderId="3" xfId="0" applyFont="true" applyBorder="true" applyAlignment="true" applyProtection="false">
      <alignment horizontal="center" vertical="top" textRotation="0" wrapText="true" indent="0" shrinkToFit="false"/>
      <protection locked="true" hidden="false"/>
    </xf>
    <xf numFmtId="168" fontId="16" fillId="8" borderId="3" xfId="0" applyFont="true" applyBorder="true" applyAlignment="true" applyProtection="false">
      <alignment horizontal="center" vertical="top" textRotation="0" wrapText="true" indent="0" shrinkToFit="false"/>
      <protection locked="true" hidden="false"/>
    </xf>
    <xf numFmtId="164" fontId="12" fillId="8" borderId="3" xfId="0" applyFont="true" applyBorder="true" applyAlignment="true" applyProtection="false">
      <alignment horizontal="center" vertical="top" textRotation="0" wrapText="true" indent="0" shrinkToFit="false"/>
      <protection locked="true" hidden="false"/>
    </xf>
    <xf numFmtId="164" fontId="12" fillId="8" borderId="3" xfId="0" applyFont="true" applyBorder="true" applyAlignment="true" applyProtection="false">
      <alignment horizontal="left" vertical="top" textRotation="0" wrapText="true" indent="0" shrinkToFit="false"/>
      <protection locked="true" hidden="false"/>
    </xf>
    <xf numFmtId="169" fontId="16" fillId="8" borderId="3" xfId="0" applyFont="true" applyBorder="true" applyAlignment="true" applyProtection="false">
      <alignment horizontal="center" vertical="top" textRotation="0" wrapText="true" indent="0" shrinkToFit="false"/>
      <protection locked="true" hidden="false"/>
    </xf>
    <xf numFmtId="165" fontId="16" fillId="8" borderId="3" xfId="0" applyFont="true" applyBorder="true" applyAlignment="true" applyProtection="false">
      <alignment horizontal="center" vertical="top" textRotation="0" wrapText="true" indent="0" shrinkToFit="false"/>
      <protection locked="true" hidden="false"/>
    </xf>
    <xf numFmtId="168" fontId="16" fillId="7" borderId="3" xfId="0" applyFont="true" applyBorder="true" applyAlignment="true" applyProtection="false">
      <alignment horizontal="center" vertical="top" textRotation="0" wrapText="true" indent="0" shrinkToFit="false"/>
      <protection locked="true" hidden="false"/>
    </xf>
    <xf numFmtId="164" fontId="12" fillId="7" borderId="3" xfId="0" applyFont="true" applyBorder="true" applyAlignment="true" applyProtection="false">
      <alignment horizontal="center" vertical="top" textRotation="0" wrapText="true" indent="0" shrinkToFit="false"/>
      <protection locked="true" hidden="false"/>
    </xf>
    <xf numFmtId="164" fontId="12" fillId="7" borderId="3" xfId="0" applyFont="true" applyBorder="true" applyAlignment="true" applyProtection="false">
      <alignment horizontal="left" vertical="top" textRotation="0" wrapText="true" indent="0" shrinkToFit="false"/>
      <protection locked="true" hidden="false"/>
    </xf>
    <xf numFmtId="165" fontId="12" fillId="7" borderId="3" xfId="0" applyFont="true" applyBorder="true" applyAlignment="true" applyProtection="false">
      <alignment horizontal="center" vertical="top" textRotation="0" wrapText="true" indent="0" shrinkToFit="false"/>
      <protection locked="true" hidden="false"/>
    </xf>
    <xf numFmtId="164" fontId="21" fillId="4" borderId="3" xfId="0" applyFont="true" applyBorder="true" applyAlignment="true" applyProtection="false">
      <alignment horizontal="center" vertical="center" textRotation="0" wrapText="true" indent="0" shrinkToFit="false"/>
      <protection locked="true" hidden="false"/>
    </xf>
    <xf numFmtId="164" fontId="14" fillId="8" borderId="3" xfId="0" applyFont="true" applyBorder="true" applyAlignment="true" applyProtection="false">
      <alignment horizontal="left" vertical="center" textRotation="0" wrapText="true" indent="0" shrinkToFit="false"/>
      <protection locked="true" hidden="false"/>
    </xf>
    <xf numFmtId="164" fontId="22" fillId="3" borderId="3" xfId="0" applyFont="true" applyBorder="true" applyAlignment="true" applyProtection="false">
      <alignment horizontal="left" vertical="top" textRotation="0" wrapText="true" indent="0" shrinkToFit="false"/>
      <protection locked="true" hidden="false"/>
    </xf>
    <xf numFmtId="164" fontId="14" fillId="0" borderId="3" xfId="0" applyFont="true" applyBorder="true" applyAlignment="true" applyProtection="false">
      <alignment horizontal="center" vertical="top" textRotation="0" wrapText="true" indent="0" shrinkToFit="false"/>
      <protection locked="true" hidden="false"/>
    </xf>
    <xf numFmtId="167" fontId="12" fillId="0" borderId="3" xfId="0" applyFont="true" applyBorder="true" applyAlignment="true" applyProtection="false">
      <alignment horizontal="center" vertical="top" textRotation="0" wrapText="true" indent="0" shrinkToFit="false"/>
      <protection locked="true" hidden="false"/>
    </xf>
    <xf numFmtId="164" fontId="16" fillId="0" borderId="3" xfId="0" applyFont="true" applyBorder="true" applyAlignment="true" applyProtection="false">
      <alignment horizontal="left" vertical="top" textRotation="0" wrapText="true" indent="0" shrinkToFit="false"/>
      <protection locked="true" hidden="false"/>
    </xf>
    <xf numFmtId="164" fontId="23" fillId="0" borderId="3" xfId="0" applyFont="true" applyBorder="true" applyAlignment="true" applyProtection="false">
      <alignment horizontal="left" vertical="top" textRotation="0" wrapText="true" indent="0" shrinkToFit="false"/>
      <protection locked="true" hidden="false"/>
    </xf>
    <xf numFmtId="164" fontId="17" fillId="5" borderId="3" xfId="0" applyFont="true" applyBorder="true" applyAlignment="true" applyProtection="false">
      <alignment horizontal="center" vertical="top" textRotation="0" wrapText="true" indent="0" shrinkToFit="false"/>
      <protection locked="true" hidden="false"/>
    </xf>
    <xf numFmtId="164" fontId="24" fillId="0"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DDEBD3"/>
        </patternFill>
      </fill>
    </dxf>
    <dxf>
      <fill>
        <patternFill>
          <bgColor rgb="FFFBE3C0"/>
        </patternFill>
      </fill>
    </dxf>
    <dxf>
      <fill>
        <patternFill patternType="solid">
          <fgColor rgb="FFB37A33"/>
          <bgColor rgb="FF000000"/>
        </patternFill>
      </fill>
    </dxf>
    <dxf>
      <fill>
        <patternFill patternType="solid">
          <bgColor rgb="FF000000"/>
        </patternFill>
      </fill>
    </dxf>
    <dxf>
      <fill>
        <patternFill patternType="solid">
          <fgColor rgb="FF7A4E12"/>
          <bgColor rgb="FF000000"/>
        </patternFill>
      </fill>
    </dxf>
    <dxf>
      <fill>
        <patternFill patternType="solid">
          <fgColor rgb="FFFFFFFF"/>
          <bgColor rgb="FF000000"/>
        </patternFill>
      </fill>
    </dxf>
    <dxf>
      <fill>
        <patternFill patternType="solid">
          <fgColor rgb="FF1C1B16"/>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37A33"/>
      <rgbColor rgb="FF800080"/>
      <rgbColor rgb="FF008080"/>
      <rgbColor rgb="FFD5D0C4"/>
      <rgbColor rgb="FF878787"/>
      <rgbColor rgb="FF9999FF"/>
      <rgbColor rgb="FF993366"/>
      <rgbColor rgb="FFFFF4CC"/>
      <rgbColor rgb="FFEFEDE8"/>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9F8F3"/>
      <rgbColor rgb="FFDDEBD3"/>
      <rgbColor rgb="FFF3E6D3"/>
      <rgbColor rgb="FF99CCFF"/>
      <rgbColor rgb="FFFF99CC"/>
      <rgbColor rgb="FFCC99FF"/>
      <rgbColor rgb="FFFBE3C0"/>
      <rgbColor rgb="FF3366FF"/>
      <rgbColor rgb="FF33CCCC"/>
      <rgbColor rgb="FF99CC00"/>
      <rgbColor rgb="FFFFCC00"/>
      <rgbColor rgb="FFFF9900"/>
      <rgbColor rgb="FFFF6600"/>
      <rgbColor rgb="FF595959"/>
      <rgbColor rgb="FF969696"/>
      <rgbColor rgb="FF003366"/>
      <rgbColor rgb="FF339966"/>
      <rgbColor rgb="FF003300"/>
      <rgbColor rgb="FF1C1B16"/>
      <rgbColor rgb="FF7A4E12"/>
      <rgbColor rgb="FF993366"/>
      <rgbColor rgb="FF33339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Faculty hours by teaching week</a:t>
            </a:r>
          </a:p>
        </c:rich>
      </c:tx>
      <c:overlay val="0"/>
      <c:spPr>
        <a:noFill/>
        <a:ln w="0">
          <a:noFill/>
        </a:ln>
      </c:spPr>
    </c:title>
    <c:autoTitleDeleted val="0"/>
    <c:plotArea>
      <c:barChart>
        <c:barDir val="col"/>
        <c:grouping val="clustered"/>
        <c:varyColors val="0"/>
        <c:ser>
          <c:idx val="0"/>
          <c:order val="0"/>
          <c:tx>
            <c:strRef>
              <c:f>Overview!H20</c:f>
              <c:strCache>
                <c:ptCount val="1"/>
                <c:pt idx="0">
                  <c:v>Hours</c:v>
                </c:pt>
              </c:strCache>
            </c:strRef>
          </c:tx>
          <c:spPr>
            <a:solidFill>
              <a:srgbClr val="b37a3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Overview!$A$21:$A$27</c:f>
              <c:strCache>
                <c:ptCount val="7"/>
                <c:pt idx="0">
                  <c:v>Week 2</c:v>
                </c:pt>
                <c:pt idx="1">
                  <c:v>Week 4</c:v>
                </c:pt>
                <c:pt idx="2">
                  <c:v>Week 5</c:v>
                </c:pt>
                <c:pt idx="3">
                  <c:v>Week 7</c:v>
                </c:pt>
                <c:pt idx="4">
                  <c:v>Week 8</c:v>
                </c:pt>
                <c:pt idx="5">
                  <c:v>Week 10</c:v>
                </c:pt>
                <c:pt idx="6">
                  <c:v>Week 11</c:v>
                </c:pt>
              </c:strCache>
            </c:strRef>
          </c:cat>
          <c:val>
            <c:numRef>
              <c:f>Overview!$H$21:$H$27</c:f>
              <c:numCache>
                <c:formatCode>0</c:formatCode>
                <c:ptCount val="7"/>
                <c:pt idx="0">
                  <c:v>6</c:v>
                </c:pt>
                <c:pt idx="1">
                  <c:v>8</c:v>
                </c:pt>
                <c:pt idx="2">
                  <c:v>10</c:v>
                </c:pt>
                <c:pt idx="3">
                  <c:v>10</c:v>
                </c:pt>
                <c:pt idx="4">
                  <c:v>8</c:v>
                </c:pt>
                <c:pt idx="5">
                  <c:v>8</c:v>
                </c:pt>
                <c:pt idx="6">
                  <c:v>10</c:v>
                </c:pt>
              </c:numCache>
            </c:numRef>
          </c:val>
        </c:ser>
        <c:gapWidth val="60"/>
        <c:overlap val="0"/>
        <c:axId val="90546153"/>
        <c:axId val="27290103"/>
      </c:barChart>
      <c:catAx>
        <c:axId val="9054615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Teaching week</a:t>
                </a:r>
              </a:p>
            </c:rich>
          </c:tx>
          <c:overlay val="0"/>
          <c:spPr>
            <a:noFill/>
            <a:ln w="0">
              <a:noFill/>
            </a:ln>
          </c:spPr>
        </c:title>
        <c:numFmt formatCode="&quot;Week &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290103"/>
        <c:crosses val="autoZero"/>
        <c:auto val="1"/>
        <c:lblAlgn val="ctr"/>
        <c:lblOffset val="100"/>
        <c:noMultiLvlLbl val="0"/>
      </c:catAx>
      <c:valAx>
        <c:axId val="27290103"/>
        <c:scaling>
          <c:orientation val="minMax"/>
          <c:min val="0"/>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546153"/>
        <c:crosses val="autoZero"/>
        <c:crossBetween val="between"/>
        <c:majorUnit val="2"/>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18</xdr:row>
      <xdr:rowOff>0</xdr:rowOff>
    </xdr:from>
    <xdr:to>
      <xdr:col>14</xdr:col>
      <xdr:colOff>756360</xdr:colOff>
      <xdr:row>21</xdr:row>
      <xdr:rowOff>851760</xdr:rowOff>
    </xdr:to>
    <xdr:graphicFrame>
      <xdr:nvGraphicFramePr>
        <xdr:cNvPr id="0" name="Chart 1"/>
        <xdr:cNvGraphicFramePr/>
      </xdr:nvGraphicFramePr>
      <xdr:xfrm>
        <a:off x="16140960" y="4400640"/>
        <a:ext cx="41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openintro.org/book/os/" TargetMode="External"/><Relationship Id="rId2" Type="http://schemas.openxmlformats.org/officeDocument/2006/relationships/hyperlink" Target="https://statsthinking21.github.io/statsthinking21-core-site/" TargetMode="External"/><Relationship Id="rId3" Type="http://schemas.openxmlformats.org/officeDocument/2006/relationships/hyperlink" Target="https://www.stat.cmu.edu/~larry/all-of-statistics/" TargetMode="External"/><Relationship Id="rId4" Type="http://schemas.openxmlformats.org/officeDocument/2006/relationships/hyperlink" Target="https://ocw.mit.edu/courses/18-650-statistics-for-applications-fall-2016/" TargetMode="External"/><Relationship Id="rId5" Type="http://schemas.openxmlformats.org/officeDocument/2006/relationships/hyperlink" Target="https://seeing-theory.brown.edu/" TargetMode="External"/><Relationship Id="rId6" Type="http://schemas.openxmlformats.org/officeDocument/2006/relationships/hyperlink" Target="https://www.youtube.com/watch?v=zeJD6dqJ5lo" TargetMode="External"/><Relationship Id="rId7" Type="http://schemas.openxmlformats.org/officeDocument/2006/relationships/hyperlink" Target="https://link.springer.com/article/10.1007/s10654-016-0149-3" TargetMode="External"/><Relationship Id="rId8" Type="http://schemas.openxmlformats.org/officeDocument/2006/relationships/hyperlink" Target="https://www.amstat.org/asa/files/pdfs/p-valuestatement.pdf" TargetMode="External"/><Relationship Id="rId9" Type="http://schemas.openxmlformats.org/officeDocument/2006/relationships/hyperlink" Target="https://docs.scipy.org/doc/scipy/reference/generated/scipy.stats.ttest_ind.html" TargetMode="External"/><Relationship Id="rId10" Type="http://schemas.openxmlformats.org/officeDocument/2006/relationships/hyperlink" Target="https://www.statlearning.com/" TargetMode="External"/><Relationship Id="rId11" Type="http://schemas.openxmlformats.org/officeDocument/2006/relationships/hyperlink" Target="https://www.nature.com/articles/nrn3475" TargetMode="External"/><Relationship Id="rId12" Type="http://schemas.openxmlformats.org/officeDocument/2006/relationships/hyperlink" Target="https://sites.stat.columbia.edu/gelman/research/unpublished/p_hacking.pdf" TargetMode="External"/><Relationship Id="rId13" Type="http://schemas.openxmlformats.org/officeDocument/2006/relationships/hyperlink" Target="https://www.statsmodels.org/stable/stats.html" TargetMode="External"/><Relationship Id="rId14" Type="http://schemas.openxmlformats.org/officeDocument/2006/relationships/hyperlink" Target="https://www.evanmiller.org/ab-testing/sample-size.html" TargetMode="External"/><Relationship Id="rId15" Type="http://schemas.openxmlformats.org/officeDocument/2006/relationships/hyperlink" Target="https://experimentguide.com/" TargetMode="External"/><Relationship Id="rId16" Type="http://schemas.openxmlformats.org/officeDocument/2006/relationships/hyperlink" Target="https://ai.stanford.edu/~ronnyk/2009controlledExperimentsOnTheWebSurvey.pdf" TargetMode="External"/><Relationship Id="rId17" Type="http://schemas.openxmlformats.org/officeDocument/2006/relationships/hyperlink" Target="https://exp-platform.com/Documents/puzzlingOutcomesInControlledExperiments.pdf" TargetMode="External"/><Relationship Id="rId18" Type="http://schemas.openxmlformats.org/officeDocument/2006/relationships/hyperlink" Target="https://exp-platform.com/Documents/2013-02-CUPED-ImprovingSensitivityOfControlledExperiments.pdf" TargetMode="External"/><Relationship Id="rId19" Type="http://schemas.openxmlformats.org/officeDocument/2006/relationships/hyperlink" Target="https://arxiv.org/abs/1512.04922" TargetMode="External"/><Relationship Id="rId20" Type="http://schemas.openxmlformats.org/officeDocument/2006/relationships/hyperlink" Target="https://www.evanmiller.org/how-not-to-run-an-ab-test.html" TargetMode="External"/><Relationship Id="rId21" Type="http://schemas.openxmlformats.org/officeDocument/2006/relationships/hyperlink" Target="https://www-users.cse.umn.edu/~kumar001/dmbook/ch5_association_analysis.pdf" TargetMode="External"/><Relationship Id="rId22" Type="http://schemas.openxmlformats.org/officeDocument/2006/relationships/hyperlink" Target="http://infolab.stanford.edu/~ullman/mmds/ch6.pdf" TargetMode="External"/><Relationship Id="rId23" Type="http://schemas.openxmlformats.org/officeDocument/2006/relationships/hyperlink" Target="https://www.vldb.org/conf/1994/P487.PDF" TargetMode="External"/><Relationship Id="rId24" Type="http://schemas.openxmlformats.org/officeDocument/2006/relationships/hyperlink" Target="https://www.cs.sfu.ca/~jpei/publications/sigmod00.pdf" TargetMode="External"/><Relationship Id="rId25" Type="http://schemas.openxmlformats.org/officeDocument/2006/relationships/hyperlink" Target="https://michael.hahsler.net/arules/docs/measures" TargetMode="External"/><Relationship Id="rId26" Type="http://schemas.openxmlformats.org/officeDocument/2006/relationships/hyperlink" Target="https://rasbt.github.io/mlxtend/user_guide/frequent_patterns/association_rules/" TargetMode="External"/><Relationship Id="rId27" Type="http://schemas.openxmlformats.org/officeDocument/2006/relationships/hyperlink" Target="https://grodri.github.io/glms/notes/c7.pdf" TargetMode="External"/><Relationship Id="rId28" Type="http://schemas.openxmlformats.org/officeDocument/2006/relationships/hyperlink" Target="https://www.nature.com/articles/6601118" TargetMode="External"/><Relationship Id="rId29" Type="http://schemas.openxmlformats.org/officeDocument/2006/relationships/hyperlink" Target="https://link.springer.com/book/10.1007/978-1-4419-6646-9" TargetMode="External"/><Relationship Id="rId30" Type="http://schemas.openxmlformats.org/officeDocument/2006/relationships/hyperlink" Target="https://faculty.wharton.upenn.edu/wp-content/uploads/2012/04/Fader_hardie_jim_07.pdf" TargetMode="External"/><Relationship Id="rId31" Type="http://schemas.openxmlformats.org/officeDocument/2006/relationships/hyperlink" Target="https://lifelines.readthedocs.io/en/latest/Survival%20Analysis%20intro.html" TargetMode="External"/><Relationship Id="rId32" Type="http://schemas.openxmlformats.org/officeDocument/2006/relationships/hyperlink" Target="https://otexts.com/fpp3/" TargetMode="External"/><Relationship Id="rId33" Type="http://schemas.openxmlformats.org/officeDocument/2006/relationships/hyperlink" Target="https://github.com/nickpoison/tsa4" TargetMode="External"/><Relationship Id="rId34" Type="http://schemas.openxmlformats.org/officeDocument/2006/relationships/hyperlink" Target="https://www.itl.nist.gov/div898/handbook/pmc/section4/pmc4.htm" TargetMode="External"/><Relationship Id="rId35" Type="http://schemas.openxmlformats.org/officeDocument/2006/relationships/hyperlink" Target="https://people.duke.edu/~rnau/411home.htm" TargetMode="External"/><Relationship Id="rId36" Type="http://schemas.openxmlformats.org/officeDocument/2006/relationships/hyperlink" Target="https://journals.plos.org/plosone/article?id=10.1371/journal.pone.0194889" TargetMode="External"/><Relationship Id="rId37" Type="http://schemas.openxmlformats.org/officeDocument/2006/relationships/hyperlink" Target="https://www.statsmodels.org/stable/tsa.html" TargetMode="External"/><Relationship Id="rId38" Type="http://schemas.openxmlformats.org/officeDocument/2006/relationships/hyperlink" Target="https://www.statsmodels.org/stable/examples/notebooks/generated/exponential_smoothing.html" TargetMode="External"/><Relationship Id="rId39" Type="http://schemas.openxmlformats.org/officeDocument/2006/relationships/hyperlink" Target="https://link.springer.com/book/10.1007/978-0-387-84858-7" TargetMode="External"/><Relationship Id="rId40" Type="http://schemas.openxmlformats.org/officeDocument/2006/relationships/hyperlink" Target="https://cs229.stanford.edu/main_notes.pdf" TargetMode="External"/><Relationship Id="rId41" Type="http://schemas.openxmlformats.org/officeDocument/2006/relationships/hyperlink" Target="https://www.microsoft.com/en-us/research/publication/pattern-recognition-machine-learning/" TargetMode="External"/><Relationship Id="rId42" Type="http://schemas.openxmlformats.org/officeDocument/2006/relationships/hyperlink" Target="https://www.stat.cmu.edu/~cshalizi/ADAfaEPoV/" TargetMode="External"/><Relationship Id="rId43" Type="http://schemas.openxmlformats.org/officeDocument/2006/relationships/hyperlink" Target="https://online.stat.psu.edu/stat501/" TargetMode="External"/><Relationship Id="rId44" Type="http://schemas.openxmlformats.org/officeDocument/2006/relationships/hyperlink" Target="https://ocw.mit.edu/courses/18-06-linear-algebra-spring-2010/" TargetMode="External"/><Relationship Id="rId45" Type="http://schemas.openxmlformats.org/officeDocument/2006/relationships/hyperlink" Target="https://www.statsmodels.org/stable/regression.html" TargetMode="External"/><Relationship Id="rId46" Type="http://schemas.openxmlformats.org/officeDocument/2006/relationships/hyperlink" Target="https://people.inf.elte.hu/kiss/11dwhdm/roc.pdf" TargetMode="External"/><Relationship Id="rId47" Type="http://schemas.openxmlformats.org/officeDocument/2006/relationships/hyperlink" Target="https://journals.plos.org/plosone/article?id=10.1371/journal.pone.0118432" TargetMode="External"/><Relationship Id="rId48" Type="http://schemas.openxmlformats.org/officeDocument/2006/relationships/hyperlink" Target="https://cseweb.ucsd.edu/~elkan/rescale.pdf" TargetMode="External"/><Relationship Id="rId49" Type="http://schemas.openxmlformats.org/officeDocument/2006/relationships/hyperlink" Target="https://www.cs.cornell.edu/~alexn/papers/calibration.icml05.crc.rev3.pdf" TargetMode="External"/><Relationship Id="rId50" Type="http://schemas.openxmlformats.org/officeDocument/2006/relationships/hyperlink" Target="https://sites.stat.washington.edu/raftery/Research/PDF/Gneiting2007jasa.pdf" TargetMode="External"/><Relationship Id="rId51" Type="http://schemas.openxmlformats.org/officeDocument/2006/relationships/hyperlink" Target="https://link.springer.com/article/10.1007/s10994-009-5119-5" TargetMode="External"/><Relationship Id="rId52" Type="http://schemas.openxmlformats.org/officeDocument/2006/relationships/hyperlink" Target="https://scikit-learn.org/stable/modules/model_evaluation.html" TargetMode="External"/><Relationship Id="rId53" Type="http://schemas.openxmlformats.org/officeDocument/2006/relationships/hyperlink" Target="https://scikit-learn.org/stable/modules/calibration.html" TargetMode="External"/><Relationship Id="rId54" Type="http://schemas.openxmlformats.org/officeDocument/2006/relationships/hyperlink" Target="https://online.stat.psu.edu/stat501/lesson/12" TargetMode="External"/><Relationship Id="rId55" Type="http://schemas.openxmlformats.org/officeDocument/2006/relationships/hyperlink" Target="https://projecteuclid.org/journals/statistical-science/volume-25/issue-3/To-Explain-or-to-Predict/10.1214/10-STS330.full" TargetMode="External"/><Relationship Id="rId56" Type="http://schemas.openxmlformats.org/officeDocument/2006/relationships/hyperlink" Target="https://projecteuclid.org/journals/statistical-science/volume-16/issue-3/Statistical-Modeling--The-Two-Cultures-with-comments-and-a/10.1214/ss/1009213726.full" TargetMode="External"/><Relationship Id="rId57" Type="http://schemas.openxmlformats.org/officeDocument/2006/relationships/hyperlink" Target="https://www.cs.umb.edu/~ding/history/470_670_fall_2011/papers/cs670_Tran_PreferredPaper_LeakingInDataMining.pdf" TargetMode="External"/><Relationship Id="rId58" Type="http://schemas.openxmlformats.org/officeDocument/2006/relationships/hyperlink" Target="https://feat.engineering/" TargetMode="External"/><Relationship Id="rId59" Type="http://schemas.openxmlformats.org/officeDocument/2006/relationships/hyperlink" Target="https://www.statsmodels.org/stable/generated/statsmodels.stats.outliers_influence.variance_inflation_factor.html" TargetMode="External"/><Relationship Id="rId60" Type="http://schemas.openxmlformats.org/officeDocument/2006/relationships/hyperlink" Target="https://arxiv.org/abs/1812.11118" TargetMode="External"/><Relationship Id="rId61" Type="http://schemas.openxmlformats.org/officeDocument/2006/relationships/hyperlink" Target="https://projecteuclid.org/journals/statistics-surveys/volume-4/issue-none/A-survey-of-cross-validation-procedures-for-model-selection/10.1214/09-SS054.full" TargetMode="External"/><Relationship Id="rId62" Type="http://schemas.openxmlformats.org/officeDocument/2006/relationships/hyperlink" Target="https://bmcbioinformatics.biomedcentral.com/articles/10.1186/1471-2105-7-91" TargetMode="External"/><Relationship Id="rId63" Type="http://schemas.openxmlformats.org/officeDocument/2006/relationships/hyperlink" Target="https://jmlr.org/papers/v11/cawley10a.html" TargetMode="External"/><Relationship Id="rId64" Type="http://schemas.openxmlformats.org/officeDocument/2006/relationships/hyperlink" Target="https://scikit-learn.org/stable/modules/cross_validation.html" TargetMode="External"/><Relationship Id="rId65" Type="http://schemas.openxmlformats.org/officeDocument/2006/relationships/hyperlink" Target="https://mlu-explain.github.io/bias-variance/" TargetMode="External"/><Relationship Id="rId66" Type="http://schemas.openxmlformats.org/officeDocument/2006/relationships/hyperlink" Target="https://link.springer.com/article/10.1007/BF00058655" TargetMode="External"/><Relationship Id="rId67" Type="http://schemas.openxmlformats.org/officeDocument/2006/relationships/hyperlink" Target="https://link.springer.com/article/10.1023/A:1010933404324" TargetMode="External"/><Relationship Id="rId68" Type="http://schemas.openxmlformats.org/officeDocument/2006/relationships/hyperlink" Target="https://projecteuclid.org/journals/annals-of-statistics/volume-29/issue-5/Greedy-function-approximation-A-gradient-boosting-machine/10.1214/aos/1013203451.full" TargetMode="External"/><Relationship Id="rId69" Type="http://schemas.openxmlformats.org/officeDocument/2006/relationships/hyperlink" Target="https://arxiv.org/abs/1603.02754" TargetMode="External"/><Relationship Id="rId70" Type="http://schemas.openxmlformats.org/officeDocument/2006/relationships/hyperlink" Target="https://papers.nips.cc/paper_files/paper/2017/hash/6449f44a102fde848669bdd9eb6b76fa-Abstract.html" TargetMode="External"/><Relationship Id="rId71" Type="http://schemas.openxmlformats.org/officeDocument/2006/relationships/hyperlink" Target="https://bmcbioinformatics.biomedcentral.com/articles/10.1186/1471-2105-8-25" TargetMode="External"/><Relationship Id="rId72" Type="http://schemas.openxmlformats.org/officeDocument/2006/relationships/hyperlink" Target="https://arxiv.org/abs/2207.08815" TargetMode="External"/><Relationship Id="rId73" Type="http://schemas.openxmlformats.org/officeDocument/2006/relationships/hyperlink" Target="https://scikit-learn.org/stable/modules/ensemble.html" TargetMode="External"/><Relationship Id="rId74" Type="http://schemas.openxmlformats.org/officeDocument/2006/relationships/hyperlink" Target="https://www.youtube.com/watch?v=3CC4N4z3GJc" TargetMode="External"/><Relationship Id="rId75" Type="http://schemas.openxmlformats.org/officeDocument/2006/relationships/hyperlink" Target="https://www.deeplearningbook.org/contents/mlp.html" TargetMode="External"/><Relationship Id="rId76" Type="http://schemas.openxmlformats.org/officeDocument/2006/relationships/hyperlink" Target="https://d2l.ai/chapter_multilayer-perceptrons/index.html" TargetMode="External"/><Relationship Id="rId77" Type="http://schemas.openxmlformats.org/officeDocument/2006/relationships/hyperlink" Target="http://neuralnetworksanddeeplearning.com/chap4.html" TargetMode="External"/><Relationship Id="rId78" Type="http://schemas.openxmlformats.org/officeDocument/2006/relationships/hyperlink" Target="https://cs231n.github.io/neural-networks-1/" TargetMode="External"/><Relationship Id="rId79" Type="http://schemas.openxmlformats.org/officeDocument/2006/relationships/hyperlink" Target="https://link.springer.com/article/10.1007/BF02551274" TargetMode="External"/><Relationship Id="rId80" Type="http://schemas.openxmlformats.org/officeDocument/2006/relationships/hyperlink" Target="https://arxiv.org/abs/1602.04485" TargetMode="External"/><Relationship Id="rId81" Type="http://schemas.openxmlformats.org/officeDocument/2006/relationships/hyperlink" Target="https://proceedings.mlr.press/v15/glorot11a.html" TargetMode="External"/><Relationship Id="rId82" Type="http://schemas.openxmlformats.org/officeDocument/2006/relationships/hyperlink" Target="https://www.youtube.com/watch?v=aircAruvnKk" TargetMode="External"/><Relationship Id="rId83" Type="http://schemas.openxmlformats.org/officeDocument/2006/relationships/hyperlink" Target="https://playground.tensorflow.org/" TargetMode="External"/><Relationship Id="rId84" Type="http://schemas.openxmlformats.org/officeDocument/2006/relationships/hyperlink" Target="https://www.deeplearningbook.org/contents/optimization.html" TargetMode="External"/><Relationship Id="rId85" Type="http://schemas.openxmlformats.org/officeDocument/2006/relationships/hyperlink" Target="http://neuralnetworksanddeeplearning.com/chap2.html" TargetMode="External"/><Relationship Id="rId86" Type="http://schemas.openxmlformats.org/officeDocument/2006/relationships/hyperlink" Target="https://cs231n.github.io/optimization-2/" TargetMode="External"/><Relationship Id="rId87" Type="http://schemas.openxmlformats.org/officeDocument/2006/relationships/hyperlink" Target="https://www.nature.com/articles/323533a0" TargetMode="External"/><Relationship Id="rId88" Type="http://schemas.openxmlformats.org/officeDocument/2006/relationships/hyperlink" Target="https://jmlr.org/papers/v18/17-468.html" TargetMode="External"/><Relationship Id="rId89" Type="http://schemas.openxmlformats.org/officeDocument/2006/relationships/hyperlink" Target="https://arxiv.org/abs/1412.6980" TargetMode="External"/><Relationship Id="rId90" Type="http://schemas.openxmlformats.org/officeDocument/2006/relationships/hyperlink" Target="https://arxiv.org/abs/1609.04747" TargetMode="External"/><Relationship Id="rId91" Type="http://schemas.openxmlformats.org/officeDocument/2006/relationships/hyperlink" Target="https://distill.pub/2017/momentum/" TargetMode="External"/><Relationship Id="rId92" Type="http://schemas.openxmlformats.org/officeDocument/2006/relationships/hyperlink" Target="https://www.youtube.com/watch?v=VMj-3S1tku0" TargetMode="External"/><Relationship Id="rId93" Type="http://schemas.openxmlformats.org/officeDocument/2006/relationships/hyperlink" Target="https://www.deeplearningbook.org/contents/regularization.html" TargetMode="External"/><Relationship Id="rId94" Type="http://schemas.openxmlformats.org/officeDocument/2006/relationships/hyperlink" Target="https://proceedings.mlr.press/v9/glorot10a.html" TargetMode="External"/><Relationship Id="rId95" Type="http://schemas.openxmlformats.org/officeDocument/2006/relationships/hyperlink" Target="https://arxiv.org/abs/1502.01852" TargetMode="External"/><Relationship Id="rId96" Type="http://schemas.openxmlformats.org/officeDocument/2006/relationships/hyperlink" Target="https://arxiv.org/abs/1502.03167" TargetMode="External"/><Relationship Id="rId97" Type="http://schemas.openxmlformats.org/officeDocument/2006/relationships/hyperlink" Target="https://arxiv.org/abs/1607.06450" TargetMode="External"/><Relationship Id="rId98" Type="http://schemas.openxmlformats.org/officeDocument/2006/relationships/hyperlink" Target="https://arxiv.org/abs/1805.11604" TargetMode="External"/><Relationship Id="rId99" Type="http://schemas.openxmlformats.org/officeDocument/2006/relationships/hyperlink" Target="https://arxiv.org/abs/1512.03385" TargetMode="External"/><Relationship Id="rId100" Type="http://schemas.openxmlformats.org/officeDocument/2006/relationships/hyperlink" Target="https://jmlr.org/papers/v15/srivastava14a.html" TargetMode="External"/><Relationship Id="rId101" Type="http://schemas.openxmlformats.org/officeDocument/2006/relationships/hyperlink" Target="https://arxiv.org/abs/1711.05101" TargetMode="External"/><Relationship Id="rId102" Type="http://schemas.openxmlformats.org/officeDocument/2006/relationships/hyperlink" Target="https://karpathy.github.io/2019/04/25/recipe/" TargetMode="External"/><Relationship Id="rId103" Type="http://schemas.openxmlformats.org/officeDocument/2006/relationships/hyperlink" Target="https://www.deeplearningbook.org/contents/rnn.html" TargetMode="External"/><Relationship Id="rId104" Type="http://schemas.openxmlformats.org/officeDocument/2006/relationships/hyperlink" Target="https://d2l.ai/chapter_recurrent-neural-networks/index.html" TargetMode="External"/><Relationship Id="rId105" Type="http://schemas.openxmlformats.org/officeDocument/2006/relationships/hyperlink" Target="https://web.stanford.edu/~jurafsky/slp3/" TargetMode="External"/><Relationship Id="rId106" Type="http://schemas.openxmlformats.org/officeDocument/2006/relationships/hyperlink" Target="https://www.bioinf.jku.at/publications/older/2604.pdf" TargetMode="External"/><Relationship Id="rId107" Type="http://schemas.openxmlformats.org/officeDocument/2006/relationships/hyperlink" Target="https://proceedings.mlr.press/v28/pascanu13.html" TargetMode="External"/><Relationship Id="rId108" Type="http://schemas.openxmlformats.org/officeDocument/2006/relationships/hyperlink" Target="https://arxiv.org/abs/1406.1078" TargetMode="External"/><Relationship Id="rId109" Type="http://schemas.openxmlformats.org/officeDocument/2006/relationships/hyperlink" Target="https://arxiv.org/abs/1409.3215" TargetMode="External"/><Relationship Id="rId110" Type="http://schemas.openxmlformats.org/officeDocument/2006/relationships/hyperlink" Target="https://arxiv.org/abs/1409.0473" TargetMode="External"/><Relationship Id="rId111" Type="http://schemas.openxmlformats.org/officeDocument/2006/relationships/hyperlink" Target="https://colah.github.io/posts/2015-08-Understanding-LSTMs/" TargetMode="External"/><Relationship Id="rId112" Type="http://schemas.openxmlformats.org/officeDocument/2006/relationships/hyperlink" Target="https://karpathy.github.io/2015/05/21/rnn-effectiveness/" TargetMode="External"/><Relationship Id="rId113" Type="http://schemas.openxmlformats.org/officeDocument/2006/relationships/hyperlink" Target="https://aclanthology.org/P16-1162/" TargetMode="External"/><Relationship Id="rId114" Type="http://schemas.openxmlformats.org/officeDocument/2006/relationships/hyperlink" Target="https://aclanthology.org/P18-1007/" TargetMode="External"/><Relationship Id="rId115" Type="http://schemas.openxmlformats.org/officeDocument/2006/relationships/hyperlink" Target="https://aclanthology.org/D18-2012/" TargetMode="External"/><Relationship Id="rId116" Type="http://schemas.openxmlformats.org/officeDocument/2006/relationships/hyperlink" Target="https://cdn.openai.com/better-language-models/language_models_are_unsupervised_multitask_learners.pdf" TargetMode="External"/><Relationship Id="rId117" Type="http://schemas.openxmlformats.org/officeDocument/2006/relationships/hyperlink" Target="https://arxiv.org/abs/2305.15425" TargetMode="External"/><Relationship Id="rId118" Type="http://schemas.openxmlformats.org/officeDocument/2006/relationships/hyperlink" Target="https://huggingface.co/learn/llm-course/chapter6/1" TargetMode="External"/><Relationship Id="rId119" Type="http://schemas.openxmlformats.org/officeDocument/2006/relationships/hyperlink" Target="https://www.youtube.com/watch?v=zduSFxRajkE" TargetMode="External"/><Relationship Id="rId120" Type="http://schemas.openxmlformats.org/officeDocument/2006/relationships/hyperlink" Target="https://github.com/openai/tiktoken" TargetMode="External"/><Relationship Id="rId121" Type="http://schemas.openxmlformats.org/officeDocument/2006/relationships/hyperlink" Target="https://arxiv.org/abs/1706.03762" TargetMode="External"/><Relationship Id="rId122" Type="http://schemas.openxmlformats.org/officeDocument/2006/relationships/hyperlink" Target="https://arxiv.org/abs/2207.09238" TargetMode="External"/><Relationship Id="rId123" Type="http://schemas.openxmlformats.org/officeDocument/2006/relationships/hyperlink" Target="https://nlp.seas.harvard.edu/annotated-transformer/" TargetMode="External"/><Relationship Id="rId124" Type="http://schemas.openxmlformats.org/officeDocument/2006/relationships/hyperlink" Target="https://transformer-circuits.pub/2021/framework/index.html" TargetMode="External"/><Relationship Id="rId125" Type="http://schemas.openxmlformats.org/officeDocument/2006/relationships/hyperlink" Target="https://arxiv.org/abs/2002.04745" TargetMode="External"/><Relationship Id="rId126" Type="http://schemas.openxmlformats.org/officeDocument/2006/relationships/hyperlink" Target="https://jalammar.github.io/illustrated-transformer/" TargetMode="External"/><Relationship Id="rId127" Type="http://schemas.openxmlformats.org/officeDocument/2006/relationships/hyperlink" Target="https://www.youtube.com/watch?v=eMlx5fFNoYc" TargetMode="External"/><Relationship Id="rId128" Type="http://schemas.openxmlformats.org/officeDocument/2006/relationships/hyperlink" Target="https://www.youtube.com/watch?v=kCc8FmEb1nY" TargetMode="External"/><Relationship Id="rId129" Type="http://schemas.openxmlformats.org/officeDocument/2006/relationships/hyperlink" Target="https://web.stanford.edu/class/cs224n/" TargetMode="External"/><Relationship Id="rId130" Type="http://schemas.openxmlformats.org/officeDocument/2006/relationships/hyperlink" Target="https://arxiv.org/abs/1301.3781" TargetMode="External"/><Relationship Id="rId131" Type="http://schemas.openxmlformats.org/officeDocument/2006/relationships/hyperlink" Target="https://arxiv.org/abs/1310.4546" TargetMode="External"/><Relationship Id="rId132" Type="http://schemas.openxmlformats.org/officeDocument/2006/relationships/hyperlink" Target="https://aclanthology.org/D14-1162/" TargetMode="External"/><Relationship Id="rId133" Type="http://schemas.openxmlformats.org/officeDocument/2006/relationships/hyperlink" Target="https://papers.nips.cc/paper_files/paper/2014/hash/b78666971ceae55a8e87efb7cbfd9ad4-Abstract.html" TargetMode="External"/><Relationship Id="rId134" Type="http://schemas.openxmlformats.org/officeDocument/2006/relationships/hyperlink" Target="https://arxiv.org/abs/1810.04805" TargetMode="External"/><Relationship Id="rId135" Type="http://schemas.openxmlformats.org/officeDocument/2006/relationships/hyperlink" Target="https://arxiv.org/abs/1908.10084" TargetMode="External"/><Relationship Id="rId136" Type="http://schemas.openxmlformats.org/officeDocument/2006/relationships/hyperlink" Target="https://arxiv.org/abs/2104.08821" TargetMode="External"/><Relationship Id="rId137" Type="http://schemas.openxmlformats.org/officeDocument/2006/relationships/hyperlink" Target="https://aclanthology.org/D19-1006/" TargetMode="External"/><Relationship Id="rId138" Type="http://schemas.openxmlformats.org/officeDocument/2006/relationships/hyperlink" Target="https://arxiv.org/abs/2210.07316" TargetMode="External"/><Relationship Id="rId139" Type="http://schemas.openxmlformats.org/officeDocument/2006/relationships/hyperlink" Target="https://jalammar.github.io/illustrated-bert/" TargetMode="External"/><Relationship Id="rId140" Type="http://schemas.openxmlformats.org/officeDocument/2006/relationships/hyperlink" Target="https://arxiv.org/abs/1904.09751" TargetMode="External"/><Relationship Id="rId141" Type="http://schemas.openxmlformats.org/officeDocument/2006/relationships/hyperlink" Target="https://arxiv.org/abs/1805.04833" TargetMode="External"/><Relationship Id="rId142" Type="http://schemas.openxmlformats.org/officeDocument/2006/relationships/hyperlink" Target="https://arxiv.org/abs/2202.00666" TargetMode="External"/><Relationship Id="rId143" Type="http://schemas.openxmlformats.org/officeDocument/2006/relationships/hyperlink" Target="https://arxiv.org/abs/1908.04319" TargetMode="External"/><Relationship Id="rId144" Type="http://schemas.openxmlformats.org/officeDocument/2006/relationships/hyperlink" Target="https://arxiv.org/abs/2203.15721" TargetMode="External"/><Relationship Id="rId145" Type="http://schemas.openxmlformats.org/officeDocument/2006/relationships/hyperlink" Target="https://aclanthology.org/W17-3207/" TargetMode="External"/><Relationship Id="rId146" Type="http://schemas.openxmlformats.org/officeDocument/2006/relationships/hyperlink" Target="https://arxiv.org/abs/2211.17192" TargetMode="External"/><Relationship Id="rId147" Type="http://schemas.openxmlformats.org/officeDocument/2006/relationships/hyperlink" Target="https://huggingface.co/blog/how-to-generate" TargetMode="External"/><Relationship Id="rId148" Type="http://schemas.openxmlformats.org/officeDocument/2006/relationships/hyperlink" Target="https://arxiv.org/abs/2104.09864" TargetMode="External"/><Relationship Id="rId149" Type="http://schemas.openxmlformats.org/officeDocument/2006/relationships/hyperlink" Target="https://arxiv.org/abs/2108.12409" TargetMode="External"/><Relationship Id="rId150" Type="http://schemas.openxmlformats.org/officeDocument/2006/relationships/hyperlink" Target="https://arxiv.org/abs/1803.02155" TargetMode="External"/><Relationship Id="rId151" Type="http://schemas.openxmlformats.org/officeDocument/2006/relationships/hyperlink" Target="https://arxiv.org/abs/2305.19466" TargetMode="External"/><Relationship Id="rId152" Type="http://schemas.openxmlformats.org/officeDocument/2006/relationships/hyperlink" Target="https://blog.eleuther.ai/rotary-embeddings/" TargetMode="External"/><Relationship Id="rId153" Type="http://schemas.openxmlformats.org/officeDocument/2006/relationships/hyperlink" Target="https://arxiv.org/abs/2009.06732" TargetMode="External"/><Relationship Id="rId154" Type="http://schemas.openxmlformats.org/officeDocument/2006/relationships/hyperlink" Target="https://arxiv.org/abs/2004.05150" TargetMode="External"/><Relationship Id="rId155" Type="http://schemas.openxmlformats.org/officeDocument/2006/relationships/hyperlink" Target="https://arxiv.org/abs/2205.14135" TargetMode="External"/><Relationship Id="rId156" Type="http://schemas.openxmlformats.org/officeDocument/2006/relationships/hyperlink" Target="https://arxiv.org/abs/2001.08361" TargetMode="External"/><Relationship Id="rId157" Type="http://schemas.openxmlformats.org/officeDocument/2006/relationships/hyperlink" Target="https://arxiv.org/abs/2203.15556" TargetMode="External"/><Relationship Id="rId158" Type="http://schemas.openxmlformats.org/officeDocument/2006/relationships/hyperlink" Target="https://arxiv.org/abs/2005.14165" TargetMode="External"/><Relationship Id="rId159" Type="http://schemas.openxmlformats.org/officeDocument/2006/relationships/hyperlink" Target="https://arxiv.org/abs/2109.01652" TargetMode="External"/><Relationship Id="rId160" Type="http://schemas.openxmlformats.org/officeDocument/2006/relationships/hyperlink" Target="https://arxiv.org/abs/2203.02155" TargetMode="External"/><Relationship Id="rId161" Type="http://schemas.openxmlformats.org/officeDocument/2006/relationships/hyperlink" Target="https://arxiv.org/abs/1706.03741" TargetMode="External"/><Relationship Id="rId162" Type="http://schemas.openxmlformats.org/officeDocument/2006/relationships/hyperlink" Target="https://arxiv.org/abs/2305.18290" TargetMode="External"/><Relationship Id="rId163" Type="http://schemas.openxmlformats.org/officeDocument/2006/relationships/hyperlink" Target="https://arxiv.org/abs/2201.11903" TargetMode="External"/><Relationship Id="rId164" Type="http://schemas.openxmlformats.org/officeDocument/2006/relationships/hyperlink" Target="https://arxiv.org/abs/2205.11916" TargetMode="External"/><Relationship Id="rId165" Type="http://schemas.openxmlformats.org/officeDocument/2006/relationships/hyperlink" Target="https://arxiv.org/abs/2202.12837" TargetMode="External"/><Relationship Id="rId166" Type="http://schemas.openxmlformats.org/officeDocument/2006/relationships/hyperlink" Target="https://arxiv.org/abs/2102.09690" TargetMode="External"/><Relationship Id="rId167" Type="http://schemas.openxmlformats.org/officeDocument/2006/relationships/hyperlink" Target="https://aclanthology.org/2022.acl-long.556/" TargetMode="External"/><Relationship Id="rId168" Type="http://schemas.openxmlformats.org/officeDocument/2006/relationships/hyperlink" Target="https://arxiv.org/abs/2111.02080" TargetMode="External"/><Relationship Id="rId169" Type="http://schemas.openxmlformats.org/officeDocument/2006/relationships/hyperlink" Target="https://transformer-circuits.pub/2022/in-context-learning-and-induction-heads/index.html" TargetMode="External"/><Relationship Id="rId170" Type="http://schemas.openxmlformats.org/officeDocument/2006/relationships/hyperlink" Target="https://arxiv.org/abs/2301.00234" TargetMode="External"/><Relationship Id="rId171" Type="http://schemas.openxmlformats.org/officeDocument/2006/relationships/hyperlink" Target="https://arxiv.org/abs/2307.09702" TargetMode="External"/><Relationship Id="rId172" Type="http://schemas.openxmlformats.org/officeDocument/2006/relationships/hyperlink" Target="https://arxiv.org/abs/2411.15100" TargetMode="External"/><Relationship Id="rId173" Type="http://schemas.openxmlformats.org/officeDocument/2006/relationships/hyperlink" Target="https://arxiv.org/abs/2305.13971" TargetMode="External"/><Relationship Id="rId174" Type="http://schemas.openxmlformats.org/officeDocument/2006/relationships/hyperlink" Target="https://arxiv.org/abs/2403.06988" TargetMode="External"/><Relationship Id="rId175" Type="http://schemas.openxmlformats.org/officeDocument/2006/relationships/hyperlink" Target="https://arxiv.org/abs/2407.08103" TargetMode="External"/><Relationship Id="rId176" Type="http://schemas.openxmlformats.org/officeDocument/2006/relationships/hyperlink" Target="https://arxiv.org/abs/2109.05093" TargetMode="External"/><Relationship Id="rId177" Type="http://schemas.openxmlformats.org/officeDocument/2006/relationships/hyperlink" Target="https://arxiv.org/abs/2408.02442" TargetMode="External"/><Relationship Id="rId178" Type="http://schemas.openxmlformats.org/officeDocument/2006/relationships/hyperlink" Target="https://ocw.mit.edu/courses/18-404j-theory-of-computation-fall-2020/" TargetMode="External"/><Relationship Id="rId179" Type="http://schemas.openxmlformats.org/officeDocument/2006/relationships/hyperlink" Target="https://json-schema.org/" TargetMode="External"/><Relationship Id="rId180" Type="http://schemas.openxmlformats.org/officeDocument/2006/relationships/hyperlink" Target="https://github.com/dottxt-ai/outlines" TargetMode="External"/><Relationship Id="rId181" Type="http://schemas.openxmlformats.org/officeDocument/2006/relationships/hyperlink" Target="https://arxiv.org/abs/2411.00640" TargetMode="External"/><Relationship Id="rId182" Type="http://schemas.openxmlformats.org/officeDocument/2006/relationships/hyperlink" Target="https://aclanthology.org/P18-1128/" TargetMode="External"/><Relationship Id="rId183" Type="http://schemas.openxmlformats.org/officeDocument/2006/relationships/hyperlink" Target="https://aclanthology.org/D12-1091/" TargetMode="External"/><Relationship Id="rId184" Type="http://schemas.openxmlformats.org/officeDocument/2006/relationships/hyperlink" Target="https://aclanthology.org/W04-3250/" TargetMode="External"/><Relationship Id="rId185" Type="http://schemas.openxmlformats.org/officeDocument/2006/relationships/hyperlink" Target="https://sci2s.ugr.es/keel/pdf/algorithm/articulo/dietterich1998.pdf" TargetMode="External"/><Relationship Id="rId186" Type="http://schemas.openxmlformats.org/officeDocument/2006/relationships/hyperlink" Target="https://aclanthology.org/2020.emnlp-main.745/" TargetMode="External"/><Relationship Id="rId187" Type="http://schemas.openxmlformats.org/officeDocument/2006/relationships/hyperlink" Target="https://aclanthology.org/J08-4004/" TargetMode="External"/><Relationship Id="rId188" Type="http://schemas.openxmlformats.org/officeDocument/2006/relationships/hyperlink" Target="https://arxiv.org/abs/2306.05685" TargetMode="External"/><Relationship Id="rId189" Type="http://schemas.openxmlformats.org/officeDocument/2006/relationships/hyperlink" Target="https://arxiv.org/abs/2305.17926" TargetMode="External"/><Relationship Id="rId190" Type="http://schemas.openxmlformats.org/officeDocument/2006/relationships/hyperlink" Target="https://scikit-learn.org/stable/modules/generated/sklearn.metrics.cohen_kappa_score.html" TargetMode="External"/><Relationship Id="rId191" Type="http://schemas.openxmlformats.org/officeDocument/2006/relationships/hyperlink" Target="https://kipp.ly/p/transformer-inference-arithmetic" TargetMode="External"/><Relationship Id="rId192" Type="http://schemas.openxmlformats.org/officeDocument/2006/relationships/hyperlink" Target="https://blog.eleuther.ai/transformer-math/" TargetMode="External"/><Relationship Id="rId193" Type="http://schemas.openxmlformats.org/officeDocument/2006/relationships/hyperlink" Target="https://arxiv.org/abs/2211.05102" TargetMode="External"/><Relationship Id="rId194" Type="http://schemas.openxmlformats.org/officeDocument/2006/relationships/hyperlink" Target="https://arxiv.org/abs/2309.06180" TargetMode="External"/><Relationship Id="rId195" Type="http://schemas.openxmlformats.org/officeDocument/2006/relationships/hyperlink" Target="https://www.usenix.org/conference/osdi22/presentation/yu" TargetMode="External"/><Relationship Id="rId196" Type="http://schemas.openxmlformats.org/officeDocument/2006/relationships/hyperlink" Target="https://arxiv.org/abs/1911.02150" TargetMode="External"/><Relationship Id="rId197" Type="http://schemas.openxmlformats.org/officeDocument/2006/relationships/hyperlink" Target="https://arxiv.org/abs/2305.13245" TargetMode="External"/><Relationship Id="rId198" Type="http://schemas.openxmlformats.org/officeDocument/2006/relationships/hyperlink" Target="https://arxiv.org/abs/2208.07339" TargetMode="External"/><Relationship Id="rId199" Type="http://schemas.openxmlformats.org/officeDocument/2006/relationships/hyperlink" Target="https://arxiv.org/abs/2210.17323" TargetMode="External"/><Relationship Id="rId200" Type="http://schemas.openxmlformats.org/officeDocument/2006/relationships/hyperlink" Target="https://arxiv.org/abs/2306.00978" TargetMode="External"/><Relationship Id="rId201" Type="http://schemas.openxmlformats.org/officeDocument/2006/relationships/hyperlink" Target="https://developer.nvidia.com/blog/mastering-llm-techniques-inference-optimization/" TargetMode="External"/><Relationship Id="rId202" Type="http://schemas.openxmlformats.org/officeDocument/2006/relationships/hyperlink" Target="https://nlp.stanford.edu/IR-book/" TargetMode="External"/><Relationship Id="rId203" Type="http://schemas.openxmlformats.org/officeDocument/2006/relationships/hyperlink" Target="https://ciir.cs.umass.edu/irbook/" TargetMode="External"/><Relationship Id="rId204" Type="http://schemas.openxmlformats.org/officeDocument/2006/relationships/hyperlink" Target="https://www.staff.city.ac.uk/~sbrp622/papers/foundations_bm25_review.pdf" TargetMode="External"/><Relationship Id="rId205" Type="http://schemas.openxmlformats.org/officeDocument/2006/relationships/hyperlink" Target="https://www.staff.city.ac.uk/~sbrp622/idfpapers/Robertson_idf_JDoc.pdf" TargetMode="External"/><Relationship Id="rId206" Type="http://schemas.openxmlformats.org/officeDocument/2006/relationships/hyperlink" Target="https://arxiv.org/abs/2104.08663" TargetMode="External"/><Relationship Id="rId207" Type="http://schemas.openxmlformats.org/officeDocument/2006/relationships/hyperlink" Target="https://arxiv.org/abs/2010.06467" TargetMode="External"/><Relationship Id="rId208" Type="http://schemas.openxmlformats.org/officeDocument/2006/relationships/hyperlink" Target="https://web.stanford.edu/class/cs276/" TargetMode="External"/><Relationship Id="rId209" Type="http://schemas.openxmlformats.org/officeDocument/2006/relationships/hyperlink" Target="https://www.elastic.co/blog/practical-bm25-part-2-the-bm25-algorithm-and-its-variables" TargetMode="External"/><Relationship Id="rId210" Type="http://schemas.openxmlformats.org/officeDocument/2006/relationships/hyperlink" Target="https://arxiv.org/abs/1603.09320" TargetMode="External"/><Relationship Id="rId211" Type="http://schemas.openxmlformats.org/officeDocument/2006/relationships/hyperlink" Target="https://www.irisa.fr/texmex/people/jegou/papers/jegou_searching_with_quantization.pdf" TargetMode="External"/><Relationship Id="rId212" Type="http://schemas.openxmlformats.org/officeDocument/2006/relationships/hyperlink" Target="http://infolab.stanford.edu/~ullman/mmds/ch3.pdf" TargetMode="External"/><Relationship Id="rId213" Type="http://schemas.openxmlformats.org/officeDocument/2006/relationships/hyperlink" Target="https://arxiv.org/abs/2401.08281" TargetMode="External"/><Relationship Id="rId214" Type="http://schemas.openxmlformats.org/officeDocument/2006/relationships/hyperlink" Target="https://arxiv.org/abs/1702.08734" TargetMode="External"/><Relationship Id="rId215" Type="http://schemas.openxmlformats.org/officeDocument/2006/relationships/hyperlink" Target="https://arxiv.org/abs/1908.10396" TargetMode="External"/><Relationship Id="rId216" Type="http://schemas.openxmlformats.org/officeDocument/2006/relationships/hyperlink" Target="https://papers.nips.cc/paper_files/paper/2019/hash/09853c7fb1d3f8ee67a61b6bf4a7f8e6-Abstract.html" TargetMode="External"/><Relationship Id="rId217" Type="http://schemas.openxmlformats.org/officeDocument/2006/relationships/hyperlink" Target="https://link.springer.com/chapter/10.1007/3-540-49257-7_15" TargetMode="External"/><Relationship Id="rId218" Type="http://schemas.openxmlformats.org/officeDocument/2006/relationships/hyperlink" Target="https://arxiv.org/abs/1807.05614" TargetMode="External"/><Relationship Id="rId219" Type="http://schemas.openxmlformats.org/officeDocument/2006/relationships/hyperlink" Target="https://ann-benchmarks.com/" TargetMode="External"/><Relationship Id="rId220" Type="http://schemas.openxmlformats.org/officeDocument/2006/relationships/hyperlink" Target="https://www.pinecone.io/learn/series/faiss/" TargetMode="External"/><Relationship Id="rId221" Type="http://schemas.openxmlformats.org/officeDocument/2006/relationships/hyperlink" Target="https://github.com/pgvector/pgvector" TargetMode="External"/><Relationship Id="rId222" Type="http://schemas.openxmlformats.org/officeDocument/2006/relationships/hyperlink" Target="https://www.microsoft.com/en-us/research/publication/from-ranknet-to-lambdarank-to-lambdamart-an-overview/" TargetMode="External"/><Relationship Id="rId223" Type="http://schemas.openxmlformats.org/officeDocument/2006/relationships/hyperlink" Target="https://arxiv.org/abs/1901.04085" TargetMode="External"/><Relationship Id="rId224" Type="http://schemas.openxmlformats.org/officeDocument/2006/relationships/hyperlink" Target="https://arxiv.org/abs/2004.12832" TargetMode="External"/><Relationship Id="rId225" Type="http://schemas.openxmlformats.org/officeDocument/2006/relationships/hyperlink" Target="https://arxiv.org/abs/2004.04906" TargetMode="External"/><Relationship Id="rId226" Type="http://schemas.openxmlformats.org/officeDocument/2006/relationships/hyperlink" Target="https://arxiv.org/abs/2007.00808" TargetMode="External"/><Relationship Id="rId227" Type="http://schemas.openxmlformats.org/officeDocument/2006/relationships/hyperlink" Target="https://arxiv.org/abs/2107.05720" TargetMode="External"/><Relationship Id="rId228" Type="http://schemas.openxmlformats.org/officeDocument/2006/relationships/hyperlink" Target="https://plg.uwaterloo.ca/~gvcormac/cormacksigir09-rrf.pdf" TargetMode="External"/><Relationship Id="rId229" Type="http://schemas.openxmlformats.org/officeDocument/2006/relationships/hyperlink" Target="https://sbert.net/examples/cross_encoder/applications/README.html" TargetMode="External"/><Relationship Id="rId230" Type="http://schemas.openxmlformats.org/officeDocument/2006/relationships/hyperlink" Target="https://nlp.stanford.edu/IR-book/html/htmledition/evaluation-in-information-retrieval-1.html" TargetMode="External"/><Relationship Id="rId231" Type="http://schemas.openxmlformats.org/officeDocument/2006/relationships/hyperlink" Target="https://faculty.cc.gatech.edu/~zha/CS8803WST/dcg.pdf" TargetMode="External"/><Relationship Id="rId232" Type="http://schemas.openxmlformats.org/officeDocument/2006/relationships/hyperlink" Target="https://link.springer.com/chapter/10.1007/3-540-45691-0_34" TargetMode="External"/><Relationship Id="rId233" Type="http://schemas.openxmlformats.org/officeDocument/2006/relationships/hyperlink" Target="https://arxiv.org/abs/1905.11096" TargetMode="External"/><Relationship Id="rId234" Type="http://schemas.openxmlformats.org/officeDocument/2006/relationships/hyperlink" Target="https://arxiv.org/abs/2309.15217" TargetMode="External"/><Relationship Id="rId235" Type="http://schemas.openxmlformats.org/officeDocument/2006/relationships/hyperlink" Target="https://arxiv.org/abs/2311.09476" TargetMode="External"/><Relationship Id="rId236" Type="http://schemas.openxmlformats.org/officeDocument/2006/relationships/hyperlink" Target="https://arxiv.org/abs/2405.07437" TargetMode="External"/><Relationship Id="rId237" Type="http://schemas.openxmlformats.org/officeDocument/2006/relationships/hyperlink" Target="https://trec.nist.gov/" TargetMode="External"/><Relationship Id="rId238" Type="http://schemas.openxmlformats.org/officeDocument/2006/relationships/hyperlink" Target="https://arxiv.org/abs/2005.11401" TargetMode="External"/><Relationship Id="rId239" Type="http://schemas.openxmlformats.org/officeDocument/2006/relationships/hyperlink" Target="https://arxiv.org/abs/2307.03172" TargetMode="External"/><Relationship Id="rId240" Type="http://schemas.openxmlformats.org/officeDocument/2006/relationships/hyperlink" Target="https://arxiv.org/abs/2404.06654" TargetMode="External"/><Relationship Id="rId241" Type="http://schemas.openxmlformats.org/officeDocument/2006/relationships/hyperlink" Target="https://github.com/gkamradt/needle-in-a-haystack" TargetMode="External"/><Relationship Id="rId242" Type="http://schemas.openxmlformats.org/officeDocument/2006/relationships/hyperlink" Target="https://arxiv.org/abs/2310.03025" TargetMode="External"/><Relationship Id="rId243" Type="http://schemas.openxmlformats.org/officeDocument/2006/relationships/hyperlink" Target="https://arxiv.org/abs/2202.03629" TargetMode="External"/><Relationship Id="rId244" Type="http://schemas.openxmlformats.org/officeDocument/2006/relationships/hyperlink" Target="https://arxiv.org/abs/2311.05232" TargetMode="External"/><Relationship Id="rId245" Type="http://schemas.openxmlformats.org/officeDocument/2006/relationships/hyperlink" Target="https://arxiv.org/abs/2311.14648" TargetMode="External"/><Relationship Id="rId246" Type="http://schemas.openxmlformats.org/officeDocument/2006/relationships/hyperlink" Target="https://arxiv.org/abs/2207.05221" TargetMode="External"/><Relationship Id="rId247" Type="http://schemas.openxmlformats.org/officeDocument/2006/relationships/hyperlink" Target="https://arxiv.org/abs/2109.07958" TargetMode="External"/><Relationship Id="rId248" Type="http://schemas.openxmlformats.org/officeDocument/2006/relationships/hyperlink" Target="https://arxiv.org/abs/2305.14251" TargetMode="External"/><Relationship Id="rId249" Type="http://schemas.openxmlformats.org/officeDocument/2006/relationships/hyperlink" Target="https://arxiv.org/abs/2305.14627" TargetMode="External"/><Relationship Id="rId250" Type="http://schemas.openxmlformats.org/officeDocument/2006/relationships/hyperlink" Target="https://arxiv.org/abs/2112.12870" TargetMode="External"/><Relationship Id="rId25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7A33"/>
    <pageSetUpPr fitToPage="true"/>
  </sheetPr>
  <dimension ref="A1:O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5"/>
    <col collapsed="false" customWidth="true" hidden="false" outlineLevel="0" max="3" min="3" style="0" width="34"/>
    <col collapsed="false" customWidth="true" hidden="false" outlineLevel="0" max="4" min="4" style="0" width="44"/>
    <col collapsed="false" customWidth="true" hidden="false" outlineLevel="0" max="5" min="5" style="0" width="34"/>
    <col collapsed="false" customWidth="true" hidden="false" outlineLevel="0" max="6" min="6" style="0" width="28"/>
    <col collapsed="false" customWidth="true" hidden="false" outlineLevel="0" max="8" min="7" style="0" width="11"/>
    <col collapsed="false" customWidth="true" hidden="false" outlineLevel="0" max="9" min="9" style="0" width="30"/>
    <col collapsed="false" customWidth="true" hidden="false" outlineLevel="0" max="10" min="10" style="0" width="3"/>
    <col collapsed="false" customWidth="true" hidden="false" outlineLevel="0" max="15" min="11" style="0" width="12"/>
  </cols>
  <sheetData>
    <row r="1" customFormat="false" ht="6" hidden="false" customHeight="true" outlineLevel="0" collapsed="false">
      <c r="A1" s="1"/>
      <c r="B1" s="1"/>
      <c r="C1" s="1"/>
      <c r="D1" s="1"/>
      <c r="E1" s="1"/>
      <c r="F1" s="1"/>
      <c r="G1" s="1"/>
      <c r="H1" s="1"/>
      <c r="I1" s="1"/>
      <c r="J1" s="1"/>
      <c r="K1" s="1"/>
      <c r="L1" s="1"/>
      <c r="M1" s="1"/>
      <c r="N1" s="1"/>
      <c r="O1" s="1"/>
    </row>
    <row r="2" customFormat="false" ht="27.75" hidden="false" customHeight="true" outlineLevel="0" collapsed="false">
      <c r="A2" s="2" t="s">
        <v>0</v>
      </c>
      <c r="B2" s="2"/>
      <c r="C2" s="2"/>
      <c r="D2" s="2"/>
      <c r="E2" s="2"/>
      <c r="F2" s="2"/>
      <c r="G2" s="2"/>
      <c r="H2" s="2"/>
      <c r="I2" s="2"/>
      <c r="J2" s="2"/>
      <c r="K2" s="2"/>
      <c r="L2" s="2"/>
      <c r="M2" s="2"/>
      <c r="N2" s="2"/>
      <c r="O2" s="2"/>
    </row>
    <row r="3" customFormat="false" ht="27.75" hidden="false" customHeight="true" outlineLevel="0" collapsed="false">
      <c r="A3" s="3" t="s">
        <v>1</v>
      </c>
      <c r="B3" s="3"/>
      <c r="C3" s="3"/>
      <c r="D3" s="3"/>
      <c r="E3" s="3"/>
      <c r="F3" s="3"/>
      <c r="G3" s="3"/>
      <c r="H3" s="3"/>
      <c r="I3" s="3"/>
      <c r="J3" s="3"/>
      <c r="K3" s="3"/>
      <c r="L3" s="3"/>
      <c r="M3" s="3"/>
      <c r="N3" s="3"/>
      <c r="O3" s="3"/>
    </row>
    <row r="5" customFormat="false" ht="33.75" hidden="false" customHeight="true" outlineLevel="0" collapsed="false">
      <c r="A5" s="4" t="n">
        <f aca="false">COUNTIF(Sessions!$D$6:$D$49,"&gt;0")</f>
        <v>30</v>
      </c>
      <c r="B5" s="4"/>
      <c r="C5" s="4" t="n">
        <f aca="false">SUM(Sessions!$D$6:$D$49)/60</f>
        <v>60</v>
      </c>
      <c r="D5" s="5" t="n">
        <f aca="false">$C$10-7</f>
        <v>46293</v>
      </c>
      <c r="E5" s="5" t="n">
        <f aca="false">$C$10</f>
        <v>46300</v>
      </c>
      <c r="F5" s="5" t="n">
        <f aca="false">MIN(Sessions!$C$6:$C$49)</f>
        <v>46307</v>
      </c>
      <c r="G5" s="6" t="n">
        <f aca="false">MAX(Sessions!$C$6:$C$49)</f>
        <v>46374</v>
      </c>
      <c r="H5" s="6"/>
      <c r="I5" s="4" t="n">
        <f aca="false">COUNTIF(Sessions!$N$6:$N$49,"Confirmed")</f>
        <v>0</v>
      </c>
    </row>
    <row r="6" customFormat="false" ht="25.5" hidden="false" customHeight="true" outlineLevel="0" collapsed="false">
      <c r="A6" s="7" t="s">
        <v>2</v>
      </c>
      <c r="B6" s="7"/>
      <c r="C6" s="7" t="s">
        <v>3</v>
      </c>
      <c r="D6" s="7" t="s">
        <v>4</v>
      </c>
      <c r="E6" s="7" t="s">
        <v>5</v>
      </c>
      <c r="F6" s="7" t="s">
        <v>6</v>
      </c>
      <c r="G6" s="7" t="s">
        <v>7</v>
      </c>
      <c r="H6" s="7"/>
      <c r="I6" s="7" t="s">
        <v>8</v>
      </c>
    </row>
    <row r="8" customFormat="false" ht="21" hidden="false" customHeight="true" outlineLevel="0" collapsed="false">
      <c r="A8" s="8" t="s">
        <v>9</v>
      </c>
      <c r="B8" s="8"/>
      <c r="C8" s="8"/>
      <c r="D8" s="8"/>
      <c r="E8" s="8"/>
      <c r="F8" s="8"/>
      <c r="G8" s="8"/>
      <c r="H8" s="8"/>
      <c r="I8" s="8"/>
    </row>
    <row r="9" customFormat="false" ht="3.75" hidden="false" customHeight="true" outlineLevel="0" collapsed="false"/>
    <row r="10" customFormat="false" ht="30" hidden="false" customHeight="true" outlineLevel="0" collapsed="false">
      <c r="A10" s="9" t="s">
        <v>10</v>
      </c>
      <c r="B10" s="10" t="s">
        <v>11</v>
      </c>
      <c r="C10" s="11" t="n">
        <v>46300</v>
      </c>
      <c r="D10" s="12" t="s">
        <v>12</v>
      </c>
      <c r="E10" s="12"/>
      <c r="F10" s="12"/>
      <c r="G10" s="12"/>
      <c r="H10" s="12"/>
      <c r="I10" s="12"/>
    </row>
    <row r="11" customFormat="false" ht="18" hidden="false" customHeight="true" outlineLevel="0" collapsed="false">
      <c r="A11" s="9" t="s">
        <v>10</v>
      </c>
      <c r="B11" s="10" t="s">
        <v>13</v>
      </c>
      <c r="C11" s="13" t="n">
        <v>120</v>
      </c>
      <c r="D11" s="12" t="s">
        <v>14</v>
      </c>
      <c r="E11" s="12"/>
      <c r="F11" s="12"/>
      <c r="G11" s="12"/>
      <c r="H11" s="12"/>
      <c r="I11" s="12"/>
    </row>
    <row r="12" customFormat="false" ht="18" hidden="false" customHeight="true" outlineLevel="0" collapsed="false">
      <c r="A12" s="9" t="s">
        <v>10</v>
      </c>
      <c r="B12" s="10" t="s">
        <v>15</v>
      </c>
      <c r="C12" s="13" t="n">
        <v>60</v>
      </c>
      <c r="D12" s="14" t="str">
        <f aca="false">IF($H$28=$C$12,"Check: the plan below reconciles to the "&amp;$C$12&amp;" committed faculty hours.","Check: the plan below differs by "&amp;TEXT($H$28-$C$12,"0")&amp;" hours from the "&amp;$C$12&amp;" committed.")</f>
        <v>Check: the plan below reconciles to the 60 committed faculty hours.</v>
      </c>
      <c r="E12" s="14"/>
      <c r="F12" s="14"/>
      <c r="G12" s="14"/>
      <c r="H12" s="14"/>
      <c r="I12" s="14"/>
    </row>
    <row r="14" customFormat="false" ht="21" hidden="false" customHeight="true" outlineLevel="0" collapsed="false">
      <c r="A14" s="8" t="s">
        <v>16</v>
      </c>
      <c r="B14" s="8"/>
      <c r="C14" s="8"/>
      <c r="D14" s="8"/>
      <c r="E14" s="8"/>
      <c r="F14" s="8"/>
      <c r="G14" s="8"/>
      <c r="H14" s="8"/>
      <c r="I14" s="8"/>
    </row>
    <row r="15" customFormat="false" ht="18" hidden="false" customHeight="true" outlineLevel="0" collapsed="false">
      <c r="A15" s="15" t="s">
        <v>17</v>
      </c>
      <c r="B15" s="12" t="s">
        <v>18</v>
      </c>
      <c r="C15" s="12"/>
      <c r="D15" s="12"/>
      <c r="E15" s="12"/>
      <c r="F15" s="12"/>
      <c r="G15" s="12"/>
      <c r="H15" s="12"/>
      <c r="I15" s="12"/>
    </row>
    <row r="16" customFormat="false" ht="18" hidden="false" customHeight="true" outlineLevel="0" collapsed="false">
      <c r="A16" s="15" t="s">
        <v>19</v>
      </c>
      <c r="B16" s="12" t="s">
        <v>20</v>
      </c>
      <c r="C16" s="12"/>
      <c r="D16" s="12"/>
      <c r="E16" s="12"/>
      <c r="F16" s="12"/>
      <c r="G16" s="12"/>
      <c r="H16" s="12"/>
      <c r="I16" s="12"/>
    </row>
    <row r="17" customFormat="false" ht="18" hidden="false" customHeight="true" outlineLevel="0" collapsed="false">
      <c r="A17" s="15" t="s">
        <v>21</v>
      </c>
      <c r="B17" s="12" t="s">
        <v>22</v>
      </c>
      <c r="C17" s="12"/>
      <c r="D17" s="12"/>
      <c r="E17" s="12"/>
      <c r="F17" s="12"/>
      <c r="G17" s="12"/>
      <c r="H17" s="12"/>
      <c r="I17" s="12"/>
    </row>
    <row r="19" customFormat="false" ht="21" hidden="false" customHeight="true" outlineLevel="0" collapsed="false">
      <c r="A19" s="8" t="s">
        <v>23</v>
      </c>
      <c r="B19" s="8"/>
      <c r="C19" s="8"/>
      <c r="D19" s="8"/>
      <c r="E19" s="8"/>
      <c r="F19" s="8"/>
      <c r="G19" s="8"/>
      <c r="H19" s="8"/>
      <c r="I19" s="8"/>
    </row>
    <row r="20" customFormat="false" ht="30" hidden="false" customHeight="true" outlineLevel="0" collapsed="false">
      <c r="A20" s="16" t="s">
        <v>24</v>
      </c>
      <c r="B20" s="16" t="s">
        <v>25</v>
      </c>
      <c r="C20" s="16" t="s">
        <v>26</v>
      </c>
      <c r="D20" s="16" t="s">
        <v>27</v>
      </c>
      <c r="E20" s="16" t="s">
        <v>28</v>
      </c>
      <c r="F20" s="16" t="s">
        <v>29</v>
      </c>
      <c r="G20" s="16" t="s">
        <v>30</v>
      </c>
      <c r="H20" s="16" t="s">
        <v>31</v>
      </c>
      <c r="I20" s="17" t="s">
        <v>32</v>
      </c>
    </row>
    <row r="21" customFormat="false" ht="94.5" hidden="false" customHeight="true" outlineLevel="0" collapsed="false">
      <c r="A21" s="18" t="n">
        <v>2</v>
      </c>
      <c r="B21" s="19" t="str">
        <f aca="false">TEXT(Overview!$C$10+7*(A21-1),"DD MMM")&amp;" to "&amp;TEXT(Overview!$C$10+7*(A21-1)+5,"DD MMM YYYY")</f>
        <v>12 Oct to 17 Oct 2026</v>
      </c>
      <c r="C21" s="20" t="s">
        <v>33</v>
      </c>
      <c r="D21" s="20" t="s">
        <v>34</v>
      </c>
      <c r="E21" s="20" t="s">
        <v>35</v>
      </c>
      <c r="F21" s="20" t="s">
        <v>36</v>
      </c>
      <c r="G21" s="21" t="n">
        <f aca="false">COUNTIF(Sessions!$B$6:$B$49,A21)</f>
        <v>3</v>
      </c>
      <c r="H21" s="22" t="n">
        <f aca="false">SUMIF(Sessions!$B$6:$B$49,A21,Sessions!$D$6:$D$49)/60</f>
        <v>6</v>
      </c>
      <c r="I21" s="23" t="s">
        <v>37</v>
      </c>
    </row>
    <row r="22" customFormat="false" ht="81.75" hidden="false" customHeight="true" outlineLevel="0" collapsed="false">
      <c r="A22" s="18" t="n">
        <v>4</v>
      </c>
      <c r="B22" s="19" t="str">
        <f aca="false">TEXT(Overview!$C$10+7*(A22-1),"DD MMM")&amp;" to "&amp;TEXT(Overview!$C$10+7*(A22-1)+5,"DD MMM YYYY")</f>
        <v>26 Oct to 31 Oct 2026</v>
      </c>
      <c r="C22" s="20" t="s">
        <v>38</v>
      </c>
      <c r="D22" s="20" t="s">
        <v>39</v>
      </c>
      <c r="E22" s="20" t="s">
        <v>40</v>
      </c>
      <c r="F22" s="20" t="s">
        <v>41</v>
      </c>
      <c r="G22" s="21" t="n">
        <f aca="false">COUNTIF(Sessions!$B$6:$B$49,A22)</f>
        <v>4</v>
      </c>
      <c r="H22" s="22" t="n">
        <f aca="false">SUMIF(Sessions!$B$6:$B$49,A22,Sessions!$D$6:$D$49)/60</f>
        <v>8</v>
      </c>
      <c r="I22" s="23" t="s">
        <v>37</v>
      </c>
    </row>
    <row r="23" customFormat="false" ht="159.75" hidden="false" customHeight="true" outlineLevel="0" collapsed="false">
      <c r="A23" s="18" t="n">
        <v>5</v>
      </c>
      <c r="B23" s="19" t="str">
        <f aca="false">TEXT(Overview!$C$10+7*(A23-1),"DD MMM")&amp;" to "&amp;TEXT(Overview!$C$10+7*(A23-1)+5,"DD MMM YYYY")</f>
        <v>02 Nov to 07 Nov 2026</v>
      </c>
      <c r="C23" s="20" t="s">
        <v>38</v>
      </c>
      <c r="D23" s="20" t="s">
        <v>42</v>
      </c>
      <c r="E23" s="20" t="s">
        <v>43</v>
      </c>
      <c r="F23" s="20" t="s">
        <v>44</v>
      </c>
      <c r="G23" s="21" t="n">
        <f aca="false">COUNTIF(Sessions!$B$6:$B$49,A23)</f>
        <v>5</v>
      </c>
      <c r="H23" s="22" t="n">
        <f aca="false">SUMIF(Sessions!$B$6:$B$49,A23,Sessions!$D$6:$D$49)/60</f>
        <v>10</v>
      </c>
      <c r="I23" s="23" t="s">
        <v>37</v>
      </c>
    </row>
    <row r="24" customFormat="false" ht="147" hidden="false" customHeight="true" outlineLevel="0" collapsed="false">
      <c r="A24" s="18" t="n">
        <v>7</v>
      </c>
      <c r="B24" s="19" t="str">
        <f aca="false">TEXT(Overview!$C$10+7*(A24-1),"DD MMM")&amp;" to "&amp;TEXT(Overview!$C$10+7*(A24-1)+5,"DD MMM YYYY")</f>
        <v>16 Nov to 21 Nov 2026</v>
      </c>
      <c r="C24" s="20" t="s">
        <v>45</v>
      </c>
      <c r="D24" s="20" t="s">
        <v>46</v>
      </c>
      <c r="E24" s="20" t="s">
        <v>47</v>
      </c>
      <c r="F24" s="20" t="s">
        <v>48</v>
      </c>
      <c r="G24" s="21" t="n">
        <f aca="false">COUNTIF(Sessions!$B$6:$B$49,A24)</f>
        <v>5</v>
      </c>
      <c r="H24" s="22" t="n">
        <f aca="false">SUMIF(Sessions!$B$6:$B$49,A24,Sessions!$D$6:$D$49)/60</f>
        <v>10</v>
      </c>
      <c r="I24" s="23" t="s">
        <v>37</v>
      </c>
    </row>
    <row r="25" customFormat="false" ht="94.5" hidden="false" customHeight="true" outlineLevel="0" collapsed="false">
      <c r="A25" s="18" t="n">
        <v>8</v>
      </c>
      <c r="B25" s="19" t="str">
        <f aca="false">TEXT(Overview!$C$10+7*(A25-1),"DD MMM")&amp;" to "&amp;TEXT(Overview!$C$10+7*(A25-1)+5,"DD MMM YYYY")</f>
        <v>23 Nov to 28 Nov 2026</v>
      </c>
      <c r="C25" s="20" t="s">
        <v>49</v>
      </c>
      <c r="D25" s="20" t="s">
        <v>50</v>
      </c>
      <c r="E25" s="20" t="s">
        <v>51</v>
      </c>
      <c r="F25" s="20" t="s">
        <v>52</v>
      </c>
      <c r="G25" s="21" t="n">
        <f aca="false">COUNTIF(Sessions!$B$6:$B$49,A25)</f>
        <v>4</v>
      </c>
      <c r="H25" s="22" t="n">
        <f aca="false">SUMIF(Sessions!$B$6:$B$49,A25,Sessions!$D$6:$D$49)/60</f>
        <v>8</v>
      </c>
      <c r="I25" s="23" t="s">
        <v>37</v>
      </c>
    </row>
    <row r="26" customFormat="false" ht="81.75" hidden="false" customHeight="true" outlineLevel="0" collapsed="false">
      <c r="A26" s="18" t="n">
        <v>10</v>
      </c>
      <c r="B26" s="19" t="str">
        <f aca="false">TEXT(Overview!$C$10+7*(A26-1),"DD MMM")&amp;" to "&amp;TEXT(Overview!$C$10+7*(A26-1)+5,"DD MMM YYYY")</f>
        <v>07 Dec to 12 Dec 2026</v>
      </c>
      <c r="C26" s="20" t="s">
        <v>53</v>
      </c>
      <c r="D26" s="20" t="s">
        <v>54</v>
      </c>
      <c r="E26" s="20" t="s">
        <v>55</v>
      </c>
      <c r="F26" s="20" t="s">
        <v>56</v>
      </c>
      <c r="G26" s="21" t="n">
        <f aca="false">COUNTIF(Sessions!$B$6:$B$49,A26)</f>
        <v>4</v>
      </c>
      <c r="H26" s="22" t="n">
        <f aca="false">SUMIF(Sessions!$B$6:$B$49,A26,Sessions!$D$6:$D$49)/60</f>
        <v>8</v>
      </c>
      <c r="I26" s="23" t="s">
        <v>37</v>
      </c>
    </row>
    <row r="27" customFormat="false" ht="133.5" hidden="false" customHeight="true" outlineLevel="0" collapsed="false">
      <c r="A27" s="18" t="n">
        <v>11</v>
      </c>
      <c r="B27" s="19" t="str">
        <f aca="false">TEXT(Overview!$C$10+7*(A27-1),"DD MMM")&amp;" to "&amp;TEXT(Overview!$C$10+7*(A27-1)+5,"DD MMM YYYY")</f>
        <v>14 Dec to 19 Dec 2026</v>
      </c>
      <c r="C27" s="20" t="s">
        <v>57</v>
      </c>
      <c r="D27" s="20" t="s">
        <v>58</v>
      </c>
      <c r="E27" s="20" t="s">
        <v>59</v>
      </c>
      <c r="F27" s="20" t="s">
        <v>60</v>
      </c>
      <c r="G27" s="21" t="n">
        <f aca="false">COUNTIF(Sessions!$B$6:$B$49,A27)</f>
        <v>5</v>
      </c>
      <c r="H27" s="22" t="n">
        <f aca="false">SUMIF(Sessions!$B$6:$B$49,A27,Sessions!$D$6:$D$49)/60</f>
        <v>10</v>
      </c>
      <c r="I27" s="23" t="s">
        <v>37</v>
      </c>
    </row>
    <row r="28" customFormat="false" ht="18" hidden="false" customHeight="true" outlineLevel="0" collapsed="false">
      <c r="A28" s="24" t="s">
        <v>61</v>
      </c>
      <c r="B28" s="24"/>
      <c r="C28" s="24"/>
      <c r="D28" s="24"/>
      <c r="E28" s="24"/>
      <c r="F28" s="24"/>
      <c r="G28" s="25" t="n">
        <f aca="false">SUM(G21:G27)</f>
        <v>30</v>
      </c>
      <c r="H28" s="26" t="n">
        <f aca="false">SUM(H21:H27)</f>
        <v>60</v>
      </c>
      <c r="I28" s="27" t="s">
        <v>62</v>
      </c>
    </row>
    <row r="30" customFormat="false" ht="21" hidden="false" customHeight="true" outlineLevel="0" collapsed="false">
      <c r="A30" s="8" t="s">
        <v>63</v>
      </c>
      <c r="B30" s="8"/>
      <c r="C30" s="8"/>
      <c r="D30" s="8"/>
      <c r="E30" s="8"/>
      <c r="F30" s="8"/>
      <c r="G30" s="8"/>
      <c r="H30" s="8"/>
      <c r="I30" s="8"/>
    </row>
    <row r="31" customFormat="false" ht="30" hidden="false" customHeight="true" outlineLevel="0" collapsed="false">
      <c r="A31" s="16" t="s">
        <v>24</v>
      </c>
      <c r="B31" s="16" t="s">
        <v>25</v>
      </c>
      <c r="C31" s="16" t="s">
        <v>64</v>
      </c>
      <c r="D31" s="16" t="s">
        <v>65</v>
      </c>
      <c r="E31" s="16" t="s">
        <v>66</v>
      </c>
      <c r="F31" s="16" t="s">
        <v>67</v>
      </c>
      <c r="G31" s="16" t="s">
        <v>2</v>
      </c>
      <c r="H31" s="16" t="s">
        <v>3</v>
      </c>
      <c r="I31" s="16" t="s">
        <v>68</v>
      </c>
    </row>
    <row r="32" customFormat="false" ht="42.75" hidden="false" customHeight="true" outlineLevel="0" collapsed="false">
      <c r="A32" s="28" t="n">
        <v>0</v>
      </c>
      <c r="B32" s="19" t="str">
        <f aca="false">TEXT(Overview!$C$10+7*(A32-1),"DD MMM")&amp;" to "&amp;TEXT(Overview!$C$10+7*(A32-1)+5,"DD MMM YYYY")</f>
        <v>28 Sep to 03 Oct 2026</v>
      </c>
      <c r="C32" s="20" t="s">
        <v>69</v>
      </c>
      <c r="D32" s="20" t="s">
        <v>70</v>
      </c>
      <c r="E32" s="20" t="s">
        <v>71</v>
      </c>
      <c r="F32" s="20" t="s">
        <v>72</v>
      </c>
      <c r="G32" s="19" t="n">
        <f aca="false">COUNTIF(Sessions!$B$6:$B$49,A32)</f>
        <v>0</v>
      </c>
      <c r="H32" s="29" t="n">
        <f aca="false">SUMIF(Sessions!$B$6:$B$49,A32,Sessions!$D$6:$D$49)/60</f>
        <v>0</v>
      </c>
      <c r="I32" s="20" t="s">
        <v>73</v>
      </c>
    </row>
    <row r="33" customFormat="false" ht="16.5" hidden="false" customHeight="true" outlineLevel="0" collapsed="false">
      <c r="A33" s="28" t="n">
        <v>1</v>
      </c>
      <c r="B33" s="19" t="str">
        <f aca="false">TEXT(Overview!$C$10+7*(A33-1),"DD MMM")&amp;" to "&amp;TEXT(Overview!$C$10+7*(A33-1)+5,"DD MMM YYYY")</f>
        <v>05 Oct to 10 Oct 2026</v>
      </c>
      <c r="C33" s="20" t="s">
        <v>74</v>
      </c>
      <c r="D33" s="20" t="s">
        <v>75</v>
      </c>
      <c r="E33" s="20" t="s">
        <v>71</v>
      </c>
      <c r="F33" s="20" t="s">
        <v>71</v>
      </c>
      <c r="G33" s="19" t="n">
        <f aca="false">COUNTIF(Sessions!$B$6:$B$49,A33)</f>
        <v>0</v>
      </c>
      <c r="H33" s="29" t="n">
        <f aca="false">SUMIF(Sessions!$B$6:$B$49,A33,Sessions!$D$6:$D$49)/60</f>
        <v>0</v>
      </c>
      <c r="I33" s="20" t="s">
        <v>76</v>
      </c>
    </row>
    <row r="34" customFormat="false" ht="42.75" hidden="false" customHeight="true" outlineLevel="0" collapsed="false">
      <c r="A34" s="30" t="n">
        <v>2</v>
      </c>
      <c r="B34" s="31" t="str">
        <f aca="false">TEXT(Overview!$C$10+7*(A34-1),"DD MMM")&amp;" to "&amp;TEXT(Overview!$C$10+7*(A34-1)+5,"DD MMM YYYY")</f>
        <v>12 Oct to 17 Oct 2026</v>
      </c>
      <c r="C34" s="32" t="s">
        <v>74</v>
      </c>
      <c r="D34" s="32" t="s">
        <v>77</v>
      </c>
      <c r="E34" s="32" t="s">
        <v>71</v>
      </c>
      <c r="F34" s="32" t="s">
        <v>71</v>
      </c>
      <c r="G34" s="33" t="n">
        <f aca="false">COUNTIF(Sessions!$B$6:$B$49,A34)</f>
        <v>3</v>
      </c>
      <c r="H34" s="34" t="n">
        <f aca="false">SUMIF(Sessions!$B$6:$B$49,A34,Sessions!$D$6:$D$49)/60</f>
        <v>6</v>
      </c>
      <c r="I34" s="32" t="s">
        <v>78</v>
      </c>
    </row>
    <row r="35" customFormat="false" ht="30" hidden="false" customHeight="true" outlineLevel="0" collapsed="false">
      <c r="A35" s="35" t="n">
        <v>3</v>
      </c>
      <c r="B35" s="36" t="str">
        <f aca="false">TEXT(Overview!$C$10+7*(A35-1),"DD MMM")&amp;" to "&amp;TEXT(Overview!$C$10+7*(A35-1)+5,"DD MMM YYYY")</f>
        <v>19 Oct to 24 Oct 2026</v>
      </c>
      <c r="C35" s="37" t="s">
        <v>74</v>
      </c>
      <c r="D35" s="37" t="s">
        <v>79</v>
      </c>
      <c r="E35" s="37" t="s">
        <v>80</v>
      </c>
      <c r="F35" s="37" t="s">
        <v>81</v>
      </c>
      <c r="G35" s="36" t="n">
        <f aca="false">COUNTIF(Sessions!$B$6:$B$49,A35)</f>
        <v>0</v>
      </c>
      <c r="H35" s="38" t="n">
        <f aca="false">SUMIF(Sessions!$B$6:$B$49,A35,Sessions!$D$6:$D$49)/60</f>
        <v>0</v>
      </c>
      <c r="I35" s="37" t="s">
        <v>82</v>
      </c>
    </row>
    <row r="36" customFormat="false" ht="42.75" hidden="false" customHeight="true" outlineLevel="0" collapsed="false">
      <c r="A36" s="30" t="n">
        <v>4</v>
      </c>
      <c r="B36" s="31" t="str">
        <f aca="false">TEXT(Overview!$C$10+7*(A36-1),"DD MMM")&amp;" to "&amp;TEXT(Overview!$C$10+7*(A36-1)+5,"DD MMM YYYY")</f>
        <v>26 Oct to 31 Oct 2026</v>
      </c>
      <c r="C36" s="32" t="s">
        <v>83</v>
      </c>
      <c r="D36" s="32" t="s">
        <v>84</v>
      </c>
      <c r="E36" s="32" t="s">
        <v>71</v>
      </c>
      <c r="F36" s="32" t="s">
        <v>71</v>
      </c>
      <c r="G36" s="33" t="n">
        <f aca="false">COUNTIF(Sessions!$B$6:$B$49,A36)</f>
        <v>4</v>
      </c>
      <c r="H36" s="34" t="n">
        <f aca="false">SUMIF(Sessions!$B$6:$B$49,A36,Sessions!$D$6:$D$49)/60</f>
        <v>8</v>
      </c>
      <c r="I36" s="32" t="s">
        <v>78</v>
      </c>
    </row>
    <row r="37" customFormat="false" ht="42.75" hidden="false" customHeight="true" outlineLevel="0" collapsed="false">
      <c r="A37" s="30" t="n">
        <v>5</v>
      </c>
      <c r="B37" s="31" t="str">
        <f aca="false">TEXT(Overview!$C$10+7*(A37-1),"DD MMM")&amp;" to "&amp;TEXT(Overview!$C$10+7*(A37-1)+5,"DD MMM YYYY")</f>
        <v>02 Nov to 07 Nov 2026</v>
      </c>
      <c r="C37" s="32" t="s">
        <v>83</v>
      </c>
      <c r="D37" s="32" t="s">
        <v>85</v>
      </c>
      <c r="E37" s="32" t="s">
        <v>86</v>
      </c>
      <c r="F37" s="32" t="s">
        <v>71</v>
      </c>
      <c r="G37" s="33" t="n">
        <f aca="false">COUNTIF(Sessions!$B$6:$B$49,A37)</f>
        <v>5</v>
      </c>
      <c r="H37" s="34" t="n">
        <f aca="false">SUMIF(Sessions!$B$6:$B$49,A37,Sessions!$D$6:$D$49)/60</f>
        <v>10</v>
      </c>
      <c r="I37" s="32" t="s">
        <v>78</v>
      </c>
    </row>
    <row r="38" customFormat="false" ht="30" hidden="false" customHeight="true" outlineLevel="0" collapsed="false">
      <c r="A38" s="35" t="n">
        <v>6</v>
      </c>
      <c r="B38" s="36" t="str">
        <f aca="false">TEXT(Overview!$C$10+7*(A38-1),"DD MMM")&amp;" to "&amp;TEXT(Overview!$C$10+7*(A38-1)+5,"DD MMM YYYY")</f>
        <v>09 Nov to 14 Nov 2026</v>
      </c>
      <c r="C38" s="37" t="s">
        <v>83</v>
      </c>
      <c r="D38" s="37" t="s">
        <v>87</v>
      </c>
      <c r="E38" s="37" t="s">
        <v>88</v>
      </c>
      <c r="F38" s="37" t="s">
        <v>89</v>
      </c>
      <c r="G38" s="36" t="n">
        <f aca="false">COUNTIF(Sessions!$B$6:$B$49,A38)</f>
        <v>0</v>
      </c>
      <c r="H38" s="38" t="n">
        <f aca="false">SUMIF(Sessions!$B$6:$B$49,A38,Sessions!$D$6:$D$49)/60</f>
        <v>0</v>
      </c>
      <c r="I38" s="37" t="s">
        <v>82</v>
      </c>
    </row>
    <row r="39" customFormat="false" ht="42.75" hidden="false" customHeight="true" outlineLevel="0" collapsed="false">
      <c r="A39" s="30" t="n">
        <v>7</v>
      </c>
      <c r="B39" s="31" t="str">
        <f aca="false">TEXT(Overview!$C$10+7*(A39-1),"DD MMM")&amp;" to "&amp;TEXT(Overview!$C$10+7*(A39-1)+5,"DD MMM YYYY")</f>
        <v>16 Nov to 21 Nov 2026</v>
      </c>
      <c r="C39" s="32" t="s">
        <v>90</v>
      </c>
      <c r="D39" s="32" t="s">
        <v>91</v>
      </c>
      <c r="E39" s="32" t="s">
        <v>71</v>
      </c>
      <c r="F39" s="32" t="s">
        <v>71</v>
      </c>
      <c r="G39" s="33" t="n">
        <f aca="false">COUNTIF(Sessions!$B$6:$B$49,A39)</f>
        <v>5</v>
      </c>
      <c r="H39" s="34" t="n">
        <f aca="false">SUMIF(Sessions!$B$6:$B$49,A39,Sessions!$D$6:$D$49)/60</f>
        <v>10</v>
      </c>
      <c r="I39" s="32" t="s">
        <v>78</v>
      </c>
    </row>
    <row r="40" customFormat="false" ht="42.75" hidden="false" customHeight="true" outlineLevel="0" collapsed="false">
      <c r="A40" s="30" t="n">
        <v>8</v>
      </c>
      <c r="B40" s="31" t="str">
        <f aca="false">TEXT(Overview!$C$10+7*(A40-1),"DD MMM")&amp;" to "&amp;TEXT(Overview!$C$10+7*(A40-1)+5,"DD MMM YYYY")</f>
        <v>23 Nov to 28 Nov 2026</v>
      </c>
      <c r="C40" s="32" t="s">
        <v>92</v>
      </c>
      <c r="D40" s="32" t="s">
        <v>93</v>
      </c>
      <c r="E40" s="32" t="s">
        <v>71</v>
      </c>
      <c r="F40" s="32" t="s">
        <v>94</v>
      </c>
      <c r="G40" s="33" t="n">
        <f aca="false">COUNTIF(Sessions!$B$6:$B$49,A40)</f>
        <v>4</v>
      </c>
      <c r="H40" s="34" t="n">
        <f aca="false">SUMIF(Sessions!$B$6:$B$49,A40,Sessions!$D$6:$D$49)/60</f>
        <v>8</v>
      </c>
      <c r="I40" s="32" t="s">
        <v>78</v>
      </c>
    </row>
    <row r="41" customFormat="false" ht="30" hidden="false" customHeight="true" outlineLevel="0" collapsed="false">
      <c r="A41" s="35" t="n">
        <v>9</v>
      </c>
      <c r="B41" s="36" t="str">
        <f aca="false">TEXT(Overview!$C$10+7*(A41-1),"DD MMM")&amp;" to "&amp;TEXT(Overview!$C$10+7*(A41-1)+5,"DD MMM YYYY")</f>
        <v>30 Nov to 05 Dec 2026</v>
      </c>
      <c r="C41" s="37" t="s">
        <v>90</v>
      </c>
      <c r="D41" s="37" t="s">
        <v>95</v>
      </c>
      <c r="E41" s="37" t="s">
        <v>96</v>
      </c>
      <c r="F41" s="37" t="s">
        <v>71</v>
      </c>
      <c r="G41" s="36" t="n">
        <f aca="false">COUNTIF(Sessions!$B$6:$B$49,A41)</f>
        <v>0</v>
      </c>
      <c r="H41" s="38" t="n">
        <f aca="false">SUMIF(Sessions!$B$6:$B$49,A41,Sessions!$D$6:$D$49)/60</f>
        <v>0</v>
      </c>
      <c r="I41" s="37" t="s">
        <v>82</v>
      </c>
    </row>
    <row r="42" customFormat="false" ht="42.75" hidden="false" customHeight="true" outlineLevel="0" collapsed="false">
      <c r="A42" s="30" t="n">
        <v>10</v>
      </c>
      <c r="B42" s="31" t="str">
        <f aca="false">TEXT(Overview!$C$10+7*(A42-1),"DD MMM")&amp;" to "&amp;TEXT(Overview!$C$10+7*(A42-1)+5,"DD MMM YYYY")</f>
        <v>07 Dec to 12 Dec 2026</v>
      </c>
      <c r="C42" s="32" t="s">
        <v>97</v>
      </c>
      <c r="D42" s="32" t="s">
        <v>98</v>
      </c>
      <c r="E42" s="32" t="s">
        <v>99</v>
      </c>
      <c r="F42" s="32" t="s">
        <v>71</v>
      </c>
      <c r="G42" s="33" t="n">
        <f aca="false">COUNTIF(Sessions!$B$6:$B$49,A42)</f>
        <v>4</v>
      </c>
      <c r="H42" s="34" t="n">
        <f aca="false">SUMIF(Sessions!$B$6:$B$49,A42,Sessions!$D$6:$D$49)/60</f>
        <v>8</v>
      </c>
      <c r="I42" s="32" t="s">
        <v>78</v>
      </c>
    </row>
    <row r="43" customFormat="false" ht="42.75" hidden="false" customHeight="true" outlineLevel="0" collapsed="false">
      <c r="A43" s="30" t="n">
        <v>11</v>
      </c>
      <c r="B43" s="31" t="str">
        <f aca="false">TEXT(Overview!$C$10+7*(A43-1),"DD MMM")&amp;" to "&amp;TEXT(Overview!$C$10+7*(A43-1)+5,"DD MMM YYYY")</f>
        <v>14 Dec to 19 Dec 2026</v>
      </c>
      <c r="C43" s="32" t="s">
        <v>100</v>
      </c>
      <c r="D43" s="32" t="s">
        <v>101</v>
      </c>
      <c r="E43" s="32" t="s">
        <v>71</v>
      </c>
      <c r="F43" s="32" t="s">
        <v>71</v>
      </c>
      <c r="G43" s="33" t="n">
        <f aca="false">COUNTIF(Sessions!$B$6:$B$49,A43)</f>
        <v>5</v>
      </c>
      <c r="H43" s="34" t="n">
        <f aca="false">SUMIF(Sessions!$B$6:$B$49,A43,Sessions!$D$6:$D$49)/60</f>
        <v>10</v>
      </c>
      <c r="I43" s="32" t="s">
        <v>78</v>
      </c>
    </row>
    <row r="44" customFormat="false" ht="30" hidden="false" customHeight="true" outlineLevel="0" collapsed="false">
      <c r="A44" s="35" t="n">
        <v>12</v>
      </c>
      <c r="B44" s="36" t="str">
        <f aca="false">TEXT(Overview!$C$10+7*(A44-1),"DD MMM")&amp;" to "&amp;TEXT(Overview!$C$10+7*(A44-1)+5,"DD MMM YYYY")</f>
        <v>21 Dec to 26 Dec 2026</v>
      </c>
      <c r="C44" s="37" t="s">
        <v>100</v>
      </c>
      <c r="D44" s="37" t="s">
        <v>102</v>
      </c>
      <c r="E44" s="37" t="s">
        <v>103</v>
      </c>
      <c r="F44" s="37" t="s">
        <v>104</v>
      </c>
      <c r="G44" s="36" t="n">
        <f aca="false">COUNTIF(Sessions!$B$6:$B$49,A44)</f>
        <v>0</v>
      </c>
      <c r="H44" s="38" t="n">
        <f aca="false">SUMIF(Sessions!$B$6:$B$49,A44,Sessions!$D$6:$D$49)/60</f>
        <v>0</v>
      </c>
      <c r="I44" s="37" t="s">
        <v>82</v>
      </c>
    </row>
    <row r="45" customFormat="false" ht="16.5" hidden="false" customHeight="true" outlineLevel="0" collapsed="false">
      <c r="A45" s="28" t="n">
        <v>13</v>
      </c>
      <c r="B45" s="19" t="str">
        <f aca="false">TEXT(Overview!$C$10+7*(A45-1),"DD MMM")&amp;" to "&amp;TEXT(Overview!$C$10+7*(A45-1)+5,"DD MMM YYYY")</f>
        <v>28 Dec to 02 Jan 2027</v>
      </c>
      <c r="C45" s="20" t="s">
        <v>105</v>
      </c>
      <c r="D45" s="20" t="s">
        <v>106</v>
      </c>
      <c r="E45" s="20" t="s">
        <v>71</v>
      </c>
      <c r="F45" s="20" t="s">
        <v>71</v>
      </c>
      <c r="G45" s="19" t="n">
        <f aca="false">COUNTIF(Sessions!$B$6:$B$49,A45)</f>
        <v>0</v>
      </c>
      <c r="H45" s="29" t="n">
        <f aca="false">SUMIF(Sessions!$B$6:$B$49,A45,Sessions!$D$6:$D$49)/60</f>
        <v>0</v>
      </c>
      <c r="I45" s="20" t="s">
        <v>76</v>
      </c>
    </row>
    <row r="46" customFormat="false" ht="30" hidden="false" customHeight="true" outlineLevel="0" collapsed="false">
      <c r="A46" s="28" t="n">
        <v>14</v>
      </c>
      <c r="B46" s="19" t="str">
        <f aca="false">TEXT(Overview!$C$10+7*(A46-1),"DD MMM")&amp;" to "&amp;TEXT(Overview!$C$10+7*(A46-1)+5,"DD MMM YYYY")</f>
        <v>04 Jan to 09 Jan 2027</v>
      </c>
      <c r="C46" s="20" t="s">
        <v>107</v>
      </c>
      <c r="D46" s="20" t="s">
        <v>108</v>
      </c>
      <c r="E46" s="20" t="s">
        <v>71</v>
      </c>
      <c r="F46" s="20" t="s">
        <v>71</v>
      </c>
      <c r="G46" s="19" t="n">
        <f aca="false">COUNTIF(Sessions!$B$6:$B$49,A46)</f>
        <v>0</v>
      </c>
      <c r="H46" s="29" t="n">
        <f aca="false">SUMIF(Sessions!$B$6:$B$49,A46,Sessions!$D$6:$D$49)/60</f>
        <v>0</v>
      </c>
      <c r="I46" s="20" t="s">
        <v>76</v>
      </c>
    </row>
    <row r="47" customFormat="false" ht="30" hidden="false" customHeight="true" outlineLevel="0" collapsed="false">
      <c r="A47" s="35" t="n">
        <v>15</v>
      </c>
      <c r="B47" s="36" t="str">
        <f aca="false">TEXT(Overview!$C$10+7*(A47-1),"DD MMM")&amp;" to "&amp;TEXT(Overview!$C$10+7*(A47-1)+5,"DD MMM YYYY")</f>
        <v>11 Jan to 16 Jan 2027</v>
      </c>
      <c r="C47" s="37" t="s">
        <v>109</v>
      </c>
      <c r="D47" s="37" t="s">
        <v>110</v>
      </c>
      <c r="E47" s="37" t="s">
        <v>111</v>
      </c>
      <c r="F47" s="37" t="s">
        <v>71</v>
      </c>
      <c r="G47" s="36" t="n">
        <f aca="false">COUNTIF(Sessions!$B$6:$B$49,A47)</f>
        <v>0</v>
      </c>
      <c r="H47" s="38" t="n">
        <f aca="false">SUMIF(Sessions!$B$6:$B$49,A47,Sessions!$D$6:$D$49)/60</f>
        <v>0</v>
      </c>
      <c r="I47" s="37" t="s">
        <v>82</v>
      </c>
    </row>
    <row r="48" customFormat="false" ht="30" hidden="false" customHeight="true" outlineLevel="0" collapsed="false">
      <c r="A48" s="28" t="n">
        <v>16</v>
      </c>
      <c r="B48" s="19" t="str">
        <f aca="false">TEXT(Overview!$C$10+7*(A48-1),"DD MMM")&amp;" to "&amp;TEXT(Overview!$C$10+7*(A48-1)+5,"DD MMM YYYY")</f>
        <v>18 Jan to 23 Jan 2027</v>
      </c>
      <c r="C48" s="20" t="s">
        <v>107</v>
      </c>
      <c r="D48" s="20" t="s">
        <v>112</v>
      </c>
      <c r="E48" s="20" t="s">
        <v>113</v>
      </c>
      <c r="F48" s="20" t="s">
        <v>71</v>
      </c>
      <c r="G48" s="19" t="n">
        <f aca="false">COUNTIF(Sessions!$B$6:$B$49,A48)</f>
        <v>0</v>
      </c>
      <c r="H48" s="29" t="n">
        <f aca="false">SUMIF(Sessions!$B$6:$B$49,A48,Sessions!$D$6:$D$49)/60</f>
        <v>0</v>
      </c>
      <c r="I48" s="20" t="s">
        <v>76</v>
      </c>
    </row>
    <row r="49" customFormat="false" ht="16.5" hidden="false" customHeight="true" outlineLevel="0" collapsed="false">
      <c r="A49" s="28" t="n">
        <v>17</v>
      </c>
      <c r="B49" s="19" t="str">
        <f aca="false">TEXT(Overview!$C$10+7*(A49-1),"DD MMM")&amp;" to "&amp;TEXT(Overview!$C$10+7*(A49-1)+5,"DD MMM YYYY")</f>
        <v>25 Jan to 30 Jan 2027</v>
      </c>
      <c r="C49" s="20" t="s">
        <v>114</v>
      </c>
      <c r="D49" s="20" t="s">
        <v>115</v>
      </c>
      <c r="E49" s="20" t="s">
        <v>116</v>
      </c>
      <c r="F49" s="20" t="s">
        <v>117</v>
      </c>
      <c r="G49" s="19" t="n">
        <f aca="false">COUNTIF(Sessions!$B$6:$B$49,A49)</f>
        <v>0</v>
      </c>
      <c r="H49" s="29" t="n">
        <f aca="false">SUMIF(Sessions!$B$6:$B$49,A49,Sessions!$D$6:$D$49)/60</f>
        <v>0</v>
      </c>
      <c r="I49" s="20" t="s">
        <v>118</v>
      </c>
    </row>
    <row r="50" customFormat="false" ht="16.5" hidden="false" customHeight="true" outlineLevel="0" collapsed="false">
      <c r="A50" s="28" t="n">
        <v>18</v>
      </c>
      <c r="B50" s="19" t="str">
        <f aca="false">TEXT(Overview!$C$10+7*(A50-1),"DD MMM")&amp;" to "&amp;TEXT(Overview!$C$10+7*(A50-1)+5,"DD MMM YYYY")</f>
        <v>01 Feb to 06 Feb 2027</v>
      </c>
      <c r="C50" s="20" t="s">
        <v>114</v>
      </c>
      <c r="D50" s="20" t="s">
        <v>119</v>
      </c>
      <c r="E50" s="20" t="s">
        <v>116</v>
      </c>
      <c r="F50" s="20" t="s">
        <v>71</v>
      </c>
      <c r="G50" s="19" t="n">
        <f aca="false">COUNTIF(Sessions!$B$6:$B$49,A50)</f>
        <v>0</v>
      </c>
      <c r="H50" s="29" t="n">
        <f aca="false">SUMIF(Sessions!$B$6:$B$49,A50,Sessions!$D$6:$D$49)/60</f>
        <v>0</v>
      </c>
      <c r="I50" s="20" t="s">
        <v>118</v>
      </c>
    </row>
    <row r="51" customFormat="false" ht="16.5" hidden="false" customHeight="true" outlineLevel="0" collapsed="false">
      <c r="A51" s="28" t="n">
        <v>19</v>
      </c>
      <c r="B51" s="19" t="str">
        <f aca="false">TEXT(Overview!$C$10+7*(A51-1),"DD MMM")&amp;" to "&amp;TEXT(Overview!$C$10+7*(A51-1)+5,"DD MMM YYYY")</f>
        <v>08 Feb to 13 Feb 2027</v>
      </c>
      <c r="C51" s="20" t="s">
        <v>114</v>
      </c>
      <c r="D51" s="20" t="s">
        <v>120</v>
      </c>
      <c r="E51" s="20" t="s">
        <v>116</v>
      </c>
      <c r="F51" s="20" t="s">
        <v>71</v>
      </c>
      <c r="G51" s="19" t="n">
        <f aca="false">COUNTIF(Sessions!$B$6:$B$49,A51)</f>
        <v>0</v>
      </c>
      <c r="H51" s="29" t="n">
        <f aca="false">SUMIF(Sessions!$B$6:$B$49,A51,Sessions!$D$6:$D$49)/60</f>
        <v>0</v>
      </c>
      <c r="I51" s="20" t="s">
        <v>118</v>
      </c>
    </row>
    <row r="52" customFormat="false" ht="30" hidden="false" customHeight="true" outlineLevel="0" collapsed="false">
      <c r="A52" s="28" t="n">
        <v>20</v>
      </c>
      <c r="B52" s="19" t="str">
        <f aca="false">TEXT(Overview!$C$10+7*(A52-1),"DD MMM")&amp;" to "&amp;TEXT(Overview!$C$10+7*(A52-1)+5,"DD MMM YYYY")</f>
        <v>15 Feb to 20 Feb 2027</v>
      </c>
      <c r="C52" s="20" t="s">
        <v>114</v>
      </c>
      <c r="D52" s="20" t="s">
        <v>121</v>
      </c>
      <c r="E52" s="20" t="s">
        <v>116</v>
      </c>
      <c r="F52" s="20" t="s">
        <v>71</v>
      </c>
      <c r="G52" s="19" t="n">
        <f aca="false">COUNTIF(Sessions!$B$6:$B$49,A52)</f>
        <v>0</v>
      </c>
      <c r="H52" s="29" t="n">
        <f aca="false">SUMIF(Sessions!$B$6:$B$49,A52,Sessions!$D$6:$D$49)/60</f>
        <v>0</v>
      </c>
      <c r="I52" s="20" t="s">
        <v>118</v>
      </c>
    </row>
    <row r="54" customFormat="false" ht="27.75" hidden="false" customHeight="true" outlineLevel="0" collapsed="false">
      <c r="A54" s="3" t="s">
        <v>122</v>
      </c>
      <c r="B54" s="3"/>
      <c r="C54" s="3"/>
      <c r="D54" s="3"/>
      <c r="E54" s="3"/>
      <c r="F54" s="3"/>
      <c r="G54" s="3"/>
      <c r="H54" s="3"/>
      <c r="I54" s="3"/>
    </row>
  </sheetData>
  <mergeCells count="18">
    <mergeCell ref="A2:O2"/>
    <mergeCell ref="A3:O3"/>
    <mergeCell ref="A5:B5"/>
    <mergeCell ref="G5:H5"/>
    <mergeCell ref="A6:B6"/>
    <mergeCell ref="G6:H6"/>
    <mergeCell ref="A8:I8"/>
    <mergeCell ref="D10:I10"/>
    <mergeCell ref="D11:I11"/>
    <mergeCell ref="D12:I12"/>
    <mergeCell ref="A14:I14"/>
    <mergeCell ref="B15:I15"/>
    <mergeCell ref="B16:I16"/>
    <mergeCell ref="B17:I17"/>
    <mergeCell ref="A19:I19"/>
    <mergeCell ref="A28:F28"/>
    <mergeCell ref="A30:I30"/>
    <mergeCell ref="A54:I54"/>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7A33"/>
    <pageSetUpPr fitToPage="true"/>
  </sheetPr>
  <dimension ref="A1:O4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15"/>
    <col collapsed="false" customWidth="true" hidden="false" outlineLevel="0" max="4" min="4" style="0" width="9"/>
    <col collapsed="false" customWidth="true" hidden="false" outlineLevel="0" max="5" min="5" style="0" width="26"/>
    <col collapsed="false" customWidth="true" hidden="false" outlineLevel="0" max="6" min="6" style="0" width="28"/>
    <col collapsed="false" customWidth="true" hidden="false" outlineLevel="0" max="7" min="7" style="0" width="46"/>
    <col collapsed="false" customWidth="true" hidden="false" outlineLevel="0" max="8" min="8" style="0" width="36"/>
    <col collapsed="false" customWidth="true" hidden="false" outlineLevel="0" max="9" min="9" style="0" width="38"/>
    <col collapsed="false" customWidth="true" hidden="false" outlineLevel="0" max="10" min="10" style="0" width="46"/>
    <col collapsed="false" customWidth="true" hidden="false" outlineLevel="0" max="11" min="11" style="0" width="28"/>
    <col collapsed="false" customWidth="true" hidden="false" outlineLevel="0" max="12" min="12" style="0" width="58"/>
    <col collapsed="false" customWidth="true" hidden="false" outlineLevel="0" max="13" min="13" style="0" width="22"/>
    <col collapsed="false" customWidth="true" hidden="false" outlineLevel="0" max="14" min="14" style="0" width="14"/>
    <col collapsed="false" customWidth="true" hidden="false" outlineLevel="0" max="15" min="15" style="0" width="24"/>
  </cols>
  <sheetData>
    <row r="1" customFormat="false" ht="6" hidden="false" customHeight="true" outlineLevel="0" collapsed="false">
      <c r="A1" s="1"/>
      <c r="B1" s="1"/>
      <c r="C1" s="1"/>
      <c r="D1" s="1"/>
      <c r="E1" s="1"/>
      <c r="F1" s="1"/>
      <c r="G1" s="1"/>
      <c r="H1" s="1"/>
      <c r="I1" s="1"/>
      <c r="J1" s="1"/>
      <c r="K1" s="1"/>
      <c r="L1" s="1"/>
      <c r="M1" s="1"/>
      <c r="N1" s="1"/>
      <c r="O1" s="1"/>
    </row>
    <row r="2" customFormat="false" ht="27.75" hidden="false" customHeight="true" outlineLevel="0" collapsed="false">
      <c r="A2" s="2" t="s">
        <v>123</v>
      </c>
      <c r="B2" s="2"/>
      <c r="C2" s="2"/>
      <c r="D2" s="2"/>
      <c r="E2" s="2"/>
      <c r="F2" s="2"/>
      <c r="G2" s="2"/>
      <c r="H2" s="2"/>
      <c r="I2" s="2"/>
      <c r="J2" s="2"/>
      <c r="K2" s="2"/>
      <c r="L2" s="2"/>
      <c r="M2" s="2"/>
      <c r="N2" s="2"/>
      <c r="O2" s="2"/>
    </row>
    <row r="3" customFormat="false" ht="25.5" hidden="false" customHeight="true" outlineLevel="0" collapsed="false">
      <c r="A3" s="3" t="s">
        <v>124</v>
      </c>
      <c r="B3" s="3"/>
      <c r="C3" s="3"/>
      <c r="D3" s="3"/>
      <c r="E3" s="3"/>
      <c r="F3" s="3"/>
      <c r="G3" s="3"/>
      <c r="H3" s="3"/>
      <c r="I3" s="3"/>
      <c r="J3" s="3"/>
      <c r="K3" s="3"/>
      <c r="L3" s="3"/>
      <c r="M3" s="3"/>
      <c r="N3" s="3"/>
      <c r="O3" s="3"/>
    </row>
    <row r="4" customFormat="false" ht="16.5" hidden="false" customHeight="true" outlineLevel="0" collapsed="false">
      <c r="A4" s="39" t="s">
        <v>125</v>
      </c>
      <c r="B4" s="39"/>
      <c r="C4" s="39"/>
      <c r="D4" s="39"/>
      <c r="E4" s="39" t="s">
        <v>126</v>
      </c>
      <c r="F4" s="39"/>
      <c r="G4" s="39"/>
      <c r="H4" s="39"/>
      <c r="I4" s="39" t="s">
        <v>127</v>
      </c>
      <c r="J4" s="39"/>
      <c r="K4" s="39"/>
      <c r="L4" s="39" t="s">
        <v>128</v>
      </c>
      <c r="M4" s="39" t="s">
        <v>129</v>
      </c>
      <c r="N4" s="39"/>
      <c r="O4" s="39"/>
    </row>
    <row r="5" customFormat="false" ht="31.5" hidden="false" customHeight="true" outlineLevel="0" collapsed="false">
      <c r="A5" s="16" t="s">
        <v>130</v>
      </c>
      <c r="B5" s="16" t="s">
        <v>24</v>
      </c>
      <c r="C5" s="16" t="s">
        <v>131</v>
      </c>
      <c r="D5" s="16" t="s">
        <v>132</v>
      </c>
      <c r="E5" s="16" t="s">
        <v>133</v>
      </c>
      <c r="F5" s="16" t="s">
        <v>134</v>
      </c>
      <c r="G5" s="16" t="s">
        <v>135</v>
      </c>
      <c r="H5" s="16" t="s">
        <v>136</v>
      </c>
      <c r="I5" s="16" t="s">
        <v>137</v>
      </c>
      <c r="J5" s="16" t="s">
        <v>138</v>
      </c>
      <c r="K5" s="16" t="s">
        <v>139</v>
      </c>
      <c r="L5" s="16" t="s">
        <v>140</v>
      </c>
      <c r="M5" s="17" t="s">
        <v>141</v>
      </c>
      <c r="N5" s="17" t="s">
        <v>142</v>
      </c>
      <c r="O5" s="17" t="s">
        <v>143</v>
      </c>
    </row>
    <row r="6" customFormat="false" ht="19.5" hidden="false" customHeight="true" outlineLevel="0" collapsed="false">
      <c r="A6" s="40" t="str">
        <f aca="false">"WEEK 2  ·  "&amp;TEXT(Overview!$C$10+7*(2-1),"DD MMM")&amp;" to "&amp;TEXT(Overview!$C$10+7*(2-1)+5,"DD MMM YYYY")&amp;"  ·  Module 1: Foundations of AI and Data  ·  Faculty short course: Statistical inference"&amp;"  ·  Industry-led track this week: Data manipulation: SQL joins and window functions, pandas, Excel for analysts"</f>
        <v>WEEK 2  ·  12 Oct to 17 Oct 2026  ·  Module 1: Foundations of AI and Data  ·  Faculty short course: Statistical inference  ·  Industry-led track this week: Data manipulation: SQL joins and window functions, pandas, Excel for analysts</v>
      </c>
      <c r="B6" s="40"/>
      <c r="C6" s="40"/>
      <c r="D6" s="40"/>
      <c r="E6" s="40"/>
      <c r="F6" s="40"/>
      <c r="G6" s="40"/>
      <c r="H6" s="40"/>
      <c r="I6" s="40"/>
      <c r="J6" s="40"/>
      <c r="K6" s="40"/>
      <c r="L6" s="40"/>
      <c r="M6" s="40"/>
      <c r="N6" s="40"/>
      <c r="O6" s="40"/>
    </row>
    <row r="7" customFormat="false" ht="30" hidden="false" customHeight="true" outlineLevel="0" collapsed="false">
      <c r="A7" s="41" t="s">
        <v>144</v>
      </c>
      <c r="B7" s="41"/>
      <c r="C7" s="41"/>
      <c r="D7" s="41"/>
      <c r="E7" s="41"/>
      <c r="F7" s="41"/>
      <c r="G7" s="41"/>
      <c r="H7" s="41"/>
      <c r="I7" s="41"/>
      <c r="J7" s="41"/>
      <c r="K7" s="41"/>
      <c r="L7" s="41"/>
      <c r="M7" s="41"/>
      <c r="N7" s="41"/>
      <c r="O7" s="41"/>
    </row>
    <row r="8" customFormat="false" ht="123.75" hidden="false" customHeight="true" outlineLevel="0" collapsed="false">
      <c r="A8" s="42" t="s">
        <v>145</v>
      </c>
      <c r="B8" s="19" t="n">
        <v>2</v>
      </c>
      <c r="C8" s="43" t="n">
        <f aca="false">Overview!$C$10+7*(B8-1)+0</f>
        <v>46307</v>
      </c>
      <c r="D8" s="29" t="n">
        <f aca="false">Overview!$C$11</f>
        <v>120</v>
      </c>
      <c r="E8" s="20" t="s">
        <v>146</v>
      </c>
      <c r="F8" s="44" t="s">
        <v>147</v>
      </c>
      <c r="G8" s="20" t="s">
        <v>148</v>
      </c>
      <c r="H8" s="20" t="s">
        <v>149</v>
      </c>
      <c r="I8" s="20" t="s">
        <v>150</v>
      </c>
      <c r="J8" s="20" t="s">
        <v>151</v>
      </c>
      <c r="K8" s="20" t="s">
        <v>152</v>
      </c>
      <c r="L8" s="45" t="s">
        <v>153</v>
      </c>
      <c r="M8" s="23" t="s">
        <v>37</v>
      </c>
      <c r="N8" s="46" t="s">
        <v>154</v>
      </c>
      <c r="O8" s="23" t="s">
        <v>155</v>
      </c>
    </row>
    <row r="9" customFormat="false" ht="159.75" hidden="false" customHeight="true" outlineLevel="0" collapsed="false">
      <c r="A9" s="42" t="s">
        <v>156</v>
      </c>
      <c r="B9" s="19" t="n">
        <v>2</v>
      </c>
      <c r="C9" s="43" t="n">
        <f aca="false">Overview!$C$10+7*(B9-1)+1</f>
        <v>46308</v>
      </c>
      <c r="D9" s="29" t="n">
        <f aca="false">Overview!$C$11</f>
        <v>120</v>
      </c>
      <c r="E9" s="20" t="s">
        <v>146</v>
      </c>
      <c r="F9" s="44" t="s">
        <v>157</v>
      </c>
      <c r="G9" s="20" t="s">
        <v>158</v>
      </c>
      <c r="H9" s="20" t="s">
        <v>159</v>
      </c>
      <c r="I9" s="20" t="s">
        <v>160</v>
      </c>
      <c r="J9" s="20" t="s">
        <v>161</v>
      </c>
      <c r="K9" s="20" t="s">
        <v>162</v>
      </c>
      <c r="L9" s="45" t="s">
        <v>163</v>
      </c>
      <c r="M9" s="23" t="s">
        <v>37</v>
      </c>
      <c r="N9" s="46" t="s">
        <v>154</v>
      </c>
      <c r="O9" s="23" t="s">
        <v>155</v>
      </c>
    </row>
    <row r="10" customFormat="false" ht="147" hidden="false" customHeight="true" outlineLevel="0" collapsed="false">
      <c r="A10" s="42" t="s">
        <v>164</v>
      </c>
      <c r="B10" s="19" t="n">
        <v>2</v>
      </c>
      <c r="C10" s="43" t="n">
        <f aca="false">Overview!$C$10+7*(B10-1)+2</f>
        <v>46309</v>
      </c>
      <c r="D10" s="29" t="n">
        <f aca="false">Overview!$C$11</f>
        <v>120</v>
      </c>
      <c r="E10" s="20" t="s">
        <v>146</v>
      </c>
      <c r="F10" s="44" t="s">
        <v>165</v>
      </c>
      <c r="G10" s="20" t="s">
        <v>166</v>
      </c>
      <c r="H10" s="20" t="s">
        <v>167</v>
      </c>
      <c r="I10" s="20" t="s">
        <v>168</v>
      </c>
      <c r="J10" s="20" t="s">
        <v>169</v>
      </c>
      <c r="K10" s="20" t="s">
        <v>170</v>
      </c>
      <c r="L10" s="45" t="s">
        <v>171</v>
      </c>
      <c r="M10" s="23" t="s">
        <v>37</v>
      </c>
      <c r="N10" s="46" t="s">
        <v>154</v>
      </c>
      <c r="O10" s="23" t="s">
        <v>155</v>
      </c>
    </row>
    <row r="11" customFormat="false" ht="19.5" hidden="false" customHeight="true" outlineLevel="0" collapsed="false">
      <c r="A11" s="40" t="str">
        <f aca="false">"WEEK 4  ·  "&amp;TEXT(Overview!$C$10+7*(4-1),"DD MMM")&amp;" to "&amp;TEXT(Overview!$C$10+7*(4-1)+5,"DD MMM YYYY")&amp;"  ·  Module 2: Applied Machine Learning  ·  Faculty short course: Statistical foundations of business analytics"&amp;"  ·  Industry-led track this week: Business and data analyst craft: metric design, market basket analysis, cohort and funnel analysis, forecasting baselines"</f>
        <v>WEEK 4  ·  26 Oct to 31 Oct 2026  ·  Module 2: Applied Machine Learning  ·  Faculty short course: Statistical foundations of business analytics  ·  Industry-led track this week: Business and data analyst craft: metric design, market basket analysis, cohort and funnel analysis, forecasting baselines</v>
      </c>
      <c r="B11" s="40"/>
      <c r="C11" s="40"/>
      <c r="D11" s="40"/>
      <c r="E11" s="40"/>
      <c r="F11" s="40"/>
      <c r="G11" s="40"/>
      <c r="H11" s="40"/>
      <c r="I11" s="40"/>
      <c r="J11" s="40"/>
      <c r="K11" s="40"/>
      <c r="L11" s="40"/>
      <c r="M11" s="40"/>
      <c r="N11" s="40"/>
      <c r="O11" s="40"/>
    </row>
    <row r="12" customFormat="false" ht="18" hidden="false" customHeight="true" outlineLevel="0" collapsed="false">
      <c r="A12" s="41" t="s">
        <v>172</v>
      </c>
      <c r="B12" s="41"/>
      <c r="C12" s="41"/>
      <c r="D12" s="41"/>
      <c r="E12" s="41"/>
      <c r="F12" s="41"/>
      <c r="G12" s="41"/>
      <c r="H12" s="41"/>
      <c r="I12" s="41"/>
      <c r="J12" s="41"/>
      <c r="K12" s="41"/>
      <c r="L12" s="41"/>
      <c r="M12" s="41"/>
      <c r="N12" s="41"/>
      <c r="O12" s="41"/>
    </row>
    <row r="13" customFormat="false" ht="171.75" hidden="false" customHeight="true" outlineLevel="0" collapsed="false">
      <c r="A13" s="42" t="s">
        <v>173</v>
      </c>
      <c r="B13" s="19" t="n">
        <v>4</v>
      </c>
      <c r="C13" s="43" t="n">
        <f aca="false">Overview!$C$10+7*(B13-1)+0</f>
        <v>46321</v>
      </c>
      <c r="D13" s="29" t="n">
        <f aca="false">Overview!$C$11</f>
        <v>120</v>
      </c>
      <c r="E13" s="20" t="s">
        <v>174</v>
      </c>
      <c r="F13" s="44" t="s">
        <v>175</v>
      </c>
      <c r="G13" s="20" t="s">
        <v>176</v>
      </c>
      <c r="H13" s="20" t="s">
        <v>177</v>
      </c>
      <c r="I13" s="20" t="s">
        <v>178</v>
      </c>
      <c r="J13" s="20" t="s">
        <v>179</v>
      </c>
      <c r="K13" s="20" t="s">
        <v>180</v>
      </c>
      <c r="L13" s="45" t="s">
        <v>181</v>
      </c>
      <c r="M13" s="23" t="s">
        <v>37</v>
      </c>
      <c r="N13" s="46" t="s">
        <v>154</v>
      </c>
      <c r="O13" s="23" t="s">
        <v>155</v>
      </c>
    </row>
    <row r="14" customFormat="false" ht="147" hidden="false" customHeight="true" outlineLevel="0" collapsed="false">
      <c r="A14" s="42" t="s">
        <v>182</v>
      </c>
      <c r="B14" s="19" t="n">
        <v>4</v>
      </c>
      <c r="C14" s="43" t="n">
        <f aca="false">Overview!$C$10+7*(B14-1)+2</f>
        <v>46323</v>
      </c>
      <c r="D14" s="29" t="n">
        <f aca="false">Overview!$C$11</f>
        <v>120</v>
      </c>
      <c r="E14" s="20" t="s">
        <v>183</v>
      </c>
      <c r="F14" s="44" t="s">
        <v>184</v>
      </c>
      <c r="G14" s="20" t="s">
        <v>185</v>
      </c>
      <c r="H14" s="20" t="s">
        <v>186</v>
      </c>
      <c r="I14" s="20" t="s">
        <v>187</v>
      </c>
      <c r="J14" s="20" t="s">
        <v>188</v>
      </c>
      <c r="K14" s="20" t="s">
        <v>189</v>
      </c>
      <c r="L14" s="45" t="s">
        <v>190</v>
      </c>
      <c r="M14" s="23" t="s">
        <v>37</v>
      </c>
      <c r="N14" s="46" t="s">
        <v>154</v>
      </c>
      <c r="O14" s="23" t="s">
        <v>155</v>
      </c>
    </row>
    <row r="15" customFormat="false" ht="135.75" hidden="false" customHeight="true" outlineLevel="0" collapsed="false">
      <c r="A15" s="42" t="s">
        <v>191</v>
      </c>
      <c r="B15" s="19" t="n">
        <v>4</v>
      </c>
      <c r="C15" s="43" t="n">
        <f aca="false">Overview!$C$10+7*(B15-1)+3</f>
        <v>46324</v>
      </c>
      <c r="D15" s="29" t="n">
        <f aca="false">Overview!$C$11</f>
        <v>120</v>
      </c>
      <c r="E15" s="20" t="s">
        <v>192</v>
      </c>
      <c r="F15" s="44" t="s">
        <v>193</v>
      </c>
      <c r="G15" s="20" t="s">
        <v>194</v>
      </c>
      <c r="H15" s="20" t="s">
        <v>195</v>
      </c>
      <c r="I15" s="20" t="s">
        <v>196</v>
      </c>
      <c r="J15" s="20" t="s">
        <v>197</v>
      </c>
      <c r="K15" s="20" t="s">
        <v>198</v>
      </c>
      <c r="L15" s="45" t="s">
        <v>199</v>
      </c>
      <c r="M15" s="23" t="s">
        <v>37</v>
      </c>
      <c r="N15" s="46" t="s">
        <v>154</v>
      </c>
      <c r="O15" s="23" t="s">
        <v>155</v>
      </c>
    </row>
    <row r="16" customFormat="false" ht="171.75" hidden="false" customHeight="true" outlineLevel="0" collapsed="false">
      <c r="A16" s="42" t="s">
        <v>200</v>
      </c>
      <c r="B16" s="19" t="n">
        <v>4</v>
      </c>
      <c r="C16" s="43" t="n">
        <f aca="false">Overview!$C$10+7*(B16-1)+4</f>
        <v>46325</v>
      </c>
      <c r="D16" s="29" t="n">
        <f aca="false">Overview!$C$11</f>
        <v>120</v>
      </c>
      <c r="E16" s="20" t="s">
        <v>201</v>
      </c>
      <c r="F16" s="44" t="s">
        <v>202</v>
      </c>
      <c r="G16" s="20" t="s">
        <v>203</v>
      </c>
      <c r="H16" s="20" t="s">
        <v>204</v>
      </c>
      <c r="I16" s="20" t="s">
        <v>205</v>
      </c>
      <c r="J16" s="20" t="s">
        <v>206</v>
      </c>
      <c r="K16" s="20" t="s">
        <v>207</v>
      </c>
      <c r="L16" s="45" t="s">
        <v>208</v>
      </c>
      <c r="M16" s="23" t="s">
        <v>37</v>
      </c>
      <c r="N16" s="46" t="s">
        <v>154</v>
      </c>
      <c r="O16" s="23" t="s">
        <v>155</v>
      </c>
    </row>
    <row r="17" customFormat="false" ht="19.5" hidden="false" customHeight="true" outlineLevel="0" collapsed="false">
      <c r="A17" s="40" t="str">
        <f aca="false">"WEEK 5  ·  "&amp;TEXT(Overview!$C$10+7*(5-1),"DD MMM")&amp;" to "&amp;TEXT(Overview!$C$10+7*(5-1)+5,"DD MMM YYYY")&amp;"  ·  Module 2: Applied Machine Learning  ·  Faculty short course: Mathematical foundations of machine learning"&amp;"  ·  Industry-led track this week: Machine learning core in scikit-learn: regression and classification, metrics under class imbalance, feature engineering and leakage, overfitting and regularisation, model justification"</f>
        <v>WEEK 5  ·  02 Nov to 07 Nov 2026  ·  Module 2: Applied Machine Learning  ·  Faculty short course: Mathematical foundations of machine learning  ·  Industry-led track this week: Machine learning core in scikit-learn: regression and classification, metrics under class imbalance, feature engineering and leakage, overfitting and regularisation, model justification</v>
      </c>
      <c r="B17" s="40"/>
      <c r="C17" s="40"/>
      <c r="D17" s="40"/>
      <c r="E17" s="40"/>
      <c r="F17" s="40"/>
      <c r="G17" s="40"/>
      <c r="H17" s="40"/>
      <c r="I17" s="40"/>
      <c r="J17" s="40"/>
      <c r="K17" s="40"/>
      <c r="L17" s="40"/>
      <c r="M17" s="40"/>
      <c r="N17" s="40"/>
      <c r="O17" s="40"/>
    </row>
    <row r="18" customFormat="false" ht="18" hidden="false" customHeight="true" outlineLevel="0" collapsed="false">
      <c r="A18" s="41" t="s">
        <v>209</v>
      </c>
      <c r="B18" s="41"/>
      <c r="C18" s="41"/>
      <c r="D18" s="41"/>
      <c r="E18" s="41"/>
      <c r="F18" s="41"/>
      <c r="G18" s="41"/>
      <c r="H18" s="41"/>
      <c r="I18" s="41"/>
      <c r="J18" s="41"/>
      <c r="K18" s="41"/>
      <c r="L18" s="41"/>
      <c r="M18" s="41"/>
      <c r="N18" s="41"/>
      <c r="O18" s="41"/>
    </row>
    <row r="19" customFormat="false" ht="171.75" hidden="false" customHeight="true" outlineLevel="0" collapsed="false">
      <c r="A19" s="42" t="s">
        <v>210</v>
      </c>
      <c r="B19" s="19" t="n">
        <v>5</v>
      </c>
      <c r="C19" s="43" t="n">
        <f aca="false">Overview!$C$10+7*(B19-1)+0</f>
        <v>46328</v>
      </c>
      <c r="D19" s="29" t="n">
        <f aca="false">Overview!$C$11</f>
        <v>120</v>
      </c>
      <c r="E19" s="20" t="s">
        <v>211</v>
      </c>
      <c r="F19" s="44" t="s">
        <v>212</v>
      </c>
      <c r="G19" s="20" t="s">
        <v>213</v>
      </c>
      <c r="H19" s="20" t="s">
        <v>214</v>
      </c>
      <c r="I19" s="20" t="s">
        <v>215</v>
      </c>
      <c r="J19" s="20" t="s">
        <v>216</v>
      </c>
      <c r="K19" s="20" t="s">
        <v>217</v>
      </c>
      <c r="L19" s="45" t="s">
        <v>218</v>
      </c>
      <c r="M19" s="23" t="s">
        <v>37</v>
      </c>
      <c r="N19" s="46" t="s">
        <v>154</v>
      </c>
      <c r="O19" s="23" t="s">
        <v>155</v>
      </c>
    </row>
    <row r="20" customFormat="false" ht="207.75" hidden="false" customHeight="true" outlineLevel="0" collapsed="false">
      <c r="A20" s="42" t="s">
        <v>219</v>
      </c>
      <c r="B20" s="19" t="n">
        <v>5</v>
      </c>
      <c r="C20" s="43" t="n">
        <f aca="false">Overview!$C$10+7*(B20-1)+1</f>
        <v>46329</v>
      </c>
      <c r="D20" s="29" t="n">
        <f aca="false">Overview!$C$11</f>
        <v>120</v>
      </c>
      <c r="E20" s="20" t="s">
        <v>220</v>
      </c>
      <c r="F20" s="44" t="s">
        <v>221</v>
      </c>
      <c r="G20" s="20" t="s">
        <v>222</v>
      </c>
      <c r="H20" s="20" t="s">
        <v>223</v>
      </c>
      <c r="I20" s="20" t="s">
        <v>224</v>
      </c>
      <c r="J20" s="20" t="s">
        <v>225</v>
      </c>
      <c r="K20" s="20" t="s">
        <v>226</v>
      </c>
      <c r="L20" s="45" t="s">
        <v>227</v>
      </c>
      <c r="M20" s="23" t="s">
        <v>37</v>
      </c>
      <c r="N20" s="46" t="s">
        <v>154</v>
      </c>
      <c r="O20" s="23" t="s">
        <v>155</v>
      </c>
    </row>
    <row r="21" customFormat="false" ht="147" hidden="false" customHeight="true" outlineLevel="0" collapsed="false">
      <c r="A21" s="42" t="s">
        <v>228</v>
      </c>
      <c r="B21" s="19" t="n">
        <v>5</v>
      </c>
      <c r="C21" s="43" t="n">
        <f aca="false">Overview!$C$10+7*(B21-1)+2</f>
        <v>46330</v>
      </c>
      <c r="D21" s="29" t="n">
        <f aca="false">Overview!$C$11</f>
        <v>120</v>
      </c>
      <c r="E21" s="20" t="s">
        <v>229</v>
      </c>
      <c r="F21" s="44" t="s">
        <v>230</v>
      </c>
      <c r="G21" s="20" t="s">
        <v>231</v>
      </c>
      <c r="H21" s="20" t="s">
        <v>232</v>
      </c>
      <c r="I21" s="20" t="s">
        <v>233</v>
      </c>
      <c r="J21" s="20" t="s">
        <v>234</v>
      </c>
      <c r="K21" s="20" t="s">
        <v>235</v>
      </c>
      <c r="L21" s="45" t="s">
        <v>236</v>
      </c>
      <c r="M21" s="23" t="s">
        <v>37</v>
      </c>
      <c r="N21" s="46" t="s">
        <v>154</v>
      </c>
      <c r="O21" s="23" t="s">
        <v>155</v>
      </c>
    </row>
    <row r="22" customFormat="false" ht="171.75" hidden="false" customHeight="true" outlineLevel="0" collapsed="false">
      <c r="A22" s="42" t="s">
        <v>237</v>
      </c>
      <c r="B22" s="19" t="n">
        <v>5</v>
      </c>
      <c r="C22" s="43" t="n">
        <f aca="false">Overview!$C$10+7*(B22-1)+3</f>
        <v>46331</v>
      </c>
      <c r="D22" s="29" t="n">
        <f aca="false">Overview!$C$11</f>
        <v>120</v>
      </c>
      <c r="E22" s="20" t="s">
        <v>238</v>
      </c>
      <c r="F22" s="44" t="s">
        <v>239</v>
      </c>
      <c r="G22" s="20" t="s">
        <v>240</v>
      </c>
      <c r="H22" s="20" t="s">
        <v>241</v>
      </c>
      <c r="I22" s="20" t="s">
        <v>242</v>
      </c>
      <c r="J22" s="20" t="s">
        <v>243</v>
      </c>
      <c r="K22" s="20" t="s">
        <v>244</v>
      </c>
      <c r="L22" s="45" t="s">
        <v>245</v>
      </c>
      <c r="M22" s="23" t="s">
        <v>37</v>
      </c>
      <c r="N22" s="46" t="s">
        <v>154</v>
      </c>
      <c r="O22" s="23" t="s">
        <v>155</v>
      </c>
    </row>
    <row r="23" customFormat="false" ht="219.75" hidden="false" customHeight="true" outlineLevel="0" collapsed="false">
      <c r="A23" s="42" t="s">
        <v>246</v>
      </c>
      <c r="B23" s="19" t="n">
        <v>5</v>
      </c>
      <c r="C23" s="43" t="n">
        <f aca="false">Overview!$C$10+7*(B23-1)+4</f>
        <v>46332</v>
      </c>
      <c r="D23" s="29" t="n">
        <f aca="false">Overview!$C$11</f>
        <v>120</v>
      </c>
      <c r="E23" s="20" t="s">
        <v>247</v>
      </c>
      <c r="F23" s="44" t="s">
        <v>248</v>
      </c>
      <c r="G23" s="20" t="s">
        <v>249</v>
      </c>
      <c r="H23" s="20" t="s">
        <v>250</v>
      </c>
      <c r="I23" s="20" t="s">
        <v>251</v>
      </c>
      <c r="J23" s="20" t="s">
        <v>252</v>
      </c>
      <c r="K23" s="20" t="s">
        <v>253</v>
      </c>
      <c r="L23" s="45" t="s">
        <v>254</v>
      </c>
      <c r="M23" s="23" t="s">
        <v>37</v>
      </c>
      <c r="N23" s="46" t="s">
        <v>154</v>
      </c>
      <c r="O23" s="23" t="s">
        <v>155</v>
      </c>
    </row>
    <row r="24" customFormat="false" ht="19.5" hidden="false" customHeight="true" outlineLevel="0" collapsed="false">
      <c r="A24" s="40" t="str">
        <f aca="false">"WEEK 7  ·  "&amp;TEXT(Overview!$C$10+7*(7-1),"DD MMM")&amp;" to "&amp;TEXT(Overview!$C$10+7*(7-1)+5,"DD MMM YYYY")&amp;"  ·  Module 3: Deep Learning and Neural Networks  ·  Faculty short course: Deep learning from first principles"&amp;"  ·  Industry-led track this week: Deep learning essentials over four days (the network, learning, training diagnostics, sequence models), then tokenization on Friday"</f>
        <v>WEEK 7  ·  16 Nov to 21 Nov 2026  ·  Module 3: Deep Learning and Neural Networks  ·  Faculty short course: Deep learning from first principles  ·  Industry-led track this week: Deep learning essentials over four days (the network, learning, training diagnostics, sequence models), then tokenization on Friday</v>
      </c>
      <c r="B24" s="40"/>
      <c r="C24" s="40"/>
      <c r="D24" s="40"/>
      <c r="E24" s="40"/>
      <c r="F24" s="40"/>
      <c r="G24" s="40"/>
      <c r="H24" s="40"/>
      <c r="I24" s="40"/>
      <c r="J24" s="40"/>
      <c r="K24" s="40"/>
      <c r="L24" s="40"/>
      <c r="M24" s="40"/>
      <c r="N24" s="40"/>
      <c r="O24" s="40"/>
    </row>
    <row r="25" customFormat="false" ht="18" hidden="false" customHeight="true" outlineLevel="0" collapsed="false">
      <c r="A25" s="41" t="s">
        <v>255</v>
      </c>
      <c r="B25" s="41"/>
      <c r="C25" s="41"/>
      <c r="D25" s="41"/>
      <c r="E25" s="41"/>
      <c r="F25" s="41"/>
      <c r="G25" s="41"/>
      <c r="H25" s="41"/>
      <c r="I25" s="41"/>
      <c r="J25" s="41"/>
      <c r="K25" s="41"/>
      <c r="L25" s="41"/>
      <c r="M25" s="41"/>
      <c r="N25" s="41"/>
      <c r="O25" s="41"/>
    </row>
    <row r="26" customFormat="false" ht="183.75" hidden="false" customHeight="true" outlineLevel="0" collapsed="false">
      <c r="A26" s="42" t="s">
        <v>256</v>
      </c>
      <c r="B26" s="19" t="n">
        <v>7</v>
      </c>
      <c r="C26" s="43" t="n">
        <f aca="false">Overview!$C$10+7*(B26-1)+0</f>
        <v>46342</v>
      </c>
      <c r="D26" s="29" t="n">
        <f aca="false">Overview!$C$11</f>
        <v>120</v>
      </c>
      <c r="E26" s="20" t="s">
        <v>257</v>
      </c>
      <c r="F26" s="44" t="s">
        <v>258</v>
      </c>
      <c r="G26" s="20" t="s">
        <v>259</v>
      </c>
      <c r="H26" s="20" t="s">
        <v>260</v>
      </c>
      <c r="I26" s="20" t="s">
        <v>261</v>
      </c>
      <c r="J26" s="20" t="s">
        <v>262</v>
      </c>
      <c r="K26" s="20" t="s">
        <v>263</v>
      </c>
      <c r="L26" s="45" t="s">
        <v>264</v>
      </c>
      <c r="M26" s="23" t="s">
        <v>37</v>
      </c>
      <c r="N26" s="46" t="s">
        <v>154</v>
      </c>
      <c r="O26" s="23" t="s">
        <v>155</v>
      </c>
    </row>
    <row r="27" customFormat="false" ht="219.75" hidden="false" customHeight="true" outlineLevel="0" collapsed="false">
      <c r="A27" s="42" t="s">
        <v>265</v>
      </c>
      <c r="B27" s="19" t="n">
        <v>7</v>
      </c>
      <c r="C27" s="43" t="n">
        <f aca="false">Overview!$C$10+7*(B27-1)+1</f>
        <v>46343</v>
      </c>
      <c r="D27" s="29" t="n">
        <f aca="false">Overview!$C$11</f>
        <v>120</v>
      </c>
      <c r="E27" s="20" t="s">
        <v>266</v>
      </c>
      <c r="F27" s="44" t="s">
        <v>267</v>
      </c>
      <c r="G27" s="20" t="s">
        <v>268</v>
      </c>
      <c r="H27" s="20" t="s">
        <v>269</v>
      </c>
      <c r="I27" s="20" t="s">
        <v>270</v>
      </c>
      <c r="J27" s="20" t="s">
        <v>271</v>
      </c>
      <c r="K27" s="20" t="s">
        <v>272</v>
      </c>
      <c r="L27" s="45" t="s">
        <v>273</v>
      </c>
      <c r="M27" s="23" t="s">
        <v>37</v>
      </c>
      <c r="N27" s="46" t="s">
        <v>154</v>
      </c>
      <c r="O27" s="23" t="s">
        <v>155</v>
      </c>
    </row>
    <row r="28" customFormat="false" ht="231.75" hidden="false" customHeight="true" outlineLevel="0" collapsed="false">
      <c r="A28" s="42" t="s">
        <v>274</v>
      </c>
      <c r="B28" s="19" t="n">
        <v>7</v>
      </c>
      <c r="C28" s="43" t="n">
        <f aca="false">Overview!$C$10+7*(B28-1)+2</f>
        <v>46344</v>
      </c>
      <c r="D28" s="29" t="n">
        <f aca="false">Overview!$C$11</f>
        <v>120</v>
      </c>
      <c r="E28" s="20" t="s">
        <v>275</v>
      </c>
      <c r="F28" s="44" t="s">
        <v>276</v>
      </c>
      <c r="G28" s="20" t="s">
        <v>277</v>
      </c>
      <c r="H28" s="20" t="s">
        <v>278</v>
      </c>
      <c r="I28" s="20" t="s">
        <v>279</v>
      </c>
      <c r="J28" s="20" t="s">
        <v>280</v>
      </c>
      <c r="K28" s="20" t="s">
        <v>281</v>
      </c>
      <c r="L28" s="45" t="s">
        <v>282</v>
      </c>
      <c r="M28" s="23" t="s">
        <v>37</v>
      </c>
      <c r="N28" s="46" t="s">
        <v>154</v>
      </c>
      <c r="O28" s="23" t="s">
        <v>155</v>
      </c>
    </row>
    <row r="29" customFormat="false" ht="219.75" hidden="false" customHeight="true" outlineLevel="0" collapsed="false">
      <c r="A29" s="42" t="s">
        <v>283</v>
      </c>
      <c r="B29" s="19" t="n">
        <v>7</v>
      </c>
      <c r="C29" s="43" t="n">
        <f aca="false">Overview!$C$10+7*(B29-1)+3</f>
        <v>46345</v>
      </c>
      <c r="D29" s="29" t="n">
        <f aca="false">Overview!$C$11</f>
        <v>120</v>
      </c>
      <c r="E29" s="20" t="s">
        <v>284</v>
      </c>
      <c r="F29" s="44" t="s">
        <v>285</v>
      </c>
      <c r="G29" s="20" t="s">
        <v>286</v>
      </c>
      <c r="H29" s="20" t="s">
        <v>287</v>
      </c>
      <c r="I29" s="20" t="s">
        <v>288</v>
      </c>
      <c r="J29" s="20" t="s">
        <v>289</v>
      </c>
      <c r="K29" s="20" t="s">
        <v>290</v>
      </c>
      <c r="L29" s="45" t="s">
        <v>291</v>
      </c>
      <c r="M29" s="23" t="s">
        <v>37</v>
      </c>
      <c r="N29" s="46" t="s">
        <v>154</v>
      </c>
      <c r="O29" s="23" t="s">
        <v>155</v>
      </c>
    </row>
    <row r="30" customFormat="false" ht="183.75" hidden="false" customHeight="true" outlineLevel="0" collapsed="false">
      <c r="A30" s="42" t="s">
        <v>292</v>
      </c>
      <c r="B30" s="19" t="n">
        <v>7</v>
      </c>
      <c r="C30" s="43" t="n">
        <f aca="false">Overview!$C$10+7*(B30-1)+4</f>
        <v>46346</v>
      </c>
      <c r="D30" s="29" t="n">
        <f aca="false">Overview!$C$11</f>
        <v>120</v>
      </c>
      <c r="E30" s="20" t="s">
        <v>293</v>
      </c>
      <c r="F30" s="44" t="s">
        <v>294</v>
      </c>
      <c r="G30" s="20" t="s">
        <v>295</v>
      </c>
      <c r="H30" s="20" t="s">
        <v>296</v>
      </c>
      <c r="I30" s="20" t="s">
        <v>297</v>
      </c>
      <c r="J30" s="20" t="s">
        <v>298</v>
      </c>
      <c r="K30" s="20" t="s">
        <v>299</v>
      </c>
      <c r="L30" s="45" t="s">
        <v>300</v>
      </c>
      <c r="M30" s="23" t="s">
        <v>37</v>
      </c>
      <c r="N30" s="46" t="s">
        <v>154</v>
      </c>
      <c r="O30" s="23" t="s">
        <v>155</v>
      </c>
    </row>
    <row r="31" customFormat="false" ht="19.5" hidden="false" customHeight="true" outlineLevel="0" collapsed="false">
      <c r="A31" s="40" t="str">
        <f aca="false">"WEEK 8  ·  "&amp;TEXT(Overview!$C$10+7*(8-1),"DD MMM")&amp;" to "&amp;TEXT(Overview!$C$10+7*(8-1)+5,"DD MMM YYYY")&amp;"  ·  Module 4: Natural Language Processing  ·  Faculty short course: The mathematics of transformers"&amp;"  ·  Industry-led track this week: Transformers and LLM internals: attention and the transformer block, embeddings with BERT against GPT, decoding controls, context windows and token economics"</f>
        <v>WEEK 8  ·  23 Nov to 28 Nov 2026  ·  Module 4: Natural Language Processing  ·  Faculty short course: The mathematics of transformers  ·  Industry-led track this week: Transformers and LLM internals: attention and the transformer block, embeddings with BERT against GPT, decoding controls, context windows and token economics</v>
      </c>
      <c r="B31" s="40"/>
      <c r="C31" s="40"/>
      <c r="D31" s="40"/>
      <c r="E31" s="40"/>
      <c r="F31" s="40"/>
      <c r="G31" s="40"/>
      <c r="H31" s="40"/>
      <c r="I31" s="40"/>
      <c r="J31" s="40"/>
      <c r="K31" s="40"/>
      <c r="L31" s="40"/>
      <c r="M31" s="40"/>
      <c r="N31" s="40"/>
      <c r="O31" s="40"/>
    </row>
    <row r="32" customFormat="false" ht="18" hidden="false" customHeight="true" outlineLevel="0" collapsed="false">
      <c r="A32" s="41" t="s">
        <v>301</v>
      </c>
      <c r="B32" s="41"/>
      <c r="C32" s="41"/>
      <c r="D32" s="41"/>
      <c r="E32" s="41"/>
      <c r="F32" s="41"/>
      <c r="G32" s="41"/>
      <c r="H32" s="41"/>
      <c r="I32" s="41"/>
      <c r="J32" s="41"/>
      <c r="K32" s="41"/>
      <c r="L32" s="41"/>
      <c r="M32" s="41"/>
      <c r="N32" s="41"/>
      <c r="O32" s="41"/>
    </row>
    <row r="33" customFormat="false" ht="183.75" hidden="false" customHeight="true" outlineLevel="0" collapsed="false">
      <c r="A33" s="42" t="s">
        <v>302</v>
      </c>
      <c r="B33" s="19" t="n">
        <v>8</v>
      </c>
      <c r="C33" s="43" t="n">
        <f aca="false">Overview!$C$10+7*(B33-1)+0</f>
        <v>46349</v>
      </c>
      <c r="D33" s="29" t="n">
        <f aca="false">Overview!$C$11</f>
        <v>120</v>
      </c>
      <c r="E33" s="20" t="s">
        <v>303</v>
      </c>
      <c r="F33" s="44" t="s">
        <v>304</v>
      </c>
      <c r="G33" s="20" t="s">
        <v>305</v>
      </c>
      <c r="H33" s="20" t="s">
        <v>306</v>
      </c>
      <c r="I33" s="20" t="s">
        <v>307</v>
      </c>
      <c r="J33" s="20" t="s">
        <v>308</v>
      </c>
      <c r="K33" s="20" t="s">
        <v>309</v>
      </c>
      <c r="L33" s="45" t="s">
        <v>310</v>
      </c>
      <c r="M33" s="23" t="s">
        <v>37</v>
      </c>
      <c r="N33" s="46" t="s">
        <v>154</v>
      </c>
      <c r="O33" s="23" t="s">
        <v>155</v>
      </c>
    </row>
    <row r="34" customFormat="false" ht="267.75" hidden="false" customHeight="true" outlineLevel="0" collapsed="false">
      <c r="A34" s="42" t="s">
        <v>311</v>
      </c>
      <c r="B34" s="19" t="n">
        <v>8</v>
      </c>
      <c r="C34" s="43" t="n">
        <f aca="false">Overview!$C$10+7*(B34-1)+2</f>
        <v>46351</v>
      </c>
      <c r="D34" s="29" t="n">
        <f aca="false">Overview!$C$11</f>
        <v>120</v>
      </c>
      <c r="E34" s="20" t="s">
        <v>312</v>
      </c>
      <c r="F34" s="44" t="s">
        <v>313</v>
      </c>
      <c r="G34" s="20" t="s">
        <v>314</v>
      </c>
      <c r="H34" s="20" t="s">
        <v>315</v>
      </c>
      <c r="I34" s="20" t="s">
        <v>316</v>
      </c>
      <c r="J34" s="20" t="s">
        <v>317</v>
      </c>
      <c r="K34" s="20" t="s">
        <v>318</v>
      </c>
      <c r="L34" s="45" t="s">
        <v>319</v>
      </c>
      <c r="M34" s="23" t="s">
        <v>37</v>
      </c>
      <c r="N34" s="46" t="s">
        <v>154</v>
      </c>
      <c r="O34" s="23" t="s">
        <v>155</v>
      </c>
    </row>
    <row r="35" customFormat="false" ht="195.75" hidden="false" customHeight="true" outlineLevel="0" collapsed="false">
      <c r="A35" s="42" t="s">
        <v>320</v>
      </c>
      <c r="B35" s="19" t="n">
        <v>8</v>
      </c>
      <c r="C35" s="43" t="n">
        <f aca="false">Overview!$C$10+7*(B35-1)+3</f>
        <v>46352</v>
      </c>
      <c r="D35" s="29" t="n">
        <f aca="false">Overview!$C$11</f>
        <v>120</v>
      </c>
      <c r="E35" s="20" t="s">
        <v>321</v>
      </c>
      <c r="F35" s="44" t="s">
        <v>322</v>
      </c>
      <c r="G35" s="20" t="s">
        <v>323</v>
      </c>
      <c r="H35" s="20" t="s">
        <v>324</v>
      </c>
      <c r="I35" s="20" t="s">
        <v>325</v>
      </c>
      <c r="J35" s="20" t="s">
        <v>326</v>
      </c>
      <c r="K35" s="20" t="s">
        <v>327</v>
      </c>
      <c r="L35" s="45" t="s">
        <v>328</v>
      </c>
      <c r="M35" s="23" t="s">
        <v>37</v>
      </c>
      <c r="N35" s="46" t="s">
        <v>154</v>
      </c>
      <c r="O35" s="23" t="s">
        <v>155</v>
      </c>
    </row>
    <row r="36" customFormat="false" ht="207.75" hidden="false" customHeight="true" outlineLevel="0" collapsed="false">
      <c r="A36" s="42" t="s">
        <v>329</v>
      </c>
      <c r="B36" s="19" t="n">
        <v>8</v>
      </c>
      <c r="C36" s="43" t="n">
        <f aca="false">Overview!$C$10+7*(B36-1)+4</f>
        <v>46353</v>
      </c>
      <c r="D36" s="29" t="n">
        <f aca="false">Overview!$C$11</f>
        <v>120</v>
      </c>
      <c r="E36" s="20" t="s">
        <v>330</v>
      </c>
      <c r="F36" s="44" t="s">
        <v>331</v>
      </c>
      <c r="G36" s="20" t="s">
        <v>332</v>
      </c>
      <c r="H36" s="20" t="s">
        <v>333</v>
      </c>
      <c r="I36" s="20" t="s">
        <v>334</v>
      </c>
      <c r="J36" s="20" t="s">
        <v>335</v>
      </c>
      <c r="K36" s="20" t="s">
        <v>336</v>
      </c>
      <c r="L36" s="45" t="s">
        <v>337</v>
      </c>
      <c r="M36" s="23" t="s">
        <v>37</v>
      </c>
      <c r="N36" s="46" t="s">
        <v>154</v>
      </c>
      <c r="O36" s="23" t="s">
        <v>155</v>
      </c>
    </row>
    <row r="37" customFormat="false" ht="19.5" hidden="false" customHeight="true" outlineLevel="0" collapsed="false">
      <c r="A37" s="40" t="str">
        <f aca="false">"WEEK 10  ·  "&amp;TEXT(Overview!$C$10+7*(10-1),"DD MMM")&amp;" to "&amp;TEXT(Overview!$C$10+7*(10-1)+5,"DD MMM YYYY")&amp;"  ·  Module 5: Generative AI Foundations  ·  Faculty short course: Theory of applied generative AI"&amp;"  ·  Industry-led track this week: Generative AI applied: prompting techniques compared, structured outputs, function calling, prompt evaluation, production cost and latency"</f>
        <v>WEEK 10  ·  07 Dec to 12 Dec 2026  ·  Module 5: Generative AI Foundations  ·  Faculty short course: Theory of applied generative AI  ·  Industry-led track this week: Generative AI applied: prompting techniques compared, structured outputs, function calling, prompt evaluation, production cost and latency</v>
      </c>
      <c r="B37" s="40"/>
      <c r="C37" s="40"/>
      <c r="D37" s="40"/>
      <c r="E37" s="40"/>
      <c r="F37" s="40"/>
      <c r="G37" s="40"/>
      <c r="H37" s="40"/>
      <c r="I37" s="40"/>
      <c r="J37" s="40"/>
      <c r="K37" s="40"/>
      <c r="L37" s="40"/>
      <c r="M37" s="40"/>
      <c r="N37" s="40"/>
      <c r="O37" s="40"/>
    </row>
    <row r="38" customFormat="false" ht="18" hidden="false" customHeight="true" outlineLevel="0" collapsed="false">
      <c r="A38" s="41" t="s">
        <v>338</v>
      </c>
      <c r="B38" s="41"/>
      <c r="C38" s="41"/>
      <c r="D38" s="41"/>
      <c r="E38" s="41"/>
      <c r="F38" s="41"/>
      <c r="G38" s="41"/>
      <c r="H38" s="41"/>
      <c r="I38" s="41"/>
      <c r="J38" s="41"/>
      <c r="K38" s="41"/>
      <c r="L38" s="41"/>
      <c r="M38" s="41"/>
      <c r="N38" s="41"/>
      <c r="O38" s="41"/>
    </row>
    <row r="39" customFormat="false" ht="303.75" hidden="false" customHeight="true" outlineLevel="0" collapsed="false">
      <c r="A39" s="42" t="s">
        <v>339</v>
      </c>
      <c r="B39" s="19" t="n">
        <v>10</v>
      </c>
      <c r="C39" s="43" t="n">
        <f aca="false">Overview!$C$10+7*(B39-1)+0</f>
        <v>46363</v>
      </c>
      <c r="D39" s="29" t="n">
        <f aca="false">Overview!$C$11</f>
        <v>120</v>
      </c>
      <c r="E39" s="20" t="s">
        <v>340</v>
      </c>
      <c r="F39" s="44" t="s">
        <v>341</v>
      </c>
      <c r="G39" s="20" t="s">
        <v>342</v>
      </c>
      <c r="H39" s="20" t="s">
        <v>343</v>
      </c>
      <c r="I39" s="20" t="s">
        <v>344</v>
      </c>
      <c r="J39" s="20" t="s">
        <v>345</v>
      </c>
      <c r="K39" s="20" t="s">
        <v>346</v>
      </c>
      <c r="L39" s="45" t="s">
        <v>347</v>
      </c>
      <c r="M39" s="23" t="s">
        <v>37</v>
      </c>
      <c r="N39" s="46" t="s">
        <v>154</v>
      </c>
      <c r="O39" s="23" t="s">
        <v>155</v>
      </c>
    </row>
    <row r="40" customFormat="false" ht="207.75" hidden="false" customHeight="true" outlineLevel="0" collapsed="false">
      <c r="A40" s="42" t="s">
        <v>348</v>
      </c>
      <c r="B40" s="19" t="n">
        <v>10</v>
      </c>
      <c r="C40" s="43" t="n">
        <f aca="false">Overview!$C$10+7*(B40-1)+1</f>
        <v>46364</v>
      </c>
      <c r="D40" s="29" t="n">
        <f aca="false">Overview!$C$11</f>
        <v>120</v>
      </c>
      <c r="E40" s="20" t="s">
        <v>349</v>
      </c>
      <c r="F40" s="44" t="s">
        <v>350</v>
      </c>
      <c r="G40" s="20" t="s">
        <v>351</v>
      </c>
      <c r="H40" s="20" t="s">
        <v>352</v>
      </c>
      <c r="I40" s="20" t="s">
        <v>353</v>
      </c>
      <c r="J40" s="20" t="s">
        <v>354</v>
      </c>
      <c r="K40" s="20" t="s">
        <v>355</v>
      </c>
      <c r="L40" s="45" t="s">
        <v>356</v>
      </c>
      <c r="M40" s="23" t="s">
        <v>37</v>
      </c>
      <c r="N40" s="46" t="s">
        <v>154</v>
      </c>
      <c r="O40" s="23" t="s">
        <v>155</v>
      </c>
    </row>
    <row r="41" customFormat="false" ht="219.75" hidden="false" customHeight="true" outlineLevel="0" collapsed="false">
      <c r="A41" s="42" t="s">
        <v>357</v>
      </c>
      <c r="B41" s="19" t="n">
        <v>10</v>
      </c>
      <c r="C41" s="43" t="n">
        <f aca="false">Overview!$C$10+7*(B41-1)+3</f>
        <v>46366</v>
      </c>
      <c r="D41" s="29" t="n">
        <f aca="false">Overview!$C$11</f>
        <v>120</v>
      </c>
      <c r="E41" s="20" t="s">
        <v>358</v>
      </c>
      <c r="F41" s="44" t="s">
        <v>359</v>
      </c>
      <c r="G41" s="20" t="s">
        <v>360</v>
      </c>
      <c r="H41" s="20" t="s">
        <v>361</v>
      </c>
      <c r="I41" s="20" t="s">
        <v>362</v>
      </c>
      <c r="J41" s="20" t="s">
        <v>363</v>
      </c>
      <c r="K41" s="20" t="s">
        <v>364</v>
      </c>
      <c r="L41" s="45" t="s">
        <v>365</v>
      </c>
      <c r="M41" s="23" t="s">
        <v>37</v>
      </c>
      <c r="N41" s="46" t="s">
        <v>154</v>
      </c>
      <c r="O41" s="23" t="s">
        <v>155</v>
      </c>
    </row>
    <row r="42" customFormat="false" ht="279.75" hidden="false" customHeight="true" outlineLevel="0" collapsed="false">
      <c r="A42" s="42" t="s">
        <v>366</v>
      </c>
      <c r="B42" s="19" t="n">
        <v>10</v>
      </c>
      <c r="C42" s="43" t="n">
        <f aca="false">Overview!$C$10+7*(B42-1)+4</f>
        <v>46367</v>
      </c>
      <c r="D42" s="29" t="n">
        <f aca="false">Overview!$C$11</f>
        <v>120</v>
      </c>
      <c r="E42" s="20" t="s">
        <v>367</v>
      </c>
      <c r="F42" s="44" t="s">
        <v>368</v>
      </c>
      <c r="G42" s="20" t="s">
        <v>369</v>
      </c>
      <c r="H42" s="20" t="s">
        <v>370</v>
      </c>
      <c r="I42" s="20" t="s">
        <v>371</v>
      </c>
      <c r="J42" s="20" t="s">
        <v>372</v>
      </c>
      <c r="K42" s="20" t="s">
        <v>373</v>
      </c>
      <c r="L42" s="45" t="s">
        <v>374</v>
      </c>
      <c r="M42" s="23" t="s">
        <v>37</v>
      </c>
      <c r="N42" s="46" t="s">
        <v>154</v>
      </c>
      <c r="O42" s="23" t="s">
        <v>155</v>
      </c>
    </row>
    <row r="43" customFormat="false" ht="19.5" hidden="false" customHeight="true" outlineLevel="0" collapsed="false">
      <c r="A43" s="40" t="str">
        <f aca="false">"WEEK 11  ·  "&amp;TEXT(Overview!$C$10+7*(11-1),"DD MMM")&amp;" to "&amp;TEXT(Overview!$C$10+7*(11-1)+5,"DD MMM YYYY")&amp;"  ·  Module 6: Applied Generative AI  ·  Faculty short course: Information retrieval"&amp;"  ·  Industry-led track this week: Retrieval-augmented generation end to end: chunking, embedding models and vector stores, hybrid search and reranking, evaluation, grounding and citations"</f>
        <v>WEEK 11  ·  14 Dec to 19 Dec 2026  ·  Module 6: Applied Generative AI  ·  Faculty short course: Information retrieval  ·  Industry-led track this week: Retrieval-augmented generation end to end: chunking, embedding models and vector stores, hybrid search and reranking, evaluation, grounding and citations</v>
      </c>
      <c r="B43" s="40"/>
      <c r="C43" s="40"/>
      <c r="D43" s="40"/>
      <c r="E43" s="40"/>
      <c r="F43" s="40"/>
      <c r="G43" s="40"/>
      <c r="H43" s="40"/>
      <c r="I43" s="40"/>
      <c r="J43" s="40"/>
      <c r="K43" s="40"/>
      <c r="L43" s="40"/>
      <c r="M43" s="40"/>
      <c r="N43" s="40"/>
      <c r="O43" s="40"/>
    </row>
    <row r="44" customFormat="false" ht="18" hidden="false" customHeight="true" outlineLevel="0" collapsed="false">
      <c r="A44" s="41" t="s">
        <v>375</v>
      </c>
      <c r="B44" s="41"/>
      <c r="C44" s="41"/>
      <c r="D44" s="41"/>
      <c r="E44" s="41"/>
      <c r="F44" s="41"/>
      <c r="G44" s="41"/>
      <c r="H44" s="41"/>
      <c r="I44" s="41"/>
      <c r="J44" s="41"/>
      <c r="K44" s="41"/>
      <c r="L44" s="41"/>
      <c r="M44" s="41"/>
      <c r="N44" s="41"/>
      <c r="O44" s="41"/>
    </row>
    <row r="45" customFormat="false" ht="207.75" hidden="false" customHeight="true" outlineLevel="0" collapsed="false">
      <c r="A45" s="42" t="s">
        <v>376</v>
      </c>
      <c r="B45" s="19" t="n">
        <v>11</v>
      </c>
      <c r="C45" s="43" t="n">
        <f aca="false">Overview!$C$10+7*(B45-1)+0</f>
        <v>46370</v>
      </c>
      <c r="D45" s="29" t="n">
        <f aca="false">Overview!$C$11</f>
        <v>120</v>
      </c>
      <c r="E45" s="20" t="s">
        <v>377</v>
      </c>
      <c r="F45" s="44" t="s">
        <v>378</v>
      </c>
      <c r="G45" s="20" t="s">
        <v>379</v>
      </c>
      <c r="H45" s="20" t="s">
        <v>380</v>
      </c>
      <c r="I45" s="20" t="s">
        <v>381</v>
      </c>
      <c r="J45" s="20" t="s">
        <v>382</v>
      </c>
      <c r="K45" s="20" t="s">
        <v>383</v>
      </c>
      <c r="L45" s="45" t="s">
        <v>384</v>
      </c>
      <c r="M45" s="23" t="s">
        <v>37</v>
      </c>
      <c r="N45" s="46" t="s">
        <v>154</v>
      </c>
      <c r="O45" s="23" t="s">
        <v>155</v>
      </c>
    </row>
    <row r="46" customFormat="false" ht="231.75" hidden="false" customHeight="true" outlineLevel="0" collapsed="false">
      <c r="A46" s="42" t="s">
        <v>385</v>
      </c>
      <c r="B46" s="19" t="n">
        <v>11</v>
      </c>
      <c r="C46" s="43" t="n">
        <f aca="false">Overview!$C$10+7*(B46-1)+1</f>
        <v>46371</v>
      </c>
      <c r="D46" s="29" t="n">
        <f aca="false">Overview!$C$11</f>
        <v>120</v>
      </c>
      <c r="E46" s="20" t="s">
        <v>386</v>
      </c>
      <c r="F46" s="44" t="s">
        <v>387</v>
      </c>
      <c r="G46" s="20" t="s">
        <v>388</v>
      </c>
      <c r="H46" s="20" t="s">
        <v>389</v>
      </c>
      <c r="I46" s="20" t="s">
        <v>390</v>
      </c>
      <c r="J46" s="20" t="s">
        <v>391</v>
      </c>
      <c r="K46" s="20" t="s">
        <v>392</v>
      </c>
      <c r="L46" s="45" t="s">
        <v>393</v>
      </c>
      <c r="M46" s="23" t="s">
        <v>37</v>
      </c>
      <c r="N46" s="46" t="s">
        <v>154</v>
      </c>
      <c r="O46" s="23" t="s">
        <v>155</v>
      </c>
    </row>
    <row r="47" customFormat="false" ht="219.75" hidden="false" customHeight="true" outlineLevel="0" collapsed="false">
      <c r="A47" s="42" t="s">
        <v>394</v>
      </c>
      <c r="B47" s="19" t="n">
        <v>11</v>
      </c>
      <c r="C47" s="43" t="n">
        <f aca="false">Overview!$C$10+7*(B47-1)+2</f>
        <v>46372</v>
      </c>
      <c r="D47" s="29" t="n">
        <f aca="false">Overview!$C$11</f>
        <v>120</v>
      </c>
      <c r="E47" s="20" t="s">
        <v>395</v>
      </c>
      <c r="F47" s="44" t="s">
        <v>396</v>
      </c>
      <c r="G47" s="20" t="s">
        <v>397</v>
      </c>
      <c r="H47" s="20" t="s">
        <v>398</v>
      </c>
      <c r="I47" s="20" t="s">
        <v>399</v>
      </c>
      <c r="J47" s="20" t="s">
        <v>400</v>
      </c>
      <c r="K47" s="20" t="s">
        <v>401</v>
      </c>
      <c r="L47" s="45" t="s">
        <v>402</v>
      </c>
      <c r="M47" s="23" t="s">
        <v>37</v>
      </c>
      <c r="N47" s="46" t="s">
        <v>154</v>
      </c>
      <c r="O47" s="23" t="s">
        <v>155</v>
      </c>
    </row>
    <row r="48" customFormat="false" ht="219.75" hidden="false" customHeight="true" outlineLevel="0" collapsed="false">
      <c r="A48" s="42" t="s">
        <v>403</v>
      </c>
      <c r="B48" s="19" t="n">
        <v>11</v>
      </c>
      <c r="C48" s="43" t="n">
        <f aca="false">Overview!$C$10+7*(B48-1)+3</f>
        <v>46373</v>
      </c>
      <c r="D48" s="29" t="n">
        <f aca="false">Overview!$C$11</f>
        <v>120</v>
      </c>
      <c r="E48" s="20" t="s">
        <v>404</v>
      </c>
      <c r="F48" s="44" t="s">
        <v>405</v>
      </c>
      <c r="G48" s="20" t="s">
        <v>406</v>
      </c>
      <c r="H48" s="20" t="s">
        <v>407</v>
      </c>
      <c r="I48" s="20" t="s">
        <v>408</v>
      </c>
      <c r="J48" s="20" t="s">
        <v>409</v>
      </c>
      <c r="K48" s="20" t="s">
        <v>410</v>
      </c>
      <c r="L48" s="45" t="s">
        <v>411</v>
      </c>
      <c r="M48" s="23" t="s">
        <v>37</v>
      </c>
      <c r="N48" s="46" t="s">
        <v>154</v>
      </c>
      <c r="O48" s="23" t="s">
        <v>155</v>
      </c>
    </row>
    <row r="49" customFormat="false" ht="315.75" hidden="false" customHeight="true" outlineLevel="0" collapsed="false">
      <c r="A49" s="42" t="s">
        <v>412</v>
      </c>
      <c r="B49" s="19" t="n">
        <v>11</v>
      </c>
      <c r="C49" s="43" t="n">
        <f aca="false">Overview!$C$10+7*(B49-1)+4</f>
        <v>46374</v>
      </c>
      <c r="D49" s="29" t="n">
        <f aca="false">Overview!$C$11</f>
        <v>120</v>
      </c>
      <c r="E49" s="20" t="s">
        <v>413</v>
      </c>
      <c r="F49" s="44" t="s">
        <v>414</v>
      </c>
      <c r="G49" s="20" t="s">
        <v>415</v>
      </c>
      <c r="H49" s="20" t="s">
        <v>416</v>
      </c>
      <c r="I49" s="20" t="s">
        <v>417</v>
      </c>
      <c r="J49" s="20" t="s">
        <v>418</v>
      </c>
      <c r="K49" s="20" t="s">
        <v>419</v>
      </c>
      <c r="L49" s="45" t="s">
        <v>420</v>
      </c>
      <c r="M49" s="23" t="s">
        <v>37</v>
      </c>
      <c r="N49" s="46" t="s">
        <v>154</v>
      </c>
      <c r="O49" s="23" t="s">
        <v>155</v>
      </c>
    </row>
  </sheetData>
  <mergeCells count="20">
    <mergeCell ref="A2:O2"/>
    <mergeCell ref="A3:O3"/>
    <mergeCell ref="A4:D4"/>
    <mergeCell ref="E4:H4"/>
    <mergeCell ref="I4:K4"/>
    <mergeCell ref="M4:O4"/>
    <mergeCell ref="A6:O6"/>
    <mergeCell ref="A7:O7"/>
    <mergeCell ref="A11:O11"/>
    <mergeCell ref="A12:O12"/>
    <mergeCell ref="A17:O17"/>
    <mergeCell ref="A18:O18"/>
    <mergeCell ref="A24:O24"/>
    <mergeCell ref="A25:O25"/>
    <mergeCell ref="A31:O31"/>
    <mergeCell ref="A32:O32"/>
    <mergeCell ref="A37:O37"/>
    <mergeCell ref="A38:O38"/>
    <mergeCell ref="A43:O43"/>
    <mergeCell ref="A44:O44"/>
  </mergeCells>
  <conditionalFormatting sqref="M6:O49">
    <cfRule type="expression" priority="2" aboveAverage="0" equalAverage="0" bottom="0" percent="0" rank="0" text="" dxfId="0">
      <formula>$N6="Confirmed"</formula>
    </cfRule>
    <cfRule type="expression" priority="3" aboveAverage="0" equalAverage="0" bottom="0" percent="0" rank="0" text="" dxfId="1">
      <formula>$N6="Change requested"</formula>
    </cfRule>
  </conditionalFormatting>
  <dataValidations count="1">
    <dataValidation allowBlank="false" error="Please choose Tentative, Confirmed or Change requested." errorStyle="stop" errorTitle="Status" operator="between" showDropDown="false" showErrorMessage="false" showInputMessage="false" sqref="N6:N49" type="list">
      <formula1>"Tentative,Confirmed,Change requested"</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7A33"/>
    <pageSetUpPr fitToPage="true"/>
  </sheetPr>
  <dimension ref="A1:G25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3" min="3" style="0" width="92"/>
    <col collapsed="false" customWidth="true" hidden="false" outlineLevel="0" max="4" min="4" style="0" width="84"/>
    <col collapsed="false" customWidth="true" hidden="false" outlineLevel="0" max="5" min="5" style="0" width="20"/>
    <col collapsed="false" customWidth="true" hidden="false" outlineLevel="0" max="6" min="6" style="0" width="46"/>
    <col collapsed="false" customWidth="true" hidden="false" outlineLevel="0" max="7" min="7" style="0" width="24"/>
  </cols>
  <sheetData>
    <row r="1" customFormat="false" ht="6" hidden="false" customHeight="true" outlineLevel="0" collapsed="false">
      <c r="A1" s="1"/>
      <c r="B1" s="1"/>
      <c r="C1" s="1"/>
      <c r="D1" s="1"/>
      <c r="E1" s="1"/>
      <c r="F1" s="1"/>
      <c r="G1" s="1"/>
    </row>
    <row r="2" customFormat="false" ht="27.75" hidden="false" customHeight="true" outlineLevel="0" collapsed="false">
      <c r="A2" s="2" t="s">
        <v>421</v>
      </c>
      <c r="B2" s="2"/>
      <c r="C2" s="2"/>
      <c r="D2" s="2"/>
      <c r="E2" s="2"/>
      <c r="F2" s="2"/>
      <c r="G2" s="2"/>
    </row>
    <row r="3" customFormat="false" ht="25.5" hidden="false" customHeight="true" outlineLevel="0" collapsed="false">
      <c r="A3" s="3" t="s">
        <v>422</v>
      </c>
      <c r="B3" s="3"/>
      <c r="C3" s="3"/>
      <c r="D3" s="3"/>
      <c r="E3" s="3"/>
      <c r="F3" s="3"/>
      <c r="G3" s="3"/>
    </row>
    <row r="4" customFormat="false" ht="24" hidden="false" customHeight="true" outlineLevel="0" collapsed="false">
      <c r="A4" s="16" t="s">
        <v>423</v>
      </c>
      <c r="B4" s="16" t="s">
        <v>424</v>
      </c>
      <c r="C4" s="16" t="s">
        <v>425</v>
      </c>
      <c r="D4" s="16" t="s">
        <v>426</v>
      </c>
      <c r="E4" s="16" t="s">
        <v>427</v>
      </c>
      <c r="F4" s="16" t="s">
        <v>428</v>
      </c>
      <c r="G4" s="16" t="s">
        <v>429</v>
      </c>
    </row>
    <row r="5" customFormat="false" ht="30" hidden="false" customHeight="true" outlineLevel="0" collapsed="false">
      <c r="A5" s="42" t="s">
        <v>430</v>
      </c>
      <c r="B5" s="20" t="s">
        <v>431</v>
      </c>
      <c r="C5" s="20" t="s">
        <v>432</v>
      </c>
      <c r="D5" s="47" t="s">
        <v>433</v>
      </c>
      <c r="E5" s="20" t="s">
        <v>434</v>
      </c>
      <c r="F5" s="20" t="s">
        <v>435</v>
      </c>
      <c r="G5" s="20" t="s">
        <v>436</v>
      </c>
    </row>
    <row r="6" customFormat="false" ht="16.5" hidden="false" customHeight="true" outlineLevel="0" collapsed="false">
      <c r="A6" s="42" t="s">
        <v>437</v>
      </c>
      <c r="B6" s="20" t="s">
        <v>431</v>
      </c>
      <c r="C6" s="20" t="s">
        <v>438</v>
      </c>
      <c r="D6" s="47" t="s">
        <v>439</v>
      </c>
      <c r="E6" s="20" t="s">
        <v>434</v>
      </c>
      <c r="F6" s="20" t="s">
        <v>440</v>
      </c>
      <c r="G6" s="20" t="s">
        <v>436</v>
      </c>
    </row>
    <row r="7" customFormat="false" ht="30" hidden="false" customHeight="true" outlineLevel="0" collapsed="false">
      <c r="A7" s="42" t="s">
        <v>441</v>
      </c>
      <c r="B7" s="20" t="s">
        <v>431</v>
      </c>
      <c r="C7" s="20" t="s">
        <v>442</v>
      </c>
      <c r="D7" s="47" t="s">
        <v>443</v>
      </c>
      <c r="E7" s="20" t="s">
        <v>444</v>
      </c>
      <c r="F7" s="20" t="s">
        <v>445</v>
      </c>
      <c r="G7" s="20" t="s">
        <v>436</v>
      </c>
    </row>
    <row r="8" customFormat="false" ht="30" hidden="false" customHeight="true" outlineLevel="0" collapsed="false">
      <c r="A8" s="42" t="s">
        <v>446</v>
      </c>
      <c r="B8" s="20" t="s">
        <v>447</v>
      </c>
      <c r="C8" s="20" t="s">
        <v>448</v>
      </c>
      <c r="D8" s="47" t="s">
        <v>449</v>
      </c>
      <c r="E8" s="20" t="s">
        <v>434</v>
      </c>
      <c r="F8" s="20" t="s">
        <v>450</v>
      </c>
      <c r="G8" s="20" t="s">
        <v>436</v>
      </c>
    </row>
    <row r="9" customFormat="false" ht="30" hidden="false" customHeight="true" outlineLevel="0" collapsed="false">
      <c r="A9" s="42" t="s">
        <v>451</v>
      </c>
      <c r="B9" s="20" t="s">
        <v>452</v>
      </c>
      <c r="C9" s="20" t="s">
        <v>453</v>
      </c>
      <c r="D9" s="47" t="s">
        <v>454</v>
      </c>
      <c r="E9" s="20" t="s">
        <v>434</v>
      </c>
      <c r="F9" s="20" t="s">
        <v>455</v>
      </c>
      <c r="G9" s="20" t="s">
        <v>436</v>
      </c>
    </row>
    <row r="10" customFormat="false" ht="16.5" hidden="false" customHeight="true" outlineLevel="0" collapsed="false">
      <c r="A10" s="42" t="s">
        <v>456</v>
      </c>
      <c r="B10" s="20" t="s">
        <v>457</v>
      </c>
      <c r="C10" s="20" t="s">
        <v>458</v>
      </c>
      <c r="D10" s="47" t="s">
        <v>459</v>
      </c>
      <c r="E10" s="20" t="s">
        <v>434</v>
      </c>
      <c r="F10" s="20" t="s">
        <v>145</v>
      </c>
      <c r="G10" s="20" t="s">
        <v>436</v>
      </c>
    </row>
    <row r="11" customFormat="false" ht="42.75" hidden="false" customHeight="true" outlineLevel="0" collapsed="false">
      <c r="A11" s="42" t="s">
        <v>460</v>
      </c>
      <c r="B11" s="20" t="s">
        <v>461</v>
      </c>
      <c r="C11" s="20" t="s">
        <v>462</v>
      </c>
      <c r="D11" s="47" t="s">
        <v>463</v>
      </c>
      <c r="E11" s="20" t="s">
        <v>434</v>
      </c>
      <c r="F11" s="20" t="s">
        <v>464</v>
      </c>
      <c r="G11" s="20" t="s">
        <v>436</v>
      </c>
    </row>
    <row r="12" customFormat="false" ht="30" hidden="false" customHeight="true" outlineLevel="0" collapsed="false">
      <c r="A12" s="42" t="s">
        <v>465</v>
      </c>
      <c r="B12" s="20" t="s">
        <v>466</v>
      </c>
      <c r="C12" s="20" t="s">
        <v>467</v>
      </c>
      <c r="D12" s="47" t="s">
        <v>468</v>
      </c>
      <c r="E12" s="20" t="s">
        <v>434</v>
      </c>
      <c r="F12" s="20" t="s">
        <v>156</v>
      </c>
      <c r="G12" s="20" t="s">
        <v>436</v>
      </c>
    </row>
    <row r="13" customFormat="false" ht="16.5" hidden="false" customHeight="true" outlineLevel="0" collapsed="false">
      <c r="A13" s="42" t="s">
        <v>469</v>
      </c>
      <c r="B13" s="20" t="s">
        <v>470</v>
      </c>
      <c r="C13" s="20" t="s">
        <v>471</v>
      </c>
      <c r="D13" s="47" t="s">
        <v>472</v>
      </c>
      <c r="E13" s="20" t="s">
        <v>434</v>
      </c>
      <c r="F13" s="20" t="s">
        <v>156</v>
      </c>
      <c r="G13" s="20" t="s">
        <v>436</v>
      </c>
    </row>
    <row r="14" customFormat="false" ht="69" hidden="false" customHeight="true" outlineLevel="0" collapsed="false">
      <c r="A14" s="42" t="s">
        <v>473</v>
      </c>
      <c r="B14" s="20" t="s">
        <v>431</v>
      </c>
      <c r="C14" s="20" t="s">
        <v>474</v>
      </c>
      <c r="D14" s="47" t="s">
        <v>475</v>
      </c>
      <c r="E14" s="20" t="s">
        <v>434</v>
      </c>
      <c r="F14" s="20" t="s">
        <v>476</v>
      </c>
      <c r="G14" s="20" t="s">
        <v>436</v>
      </c>
    </row>
    <row r="15" customFormat="false" ht="42.75" hidden="false" customHeight="true" outlineLevel="0" collapsed="false">
      <c r="A15" s="42" t="s">
        <v>477</v>
      </c>
      <c r="B15" s="20" t="s">
        <v>461</v>
      </c>
      <c r="C15" s="20" t="s">
        <v>478</v>
      </c>
      <c r="D15" s="47" t="s">
        <v>479</v>
      </c>
      <c r="E15" s="20" t="s">
        <v>480</v>
      </c>
      <c r="F15" s="20" t="s">
        <v>164</v>
      </c>
      <c r="G15" s="20" t="s">
        <v>436</v>
      </c>
    </row>
    <row r="16" customFormat="false" ht="30" hidden="false" customHeight="true" outlineLevel="0" collapsed="false">
      <c r="A16" s="42" t="s">
        <v>481</v>
      </c>
      <c r="B16" s="20" t="s">
        <v>461</v>
      </c>
      <c r="C16" s="20" t="s">
        <v>482</v>
      </c>
      <c r="D16" s="47" t="s">
        <v>483</v>
      </c>
      <c r="E16" s="20" t="s">
        <v>434</v>
      </c>
      <c r="F16" s="20" t="s">
        <v>164</v>
      </c>
      <c r="G16" s="20" t="s">
        <v>436</v>
      </c>
    </row>
    <row r="17" customFormat="false" ht="16.5" hidden="false" customHeight="true" outlineLevel="0" collapsed="false">
      <c r="A17" s="42" t="s">
        <v>484</v>
      </c>
      <c r="B17" s="20" t="s">
        <v>470</v>
      </c>
      <c r="C17" s="20" t="s">
        <v>485</v>
      </c>
      <c r="D17" s="47" t="s">
        <v>486</v>
      </c>
      <c r="E17" s="20" t="s">
        <v>434</v>
      </c>
      <c r="F17" s="20" t="s">
        <v>487</v>
      </c>
      <c r="G17" s="20" t="s">
        <v>436</v>
      </c>
    </row>
    <row r="18" customFormat="false" ht="16.5" hidden="false" customHeight="true" outlineLevel="0" collapsed="false">
      <c r="A18" s="42" t="s">
        <v>488</v>
      </c>
      <c r="B18" s="20" t="s">
        <v>489</v>
      </c>
      <c r="C18" s="20" t="s">
        <v>490</v>
      </c>
      <c r="D18" s="47" t="s">
        <v>491</v>
      </c>
      <c r="E18" s="20" t="s">
        <v>434</v>
      </c>
      <c r="F18" s="20" t="s">
        <v>492</v>
      </c>
      <c r="G18" s="20" t="s">
        <v>436</v>
      </c>
    </row>
    <row r="19" customFormat="false" ht="30" hidden="false" customHeight="true" outlineLevel="0" collapsed="false">
      <c r="A19" s="42" t="s">
        <v>493</v>
      </c>
      <c r="B19" s="20" t="s">
        <v>431</v>
      </c>
      <c r="C19" s="20" t="s">
        <v>494</v>
      </c>
      <c r="D19" s="47" t="s">
        <v>495</v>
      </c>
      <c r="E19" s="20" t="s">
        <v>496</v>
      </c>
      <c r="F19" s="20" t="s">
        <v>173</v>
      </c>
      <c r="G19" s="20" t="s">
        <v>436</v>
      </c>
    </row>
    <row r="20" customFormat="false" ht="30" hidden="false" customHeight="true" outlineLevel="0" collapsed="false">
      <c r="A20" s="42" t="s">
        <v>497</v>
      </c>
      <c r="B20" s="20" t="s">
        <v>461</v>
      </c>
      <c r="C20" s="20" t="s">
        <v>498</v>
      </c>
      <c r="D20" s="47" t="s">
        <v>499</v>
      </c>
      <c r="E20" s="20" t="s">
        <v>500</v>
      </c>
      <c r="F20" s="20" t="s">
        <v>173</v>
      </c>
      <c r="G20" s="20" t="s">
        <v>436</v>
      </c>
    </row>
    <row r="21" customFormat="false" ht="30" hidden="false" customHeight="true" outlineLevel="0" collapsed="false">
      <c r="A21" s="42" t="s">
        <v>501</v>
      </c>
      <c r="B21" s="20" t="s">
        <v>461</v>
      </c>
      <c r="C21" s="20" t="s">
        <v>502</v>
      </c>
      <c r="D21" s="47" t="s">
        <v>503</v>
      </c>
      <c r="E21" s="20" t="s">
        <v>500</v>
      </c>
      <c r="F21" s="20" t="s">
        <v>173</v>
      </c>
      <c r="G21" s="20" t="s">
        <v>436</v>
      </c>
    </row>
    <row r="22" customFormat="false" ht="30" hidden="false" customHeight="true" outlineLevel="0" collapsed="false">
      <c r="A22" s="42" t="s">
        <v>504</v>
      </c>
      <c r="B22" s="20" t="s">
        <v>461</v>
      </c>
      <c r="C22" s="20" t="s">
        <v>505</v>
      </c>
      <c r="D22" s="47" t="s">
        <v>506</v>
      </c>
      <c r="E22" s="20" t="s">
        <v>500</v>
      </c>
      <c r="F22" s="20" t="s">
        <v>173</v>
      </c>
      <c r="G22" s="20" t="s">
        <v>436</v>
      </c>
    </row>
    <row r="23" customFormat="false" ht="30" hidden="false" customHeight="true" outlineLevel="0" collapsed="false">
      <c r="A23" s="42" t="s">
        <v>507</v>
      </c>
      <c r="B23" s="20" t="s">
        <v>461</v>
      </c>
      <c r="C23" s="20" t="s">
        <v>508</v>
      </c>
      <c r="D23" s="47" t="s">
        <v>509</v>
      </c>
      <c r="E23" s="20" t="s">
        <v>434</v>
      </c>
      <c r="F23" s="20" t="s">
        <v>173</v>
      </c>
      <c r="G23" s="20" t="s">
        <v>436</v>
      </c>
    </row>
    <row r="24" customFormat="false" ht="16.5" hidden="false" customHeight="true" outlineLevel="0" collapsed="false">
      <c r="A24" s="42" t="s">
        <v>510</v>
      </c>
      <c r="B24" s="20" t="s">
        <v>511</v>
      </c>
      <c r="C24" s="20" t="s">
        <v>512</v>
      </c>
      <c r="D24" s="47" t="s">
        <v>513</v>
      </c>
      <c r="E24" s="20" t="s">
        <v>434</v>
      </c>
      <c r="F24" s="20" t="s">
        <v>173</v>
      </c>
      <c r="G24" s="20" t="s">
        <v>436</v>
      </c>
    </row>
    <row r="25" customFormat="false" ht="30" hidden="false" customHeight="true" outlineLevel="0" collapsed="false">
      <c r="A25" s="42" t="s">
        <v>514</v>
      </c>
      <c r="B25" s="20" t="s">
        <v>431</v>
      </c>
      <c r="C25" s="20" t="s">
        <v>515</v>
      </c>
      <c r="D25" s="47" t="s">
        <v>516</v>
      </c>
      <c r="E25" s="20" t="s">
        <v>434</v>
      </c>
      <c r="F25" s="20" t="s">
        <v>182</v>
      </c>
      <c r="G25" s="20" t="s">
        <v>436</v>
      </c>
    </row>
    <row r="26" customFormat="false" ht="30" hidden="false" customHeight="true" outlineLevel="0" collapsed="false">
      <c r="A26" s="42" t="s">
        <v>517</v>
      </c>
      <c r="B26" s="20" t="s">
        <v>431</v>
      </c>
      <c r="C26" s="20" t="s">
        <v>518</v>
      </c>
      <c r="D26" s="47" t="s">
        <v>519</v>
      </c>
      <c r="E26" s="20" t="s">
        <v>434</v>
      </c>
      <c r="F26" s="20" t="s">
        <v>182</v>
      </c>
      <c r="G26" s="20" t="s">
        <v>436</v>
      </c>
    </row>
    <row r="27" customFormat="false" ht="16.5" hidden="false" customHeight="true" outlineLevel="0" collapsed="false">
      <c r="A27" s="42" t="s">
        <v>520</v>
      </c>
      <c r="B27" s="20" t="s">
        <v>461</v>
      </c>
      <c r="C27" s="20" t="s">
        <v>521</v>
      </c>
      <c r="D27" s="47" t="s">
        <v>522</v>
      </c>
      <c r="E27" s="20" t="s">
        <v>434</v>
      </c>
      <c r="F27" s="20" t="s">
        <v>182</v>
      </c>
      <c r="G27" s="20" t="s">
        <v>436</v>
      </c>
    </row>
    <row r="28" customFormat="false" ht="30" hidden="false" customHeight="true" outlineLevel="0" collapsed="false">
      <c r="A28" s="42" t="s">
        <v>523</v>
      </c>
      <c r="B28" s="20" t="s">
        <v>461</v>
      </c>
      <c r="C28" s="20" t="s">
        <v>524</v>
      </c>
      <c r="D28" s="47" t="s">
        <v>525</v>
      </c>
      <c r="E28" s="20" t="s">
        <v>500</v>
      </c>
      <c r="F28" s="20" t="s">
        <v>182</v>
      </c>
      <c r="G28" s="20" t="s">
        <v>436</v>
      </c>
    </row>
    <row r="29" customFormat="false" ht="30" hidden="false" customHeight="true" outlineLevel="0" collapsed="false">
      <c r="A29" s="42" t="s">
        <v>526</v>
      </c>
      <c r="B29" s="20" t="s">
        <v>511</v>
      </c>
      <c r="C29" s="20" t="s">
        <v>527</v>
      </c>
      <c r="D29" s="47" t="s">
        <v>528</v>
      </c>
      <c r="E29" s="20" t="s">
        <v>434</v>
      </c>
      <c r="F29" s="20" t="s">
        <v>182</v>
      </c>
      <c r="G29" s="20" t="s">
        <v>436</v>
      </c>
    </row>
    <row r="30" customFormat="false" ht="16.5" hidden="false" customHeight="true" outlineLevel="0" collapsed="false">
      <c r="A30" s="42" t="s">
        <v>529</v>
      </c>
      <c r="B30" s="20" t="s">
        <v>470</v>
      </c>
      <c r="C30" s="20" t="s">
        <v>530</v>
      </c>
      <c r="D30" s="47" t="s">
        <v>531</v>
      </c>
      <c r="E30" s="20" t="s">
        <v>434</v>
      </c>
      <c r="F30" s="20" t="s">
        <v>182</v>
      </c>
      <c r="G30" s="20" t="s">
        <v>436</v>
      </c>
    </row>
    <row r="31" customFormat="false" ht="30" hidden="false" customHeight="true" outlineLevel="0" collapsed="false">
      <c r="A31" s="42" t="s">
        <v>532</v>
      </c>
      <c r="B31" s="20" t="s">
        <v>533</v>
      </c>
      <c r="C31" s="20" t="s">
        <v>534</v>
      </c>
      <c r="D31" s="47" t="s">
        <v>535</v>
      </c>
      <c r="E31" s="20" t="s">
        <v>434</v>
      </c>
      <c r="F31" s="20" t="s">
        <v>191</v>
      </c>
      <c r="G31" s="20" t="s">
        <v>436</v>
      </c>
    </row>
    <row r="32" customFormat="false" ht="30" hidden="false" customHeight="true" outlineLevel="0" collapsed="false">
      <c r="A32" s="42" t="s">
        <v>536</v>
      </c>
      <c r="B32" s="20" t="s">
        <v>461</v>
      </c>
      <c r="C32" s="20" t="s">
        <v>537</v>
      </c>
      <c r="D32" s="47" t="s">
        <v>538</v>
      </c>
      <c r="E32" s="20" t="s">
        <v>434</v>
      </c>
      <c r="F32" s="20" t="s">
        <v>191</v>
      </c>
      <c r="G32" s="20" t="s">
        <v>436</v>
      </c>
    </row>
    <row r="33" customFormat="false" ht="16.5" hidden="false" customHeight="true" outlineLevel="0" collapsed="false">
      <c r="A33" s="42" t="s">
        <v>539</v>
      </c>
      <c r="B33" s="20" t="s">
        <v>431</v>
      </c>
      <c r="C33" s="20" t="s">
        <v>540</v>
      </c>
      <c r="D33" s="47" t="s">
        <v>541</v>
      </c>
      <c r="E33" s="20" t="s">
        <v>480</v>
      </c>
      <c r="F33" s="20" t="s">
        <v>191</v>
      </c>
      <c r="G33" s="20" t="s">
        <v>436</v>
      </c>
    </row>
    <row r="34" customFormat="false" ht="30" hidden="false" customHeight="true" outlineLevel="0" collapsed="false">
      <c r="A34" s="42" t="s">
        <v>542</v>
      </c>
      <c r="B34" s="20" t="s">
        <v>461</v>
      </c>
      <c r="C34" s="20" t="s">
        <v>543</v>
      </c>
      <c r="D34" s="47" t="s">
        <v>544</v>
      </c>
      <c r="E34" s="20" t="s">
        <v>500</v>
      </c>
      <c r="F34" s="20" t="s">
        <v>191</v>
      </c>
      <c r="G34" s="20" t="s">
        <v>436</v>
      </c>
    </row>
    <row r="35" customFormat="false" ht="16.5" hidden="false" customHeight="true" outlineLevel="0" collapsed="false">
      <c r="A35" s="42" t="s">
        <v>545</v>
      </c>
      <c r="B35" s="20" t="s">
        <v>470</v>
      </c>
      <c r="C35" s="20" t="s">
        <v>546</v>
      </c>
      <c r="D35" s="47" t="s">
        <v>547</v>
      </c>
      <c r="E35" s="20" t="s">
        <v>434</v>
      </c>
      <c r="F35" s="20" t="s">
        <v>191</v>
      </c>
      <c r="G35" s="20" t="s">
        <v>436</v>
      </c>
    </row>
    <row r="36" customFormat="false" ht="30" hidden="false" customHeight="true" outlineLevel="0" collapsed="false">
      <c r="A36" s="42" t="s">
        <v>548</v>
      </c>
      <c r="B36" s="20" t="s">
        <v>431</v>
      </c>
      <c r="C36" s="20" t="s">
        <v>549</v>
      </c>
      <c r="D36" s="47" t="s">
        <v>550</v>
      </c>
      <c r="E36" s="20" t="s">
        <v>434</v>
      </c>
      <c r="F36" s="20" t="s">
        <v>551</v>
      </c>
      <c r="G36" s="20" t="s">
        <v>552</v>
      </c>
    </row>
    <row r="37" customFormat="false" ht="30" hidden="false" customHeight="true" outlineLevel="0" collapsed="false">
      <c r="A37" s="42" t="s">
        <v>553</v>
      </c>
      <c r="B37" s="20" t="s">
        <v>431</v>
      </c>
      <c r="C37" s="20" t="s">
        <v>554</v>
      </c>
      <c r="D37" s="47" t="s">
        <v>555</v>
      </c>
      <c r="E37" s="20" t="s">
        <v>556</v>
      </c>
      <c r="F37" s="20" t="s">
        <v>557</v>
      </c>
      <c r="G37" s="20" t="s">
        <v>436</v>
      </c>
    </row>
    <row r="38" customFormat="false" ht="30" hidden="false" customHeight="true" outlineLevel="0" collapsed="false">
      <c r="A38" s="42" t="s">
        <v>558</v>
      </c>
      <c r="B38" s="20" t="s">
        <v>431</v>
      </c>
      <c r="C38" s="20" t="s">
        <v>559</v>
      </c>
      <c r="D38" s="47" t="s">
        <v>560</v>
      </c>
      <c r="E38" s="20" t="s">
        <v>434</v>
      </c>
      <c r="F38" s="20" t="s">
        <v>200</v>
      </c>
      <c r="G38" s="20" t="s">
        <v>436</v>
      </c>
    </row>
    <row r="39" customFormat="false" ht="30" hidden="false" customHeight="true" outlineLevel="0" collapsed="false">
      <c r="A39" s="42" t="s">
        <v>561</v>
      </c>
      <c r="B39" s="20" t="s">
        <v>533</v>
      </c>
      <c r="C39" s="20" t="s">
        <v>562</v>
      </c>
      <c r="D39" s="47" t="s">
        <v>563</v>
      </c>
      <c r="E39" s="20" t="s">
        <v>434</v>
      </c>
      <c r="F39" s="20" t="s">
        <v>564</v>
      </c>
      <c r="G39" s="20" t="s">
        <v>436</v>
      </c>
    </row>
    <row r="40" customFormat="false" ht="30" hidden="false" customHeight="true" outlineLevel="0" collapsed="false">
      <c r="A40" s="42" t="s">
        <v>565</v>
      </c>
      <c r="B40" s="20" t="s">
        <v>461</v>
      </c>
      <c r="C40" s="20" t="s">
        <v>566</v>
      </c>
      <c r="D40" s="47" t="s">
        <v>567</v>
      </c>
      <c r="E40" s="20" t="s">
        <v>434</v>
      </c>
      <c r="F40" s="20" t="s">
        <v>200</v>
      </c>
      <c r="G40" s="20" t="s">
        <v>436</v>
      </c>
    </row>
    <row r="41" customFormat="false" ht="16.5" hidden="false" customHeight="true" outlineLevel="0" collapsed="false">
      <c r="A41" s="42" t="s">
        <v>568</v>
      </c>
      <c r="B41" s="20" t="s">
        <v>470</v>
      </c>
      <c r="C41" s="20" t="s">
        <v>569</v>
      </c>
      <c r="D41" s="47" t="s">
        <v>570</v>
      </c>
      <c r="E41" s="20" t="s">
        <v>434</v>
      </c>
      <c r="F41" s="20" t="s">
        <v>200</v>
      </c>
      <c r="G41" s="20" t="s">
        <v>436</v>
      </c>
    </row>
    <row r="42" customFormat="false" ht="30" hidden="false" customHeight="true" outlineLevel="0" collapsed="false">
      <c r="A42" s="42" t="s">
        <v>571</v>
      </c>
      <c r="B42" s="20" t="s">
        <v>470</v>
      </c>
      <c r="C42" s="20" t="s">
        <v>572</v>
      </c>
      <c r="D42" s="47" t="s">
        <v>573</v>
      </c>
      <c r="E42" s="20" t="s">
        <v>434</v>
      </c>
      <c r="F42" s="20" t="s">
        <v>200</v>
      </c>
      <c r="G42" s="20" t="s">
        <v>436</v>
      </c>
    </row>
    <row r="43" customFormat="false" ht="30" hidden="false" customHeight="true" outlineLevel="0" collapsed="false">
      <c r="A43" s="42" t="s">
        <v>574</v>
      </c>
      <c r="B43" s="20" t="s">
        <v>431</v>
      </c>
      <c r="C43" s="20" t="s">
        <v>575</v>
      </c>
      <c r="D43" s="47" t="s">
        <v>576</v>
      </c>
      <c r="E43" s="20" t="s">
        <v>480</v>
      </c>
      <c r="F43" s="20" t="s">
        <v>577</v>
      </c>
      <c r="G43" s="20" t="s">
        <v>436</v>
      </c>
    </row>
    <row r="44" customFormat="false" ht="16.5" hidden="false" customHeight="true" outlineLevel="0" collapsed="false">
      <c r="A44" s="42" t="s">
        <v>578</v>
      </c>
      <c r="B44" s="20" t="s">
        <v>533</v>
      </c>
      <c r="C44" s="20" t="s">
        <v>579</v>
      </c>
      <c r="D44" s="47" t="s">
        <v>580</v>
      </c>
      <c r="E44" s="20" t="s">
        <v>434</v>
      </c>
      <c r="F44" s="20" t="s">
        <v>581</v>
      </c>
      <c r="G44" s="20" t="s">
        <v>436</v>
      </c>
    </row>
    <row r="45" customFormat="false" ht="30" hidden="false" customHeight="true" outlineLevel="0" collapsed="false">
      <c r="A45" s="42" t="s">
        <v>582</v>
      </c>
      <c r="B45" s="20" t="s">
        <v>431</v>
      </c>
      <c r="C45" s="20" t="s">
        <v>583</v>
      </c>
      <c r="D45" s="47" t="s">
        <v>584</v>
      </c>
      <c r="E45" s="20" t="s">
        <v>434</v>
      </c>
      <c r="F45" s="20" t="s">
        <v>585</v>
      </c>
      <c r="G45" s="20" t="s">
        <v>436</v>
      </c>
    </row>
    <row r="46" customFormat="false" ht="30" hidden="false" customHeight="true" outlineLevel="0" collapsed="false">
      <c r="A46" s="42" t="s">
        <v>586</v>
      </c>
      <c r="B46" s="20" t="s">
        <v>431</v>
      </c>
      <c r="C46" s="20" t="s">
        <v>587</v>
      </c>
      <c r="D46" s="47" t="s">
        <v>588</v>
      </c>
      <c r="E46" s="20" t="s">
        <v>434</v>
      </c>
      <c r="F46" s="20" t="s">
        <v>210</v>
      </c>
      <c r="G46" s="20" t="s">
        <v>436</v>
      </c>
    </row>
    <row r="47" customFormat="false" ht="16.5" hidden="false" customHeight="true" outlineLevel="0" collapsed="false">
      <c r="A47" s="42" t="s">
        <v>589</v>
      </c>
      <c r="B47" s="20" t="s">
        <v>533</v>
      </c>
      <c r="C47" s="20" t="s">
        <v>590</v>
      </c>
      <c r="D47" s="47" t="s">
        <v>591</v>
      </c>
      <c r="E47" s="20" t="s">
        <v>434</v>
      </c>
      <c r="F47" s="20" t="s">
        <v>210</v>
      </c>
      <c r="G47" s="20" t="s">
        <v>552</v>
      </c>
    </row>
    <row r="48" customFormat="false" ht="16.5" hidden="false" customHeight="true" outlineLevel="0" collapsed="false">
      <c r="A48" s="42" t="s">
        <v>592</v>
      </c>
      <c r="B48" s="20" t="s">
        <v>447</v>
      </c>
      <c r="C48" s="20" t="s">
        <v>593</v>
      </c>
      <c r="D48" s="47" t="s">
        <v>594</v>
      </c>
      <c r="E48" s="20" t="s">
        <v>434</v>
      </c>
      <c r="F48" s="20" t="s">
        <v>595</v>
      </c>
      <c r="G48" s="20" t="s">
        <v>436</v>
      </c>
    </row>
    <row r="49" customFormat="false" ht="16.5" hidden="false" customHeight="true" outlineLevel="0" collapsed="false">
      <c r="A49" s="42" t="s">
        <v>596</v>
      </c>
      <c r="B49" s="20" t="s">
        <v>470</v>
      </c>
      <c r="C49" s="20" t="s">
        <v>597</v>
      </c>
      <c r="D49" s="47" t="s">
        <v>598</v>
      </c>
      <c r="E49" s="20" t="s">
        <v>434</v>
      </c>
      <c r="F49" s="20" t="s">
        <v>210</v>
      </c>
      <c r="G49" s="20" t="s">
        <v>436</v>
      </c>
    </row>
    <row r="50" customFormat="false" ht="16.5" hidden="false" customHeight="true" outlineLevel="0" collapsed="false">
      <c r="A50" s="42" t="s">
        <v>599</v>
      </c>
      <c r="B50" s="20" t="s">
        <v>461</v>
      </c>
      <c r="C50" s="20" t="s">
        <v>600</v>
      </c>
      <c r="D50" s="47" t="s">
        <v>601</v>
      </c>
      <c r="E50" s="20" t="s">
        <v>500</v>
      </c>
      <c r="F50" s="20" t="s">
        <v>219</v>
      </c>
      <c r="G50" s="20" t="s">
        <v>436</v>
      </c>
    </row>
    <row r="51" customFormat="false" ht="30" hidden="false" customHeight="true" outlineLevel="0" collapsed="false">
      <c r="A51" s="42" t="s">
        <v>602</v>
      </c>
      <c r="B51" s="20" t="s">
        <v>461</v>
      </c>
      <c r="C51" s="20" t="s">
        <v>603</v>
      </c>
      <c r="D51" s="47" t="s">
        <v>604</v>
      </c>
      <c r="E51" s="20" t="s">
        <v>434</v>
      </c>
      <c r="F51" s="20" t="s">
        <v>219</v>
      </c>
      <c r="G51" s="20" t="s">
        <v>436</v>
      </c>
    </row>
    <row r="52" customFormat="false" ht="16.5" hidden="false" customHeight="true" outlineLevel="0" collapsed="false">
      <c r="A52" s="42" t="s">
        <v>605</v>
      </c>
      <c r="B52" s="20" t="s">
        <v>461</v>
      </c>
      <c r="C52" s="20" t="s">
        <v>606</v>
      </c>
      <c r="D52" s="47" t="s">
        <v>607</v>
      </c>
      <c r="E52" s="20" t="s">
        <v>500</v>
      </c>
      <c r="F52" s="20" t="s">
        <v>219</v>
      </c>
      <c r="G52" s="20" t="s">
        <v>436</v>
      </c>
    </row>
    <row r="53" customFormat="false" ht="30" hidden="false" customHeight="true" outlineLevel="0" collapsed="false">
      <c r="A53" s="42" t="s">
        <v>608</v>
      </c>
      <c r="B53" s="20" t="s">
        <v>461</v>
      </c>
      <c r="C53" s="20" t="s">
        <v>609</v>
      </c>
      <c r="D53" s="47" t="s">
        <v>610</v>
      </c>
      <c r="E53" s="20" t="s">
        <v>500</v>
      </c>
      <c r="F53" s="20" t="s">
        <v>219</v>
      </c>
      <c r="G53" s="20" t="s">
        <v>436</v>
      </c>
    </row>
    <row r="54" customFormat="false" ht="30" hidden="false" customHeight="true" outlineLevel="0" collapsed="false">
      <c r="A54" s="42" t="s">
        <v>611</v>
      </c>
      <c r="B54" s="20" t="s">
        <v>461</v>
      </c>
      <c r="C54" s="20" t="s">
        <v>612</v>
      </c>
      <c r="D54" s="47" t="s">
        <v>613</v>
      </c>
      <c r="E54" s="20" t="s">
        <v>500</v>
      </c>
      <c r="F54" s="20" t="s">
        <v>219</v>
      </c>
      <c r="G54" s="20" t="s">
        <v>436</v>
      </c>
    </row>
    <row r="55" customFormat="false" ht="30" hidden="false" customHeight="true" outlineLevel="0" collapsed="false">
      <c r="A55" s="42" t="s">
        <v>614</v>
      </c>
      <c r="B55" s="20" t="s">
        <v>461</v>
      </c>
      <c r="C55" s="20" t="s">
        <v>615</v>
      </c>
      <c r="D55" s="47" t="s">
        <v>616</v>
      </c>
      <c r="E55" s="20" t="s">
        <v>434</v>
      </c>
      <c r="F55" s="20" t="s">
        <v>219</v>
      </c>
      <c r="G55" s="20" t="s">
        <v>436</v>
      </c>
    </row>
    <row r="56" customFormat="false" ht="16.5" hidden="false" customHeight="true" outlineLevel="0" collapsed="false">
      <c r="A56" s="42" t="s">
        <v>617</v>
      </c>
      <c r="B56" s="20" t="s">
        <v>470</v>
      </c>
      <c r="C56" s="20" t="s">
        <v>618</v>
      </c>
      <c r="D56" s="47" t="s">
        <v>619</v>
      </c>
      <c r="E56" s="20" t="s">
        <v>434</v>
      </c>
      <c r="F56" s="20" t="s">
        <v>620</v>
      </c>
      <c r="G56" s="20" t="s">
        <v>436</v>
      </c>
    </row>
    <row r="57" customFormat="false" ht="16.5" hidden="false" customHeight="true" outlineLevel="0" collapsed="false">
      <c r="A57" s="42" t="s">
        <v>621</v>
      </c>
      <c r="B57" s="20" t="s">
        <v>470</v>
      </c>
      <c r="C57" s="20" t="s">
        <v>622</v>
      </c>
      <c r="D57" s="47" t="s">
        <v>623</v>
      </c>
      <c r="E57" s="20" t="s">
        <v>434</v>
      </c>
      <c r="F57" s="20" t="s">
        <v>219</v>
      </c>
      <c r="G57" s="20" t="s">
        <v>436</v>
      </c>
    </row>
    <row r="58" customFormat="false" ht="30" hidden="false" customHeight="true" outlineLevel="0" collapsed="false">
      <c r="A58" s="42" t="s">
        <v>624</v>
      </c>
      <c r="B58" s="20" t="s">
        <v>533</v>
      </c>
      <c r="C58" s="20" t="s">
        <v>625</v>
      </c>
      <c r="D58" s="47" t="s">
        <v>626</v>
      </c>
      <c r="E58" s="20" t="s">
        <v>434</v>
      </c>
      <c r="F58" s="20" t="s">
        <v>228</v>
      </c>
      <c r="G58" s="20" t="s">
        <v>552</v>
      </c>
    </row>
    <row r="59" customFormat="false" ht="30" hidden="false" customHeight="true" outlineLevel="0" collapsed="false">
      <c r="A59" s="42" t="s">
        <v>627</v>
      </c>
      <c r="B59" s="20" t="s">
        <v>461</v>
      </c>
      <c r="C59" s="20" t="s">
        <v>628</v>
      </c>
      <c r="D59" s="47" t="s">
        <v>629</v>
      </c>
      <c r="E59" s="20" t="s">
        <v>434</v>
      </c>
      <c r="F59" s="20" t="s">
        <v>228</v>
      </c>
      <c r="G59" s="20" t="s">
        <v>436</v>
      </c>
    </row>
    <row r="60" customFormat="false" ht="30" hidden="false" customHeight="true" outlineLevel="0" collapsed="false">
      <c r="A60" s="42" t="s">
        <v>630</v>
      </c>
      <c r="B60" s="20" t="s">
        <v>461</v>
      </c>
      <c r="C60" s="20" t="s">
        <v>631</v>
      </c>
      <c r="D60" s="47" t="s">
        <v>632</v>
      </c>
      <c r="E60" s="20" t="s">
        <v>434</v>
      </c>
      <c r="F60" s="20" t="s">
        <v>228</v>
      </c>
      <c r="G60" s="20" t="s">
        <v>436</v>
      </c>
    </row>
    <row r="61" customFormat="false" ht="30" hidden="false" customHeight="true" outlineLevel="0" collapsed="false">
      <c r="A61" s="42" t="s">
        <v>633</v>
      </c>
      <c r="B61" s="20" t="s">
        <v>461</v>
      </c>
      <c r="C61" s="20" t="s">
        <v>634</v>
      </c>
      <c r="D61" s="47" t="s">
        <v>635</v>
      </c>
      <c r="E61" s="20" t="s">
        <v>500</v>
      </c>
      <c r="F61" s="20" t="s">
        <v>228</v>
      </c>
      <c r="G61" s="20" t="s">
        <v>436</v>
      </c>
    </row>
    <row r="62" customFormat="false" ht="30" hidden="false" customHeight="true" outlineLevel="0" collapsed="false">
      <c r="A62" s="42" t="s">
        <v>636</v>
      </c>
      <c r="B62" s="20" t="s">
        <v>431</v>
      </c>
      <c r="C62" s="20" t="s">
        <v>637</v>
      </c>
      <c r="D62" s="47" t="s">
        <v>638</v>
      </c>
      <c r="E62" s="20" t="s">
        <v>434</v>
      </c>
      <c r="F62" s="20" t="s">
        <v>228</v>
      </c>
      <c r="G62" s="20" t="s">
        <v>436</v>
      </c>
    </row>
    <row r="63" customFormat="false" ht="30" hidden="false" customHeight="true" outlineLevel="0" collapsed="false">
      <c r="A63" s="42" t="s">
        <v>639</v>
      </c>
      <c r="B63" s="20" t="s">
        <v>470</v>
      </c>
      <c r="C63" s="20" t="s">
        <v>640</v>
      </c>
      <c r="D63" s="47" t="s">
        <v>641</v>
      </c>
      <c r="E63" s="20" t="s">
        <v>434</v>
      </c>
      <c r="F63" s="20" t="s">
        <v>228</v>
      </c>
      <c r="G63" s="20" t="s">
        <v>436</v>
      </c>
    </row>
    <row r="64" customFormat="false" ht="30" hidden="false" customHeight="true" outlineLevel="0" collapsed="false">
      <c r="A64" s="42" t="s">
        <v>642</v>
      </c>
      <c r="B64" s="20" t="s">
        <v>461</v>
      </c>
      <c r="C64" s="20" t="s">
        <v>643</v>
      </c>
      <c r="D64" s="47" t="s">
        <v>644</v>
      </c>
      <c r="E64" s="20" t="s">
        <v>434</v>
      </c>
      <c r="F64" s="20" t="s">
        <v>237</v>
      </c>
      <c r="G64" s="20" t="s">
        <v>436</v>
      </c>
    </row>
    <row r="65" customFormat="false" ht="30" hidden="false" customHeight="true" outlineLevel="0" collapsed="false">
      <c r="A65" s="42" t="s">
        <v>645</v>
      </c>
      <c r="B65" s="20" t="s">
        <v>646</v>
      </c>
      <c r="C65" s="20" t="s">
        <v>647</v>
      </c>
      <c r="D65" s="47" t="s">
        <v>648</v>
      </c>
      <c r="E65" s="20" t="s">
        <v>434</v>
      </c>
      <c r="F65" s="20" t="s">
        <v>237</v>
      </c>
      <c r="G65" s="20" t="s">
        <v>436</v>
      </c>
    </row>
    <row r="66" customFormat="false" ht="30" hidden="false" customHeight="true" outlineLevel="0" collapsed="false">
      <c r="A66" s="42" t="s">
        <v>649</v>
      </c>
      <c r="B66" s="20" t="s">
        <v>461</v>
      </c>
      <c r="C66" s="20" t="s">
        <v>650</v>
      </c>
      <c r="D66" s="47" t="s">
        <v>651</v>
      </c>
      <c r="E66" s="20" t="s">
        <v>434</v>
      </c>
      <c r="F66" s="20" t="s">
        <v>237</v>
      </c>
      <c r="G66" s="20" t="s">
        <v>436</v>
      </c>
    </row>
    <row r="67" customFormat="false" ht="30" hidden="false" customHeight="true" outlineLevel="0" collapsed="false">
      <c r="A67" s="42" t="s">
        <v>652</v>
      </c>
      <c r="B67" s="20" t="s">
        <v>461</v>
      </c>
      <c r="C67" s="20" t="s">
        <v>653</v>
      </c>
      <c r="D67" s="47" t="s">
        <v>654</v>
      </c>
      <c r="E67" s="20" t="s">
        <v>434</v>
      </c>
      <c r="F67" s="20" t="s">
        <v>237</v>
      </c>
      <c r="G67" s="20" t="s">
        <v>436</v>
      </c>
    </row>
    <row r="68" customFormat="false" ht="16.5" hidden="false" customHeight="true" outlineLevel="0" collapsed="false">
      <c r="A68" s="42" t="s">
        <v>655</v>
      </c>
      <c r="B68" s="20" t="s">
        <v>470</v>
      </c>
      <c r="C68" s="20" t="s">
        <v>656</v>
      </c>
      <c r="D68" s="47" t="s">
        <v>657</v>
      </c>
      <c r="E68" s="20" t="s">
        <v>434</v>
      </c>
      <c r="F68" s="20" t="s">
        <v>237</v>
      </c>
      <c r="G68" s="20" t="s">
        <v>436</v>
      </c>
    </row>
    <row r="69" customFormat="false" ht="16.5" hidden="false" customHeight="true" outlineLevel="0" collapsed="false">
      <c r="A69" s="42" t="s">
        <v>658</v>
      </c>
      <c r="B69" s="20" t="s">
        <v>452</v>
      </c>
      <c r="C69" s="20" t="s">
        <v>659</v>
      </c>
      <c r="D69" s="47" t="s">
        <v>660</v>
      </c>
      <c r="E69" s="20" t="s">
        <v>434</v>
      </c>
      <c r="F69" s="20" t="s">
        <v>237</v>
      </c>
      <c r="G69" s="20" t="s">
        <v>436</v>
      </c>
    </row>
    <row r="70" customFormat="false" ht="16.5" hidden="false" customHeight="true" outlineLevel="0" collapsed="false">
      <c r="A70" s="42" t="s">
        <v>661</v>
      </c>
      <c r="B70" s="20" t="s">
        <v>461</v>
      </c>
      <c r="C70" s="20" t="s">
        <v>662</v>
      </c>
      <c r="D70" s="47" t="s">
        <v>663</v>
      </c>
      <c r="E70" s="20" t="s">
        <v>480</v>
      </c>
      <c r="F70" s="20" t="s">
        <v>246</v>
      </c>
      <c r="G70" s="20" t="s">
        <v>436</v>
      </c>
    </row>
    <row r="71" customFormat="false" ht="16.5" hidden="false" customHeight="true" outlineLevel="0" collapsed="false">
      <c r="A71" s="42" t="s">
        <v>664</v>
      </c>
      <c r="B71" s="20" t="s">
        <v>461</v>
      </c>
      <c r="C71" s="20" t="s">
        <v>665</v>
      </c>
      <c r="D71" s="47" t="s">
        <v>666</v>
      </c>
      <c r="E71" s="20" t="s">
        <v>480</v>
      </c>
      <c r="F71" s="20" t="s">
        <v>246</v>
      </c>
      <c r="G71" s="20" t="s">
        <v>436</v>
      </c>
    </row>
    <row r="72" customFormat="false" ht="30" hidden="false" customHeight="true" outlineLevel="0" collapsed="false">
      <c r="A72" s="42" t="s">
        <v>667</v>
      </c>
      <c r="B72" s="20" t="s">
        <v>461</v>
      </c>
      <c r="C72" s="20" t="s">
        <v>668</v>
      </c>
      <c r="D72" s="47" t="s">
        <v>669</v>
      </c>
      <c r="E72" s="20" t="s">
        <v>434</v>
      </c>
      <c r="F72" s="20" t="s">
        <v>246</v>
      </c>
      <c r="G72" s="20" t="s">
        <v>436</v>
      </c>
    </row>
    <row r="73" customFormat="false" ht="30" hidden="false" customHeight="true" outlineLevel="0" collapsed="false">
      <c r="A73" s="42" t="s">
        <v>670</v>
      </c>
      <c r="B73" s="20" t="s">
        <v>461</v>
      </c>
      <c r="C73" s="20" t="s">
        <v>671</v>
      </c>
      <c r="D73" s="47" t="s">
        <v>672</v>
      </c>
      <c r="E73" s="20" t="s">
        <v>434</v>
      </c>
      <c r="F73" s="20" t="s">
        <v>246</v>
      </c>
      <c r="G73" s="20" t="s">
        <v>436</v>
      </c>
    </row>
    <row r="74" customFormat="false" ht="30" hidden="false" customHeight="true" outlineLevel="0" collapsed="false">
      <c r="A74" s="42" t="s">
        <v>673</v>
      </c>
      <c r="B74" s="20" t="s">
        <v>461</v>
      </c>
      <c r="C74" s="20" t="s">
        <v>674</v>
      </c>
      <c r="D74" s="47" t="s">
        <v>675</v>
      </c>
      <c r="E74" s="20" t="s">
        <v>434</v>
      </c>
      <c r="F74" s="20" t="s">
        <v>246</v>
      </c>
      <c r="G74" s="20" t="s">
        <v>436</v>
      </c>
    </row>
    <row r="75" customFormat="false" ht="30" hidden="false" customHeight="true" outlineLevel="0" collapsed="false">
      <c r="A75" s="42" t="s">
        <v>676</v>
      </c>
      <c r="B75" s="20" t="s">
        <v>461</v>
      </c>
      <c r="C75" s="20" t="s">
        <v>677</v>
      </c>
      <c r="D75" s="47" t="s">
        <v>678</v>
      </c>
      <c r="E75" s="20" t="s">
        <v>434</v>
      </c>
      <c r="F75" s="20" t="s">
        <v>246</v>
      </c>
      <c r="G75" s="20" t="s">
        <v>436</v>
      </c>
    </row>
    <row r="76" customFormat="false" ht="30" hidden="false" customHeight="true" outlineLevel="0" collapsed="false">
      <c r="A76" s="42" t="s">
        <v>679</v>
      </c>
      <c r="B76" s="20" t="s">
        <v>461</v>
      </c>
      <c r="C76" s="20" t="s">
        <v>680</v>
      </c>
      <c r="D76" s="47" t="s">
        <v>681</v>
      </c>
      <c r="E76" s="20" t="s">
        <v>434</v>
      </c>
      <c r="F76" s="20" t="s">
        <v>246</v>
      </c>
      <c r="G76" s="20" t="s">
        <v>436</v>
      </c>
    </row>
    <row r="77" customFormat="false" ht="16.5" hidden="false" customHeight="true" outlineLevel="0" collapsed="false">
      <c r="A77" s="42" t="s">
        <v>682</v>
      </c>
      <c r="B77" s="20" t="s">
        <v>470</v>
      </c>
      <c r="C77" s="20" t="s">
        <v>683</v>
      </c>
      <c r="D77" s="47" t="s">
        <v>684</v>
      </c>
      <c r="E77" s="20" t="s">
        <v>434</v>
      </c>
      <c r="F77" s="20" t="s">
        <v>246</v>
      </c>
      <c r="G77" s="20" t="s">
        <v>436</v>
      </c>
    </row>
    <row r="78" customFormat="false" ht="16.5" hidden="false" customHeight="true" outlineLevel="0" collapsed="false">
      <c r="A78" s="42" t="s">
        <v>685</v>
      </c>
      <c r="B78" s="20" t="s">
        <v>457</v>
      </c>
      <c r="C78" s="20" t="s">
        <v>686</v>
      </c>
      <c r="D78" s="47" t="s">
        <v>687</v>
      </c>
      <c r="E78" s="20" t="s">
        <v>434</v>
      </c>
      <c r="F78" s="20" t="s">
        <v>246</v>
      </c>
      <c r="G78" s="20" t="s">
        <v>436</v>
      </c>
    </row>
    <row r="79" customFormat="false" ht="30" hidden="false" customHeight="true" outlineLevel="0" collapsed="false">
      <c r="A79" s="42" t="s">
        <v>688</v>
      </c>
      <c r="B79" s="20" t="s">
        <v>431</v>
      </c>
      <c r="C79" s="20" t="s">
        <v>689</v>
      </c>
      <c r="D79" s="47" t="s">
        <v>690</v>
      </c>
      <c r="E79" s="20" t="s">
        <v>434</v>
      </c>
      <c r="F79" s="20" t="s">
        <v>691</v>
      </c>
      <c r="G79" s="20" t="s">
        <v>436</v>
      </c>
    </row>
    <row r="80" customFormat="false" ht="30" hidden="false" customHeight="true" outlineLevel="0" collapsed="false">
      <c r="A80" s="42" t="s">
        <v>692</v>
      </c>
      <c r="B80" s="20" t="s">
        <v>431</v>
      </c>
      <c r="C80" s="20" t="s">
        <v>693</v>
      </c>
      <c r="D80" s="47" t="s">
        <v>694</v>
      </c>
      <c r="E80" s="20" t="s">
        <v>434</v>
      </c>
      <c r="F80" s="20" t="s">
        <v>256</v>
      </c>
      <c r="G80" s="20" t="s">
        <v>436</v>
      </c>
    </row>
    <row r="81" customFormat="false" ht="30" hidden="false" customHeight="true" outlineLevel="0" collapsed="false">
      <c r="A81" s="42" t="s">
        <v>695</v>
      </c>
      <c r="B81" s="20" t="s">
        <v>431</v>
      </c>
      <c r="C81" s="20" t="s">
        <v>696</v>
      </c>
      <c r="D81" s="47" t="s">
        <v>697</v>
      </c>
      <c r="E81" s="20" t="s">
        <v>434</v>
      </c>
      <c r="F81" s="20" t="s">
        <v>256</v>
      </c>
      <c r="G81" s="20" t="s">
        <v>436</v>
      </c>
    </row>
    <row r="82" customFormat="false" ht="16.5" hidden="false" customHeight="true" outlineLevel="0" collapsed="false">
      <c r="A82" s="42" t="s">
        <v>698</v>
      </c>
      <c r="B82" s="20" t="s">
        <v>533</v>
      </c>
      <c r="C82" s="20" t="s">
        <v>699</v>
      </c>
      <c r="D82" s="47" t="s">
        <v>700</v>
      </c>
      <c r="E82" s="20" t="s">
        <v>434</v>
      </c>
      <c r="F82" s="20" t="s">
        <v>256</v>
      </c>
      <c r="G82" s="20" t="s">
        <v>436</v>
      </c>
    </row>
    <row r="83" customFormat="false" ht="30" hidden="false" customHeight="true" outlineLevel="0" collapsed="false">
      <c r="A83" s="42" t="s">
        <v>701</v>
      </c>
      <c r="B83" s="20" t="s">
        <v>461</v>
      </c>
      <c r="C83" s="20" t="s">
        <v>702</v>
      </c>
      <c r="D83" s="47" t="s">
        <v>703</v>
      </c>
      <c r="E83" s="20" t="s">
        <v>480</v>
      </c>
      <c r="F83" s="20" t="s">
        <v>256</v>
      </c>
      <c r="G83" s="20" t="s">
        <v>436</v>
      </c>
    </row>
    <row r="84" customFormat="false" ht="16.5" hidden="false" customHeight="true" outlineLevel="0" collapsed="false">
      <c r="A84" s="42" t="s">
        <v>704</v>
      </c>
      <c r="B84" s="20" t="s">
        <v>461</v>
      </c>
      <c r="C84" s="20" t="s">
        <v>705</v>
      </c>
      <c r="D84" s="47" t="s">
        <v>706</v>
      </c>
      <c r="E84" s="20" t="s">
        <v>434</v>
      </c>
      <c r="F84" s="20" t="s">
        <v>256</v>
      </c>
      <c r="G84" s="20" t="s">
        <v>436</v>
      </c>
    </row>
    <row r="85" customFormat="false" ht="30" hidden="false" customHeight="true" outlineLevel="0" collapsed="false">
      <c r="A85" s="42" t="s">
        <v>707</v>
      </c>
      <c r="B85" s="20" t="s">
        <v>461</v>
      </c>
      <c r="C85" s="20" t="s">
        <v>708</v>
      </c>
      <c r="D85" s="47" t="s">
        <v>709</v>
      </c>
      <c r="E85" s="20" t="s">
        <v>434</v>
      </c>
      <c r="F85" s="20" t="s">
        <v>256</v>
      </c>
      <c r="G85" s="20" t="s">
        <v>436</v>
      </c>
    </row>
    <row r="86" customFormat="false" ht="16.5" hidden="false" customHeight="true" outlineLevel="0" collapsed="false">
      <c r="A86" s="42" t="s">
        <v>710</v>
      </c>
      <c r="B86" s="20" t="s">
        <v>457</v>
      </c>
      <c r="C86" s="20" t="s">
        <v>711</v>
      </c>
      <c r="D86" s="47" t="s">
        <v>712</v>
      </c>
      <c r="E86" s="20" t="s">
        <v>434</v>
      </c>
      <c r="F86" s="20" t="s">
        <v>256</v>
      </c>
      <c r="G86" s="20" t="s">
        <v>436</v>
      </c>
    </row>
    <row r="87" customFormat="false" ht="16.5" hidden="false" customHeight="true" outlineLevel="0" collapsed="false">
      <c r="A87" s="42" t="s">
        <v>713</v>
      </c>
      <c r="B87" s="20" t="s">
        <v>452</v>
      </c>
      <c r="C87" s="20" t="s">
        <v>714</v>
      </c>
      <c r="D87" s="47" t="s">
        <v>715</v>
      </c>
      <c r="E87" s="20" t="s">
        <v>434</v>
      </c>
      <c r="F87" s="20" t="s">
        <v>256</v>
      </c>
      <c r="G87" s="20" t="s">
        <v>436</v>
      </c>
    </row>
    <row r="88" customFormat="false" ht="30" hidden="false" customHeight="true" outlineLevel="0" collapsed="false">
      <c r="A88" s="42" t="s">
        <v>716</v>
      </c>
      <c r="B88" s="20" t="s">
        <v>431</v>
      </c>
      <c r="C88" s="20" t="s">
        <v>717</v>
      </c>
      <c r="D88" s="47" t="s">
        <v>718</v>
      </c>
      <c r="E88" s="20" t="s">
        <v>434</v>
      </c>
      <c r="F88" s="20" t="s">
        <v>719</v>
      </c>
      <c r="G88" s="20" t="s">
        <v>436</v>
      </c>
    </row>
    <row r="89" customFormat="false" ht="30" hidden="false" customHeight="true" outlineLevel="0" collapsed="false">
      <c r="A89" s="42" t="s">
        <v>720</v>
      </c>
      <c r="B89" s="20" t="s">
        <v>431</v>
      </c>
      <c r="C89" s="20" t="s">
        <v>721</v>
      </c>
      <c r="D89" s="47" t="s">
        <v>722</v>
      </c>
      <c r="E89" s="20" t="s">
        <v>434</v>
      </c>
      <c r="F89" s="20" t="s">
        <v>265</v>
      </c>
      <c r="G89" s="20" t="s">
        <v>436</v>
      </c>
    </row>
    <row r="90" customFormat="false" ht="16.5" hidden="false" customHeight="true" outlineLevel="0" collapsed="false">
      <c r="A90" s="42" t="s">
        <v>723</v>
      </c>
      <c r="B90" s="20" t="s">
        <v>533</v>
      </c>
      <c r="C90" s="20" t="s">
        <v>724</v>
      </c>
      <c r="D90" s="47" t="s">
        <v>725</v>
      </c>
      <c r="E90" s="20" t="s">
        <v>434</v>
      </c>
      <c r="F90" s="20" t="s">
        <v>265</v>
      </c>
      <c r="G90" s="20" t="s">
        <v>436</v>
      </c>
    </row>
    <row r="91" customFormat="false" ht="30" hidden="false" customHeight="true" outlineLevel="0" collapsed="false">
      <c r="A91" s="42" t="s">
        <v>726</v>
      </c>
      <c r="B91" s="20" t="s">
        <v>461</v>
      </c>
      <c r="C91" s="20" t="s">
        <v>727</v>
      </c>
      <c r="D91" s="47" t="s">
        <v>728</v>
      </c>
      <c r="E91" s="20" t="s">
        <v>480</v>
      </c>
      <c r="F91" s="20" t="s">
        <v>265</v>
      </c>
      <c r="G91" s="20" t="s">
        <v>436</v>
      </c>
    </row>
    <row r="92" customFormat="false" ht="30" hidden="false" customHeight="true" outlineLevel="0" collapsed="false">
      <c r="A92" s="42" t="s">
        <v>729</v>
      </c>
      <c r="B92" s="20" t="s">
        <v>646</v>
      </c>
      <c r="C92" s="20" t="s">
        <v>730</v>
      </c>
      <c r="D92" s="47" t="s">
        <v>731</v>
      </c>
      <c r="E92" s="20" t="s">
        <v>434</v>
      </c>
      <c r="F92" s="20" t="s">
        <v>265</v>
      </c>
      <c r="G92" s="20" t="s">
        <v>436</v>
      </c>
    </row>
    <row r="93" customFormat="false" ht="30" hidden="false" customHeight="true" outlineLevel="0" collapsed="false">
      <c r="A93" s="42" t="s">
        <v>732</v>
      </c>
      <c r="B93" s="20" t="s">
        <v>461</v>
      </c>
      <c r="C93" s="20" t="s">
        <v>733</v>
      </c>
      <c r="D93" s="47" t="s">
        <v>734</v>
      </c>
      <c r="E93" s="20" t="s">
        <v>434</v>
      </c>
      <c r="F93" s="20" t="s">
        <v>265</v>
      </c>
      <c r="G93" s="20" t="s">
        <v>436</v>
      </c>
    </row>
    <row r="94" customFormat="false" ht="16.5" hidden="false" customHeight="true" outlineLevel="0" collapsed="false">
      <c r="A94" s="42" t="s">
        <v>735</v>
      </c>
      <c r="B94" s="20" t="s">
        <v>646</v>
      </c>
      <c r="C94" s="20" t="s">
        <v>736</v>
      </c>
      <c r="D94" s="47" t="s">
        <v>737</v>
      </c>
      <c r="E94" s="20" t="s">
        <v>434</v>
      </c>
      <c r="F94" s="20" t="s">
        <v>265</v>
      </c>
      <c r="G94" s="20" t="s">
        <v>436</v>
      </c>
    </row>
    <row r="95" customFormat="false" ht="16.5" hidden="false" customHeight="true" outlineLevel="0" collapsed="false">
      <c r="A95" s="42" t="s">
        <v>738</v>
      </c>
      <c r="B95" s="20" t="s">
        <v>511</v>
      </c>
      <c r="C95" s="20" t="s">
        <v>739</v>
      </c>
      <c r="D95" s="47" t="s">
        <v>740</v>
      </c>
      <c r="E95" s="20" t="s">
        <v>434</v>
      </c>
      <c r="F95" s="20" t="s">
        <v>265</v>
      </c>
      <c r="G95" s="20" t="s">
        <v>436</v>
      </c>
    </row>
    <row r="96" customFormat="false" ht="30" hidden="false" customHeight="true" outlineLevel="0" collapsed="false">
      <c r="A96" s="42" t="s">
        <v>741</v>
      </c>
      <c r="B96" s="20" t="s">
        <v>457</v>
      </c>
      <c r="C96" s="20" t="s">
        <v>742</v>
      </c>
      <c r="D96" s="47" t="s">
        <v>743</v>
      </c>
      <c r="E96" s="20" t="s">
        <v>434</v>
      </c>
      <c r="F96" s="20" t="s">
        <v>265</v>
      </c>
      <c r="G96" s="20" t="s">
        <v>436</v>
      </c>
    </row>
    <row r="97" customFormat="false" ht="30" hidden="false" customHeight="true" outlineLevel="0" collapsed="false">
      <c r="A97" s="42" t="s">
        <v>744</v>
      </c>
      <c r="B97" s="20" t="s">
        <v>431</v>
      </c>
      <c r="C97" s="20" t="s">
        <v>745</v>
      </c>
      <c r="D97" s="47" t="s">
        <v>746</v>
      </c>
      <c r="E97" s="20" t="s">
        <v>434</v>
      </c>
      <c r="F97" s="20" t="s">
        <v>274</v>
      </c>
      <c r="G97" s="20" t="s">
        <v>436</v>
      </c>
    </row>
    <row r="98" customFormat="false" ht="30" hidden="false" customHeight="true" outlineLevel="0" collapsed="false">
      <c r="A98" s="42" t="s">
        <v>747</v>
      </c>
      <c r="B98" s="20" t="s">
        <v>461</v>
      </c>
      <c r="C98" s="20" t="s">
        <v>748</v>
      </c>
      <c r="D98" s="47" t="s">
        <v>749</v>
      </c>
      <c r="E98" s="20" t="s">
        <v>434</v>
      </c>
      <c r="F98" s="20" t="s">
        <v>274</v>
      </c>
      <c r="G98" s="20" t="s">
        <v>436</v>
      </c>
    </row>
    <row r="99" customFormat="false" ht="30" hidden="false" customHeight="true" outlineLevel="0" collapsed="false">
      <c r="A99" s="42" t="s">
        <v>750</v>
      </c>
      <c r="B99" s="20" t="s">
        <v>461</v>
      </c>
      <c r="C99" s="20" t="s">
        <v>751</v>
      </c>
      <c r="D99" s="47" t="s">
        <v>752</v>
      </c>
      <c r="E99" s="20" t="s">
        <v>434</v>
      </c>
      <c r="F99" s="20" t="s">
        <v>274</v>
      </c>
      <c r="G99" s="20" t="s">
        <v>436</v>
      </c>
    </row>
    <row r="100" customFormat="false" ht="30" hidden="false" customHeight="true" outlineLevel="0" collapsed="false">
      <c r="A100" s="42" t="s">
        <v>753</v>
      </c>
      <c r="B100" s="20" t="s">
        <v>461</v>
      </c>
      <c r="C100" s="20" t="s">
        <v>754</v>
      </c>
      <c r="D100" s="47" t="s">
        <v>755</v>
      </c>
      <c r="E100" s="20" t="s">
        <v>434</v>
      </c>
      <c r="F100" s="20" t="s">
        <v>274</v>
      </c>
      <c r="G100" s="20" t="s">
        <v>436</v>
      </c>
    </row>
    <row r="101" customFormat="false" ht="16.5" hidden="false" customHeight="true" outlineLevel="0" collapsed="false">
      <c r="A101" s="42" t="s">
        <v>756</v>
      </c>
      <c r="B101" s="20" t="s">
        <v>461</v>
      </c>
      <c r="C101" s="20" t="s">
        <v>757</v>
      </c>
      <c r="D101" s="47" t="s">
        <v>758</v>
      </c>
      <c r="E101" s="20" t="s">
        <v>434</v>
      </c>
      <c r="F101" s="20" t="s">
        <v>274</v>
      </c>
      <c r="G101" s="20" t="s">
        <v>436</v>
      </c>
    </row>
    <row r="102" customFormat="false" ht="16.5" hidden="false" customHeight="true" outlineLevel="0" collapsed="false">
      <c r="A102" s="42" t="s">
        <v>759</v>
      </c>
      <c r="B102" s="20" t="s">
        <v>461</v>
      </c>
      <c r="C102" s="20" t="s">
        <v>760</v>
      </c>
      <c r="D102" s="47" t="s">
        <v>761</v>
      </c>
      <c r="E102" s="20" t="s">
        <v>434</v>
      </c>
      <c r="F102" s="20" t="s">
        <v>274</v>
      </c>
      <c r="G102" s="20" t="s">
        <v>436</v>
      </c>
    </row>
    <row r="103" customFormat="false" ht="16.5" hidden="false" customHeight="true" outlineLevel="0" collapsed="false">
      <c r="A103" s="42" t="s">
        <v>762</v>
      </c>
      <c r="B103" s="20" t="s">
        <v>461</v>
      </c>
      <c r="C103" s="20" t="s">
        <v>763</v>
      </c>
      <c r="D103" s="47" t="s">
        <v>764</v>
      </c>
      <c r="E103" s="20" t="s">
        <v>434</v>
      </c>
      <c r="F103" s="20" t="s">
        <v>274</v>
      </c>
      <c r="G103" s="20" t="s">
        <v>436</v>
      </c>
    </row>
    <row r="104" customFormat="false" ht="30" hidden="false" customHeight="true" outlineLevel="0" collapsed="false">
      <c r="A104" s="42" t="s">
        <v>765</v>
      </c>
      <c r="B104" s="20" t="s">
        <v>461</v>
      </c>
      <c r="C104" s="20" t="s">
        <v>766</v>
      </c>
      <c r="D104" s="47" t="s">
        <v>767</v>
      </c>
      <c r="E104" s="20" t="s">
        <v>434</v>
      </c>
      <c r="F104" s="20" t="s">
        <v>274</v>
      </c>
      <c r="G104" s="20" t="s">
        <v>436</v>
      </c>
    </row>
    <row r="105" customFormat="false" ht="16.5" hidden="false" customHeight="true" outlineLevel="0" collapsed="false">
      <c r="A105" s="42" t="s">
        <v>768</v>
      </c>
      <c r="B105" s="20" t="s">
        <v>461</v>
      </c>
      <c r="C105" s="20" t="s">
        <v>769</v>
      </c>
      <c r="D105" s="47" t="s">
        <v>770</v>
      </c>
      <c r="E105" s="20" t="s">
        <v>434</v>
      </c>
      <c r="F105" s="20" t="s">
        <v>274</v>
      </c>
      <c r="G105" s="20" t="s">
        <v>436</v>
      </c>
    </row>
    <row r="106" customFormat="false" ht="16.5" hidden="false" customHeight="true" outlineLevel="0" collapsed="false">
      <c r="A106" s="42" t="s">
        <v>771</v>
      </c>
      <c r="B106" s="20" t="s">
        <v>511</v>
      </c>
      <c r="C106" s="20" t="s">
        <v>772</v>
      </c>
      <c r="D106" s="47" t="s">
        <v>773</v>
      </c>
      <c r="E106" s="20" t="s">
        <v>434</v>
      </c>
      <c r="F106" s="20" t="s">
        <v>274</v>
      </c>
      <c r="G106" s="20" t="s">
        <v>436</v>
      </c>
    </row>
    <row r="107" customFormat="false" ht="30" hidden="false" customHeight="true" outlineLevel="0" collapsed="false">
      <c r="A107" s="42" t="s">
        <v>774</v>
      </c>
      <c r="B107" s="20" t="s">
        <v>431</v>
      </c>
      <c r="C107" s="20" t="s">
        <v>775</v>
      </c>
      <c r="D107" s="47" t="s">
        <v>776</v>
      </c>
      <c r="E107" s="20" t="s">
        <v>434</v>
      </c>
      <c r="F107" s="20" t="s">
        <v>283</v>
      </c>
      <c r="G107" s="20" t="s">
        <v>436</v>
      </c>
    </row>
    <row r="108" customFormat="false" ht="30" hidden="false" customHeight="true" outlineLevel="0" collapsed="false">
      <c r="A108" s="42" t="s">
        <v>777</v>
      </c>
      <c r="B108" s="20" t="s">
        <v>431</v>
      </c>
      <c r="C108" s="20" t="s">
        <v>778</v>
      </c>
      <c r="D108" s="47" t="s">
        <v>779</v>
      </c>
      <c r="E108" s="20" t="s">
        <v>434</v>
      </c>
      <c r="F108" s="20" t="s">
        <v>283</v>
      </c>
      <c r="G108" s="20" t="s">
        <v>436</v>
      </c>
    </row>
    <row r="109" customFormat="false" ht="94.5" hidden="false" customHeight="true" outlineLevel="0" collapsed="false">
      <c r="A109" s="42" t="s">
        <v>780</v>
      </c>
      <c r="B109" s="20" t="s">
        <v>431</v>
      </c>
      <c r="C109" s="20" t="s">
        <v>781</v>
      </c>
      <c r="D109" s="47" t="s">
        <v>782</v>
      </c>
      <c r="E109" s="20" t="s">
        <v>434</v>
      </c>
      <c r="F109" s="20" t="s">
        <v>783</v>
      </c>
      <c r="G109" s="20" t="s">
        <v>436</v>
      </c>
    </row>
    <row r="110" customFormat="false" ht="16.5" hidden="false" customHeight="true" outlineLevel="0" collapsed="false">
      <c r="A110" s="42" t="s">
        <v>784</v>
      </c>
      <c r="B110" s="20" t="s">
        <v>461</v>
      </c>
      <c r="C110" s="20" t="s">
        <v>785</v>
      </c>
      <c r="D110" s="47" t="s">
        <v>786</v>
      </c>
      <c r="E110" s="20" t="s">
        <v>500</v>
      </c>
      <c r="F110" s="20" t="s">
        <v>283</v>
      </c>
      <c r="G110" s="20" t="s">
        <v>436</v>
      </c>
    </row>
    <row r="111" customFormat="false" ht="30" hidden="false" customHeight="true" outlineLevel="0" collapsed="false">
      <c r="A111" s="42" t="s">
        <v>787</v>
      </c>
      <c r="B111" s="20" t="s">
        <v>461</v>
      </c>
      <c r="C111" s="20" t="s">
        <v>788</v>
      </c>
      <c r="D111" s="47" t="s">
        <v>789</v>
      </c>
      <c r="E111" s="20" t="s">
        <v>434</v>
      </c>
      <c r="F111" s="20" t="s">
        <v>283</v>
      </c>
      <c r="G111" s="20" t="s">
        <v>436</v>
      </c>
    </row>
    <row r="112" customFormat="false" ht="30" hidden="false" customHeight="true" outlineLevel="0" collapsed="false">
      <c r="A112" s="42" t="s">
        <v>790</v>
      </c>
      <c r="B112" s="20" t="s">
        <v>461</v>
      </c>
      <c r="C112" s="20" t="s">
        <v>791</v>
      </c>
      <c r="D112" s="47" t="s">
        <v>792</v>
      </c>
      <c r="E112" s="20" t="s">
        <v>434</v>
      </c>
      <c r="F112" s="20" t="s">
        <v>283</v>
      </c>
      <c r="G112" s="20" t="s">
        <v>436</v>
      </c>
    </row>
    <row r="113" customFormat="false" ht="16.5" hidden="false" customHeight="true" outlineLevel="0" collapsed="false">
      <c r="A113" s="42" t="s">
        <v>793</v>
      </c>
      <c r="B113" s="20" t="s">
        <v>461</v>
      </c>
      <c r="C113" s="20" t="s">
        <v>794</v>
      </c>
      <c r="D113" s="47" t="s">
        <v>795</v>
      </c>
      <c r="E113" s="20" t="s">
        <v>434</v>
      </c>
      <c r="F113" s="20" t="s">
        <v>283</v>
      </c>
      <c r="G113" s="20" t="s">
        <v>436</v>
      </c>
    </row>
    <row r="114" customFormat="false" ht="30" hidden="false" customHeight="true" outlineLevel="0" collapsed="false">
      <c r="A114" s="42" t="s">
        <v>796</v>
      </c>
      <c r="B114" s="20" t="s">
        <v>461</v>
      </c>
      <c r="C114" s="20" t="s">
        <v>797</v>
      </c>
      <c r="D114" s="47" t="s">
        <v>798</v>
      </c>
      <c r="E114" s="20" t="s">
        <v>434</v>
      </c>
      <c r="F114" s="20" t="s">
        <v>283</v>
      </c>
      <c r="G114" s="20" t="s">
        <v>436</v>
      </c>
    </row>
    <row r="115" customFormat="false" ht="16.5" hidden="false" customHeight="true" outlineLevel="0" collapsed="false">
      <c r="A115" s="42" t="s">
        <v>799</v>
      </c>
      <c r="B115" s="20" t="s">
        <v>511</v>
      </c>
      <c r="C115" s="20" t="s">
        <v>800</v>
      </c>
      <c r="D115" s="47" t="s">
        <v>801</v>
      </c>
      <c r="E115" s="20" t="s">
        <v>434</v>
      </c>
      <c r="F115" s="20" t="s">
        <v>283</v>
      </c>
      <c r="G115" s="20" t="s">
        <v>436</v>
      </c>
    </row>
    <row r="116" customFormat="false" ht="16.5" hidden="false" customHeight="true" outlineLevel="0" collapsed="false">
      <c r="A116" s="42" t="s">
        <v>802</v>
      </c>
      <c r="B116" s="20" t="s">
        <v>511</v>
      </c>
      <c r="C116" s="20" t="s">
        <v>803</v>
      </c>
      <c r="D116" s="47" t="s">
        <v>804</v>
      </c>
      <c r="E116" s="20" t="s">
        <v>434</v>
      </c>
      <c r="F116" s="20" t="s">
        <v>283</v>
      </c>
      <c r="G116" s="20" t="s">
        <v>436</v>
      </c>
    </row>
    <row r="117" customFormat="false" ht="30" hidden="false" customHeight="true" outlineLevel="0" collapsed="false">
      <c r="A117" s="42" t="s">
        <v>805</v>
      </c>
      <c r="B117" s="20" t="s">
        <v>461</v>
      </c>
      <c r="C117" s="20" t="s">
        <v>806</v>
      </c>
      <c r="D117" s="47" t="s">
        <v>807</v>
      </c>
      <c r="E117" s="20" t="s">
        <v>434</v>
      </c>
      <c r="F117" s="20" t="s">
        <v>292</v>
      </c>
      <c r="G117" s="20" t="s">
        <v>436</v>
      </c>
    </row>
    <row r="118" customFormat="false" ht="30" hidden="false" customHeight="true" outlineLevel="0" collapsed="false">
      <c r="A118" s="42" t="s">
        <v>808</v>
      </c>
      <c r="B118" s="20" t="s">
        <v>461</v>
      </c>
      <c r="C118" s="20" t="s">
        <v>809</v>
      </c>
      <c r="D118" s="47" t="s">
        <v>810</v>
      </c>
      <c r="E118" s="20" t="s">
        <v>434</v>
      </c>
      <c r="F118" s="20" t="s">
        <v>292</v>
      </c>
      <c r="G118" s="20" t="s">
        <v>436</v>
      </c>
    </row>
    <row r="119" customFormat="false" ht="30" hidden="false" customHeight="true" outlineLevel="0" collapsed="false">
      <c r="A119" s="42" t="s">
        <v>811</v>
      </c>
      <c r="B119" s="20" t="s">
        <v>461</v>
      </c>
      <c r="C119" s="20" t="s">
        <v>812</v>
      </c>
      <c r="D119" s="47" t="s">
        <v>813</v>
      </c>
      <c r="E119" s="20" t="s">
        <v>434</v>
      </c>
      <c r="F119" s="20" t="s">
        <v>292</v>
      </c>
      <c r="G119" s="20" t="s">
        <v>436</v>
      </c>
    </row>
    <row r="120" customFormat="false" ht="30" hidden="false" customHeight="true" outlineLevel="0" collapsed="false">
      <c r="A120" s="42" t="s">
        <v>814</v>
      </c>
      <c r="B120" s="20" t="s">
        <v>461</v>
      </c>
      <c r="C120" s="20" t="s">
        <v>815</v>
      </c>
      <c r="D120" s="47" t="s">
        <v>816</v>
      </c>
      <c r="E120" s="20" t="s">
        <v>434</v>
      </c>
      <c r="F120" s="20" t="s">
        <v>292</v>
      </c>
      <c r="G120" s="20" t="s">
        <v>436</v>
      </c>
    </row>
    <row r="121" customFormat="false" ht="30" hidden="false" customHeight="true" outlineLevel="0" collapsed="false">
      <c r="A121" s="42" t="s">
        <v>817</v>
      </c>
      <c r="B121" s="20" t="s">
        <v>461</v>
      </c>
      <c r="C121" s="20" t="s">
        <v>818</v>
      </c>
      <c r="D121" s="47" t="s">
        <v>819</v>
      </c>
      <c r="E121" s="20" t="s">
        <v>434</v>
      </c>
      <c r="F121" s="20" t="s">
        <v>292</v>
      </c>
      <c r="G121" s="20" t="s">
        <v>436</v>
      </c>
    </row>
    <row r="122" customFormat="false" ht="16.5" hidden="false" customHeight="true" outlineLevel="0" collapsed="false">
      <c r="A122" s="42" t="s">
        <v>820</v>
      </c>
      <c r="B122" s="20" t="s">
        <v>447</v>
      </c>
      <c r="C122" s="20" t="s">
        <v>821</v>
      </c>
      <c r="D122" s="47" t="s">
        <v>822</v>
      </c>
      <c r="E122" s="20" t="s">
        <v>434</v>
      </c>
      <c r="F122" s="20" t="s">
        <v>292</v>
      </c>
      <c r="G122" s="20" t="s">
        <v>436</v>
      </c>
    </row>
    <row r="123" customFormat="false" ht="16.5" hidden="false" customHeight="true" outlineLevel="0" collapsed="false">
      <c r="A123" s="42" t="s">
        <v>823</v>
      </c>
      <c r="B123" s="20" t="s">
        <v>457</v>
      </c>
      <c r="C123" s="20" t="s">
        <v>824</v>
      </c>
      <c r="D123" s="47" t="s">
        <v>825</v>
      </c>
      <c r="E123" s="20" t="s">
        <v>434</v>
      </c>
      <c r="F123" s="20" t="s">
        <v>292</v>
      </c>
      <c r="G123" s="20" t="s">
        <v>436</v>
      </c>
    </row>
    <row r="124" customFormat="false" ht="16.5" hidden="false" customHeight="true" outlineLevel="0" collapsed="false">
      <c r="A124" s="42" t="s">
        <v>826</v>
      </c>
      <c r="B124" s="20" t="s">
        <v>489</v>
      </c>
      <c r="C124" s="20" t="s">
        <v>827</v>
      </c>
      <c r="D124" s="47" t="s">
        <v>828</v>
      </c>
      <c r="E124" s="20" t="s">
        <v>434</v>
      </c>
      <c r="F124" s="20" t="s">
        <v>292</v>
      </c>
      <c r="G124" s="20" t="s">
        <v>436</v>
      </c>
    </row>
    <row r="125" customFormat="false" ht="16.5" hidden="false" customHeight="true" outlineLevel="0" collapsed="false">
      <c r="A125" s="42" t="s">
        <v>829</v>
      </c>
      <c r="B125" s="20" t="s">
        <v>461</v>
      </c>
      <c r="C125" s="20" t="s">
        <v>830</v>
      </c>
      <c r="D125" s="47" t="s">
        <v>831</v>
      </c>
      <c r="E125" s="20" t="s">
        <v>434</v>
      </c>
      <c r="F125" s="20" t="s">
        <v>302</v>
      </c>
      <c r="G125" s="20" t="s">
        <v>436</v>
      </c>
    </row>
    <row r="126" customFormat="false" ht="16.5" hidden="false" customHeight="true" outlineLevel="0" collapsed="false">
      <c r="A126" s="42" t="s">
        <v>832</v>
      </c>
      <c r="B126" s="20" t="s">
        <v>461</v>
      </c>
      <c r="C126" s="20" t="s">
        <v>833</v>
      </c>
      <c r="D126" s="47" t="s">
        <v>834</v>
      </c>
      <c r="E126" s="20" t="s">
        <v>434</v>
      </c>
      <c r="F126" s="20" t="s">
        <v>302</v>
      </c>
      <c r="G126" s="20" t="s">
        <v>436</v>
      </c>
    </row>
    <row r="127" customFormat="false" ht="16.5" hidden="false" customHeight="true" outlineLevel="0" collapsed="false">
      <c r="A127" s="42" t="s">
        <v>835</v>
      </c>
      <c r="B127" s="20" t="s">
        <v>511</v>
      </c>
      <c r="C127" s="20" t="s">
        <v>836</v>
      </c>
      <c r="D127" s="47" t="s">
        <v>837</v>
      </c>
      <c r="E127" s="20" t="s">
        <v>434</v>
      </c>
      <c r="F127" s="20" t="s">
        <v>302</v>
      </c>
      <c r="G127" s="20" t="s">
        <v>436</v>
      </c>
    </row>
    <row r="128" customFormat="false" ht="30" hidden="false" customHeight="true" outlineLevel="0" collapsed="false">
      <c r="A128" s="42" t="s">
        <v>838</v>
      </c>
      <c r="B128" s="20" t="s">
        <v>511</v>
      </c>
      <c r="C128" s="20" t="s">
        <v>839</v>
      </c>
      <c r="D128" s="47" t="s">
        <v>840</v>
      </c>
      <c r="E128" s="20" t="s">
        <v>434</v>
      </c>
      <c r="F128" s="20" t="s">
        <v>302</v>
      </c>
      <c r="G128" s="20" t="s">
        <v>436</v>
      </c>
    </row>
    <row r="129" customFormat="false" ht="16.5" hidden="false" customHeight="true" outlineLevel="0" collapsed="false">
      <c r="A129" s="42" t="s">
        <v>841</v>
      </c>
      <c r="B129" s="20" t="s">
        <v>461</v>
      </c>
      <c r="C129" s="20" t="s">
        <v>842</v>
      </c>
      <c r="D129" s="47" t="s">
        <v>843</v>
      </c>
      <c r="E129" s="20" t="s">
        <v>434</v>
      </c>
      <c r="F129" s="20" t="s">
        <v>302</v>
      </c>
      <c r="G129" s="20" t="s">
        <v>436</v>
      </c>
    </row>
    <row r="130" customFormat="false" ht="16.5" hidden="false" customHeight="true" outlineLevel="0" collapsed="false">
      <c r="A130" s="42" t="s">
        <v>844</v>
      </c>
      <c r="B130" s="20" t="s">
        <v>511</v>
      </c>
      <c r="C130" s="20" t="s">
        <v>845</v>
      </c>
      <c r="D130" s="47" t="s">
        <v>846</v>
      </c>
      <c r="E130" s="20" t="s">
        <v>434</v>
      </c>
      <c r="F130" s="20" t="s">
        <v>302</v>
      </c>
      <c r="G130" s="20" t="s">
        <v>436</v>
      </c>
    </row>
    <row r="131" customFormat="false" ht="16.5" hidden="false" customHeight="true" outlineLevel="0" collapsed="false">
      <c r="A131" s="42" t="s">
        <v>847</v>
      </c>
      <c r="B131" s="20" t="s">
        <v>457</v>
      </c>
      <c r="C131" s="20" t="s">
        <v>848</v>
      </c>
      <c r="D131" s="47" t="s">
        <v>849</v>
      </c>
      <c r="E131" s="20" t="s">
        <v>434</v>
      </c>
      <c r="F131" s="20" t="s">
        <v>302</v>
      </c>
      <c r="G131" s="20" t="s">
        <v>436</v>
      </c>
    </row>
    <row r="132" customFormat="false" ht="16.5" hidden="false" customHeight="true" outlineLevel="0" collapsed="false">
      <c r="A132" s="42" t="s">
        <v>850</v>
      </c>
      <c r="B132" s="20" t="s">
        <v>457</v>
      </c>
      <c r="C132" s="20" t="s">
        <v>851</v>
      </c>
      <c r="D132" s="47" t="s">
        <v>852</v>
      </c>
      <c r="E132" s="20" t="s">
        <v>434</v>
      </c>
      <c r="F132" s="20" t="s">
        <v>302</v>
      </c>
      <c r="G132" s="20" t="s">
        <v>436</v>
      </c>
    </row>
    <row r="133" customFormat="false" ht="16.5" hidden="false" customHeight="true" outlineLevel="0" collapsed="false">
      <c r="A133" s="42" t="s">
        <v>853</v>
      </c>
      <c r="B133" s="20" t="s">
        <v>447</v>
      </c>
      <c r="C133" s="20" t="s">
        <v>854</v>
      </c>
      <c r="D133" s="47" t="s">
        <v>855</v>
      </c>
      <c r="E133" s="20" t="s">
        <v>434</v>
      </c>
      <c r="F133" s="20" t="s">
        <v>302</v>
      </c>
      <c r="G133" s="20" t="s">
        <v>436</v>
      </c>
    </row>
    <row r="134" customFormat="false" ht="30" hidden="false" customHeight="true" outlineLevel="0" collapsed="false">
      <c r="A134" s="42" t="s">
        <v>856</v>
      </c>
      <c r="B134" s="20" t="s">
        <v>461</v>
      </c>
      <c r="C134" s="20" t="s">
        <v>857</v>
      </c>
      <c r="D134" s="47" t="s">
        <v>858</v>
      </c>
      <c r="E134" s="20" t="s">
        <v>434</v>
      </c>
      <c r="F134" s="20" t="s">
        <v>311</v>
      </c>
      <c r="G134" s="20" t="s">
        <v>436</v>
      </c>
    </row>
    <row r="135" customFormat="false" ht="30" hidden="false" customHeight="true" outlineLevel="0" collapsed="false">
      <c r="A135" s="42" t="s">
        <v>859</v>
      </c>
      <c r="B135" s="20" t="s">
        <v>461</v>
      </c>
      <c r="C135" s="20" t="s">
        <v>860</v>
      </c>
      <c r="D135" s="47" t="s">
        <v>861</v>
      </c>
      <c r="E135" s="20" t="s">
        <v>434</v>
      </c>
      <c r="F135" s="20" t="s">
        <v>311</v>
      </c>
      <c r="G135" s="20" t="s">
        <v>436</v>
      </c>
    </row>
    <row r="136" customFormat="false" ht="30" hidden="false" customHeight="true" outlineLevel="0" collapsed="false">
      <c r="A136" s="42" t="s">
        <v>862</v>
      </c>
      <c r="B136" s="20" t="s">
        <v>461</v>
      </c>
      <c r="C136" s="20" t="s">
        <v>863</v>
      </c>
      <c r="D136" s="47" t="s">
        <v>864</v>
      </c>
      <c r="E136" s="20" t="s">
        <v>434</v>
      </c>
      <c r="F136" s="20" t="s">
        <v>311</v>
      </c>
      <c r="G136" s="20" t="s">
        <v>436</v>
      </c>
    </row>
    <row r="137" customFormat="false" ht="30" hidden="false" customHeight="true" outlineLevel="0" collapsed="false">
      <c r="A137" s="42" t="s">
        <v>865</v>
      </c>
      <c r="B137" s="20" t="s">
        <v>461</v>
      </c>
      <c r="C137" s="20" t="s">
        <v>866</v>
      </c>
      <c r="D137" s="47" t="s">
        <v>867</v>
      </c>
      <c r="E137" s="20" t="s">
        <v>434</v>
      </c>
      <c r="F137" s="20" t="s">
        <v>311</v>
      </c>
      <c r="G137" s="20" t="s">
        <v>436</v>
      </c>
    </row>
    <row r="138" customFormat="false" ht="30" hidden="false" customHeight="true" outlineLevel="0" collapsed="false">
      <c r="A138" s="42" t="s">
        <v>868</v>
      </c>
      <c r="B138" s="20" t="s">
        <v>461</v>
      </c>
      <c r="C138" s="20" t="s">
        <v>869</v>
      </c>
      <c r="D138" s="47" t="s">
        <v>870</v>
      </c>
      <c r="E138" s="20" t="s">
        <v>434</v>
      </c>
      <c r="F138" s="20" t="s">
        <v>311</v>
      </c>
      <c r="G138" s="20" t="s">
        <v>436</v>
      </c>
    </row>
    <row r="139" customFormat="false" ht="30" hidden="false" customHeight="true" outlineLevel="0" collapsed="false">
      <c r="A139" s="42" t="s">
        <v>871</v>
      </c>
      <c r="B139" s="20" t="s">
        <v>461</v>
      </c>
      <c r="C139" s="20" t="s">
        <v>872</v>
      </c>
      <c r="D139" s="47" t="s">
        <v>873</v>
      </c>
      <c r="E139" s="20" t="s">
        <v>434</v>
      </c>
      <c r="F139" s="20" t="s">
        <v>311</v>
      </c>
      <c r="G139" s="20" t="s">
        <v>436</v>
      </c>
    </row>
    <row r="140" customFormat="false" ht="30" hidden="false" customHeight="true" outlineLevel="0" collapsed="false">
      <c r="A140" s="42" t="s">
        <v>874</v>
      </c>
      <c r="B140" s="20" t="s">
        <v>461</v>
      </c>
      <c r="C140" s="20" t="s">
        <v>875</v>
      </c>
      <c r="D140" s="47" t="s">
        <v>876</v>
      </c>
      <c r="E140" s="20" t="s">
        <v>434</v>
      </c>
      <c r="F140" s="20" t="s">
        <v>311</v>
      </c>
      <c r="G140" s="20" t="s">
        <v>436</v>
      </c>
    </row>
    <row r="141" customFormat="false" ht="30" hidden="false" customHeight="true" outlineLevel="0" collapsed="false">
      <c r="A141" s="42" t="s">
        <v>877</v>
      </c>
      <c r="B141" s="20" t="s">
        <v>461</v>
      </c>
      <c r="C141" s="20" t="s">
        <v>878</v>
      </c>
      <c r="D141" s="47" t="s">
        <v>879</v>
      </c>
      <c r="E141" s="20" t="s">
        <v>434</v>
      </c>
      <c r="F141" s="20" t="s">
        <v>311</v>
      </c>
      <c r="G141" s="20" t="s">
        <v>436</v>
      </c>
    </row>
    <row r="142" customFormat="false" ht="16.5" hidden="false" customHeight="true" outlineLevel="0" collapsed="false">
      <c r="A142" s="42" t="s">
        <v>880</v>
      </c>
      <c r="B142" s="20" t="s">
        <v>461</v>
      </c>
      <c r="C142" s="20" t="s">
        <v>881</v>
      </c>
      <c r="D142" s="47" t="s">
        <v>882</v>
      </c>
      <c r="E142" s="20" t="s">
        <v>434</v>
      </c>
      <c r="F142" s="20" t="s">
        <v>311</v>
      </c>
      <c r="G142" s="20" t="s">
        <v>436</v>
      </c>
    </row>
    <row r="143" customFormat="false" ht="16.5" hidden="false" customHeight="true" outlineLevel="0" collapsed="false">
      <c r="A143" s="42" t="s">
        <v>883</v>
      </c>
      <c r="B143" s="20" t="s">
        <v>511</v>
      </c>
      <c r="C143" s="20" t="s">
        <v>884</v>
      </c>
      <c r="D143" s="47" t="s">
        <v>885</v>
      </c>
      <c r="E143" s="20" t="s">
        <v>434</v>
      </c>
      <c r="F143" s="20" t="s">
        <v>311</v>
      </c>
      <c r="G143" s="20" t="s">
        <v>436</v>
      </c>
    </row>
    <row r="144" customFormat="false" ht="16.5" hidden="false" customHeight="true" outlineLevel="0" collapsed="false">
      <c r="A144" s="42" t="s">
        <v>886</v>
      </c>
      <c r="B144" s="20" t="s">
        <v>461</v>
      </c>
      <c r="C144" s="20" t="s">
        <v>887</v>
      </c>
      <c r="D144" s="47" t="s">
        <v>888</v>
      </c>
      <c r="E144" s="20" t="s">
        <v>434</v>
      </c>
      <c r="F144" s="20" t="s">
        <v>320</v>
      </c>
      <c r="G144" s="20" t="s">
        <v>436</v>
      </c>
    </row>
    <row r="145" customFormat="false" ht="16.5" hidden="false" customHeight="true" outlineLevel="0" collapsed="false">
      <c r="A145" s="42" t="s">
        <v>889</v>
      </c>
      <c r="B145" s="20" t="s">
        <v>461</v>
      </c>
      <c r="C145" s="20" t="s">
        <v>890</v>
      </c>
      <c r="D145" s="47" t="s">
        <v>891</v>
      </c>
      <c r="E145" s="20" t="s">
        <v>434</v>
      </c>
      <c r="F145" s="20" t="s">
        <v>320</v>
      </c>
      <c r="G145" s="20" t="s">
        <v>436</v>
      </c>
    </row>
    <row r="146" customFormat="false" ht="16.5" hidden="false" customHeight="true" outlineLevel="0" collapsed="false">
      <c r="A146" s="42" t="s">
        <v>892</v>
      </c>
      <c r="B146" s="20" t="s">
        <v>461</v>
      </c>
      <c r="C146" s="20" t="s">
        <v>893</v>
      </c>
      <c r="D146" s="47" t="s">
        <v>894</v>
      </c>
      <c r="E146" s="20" t="s">
        <v>434</v>
      </c>
      <c r="F146" s="20" t="s">
        <v>320</v>
      </c>
      <c r="G146" s="20" t="s">
        <v>436</v>
      </c>
    </row>
    <row r="147" customFormat="false" ht="16.5" hidden="false" customHeight="true" outlineLevel="0" collapsed="false">
      <c r="A147" s="42" t="s">
        <v>895</v>
      </c>
      <c r="B147" s="20" t="s">
        <v>461</v>
      </c>
      <c r="C147" s="20" t="s">
        <v>896</v>
      </c>
      <c r="D147" s="47" t="s">
        <v>897</v>
      </c>
      <c r="E147" s="20" t="s">
        <v>434</v>
      </c>
      <c r="F147" s="20" t="s">
        <v>320</v>
      </c>
      <c r="G147" s="20" t="s">
        <v>436</v>
      </c>
    </row>
    <row r="148" customFormat="false" ht="16.5" hidden="false" customHeight="true" outlineLevel="0" collapsed="false">
      <c r="A148" s="42" t="s">
        <v>898</v>
      </c>
      <c r="B148" s="20" t="s">
        <v>461</v>
      </c>
      <c r="C148" s="20" t="s">
        <v>899</v>
      </c>
      <c r="D148" s="47" t="s">
        <v>900</v>
      </c>
      <c r="E148" s="20" t="s">
        <v>434</v>
      </c>
      <c r="F148" s="20" t="s">
        <v>320</v>
      </c>
      <c r="G148" s="20" t="s">
        <v>436</v>
      </c>
    </row>
    <row r="149" customFormat="false" ht="30" hidden="false" customHeight="true" outlineLevel="0" collapsed="false">
      <c r="A149" s="42" t="s">
        <v>901</v>
      </c>
      <c r="B149" s="20" t="s">
        <v>461</v>
      </c>
      <c r="C149" s="20" t="s">
        <v>902</v>
      </c>
      <c r="D149" s="47" t="s">
        <v>903</v>
      </c>
      <c r="E149" s="20" t="s">
        <v>434</v>
      </c>
      <c r="F149" s="20" t="s">
        <v>320</v>
      </c>
      <c r="G149" s="20" t="s">
        <v>436</v>
      </c>
    </row>
    <row r="150" customFormat="false" ht="30" hidden="false" customHeight="true" outlineLevel="0" collapsed="false">
      <c r="A150" s="42" t="s">
        <v>904</v>
      </c>
      <c r="B150" s="20" t="s">
        <v>461</v>
      </c>
      <c r="C150" s="20" t="s">
        <v>905</v>
      </c>
      <c r="D150" s="47" t="s">
        <v>906</v>
      </c>
      <c r="E150" s="20" t="s">
        <v>434</v>
      </c>
      <c r="F150" s="20" t="s">
        <v>907</v>
      </c>
      <c r="G150" s="20" t="s">
        <v>436</v>
      </c>
    </row>
    <row r="151" customFormat="false" ht="30" hidden="false" customHeight="true" outlineLevel="0" collapsed="false">
      <c r="A151" s="42" t="s">
        <v>908</v>
      </c>
      <c r="B151" s="20" t="s">
        <v>511</v>
      </c>
      <c r="C151" s="20" t="s">
        <v>909</v>
      </c>
      <c r="D151" s="47" t="s">
        <v>910</v>
      </c>
      <c r="E151" s="20" t="s">
        <v>434</v>
      </c>
      <c r="F151" s="20" t="s">
        <v>320</v>
      </c>
      <c r="G151" s="20" t="s">
        <v>436</v>
      </c>
    </row>
    <row r="152" customFormat="false" ht="30" hidden="false" customHeight="true" outlineLevel="0" collapsed="false">
      <c r="A152" s="42" t="s">
        <v>911</v>
      </c>
      <c r="B152" s="20" t="s">
        <v>461</v>
      </c>
      <c r="C152" s="20" t="s">
        <v>912</v>
      </c>
      <c r="D152" s="47" t="s">
        <v>913</v>
      </c>
      <c r="E152" s="20" t="s">
        <v>434</v>
      </c>
      <c r="F152" s="20" t="s">
        <v>329</v>
      </c>
      <c r="G152" s="20" t="s">
        <v>436</v>
      </c>
    </row>
    <row r="153" customFormat="false" ht="30" hidden="false" customHeight="true" outlineLevel="0" collapsed="false">
      <c r="A153" s="42" t="s">
        <v>914</v>
      </c>
      <c r="B153" s="20" t="s">
        <v>461</v>
      </c>
      <c r="C153" s="20" t="s">
        <v>915</v>
      </c>
      <c r="D153" s="47" t="s">
        <v>916</v>
      </c>
      <c r="E153" s="20" t="s">
        <v>434</v>
      </c>
      <c r="F153" s="20" t="s">
        <v>329</v>
      </c>
      <c r="G153" s="20" t="s">
        <v>436</v>
      </c>
    </row>
    <row r="154" customFormat="false" ht="16.5" hidden="false" customHeight="true" outlineLevel="0" collapsed="false">
      <c r="A154" s="42" t="s">
        <v>917</v>
      </c>
      <c r="B154" s="20" t="s">
        <v>461</v>
      </c>
      <c r="C154" s="20" t="s">
        <v>918</v>
      </c>
      <c r="D154" s="47" t="s">
        <v>919</v>
      </c>
      <c r="E154" s="20" t="s">
        <v>434</v>
      </c>
      <c r="F154" s="20" t="s">
        <v>329</v>
      </c>
      <c r="G154" s="20" t="s">
        <v>436</v>
      </c>
    </row>
    <row r="155" customFormat="false" ht="30" hidden="false" customHeight="true" outlineLevel="0" collapsed="false">
      <c r="A155" s="42" t="s">
        <v>920</v>
      </c>
      <c r="B155" s="20" t="s">
        <v>461</v>
      </c>
      <c r="C155" s="20" t="s">
        <v>921</v>
      </c>
      <c r="D155" s="47" t="s">
        <v>922</v>
      </c>
      <c r="E155" s="20" t="s">
        <v>434</v>
      </c>
      <c r="F155" s="20" t="s">
        <v>329</v>
      </c>
      <c r="G155" s="20" t="s">
        <v>436</v>
      </c>
    </row>
    <row r="156" customFormat="false" ht="16.5" hidden="false" customHeight="true" outlineLevel="0" collapsed="false">
      <c r="A156" s="42" t="s">
        <v>923</v>
      </c>
      <c r="B156" s="20" t="s">
        <v>511</v>
      </c>
      <c r="C156" s="20" t="s">
        <v>924</v>
      </c>
      <c r="D156" s="47" t="s">
        <v>925</v>
      </c>
      <c r="E156" s="20" t="s">
        <v>434</v>
      </c>
      <c r="F156" s="20" t="s">
        <v>329</v>
      </c>
      <c r="G156" s="20" t="s">
        <v>436</v>
      </c>
    </row>
    <row r="157" customFormat="false" ht="16.5" hidden="false" customHeight="true" outlineLevel="0" collapsed="false">
      <c r="A157" s="42" t="s">
        <v>926</v>
      </c>
      <c r="B157" s="20" t="s">
        <v>646</v>
      </c>
      <c r="C157" s="20" t="s">
        <v>927</v>
      </c>
      <c r="D157" s="47" t="s">
        <v>928</v>
      </c>
      <c r="E157" s="20" t="s">
        <v>434</v>
      </c>
      <c r="F157" s="20" t="s">
        <v>329</v>
      </c>
      <c r="G157" s="20" t="s">
        <v>436</v>
      </c>
    </row>
    <row r="158" customFormat="false" ht="16.5" hidden="false" customHeight="true" outlineLevel="0" collapsed="false">
      <c r="A158" s="42" t="s">
        <v>929</v>
      </c>
      <c r="B158" s="20" t="s">
        <v>461</v>
      </c>
      <c r="C158" s="20" t="s">
        <v>930</v>
      </c>
      <c r="D158" s="47" t="s">
        <v>931</v>
      </c>
      <c r="E158" s="20" t="s">
        <v>434</v>
      </c>
      <c r="F158" s="20" t="s">
        <v>329</v>
      </c>
      <c r="G158" s="20" t="s">
        <v>436</v>
      </c>
    </row>
    <row r="159" customFormat="false" ht="30" hidden="false" customHeight="true" outlineLevel="0" collapsed="false">
      <c r="A159" s="42" t="s">
        <v>932</v>
      </c>
      <c r="B159" s="20" t="s">
        <v>461</v>
      </c>
      <c r="C159" s="20" t="s">
        <v>933</v>
      </c>
      <c r="D159" s="47" t="s">
        <v>934</v>
      </c>
      <c r="E159" s="20" t="s">
        <v>434</v>
      </c>
      <c r="F159" s="20" t="s">
        <v>935</v>
      </c>
      <c r="G159" s="20" t="s">
        <v>436</v>
      </c>
    </row>
    <row r="160" customFormat="false" ht="16.5" hidden="false" customHeight="true" outlineLevel="0" collapsed="false">
      <c r="A160" s="42" t="s">
        <v>936</v>
      </c>
      <c r="B160" s="20" t="s">
        <v>461</v>
      </c>
      <c r="C160" s="20" t="s">
        <v>937</v>
      </c>
      <c r="D160" s="47" t="s">
        <v>938</v>
      </c>
      <c r="E160" s="20" t="s">
        <v>434</v>
      </c>
      <c r="F160" s="20" t="s">
        <v>329</v>
      </c>
      <c r="G160" s="20" t="s">
        <v>436</v>
      </c>
    </row>
    <row r="161" customFormat="false" ht="16.5" hidden="false" customHeight="true" outlineLevel="0" collapsed="false">
      <c r="A161" s="42" t="s">
        <v>939</v>
      </c>
      <c r="B161" s="20" t="s">
        <v>461</v>
      </c>
      <c r="C161" s="20" t="s">
        <v>940</v>
      </c>
      <c r="D161" s="47" t="s">
        <v>941</v>
      </c>
      <c r="E161" s="20" t="s">
        <v>434</v>
      </c>
      <c r="F161" s="20" t="s">
        <v>329</v>
      </c>
      <c r="G161" s="20" t="s">
        <v>436</v>
      </c>
    </row>
    <row r="162" customFormat="false" ht="16.5" hidden="false" customHeight="true" outlineLevel="0" collapsed="false">
      <c r="A162" s="42" t="s">
        <v>942</v>
      </c>
      <c r="B162" s="20" t="s">
        <v>461</v>
      </c>
      <c r="C162" s="20" t="s">
        <v>943</v>
      </c>
      <c r="D162" s="47" t="s">
        <v>944</v>
      </c>
      <c r="E162" s="20" t="s">
        <v>434</v>
      </c>
      <c r="F162" s="20" t="s">
        <v>339</v>
      </c>
      <c r="G162" s="20" t="s">
        <v>436</v>
      </c>
    </row>
    <row r="163" customFormat="false" ht="16.5" hidden="false" customHeight="true" outlineLevel="0" collapsed="false">
      <c r="A163" s="42" t="s">
        <v>945</v>
      </c>
      <c r="B163" s="20" t="s">
        <v>461</v>
      </c>
      <c r="C163" s="20" t="s">
        <v>946</v>
      </c>
      <c r="D163" s="47" t="s">
        <v>947</v>
      </c>
      <c r="E163" s="20" t="s">
        <v>434</v>
      </c>
      <c r="F163" s="20" t="s">
        <v>339</v>
      </c>
      <c r="G163" s="20" t="s">
        <v>436</v>
      </c>
    </row>
    <row r="164" customFormat="false" ht="30" hidden="false" customHeight="true" outlineLevel="0" collapsed="false">
      <c r="A164" s="42" t="s">
        <v>948</v>
      </c>
      <c r="B164" s="20" t="s">
        <v>461</v>
      </c>
      <c r="C164" s="20" t="s">
        <v>949</v>
      </c>
      <c r="D164" s="47" t="s">
        <v>950</v>
      </c>
      <c r="E164" s="20" t="s">
        <v>434</v>
      </c>
      <c r="F164" s="20" t="s">
        <v>339</v>
      </c>
      <c r="G164" s="20" t="s">
        <v>436</v>
      </c>
    </row>
    <row r="165" customFormat="false" ht="16.5" hidden="false" customHeight="true" outlineLevel="0" collapsed="false">
      <c r="A165" s="42" t="s">
        <v>951</v>
      </c>
      <c r="B165" s="20" t="s">
        <v>461</v>
      </c>
      <c r="C165" s="20" t="s">
        <v>952</v>
      </c>
      <c r="D165" s="47" t="s">
        <v>953</v>
      </c>
      <c r="E165" s="20" t="s">
        <v>434</v>
      </c>
      <c r="F165" s="20" t="s">
        <v>339</v>
      </c>
      <c r="G165" s="20" t="s">
        <v>436</v>
      </c>
    </row>
    <row r="166" customFormat="false" ht="30" hidden="false" customHeight="true" outlineLevel="0" collapsed="false">
      <c r="A166" s="42" t="s">
        <v>954</v>
      </c>
      <c r="B166" s="20" t="s">
        <v>461</v>
      </c>
      <c r="C166" s="20" t="s">
        <v>955</v>
      </c>
      <c r="D166" s="47" t="s">
        <v>956</v>
      </c>
      <c r="E166" s="20" t="s">
        <v>434</v>
      </c>
      <c r="F166" s="20" t="s">
        <v>339</v>
      </c>
      <c r="G166" s="20" t="s">
        <v>436</v>
      </c>
    </row>
    <row r="167" customFormat="false" ht="30" hidden="false" customHeight="true" outlineLevel="0" collapsed="false">
      <c r="A167" s="42" t="s">
        <v>957</v>
      </c>
      <c r="B167" s="20" t="s">
        <v>461</v>
      </c>
      <c r="C167" s="20" t="s">
        <v>958</v>
      </c>
      <c r="D167" s="47" t="s">
        <v>959</v>
      </c>
      <c r="E167" s="20" t="s">
        <v>434</v>
      </c>
      <c r="F167" s="20" t="s">
        <v>339</v>
      </c>
      <c r="G167" s="20" t="s">
        <v>436</v>
      </c>
    </row>
    <row r="168" customFormat="false" ht="16.5" hidden="false" customHeight="true" outlineLevel="0" collapsed="false">
      <c r="A168" s="42" t="s">
        <v>960</v>
      </c>
      <c r="B168" s="20" t="s">
        <v>461</v>
      </c>
      <c r="C168" s="20" t="s">
        <v>961</v>
      </c>
      <c r="D168" s="47" t="s">
        <v>962</v>
      </c>
      <c r="E168" s="20" t="s">
        <v>434</v>
      </c>
      <c r="F168" s="20" t="s">
        <v>339</v>
      </c>
      <c r="G168" s="20" t="s">
        <v>436</v>
      </c>
    </row>
    <row r="169" customFormat="false" ht="30" hidden="false" customHeight="true" outlineLevel="0" collapsed="false">
      <c r="A169" s="42" t="s">
        <v>963</v>
      </c>
      <c r="B169" s="20" t="s">
        <v>461</v>
      </c>
      <c r="C169" s="20" t="s">
        <v>964</v>
      </c>
      <c r="D169" s="47" t="s">
        <v>965</v>
      </c>
      <c r="E169" s="20" t="s">
        <v>434</v>
      </c>
      <c r="F169" s="20" t="s">
        <v>339</v>
      </c>
      <c r="G169" s="20" t="s">
        <v>436</v>
      </c>
    </row>
    <row r="170" customFormat="false" ht="30" hidden="false" customHeight="true" outlineLevel="0" collapsed="false">
      <c r="A170" s="42" t="s">
        <v>966</v>
      </c>
      <c r="B170" s="20" t="s">
        <v>461</v>
      </c>
      <c r="C170" s="20" t="s">
        <v>967</v>
      </c>
      <c r="D170" s="47" t="s">
        <v>968</v>
      </c>
      <c r="E170" s="20" t="s">
        <v>434</v>
      </c>
      <c r="F170" s="20" t="s">
        <v>339</v>
      </c>
      <c r="G170" s="20" t="s">
        <v>436</v>
      </c>
    </row>
    <row r="171" customFormat="false" ht="30" hidden="false" customHeight="true" outlineLevel="0" collapsed="false">
      <c r="A171" s="42" t="s">
        <v>969</v>
      </c>
      <c r="B171" s="20" t="s">
        <v>461</v>
      </c>
      <c r="C171" s="20" t="s">
        <v>970</v>
      </c>
      <c r="D171" s="47" t="s">
        <v>971</v>
      </c>
      <c r="E171" s="20" t="s">
        <v>434</v>
      </c>
      <c r="F171" s="20" t="s">
        <v>339</v>
      </c>
      <c r="G171" s="20" t="s">
        <v>436</v>
      </c>
    </row>
    <row r="172" customFormat="false" ht="30" hidden="false" customHeight="true" outlineLevel="0" collapsed="false">
      <c r="A172" s="42" t="s">
        <v>972</v>
      </c>
      <c r="B172" s="20" t="s">
        <v>461</v>
      </c>
      <c r="C172" s="20" t="s">
        <v>973</v>
      </c>
      <c r="D172" s="47" t="s">
        <v>974</v>
      </c>
      <c r="E172" s="20" t="s">
        <v>434</v>
      </c>
      <c r="F172" s="20" t="s">
        <v>339</v>
      </c>
      <c r="G172" s="20" t="s">
        <v>436</v>
      </c>
    </row>
    <row r="173" customFormat="false" ht="30" hidden="false" customHeight="true" outlineLevel="0" collapsed="false">
      <c r="A173" s="42" t="s">
        <v>975</v>
      </c>
      <c r="B173" s="20" t="s">
        <v>511</v>
      </c>
      <c r="C173" s="20" t="s">
        <v>976</v>
      </c>
      <c r="D173" s="47" t="s">
        <v>977</v>
      </c>
      <c r="E173" s="20" t="s">
        <v>434</v>
      </c>
      <c r="F173" s="20" t="s">
        <v>339</v>
      </c>
      <c r="G173" s="20" t="s">
        <v>436</v>
      </c>
    </row>
    <row r="174" customFormat="false" ht="16.5" hidden="false" customHeight="true" outlineLevel="0" collapsed="false">
      <c r="A174" s="42" t="s">
        <v>978</v>
      </c>
      <c r="B174" s="20" t="s">
        <v>646</v>
      </c>
      <c r="C174" s="20" t="s">
        <v>979</v>
      </c>
      <c r="D174" s="47" t="s">
        <v>980</v>
      </c>
      <c r="E174" s="20" t="s">
        <v>434</v>
      </c>
      <c r="F174" s="20" t="s">
        <v>339</v>
      </c>
      <c r="G174" s="20" t="s">
        <v>436</v>
      </c>
    </row>
    <row r="175" customFormat="false" ht="30" hidden="false" customHeight="true" outlineLevel="0" collapsed="false">
      <c r="A175" s="42" t="s">
        <v>981</v>
      </c>
      <c r="B175" s="20" t="s">
        <v>461</v>
      </c>
      <c r="C175" s="20" t="s">
        <v>982</v>
      </c>
      <c r="D175" s="47" t="s">
        <v>983</v>
      </c>
      <c r="E175" s="20" t="s">
        <v>434</v>
      </c>
      <c r="F175" s="20" t="s">
        <v>348</v>
      </c>
      <c r="G175" s="20" t="s">
        <v>436</v>
      </c>
    </row>
    <row r="176" customFormat="false" ht="30" hidden="false" customHeight="true" outlineLevel="0" collapsed="false">
      <c r="A176" s="42" t="s">
        <v>984</v>
      </c>
      <c r="B176" s="20" t="s">
        <v>461</v>
      </c>
      <c r="C176" s="20" t="s">
        <v>985</v>
      </c>
      <c r="D176" s="47" t="s">
        <v>986</v>
      </c>
      <c r="E176" s="20" t="s">
        <v>434</v>
      </c>
      <c r="F176" s="20" t="s">
        <v>348</v>
      </c>
      <c r="G176" s="20" t="s">
        <v>436</v>
      </c>
    </row>
    <row r="177" customFormat="false" ht="30" hidden="false" customHeight="true" outlineLevel="0" collapsed="false">
      <c r="A177" s="42" t="s">
        <v>987</v>
      </c>
      <c r="B177" s="20" t="s">
        <v>461</v>
      </c>
      <c r="C177" s="20" t="s">
        <v>988</v>
      </c>
      <c r="D177" s="47" t="s">
        <v>989</v>
      </c>
      <c r="E177" s="20" t="s">
        <v>434</v>
      </c>
      <c r="F177" s="20" t="s">
        <v>348</v>
      </c>
      <c r="G177" s="20" t="s">
        <v>436</v>
      </c>
    </row>
    <row r="178" customFormat="false" ht="30" hidden="false" customHeight="true" outlineLevel="0" collapsed="false">
      <c r="A178" s="42" t="s">
        <v>990</v>
      </c>
      <c r="B178" s="20" t="s">
        <v>461</v>
      </c>
      <c r="C178" s="20" t="s">
        <v>991</v>
      </c>
      <c r="D178" s="47" t="s">
        <v>992</v>
      </c>
      <c r="E178" s="20" t="s">
        <v>434</v>
      </c>
      <c r="F178" s="20" t="s">
        <v>348</v>
      </c>
      <c r="G178" s="20" t="s">
        <v>436</v>
      </c>
    </row>
    <row r="179" customFormat="false" ht="16.5" hidden="false" customHeight="true" outlineLevel="0" collapsed="false">
      <c r="A179" s="42" t="s">
        <v>993</v>
      </c>
      <c r="B179" s="20" t="s">
        <v>461</v>
      </c>
      <c r="C179" s="20" t="s">
        <v>994</v>
      </c>
      <c r="D179" s="47" t="s">
        <v>995</v>
      </c>
      <c r="E179" s="20" t="s">
        <v>434</v>
      </c>
      <c r="F179" s="20" t="s">
        <v>348</v>
      </c>
      <c r="G179" s="20" t="s">
        <v>436</v>
      </c>
    </row>
    <row r="180" customFormat="false" ht="30" hidden="false" customHeight="true" outlineLevel="0" collapsed="false">
      <c r="A180" s="42" t="s">
        <v>996</v>
      </c>
      <c r="B180" s="20" t="s">
        <v>461</v>
      </c>
      <c r="C180" s="20" t="s">
        <v>997</v>
      </c>
      <c r="D180" s="47" t="s">
        <v>998</v>
      </c>
      <c r="E180" s="20" t="s">
        <v>434</v>
      </c>
      <c r="F180" s="20" t="s">
        <v>348</v>
      </c>
      <c r="G180" s="20" t="s">
        <v>436</v>
      </c>
    </row>
    <row r="181" customFormat="false" ht="30" hidden="false" customHeight="true" outlineLevel="0" collapsed="false">
      <c r="A181" s="42" t="s">
        <v>999</v>
      </c>
      <c r="B181" s="20" t="s">
        <v>461</v>
      </c>
      <c r="C181" s="20" t="s">
        <v>1000</v>
      </c>
      <c r="D181" s="47" t="s">
        <v>1001</v>
      </c>
      <c r="E181" s="20" t="s">
        <v>434</v>
      </c>
      <c r="F181" s="20" t="s">
        <v>348</v>
      </c>
      <c r="G181" s="20" t="s">
        <v>436</v>
      </c>
    </row>
    <row r="182" customFormat="false" ht="30" hidden="false" customHeight="true" outlineLevel="0" collapsed="false">
      <c r="A182" s="42" t="s">
        <v>1002</v>
      </c>
      <c r="B182" s="20" t="s">
        <v>447</v>
      </c>
      <c r="C182" s="20" t="s">
        <v>1003</v>
      </c>
      <c r="D182" s="47" t="s">
        <v>1004</v>
      </c>
      <c r="E182" s="20" t="s">
        <v>434</v>
      </c>
      <c r="F182" s="20" t="s">
        <v>348</v>
      </c>
      <c r="G182" s="20" t="s">
        <v>436</v>
      </c>
    </row>
    <row r="183" customFormat="false" ht="16.5" hidden="false" customHeight="true" outlineLevel="0" collapsed="false">
      <c r="A183" s="42" t="s">
        <v>1005</v>
      </c>
      <c r="B183" s="20" t="s">
        <v>470</v>
      </c>
      <c r="C183" s="20" t="s">
        <v>1006</v>
      </c>
      <c r="D183" s="47" t="s">
        <v>1007</v>
      </c>
      <c r="E183" s="20" t="s">
        <v>434</v>
      </c>
      <c r="F183" s="20" t="s">
        <v>348</v>
      </c>
      <c r="G183" s="20" t="s">
        <v>436</v>
      </c>
    </row>
    <row r="184" customFormat="false" ht="16.5" hidden="false" customHeight="true" outlineLevel="0" collapsed="false">
      <c r="A184" s="42" t="s">
        <v>1008</v>
      </c>
      <c r="B184" s="20" t="s">
        <v>489</v>
      </c>
      <c r="C184" s="20" t="s">
        <v>1009</v>
      </c>
      <c r="D184" s="47" t="s">
        <v>1010</v>
      </c>
      <c r="E184" s="20" t="s">
        <v>434</v>
      </c>
      <c r="F184" s="20" t="s">
        <v>348</v>
      </c>
      <c r="G184" s="20" t="s">
        <v>436</v>
      </c>
    </row>
    <row r="185" customFormat="false" ht="30" hidden="false" customHeight="true" outlineLevel="0" collapsed="false">
      <c r="A185" s="42" t="s">
        <v>1011</v>
      </c>
      <c r="B185" s="20" t="s">
        <v>461</v>
      </c>
      <c r="C185" s="20" t="s">
        <v>1012</v>
      </c>
      <c r="D185" s="47" t="s">
        <v>1013</v>
      </c>
      <c r="E185" s="20" t="s">
        <v>434</v>
      </c>
      <c r="F185" s="20" t="s">
        <v>357</v>
      </c>
      <c r="G185" s="20" t="s">
        <v>436</v>
      </c>
    </row>
    <row r="186" customFormat="false" ht="30" hidden="false" customHeight="true" outlineLevel="0" collapsed="false">
      <c r="A186" s="42" t="s">
        <v>1014</v>
      </c>
      <c r="B186" s="20" t="s">
        <v>461</v>
      </c>
      <c r="C186" s="20" t="s">
        <v>1015</v>
      </c>
      <c r="D186" s="47" t="s">
        <v>1016</v>
      </c>
      <c r="E186" s="20" t="s">
        <v>434</v>
      </c>
      <c r="F186" s="20" t="s">
        <v>357</v>
      </c>
      <c r="G186" s="20" t="s">
        <v>436</v>
      </c>
    </row>
    <row r="187" customFormat="false" ht="30" hidden="false" customHeight="true" outlineLevel="0" collapsed="false">
      <c r="A187" s="42" t="s">
        <v>1017</v>
      </c>
      <c r="B187" s="20" t="s">
        <v>461</v>
      </c>
      <c r="C187" s="20" t="s">
        <v>1018</v>
      </c>
      <c r="D187" s="47" t="s">
        <v>1019</v>
      </c>
      <c r="E187" s="20" t="s">
        <v>434</v>
      </c>
      <c r="F187" s="20" t="s">
        <v>357</v>
      </c>
      <c r="G187" s="20" t="s">
        <v>436</v>
      </c>
    </row>
    <row r="188" customFormat="false" ht="16.5" hidden="false" customHeight="true" outlineLevel="0" collapsed="false">
      <c r="A188" s="42" t="s">
        <v>1020</v>
      </c>
      <c r="B188" s="20" t="s">
        <v>461</v>
      </c>
      <c r="C188" s="20" t="s">
        <v>1021</v>
      </c>
      <c r="D188" s="47" t="s">
        <v>1022</v>
      </c>
      <c r="E188" s="20" t="s">
        <v>434</v>
      </c>
      <c r="F188" s="20" t="s">
        <v>357</v>
      </c>
      <c r="G188" s="20" t="s">
        <v>436</v>
      </c>
    </row>
    <row r="189" customFormat="false" ht="30" hidden="false" customHeight="true" outlineLevel="0" collapsed="false">
      <c r="A189" s="42" t="s">
        <v>1023</v>
      </c>
      <c r="B189" s="20" t="s">
        <v>461</v>
      </c>
      <c r="C189" s="20" t="s">
        <v>1024</v>
      </c>
      <c r="D189" s="47" t="s">
        <v>1025</v>
      </c>
      <c r="E189" s="20" t="s">
        <v>500</v>
      </c>
      <c r="F189" s="20" t="s">
        <v>357</v>
      </c>
      <c r="G189" s="20" t="s">
        <v>436</v>
      </c>
    </row>
    <row r="190" customFormat="false" ht="30" hidden="false" customHeight="true" outlineLevel="0" collapsed="false">
      <c r="A190" s="42" t="s">
        <v>1026</v>
      </c>
      <c r="B190" s="20" t="s">
        <v>461</v>
      </c>
      <c r="C190" s="20" t="s">
        <v>1027</v>
      </c>
      <c r="D190" s="47" t="s">
        <v>1028</v>
      </c>
      <c r="E190" s="20" t="s">
        <v>434</v>
      </c>
      <c r="F190" s="20" t="s">
        <v>357</v>
      </c>
      <c r="G190" s="20" t="s">
        <v>436</v>
      </c>
    </row>
    <row r="191" customFormat="false" ht="30" hidden="false" customHeight="true" outlineLevel="0" collapsed="false">
      <c r="A191" s="42" t="s">
        <v>1029</v>
      </c>
      <c r="B191" s="20" t="s">
        <v>646</v>
      </c>
      <c r="C191" s="20" t="s">
        <v>1030</v>
      </c>
      <c r="D191" s="47" t="s">
        <v>1031</v>
      </c>
      <c r="E191" s="20" t="s">
        <v>434</v>
      </c>
      <c r="F191" s="20" t="s">
        <v>357</v>
      </c>
      <c r="G191" s="20" t="s">
        <v>436</v>
      </c>
    </row>
    <row r="192" customFormat="false" ht="30" hidden="false" customHeight="true" outlineLevel="0" collapsed="false">
      <c r="A192" s="42" t="s">
        <v>1032</v>
      </c>
      <c r="B192" s="20" t="s">
        <v>461</v>
      </c>
      <c r="C192" s="20" t="s">
        <v>1033</v>
      </c>
      <c r="D192" s="47" t="s">
        <v>1034</v>
      </c>
      <c r="E192" s="20" t="s">
        <v>434</v>
      </c>
      <c r="F192" s="20" t="s">
        <v>357</v>
      </c>
      <c r="G192" s="20" t="s">
        <v>436</v>
      </c>
    </row>
    <row r="193" customFormat="false" ht="16.5" hidden="false" customHeight="true" outlineLevel="0" collapsed="false">
      <c r="A193" s="42" t="s">
        <v>1035</v>
      </c>
      <c r="B193" s="20" t="s">
        <v>461</v>
      </c>
      <c r="C193" s="20" t="s">
        <v>1036</v>
      </c>
      <c r="D193" s="47" t="s">
        <v>1037</v>
      </c>
      <c r="E193" s="20" t="s">
        <v>434</v>
      </c>
      <c r="F193" s="20" t="s">
        <v>357</v>
      </c>
      <c r="G193" s="20" t="s">
        <v>436</v>
      </c>
    </row>
    <row r="194" customFormat="false" ht="30" hidden="false" customHeight="true" outlineLevel="0" collapsed="false">
      <c r="A194" s="42" t="s">
        <v>1038</v>
      </c>
      <c r="B194" s="20" t="s">
        <v>470</v>
      </c>
      <c r="C194" s="20" t="s">
        <v>1039</v>
      </c>
      <c r="D194" s="47" t="s">
        <v>1040</v>
      </c>
      <c r="E194" s="20" t="s">
        <v>434</v>
      </c>
      <c r="F194" s="20" t="s">
        <v>357</v>
      </c>
      <c r="G194" s="20" t="s">
        <v>436</v>
      </c>
    </row>
    <row r="195" customFormat="false" ht="16.5" hidden="false" customHeight="true" outlineLevel="0" collapsed="false">
      <c r="A195" s="42" t="s">
        <v>1041</v>
      </c>
      <c r="B195" s="20" t="s">
        <v>511</v>
      </c>
      <c r="C195" s="20" t="s">
        <v>1042</v>
      </c>
      <c r="D195" s="47" t="s">
        <v>1043</v>
      </c>
      <c r="E195" s="20" t="s">
        <v>434</v>
      </c>
      <c r="F195" s="20" t="s">
        <v>366</v>
      </c>
      <c r="G195" s="20" t="s">
        <v>436</v>
      </c>
    </row>
    <row r="196" customFormat="false" ht="16.5" hidden="false" customHeight="true" outlineLevel="0" collapsed="false">
      <c r="A196" s="42" t="s">
        <v>1044</v>
      </c>
      <c r="B196" s="20" t="s">
        <v>511</v>
      </c>
      <c r="C196" s="20" t="s">
        <v>1045</v>
      </c>
      <c r="D196" s="47" t="s">
        <v>1046</v>
      </c>
      <c r="E196" s="20" t="s">
        <v>434</v>
      </c>
      <c r="F196" s="20" t="s">
        <v>366</v>
      </c>
      <c r="G196" s="20" t="s">
        <v>436</v>
      </c>
    </row>
    <row r="197" customFormat="false" ht="16.5" hidden="false" customHeight="true" outlineLevel="0" collapsed="false">
      <c r="A197" s="42" t="s">
        <v>1047</v>
      </c>
      <c r="B197" s="20" t="s">
        <v>461</v>
      </c>
      <c r="C197" s="20" t="s">
        <v>1048</v>
      </c>
      <c r="D197" s="47" t="s">
        <v>1049</v>
      </c>
      <c r="E197" s="20" t="s">
        <v>434</v>
      </c>
      <c r="F197" s="20" t="s">
        <v>366</v>
      </c>
      <c r="G197" s="20" t="s">
        <v>436</v>
      </c>
    </row>
    <row r="198" customFormat="false" ht="30" hidden="false" customHeight="true" outlineLevel="0" collapsed="false">
      <c r="A198" s="42" t="s">
        <v>1050</v>
      </c>
      <c r="B198" s="20" t="s">
        <v>461</v>
      </c>
      <c r="C198" s="20" t="s">
        <v>1051</v>
      </c>
      <c r="D198" s="47" t="s">
        <v>1052</v>
      </c>
      <c r="E198" s="20" t="s">
        <v>434</v>
      </c>
      <c r="F198" s="20" t="s">
        <v>366</v>
      </c>
      <c r="G198" s="20" t="s">
        <v>436</v>
      </c>
    </row>
    <row r="199" customFormat="false" ht="30" hidden="false" customHeight="true" outlineLevel="0" collapsed="false">
      <c r="A199" s="42" t="s">
        <v>1053</v>
      </c>
      <c r="B199" s="20" t="s">
        <v>461</v>
      </c>
      <c r="C199" s="20" t="s">
        <v>1054</v>
      </c>
      <c r="D199" s="47" t="s">
        <v>1055</v>
      </c>
      <c r="E199" s="20" t="s">
        <v>434</v>
      </c>
      <c r="F199" s="20" t="s">
        <v>366</v>
      </c>
      <c r="G199" s="20" t="s">
        <v>436</v>
      </c>
    </row>
    <row r="200" customFormat="false" ht="16.5" hidden="false" customHeight="true" outlineLevel="0" collapsed="false">
      <c r="A200" s="42" t="s">
        <v>1056</v>
      </c>
      <c r="B200" s="20" t="s">
        <v>461</v>
      </c>
      <c r="C200" s="20" t="s">
        <v>1057</v>
      </c>
      <c r="D200" s="47" t="s">
        <v>1058</v>
      </c>
      <c r="E200" s="20" t="s">
        <v>434</v>
      </c>
      <c r="F200" s="20" t="s">
        <v>366</v>
      </c>
      <c r="G200" s="20" t="s">
        <v>436</v>
      </c>
    </row>
    <row r="201" customFormat="false" ht="30" hidden="false" customHeight="true" outlineLevel="0" collapsed="false">
      <c r="A201" s="42" t="s">
        <v>1059</v>
      </c>
      <c r="B201" s="20" t="s">
        <v>461</v>
      </c>
      <c r="C201" s="20" t="s">
        <v>1060</v>
      </c>
      <c r="D201" s="47" t="s">
        <v>1061</v>
      </c>
      <c r="E201" s="20" t="s">
        <v>434</v>
      </c>
      <c r="F201" s="20" t="s">
        <v>366</v>
      </c>
      <c r="G201" s="20" t="s">
        <v>436</v>
      </c>
    </row>
    <row r="202" customFormat="false" ht="30" hidden="false" customHeight="true" outlineLevel="0" collapsed="false">
      <c r="A202" s="42" t="s">
        <v>1062</v>
      </c>
      <c r="B202" s="20" t="s">
        <v>461</v>
      </c>
      <c r="C202" s="20" t="s">
        <v>1063</v>
      </c>
      <c r="D202" s="47" t="s">
        <v>1064</v>
      </c>
      <c r="E202" s="20" t="s">
        <v>434</v>
      </c>
      <c r="F202" s="20" t="s">
        <v>366</v>
      </c>
      <c r="G202" s="20" t="s">
        <v>436</v>
      </c>
    </row>
    <row r="203" customFormat="false" ht="30" hidden="false" customHeight="true" outlineLevel="0" collapsed="false">
      <c r="A203" s="42" t="s">
        <v>1065</v>
      </c>
      <c r="B203" s="20" t="s">
        <v>461</v>
      </c>
      <c r="C203" s="20" t="s">
        <v>1066</v>
      </c>
      <c r="D203" s="47" t="s">
        <v>1067</v>
      </c>
      <c r="E203" s="20" t="s">
        <v>434</v>
      </c>
      <c r="F203" s="20" t="s">
        <v>366</v>
      </c>
      <c r="G203" s="20" t="s">
        <v>436</v>
      </c>
    </row>
    <row r="204" customFormat="false" ht="30" hidden="false" customHeight="true" outlineLevel="0" collapsed="false">
      <c r="A204" s="42" t="s">
        <v>1068</v>
      </c>
      <c r="B204" s="20" t="s">
        <v>461</v>
      </c>
      <c r="C204" s="20" t="s">
        <v>1069</v>
      </c>
      <c r="D204" s="47" t="s">
        <v>1070</v>
      </c>
      <c r="E204" s="20" t="s">
        <v>434</v>
      </c>
      <c r="F204" s="20" t="s">
        <v>366</v>
      </c>
      <c r="G204" s="20" t="s">
        <v>436</v>
      </c>
    </row>
    <row r="205" customFormat="false" ht="16.5" hidden="false" customHeight="true" outlineLevel="0" collapsed="false">
      <c r="A205" s="42" t="s">
        <v>1071</v>
      </c>
      <c r="B205" s="20" t="s">
        <v>511</v>
      </c>
      <c r="C205" s="20" t="s">
        <v>1072</v>
      </c>
      <c r="D205" s="47" t="s">
        <v>1073</v>
      </c>
      <c r="E205" s="20" t="s">
        <v>434</v>
      </c>
      <c r="F205" s="20" t="s">
        <v>366</v>
      </c>
      <c r="G205" s="20" t="s">
        <v>436</v>
      </c>
    </row>
    <row r="206" customFormat="false" ht="30" hidden="false" customHeight="true" outlineLevel="0" collapsed="false">
      <c r="A206" s="42" t="s">
        <v>1074</v>
      </c>
      <c r="B206" s="20" t="s">
        <v>431</v>
      </c>
      <c r="C206" s="20" t="s">
        <v>1075</v>
      </c>
      <c r="D206" s="47" t="s">
        <v>1076</v>
      </c>
      <c r="E206" s="20" t="s">
        <v>434</v>
      </c>
      <c r="F206" s="20" t="s">
        <v>1077</v>
      </c>
      <c r="G206" s="20" t="s">
        <v>436</v>
      </c>
    </row>
    <row r="207" customFormat="false" ht="30" hidden="false" customHeight="true" outlineLevel="0" collapsed="false">
      <c r="A207" s="42" t="s">
        <v>1078</v>
      </c>
      <c r="B207" s="20" t="s">
        <v>431</v>
      </c>
      <c r="C207" s="20" t="s">
        <v>1079</v>
      </c>
      <c r="D207" s="47" t="s">
        <v>1080</v>
      </c>
      <c r="E207" s="20" t="s">
        <v>434</v>
      </c>
      <c r="F207" s="20" t="s">
        <v>376</v>
      </c>
      <c r="G207" s="20" t="s">
        <v>436</v>
      </c>
    </row>
    <row r="208" customFormat="false" ht="30" hidden="false" customHeight="true" outlineLevel="0" collapsed="false">
      <c r="A208" s="42" t="s">
        <v>1081</v>
      </c>
      <c r="B208" s="20" t="s">
        <v>461</v>
      </c>
      <c r="C208" s="20" t="s">
        <v>1082</v>
      </c>
      <c r="D208" s="47" t="s">
        <v>1083</v>
      </c>
      <c r="E208" s="20" t="s">
        <v>500</v>
      </c>
      <c r="F208" s="20" t="s">
        <v>376</v>
      </c>
      <c r="G208" s="20" t="s">
        <v>436</v>
      </c>
    </row>
    <row r="209" customFormat="false" ht="30" hidden="false" customHeight="true" outlineLevel="0" collapsed="false">
      <c r="A209" s="42" t="s">
        <v>1084</v>
      </c>
      <c r="B209" s="20" t="s">
        <v>461</v>
      </c>
      <c r="C209" s="20" t="s">
        <v>1085</v>
      </c>
      <c r="D209" s="47" t="s">
        <v>1086</v>
      </c>
      <c r="E209" s="20" t="s">
        <v>500</v>
      </c>
      <c r="F209" s="20" t="s">
        <v>376</v>
      </c>
      <c r="G209" s="20" t="s">
        <v>436</v>
      </c>
    </row>
    <row r="210" customFormat="false" ht="30" hidden="false" customHeight="true" outlineLevel="0" collapsed="false">
      <c r="A210" s="42" t="s">
        <v>1087</v>
      </c>
      <c r="B210" s="20" t="s">
        <v>461</v>
      </c>
      <c r="C210" s="20" t="s">
        <v>1088</v>
      </c>
      <c r="D210" s="47" t="s">
        <v>1089</v>
      </c>
      <c r="E210" s="20" t="s">
        <v>434</v>
      </c>
      <c r="F210" s="20" t="s">
        <v>1090</v>
      </c>
      <c r="G210" s="20" t="s">
        <v>436</v>
      </c>
    </row>
    <row r="211" customFormat="false" ht="30" hidden="false" customHeight="true" outlineLevel="0" collapsed="false">
      <c r="A211" s="42" t="s">
        <v>1091</v>
      </c>
      <c r="B211" s="20" t="s">
        <v>646</v>
      </c>
      <c r="C211" s="20" t="s">
        <v>1092</v>
      </c>
      <c r="D211" s="47" t="s">
        <v>1093</v>
      </c>
      <c r="E211" s="20" t="s">
        <v>434</v>
      </c>
      <c r="F211" s="20" t="s">
        <v>1094</v>
      </c>
      <c r="G211" s="20" t="s">
        <v>436</v>
      </c>
    </row>
    <row r="212" customFormat="false" ht="16.5" hidden="false" customHeight="true" outlineLevel="0" collapsed="false">
      <c r="A212" s="42" t="s">
        <v>1095</v>
      </c>
      <c r="B212" s="20" t="s">
        <v>447</v>
      </c>
      <c r="C212" s="20" t="s">
        <v>1096</v>
      </c>
      <c r="D212" s="47" t="s">
        <v>1097</v>
      </c>
      <c r="E212" s="20" t="s">
        <v>434</v>
      </c>
      <c r="F212" s="20" t="s">
        <v>376</v>
      </c>
      <c r="G212" s="20" t="s">
        <v>436</v>
      </c>
    </row>
    <row r="213" customFormat="false" ht="16.5" hidden="false" customHeight="true" outlineLevel="0" collapsed="false">
      <c r="A213" s="42" t="s">
        <v>1098</v>
      </c>
      <c r="B213" s="20" t="s">
        <v>511</v>
      </c>
      <c r="C213" s="20" t="s">
        <v>1099</v>
      </c>
      <c r="D213" s="47" t="s">
        <v>1100</v>
      </c>
      <c r="E213" s="20" t="s">
        <v>434</v>
      </c>
      <c r="F213" s="20" t="s">
        <v>376</v>
      </c>
      <c r="G213" s="20" t="s">
        <v>436</v>
      </c>
    </row>
    <row r="214" customFormat="false" ht="30" hidden="false" customHeight="true" outlineLevel="0" collapsed="false">
      <c r="A214" s="42" t="s">
        <v>1101</v>
      </c>
      <c r="B214" s="20" t="s">
        <v>461</v>
      </c>
      <c r="C214" s="20" t="s">
        <v>1102</v>
      </c>
      <c r="D214" s="47" t="s">
        <v>1103</v>
      </c>
      <c r="E214" s="20" t="s">
        <v>434</v>
      </c>
      <c r="F214" s="20" t="s">
        <v>385</v>
      </c>
      <c r="G214" s="20" t="s">
        <v>436</v>
      </c>
    </row>
    <row r="215" customFormat="false" ht="30" hidden="false" customHeight="true" outlineLevel="0" collapsed="false">
      <c r="A215" s="42" t="s">
        <v>1104</v>
      </c>
      <c r="B215" s="20" t="s">
        <v>461</v>
      </c>
      <c r="C215" s="20" t="s">
        <v>1105</v>
      </c>
      <c r="D215" s="47" t="s">
        <v>1106</v>
      </c>
      <c r="E215" s="20" t="s">
        <v>500</v>
      </c>
      <c r="F215" s="20" t="s">
        <v>385</v>
      </c>
      <c r="G215" s="20" t="s">
        <v>436</v>
      </c>
    </row>
    <row r="216" customFormat="false" ht="30" hidden="false" customHeight="true" outlineLevel="0" collapsed="false">
      <c r="A216" s="42" t="s">
        <v>1107</v>
      </c>
      <c r="B216" s="20" t="s">
        <v>431</v>
      </c>
      <c r="C216" s="20" t="s">
        <v>1108</v>
      </c>
      <c r="D216" s="47" t="s">
        <v>1109</v>
      </c>
      <c r="E216" s="20" t="s">
        <v>434</v>
      </c>
      <c r="F216" s="20" t="s">
        <v>385</v>
      </c>
      <c r="G216" s="20" t="s">
        <v>436</v>
      </c>
    </row>
    <row r="217" customFormat="false" ht="16.5" hidden="false" customHeight="true" outlineLevel="0" collapsed="false">
      <c r="A217" s="42" t="s">
        <v>1110</v>
      </c>
      <c r="B217" s="20" t="s">
        <v>461</v>
      </c>
      <c r="C217" s="20" t="s">
        <v>1111</v>
      </c>
      <c r="D217" s="47" t="s">
        <v>1112</v>
      </c>
      <c r="E217" s="20" t="s">
        <v>434</v>
      </c>
      <c r="F217" s="20" t="s">
        <v>385</v>
      </c>
      <c r="G217" s="20" t="s">
        <v>436</v>
      </c>
    </row>
    <row r="218" customFormat="false" ht="16.5" hidden="false" customHeight="true" outlineLevel="0" collapsed="false">
      <c r="A218" s="42" t="s">
        <v>1113</v>
      </c>
      <c r="B218" s="20" t="s">
        <v>461</v>
      </c>
      <c r="C218" s="20" t="s">
        <v>1114</v>
      </c>
      <c r="D218" s="47" t="s">
        <v>1115</v>
      </c>
      <c r="E218" s="20" t="s">
        <v>434</v>
      </c>
      <c r="F218" s="20" t="s">
        <v>385</v>
      </c>
      <c r="G218" s="20" t="s">
        <v>436</v>
      </c>
    </row>
    <row r="219" customFormat="false" ht="30" hidden="false" customHeight="true" outlineLevel="0" collapsed="false">
      <c r="A219" s="42" t="s">
        <v>1116</v>
      </c>
      <c r="B219" s="20" t="s">
        <v>461</v>
      </c>
      <c r="C219" s="20" t="s">
        <v>1117</v>
      </c>
      <c r="D219" s="47" t="s">
        <v>1118</v>
      </c>
      <c r="E219" s="20" t="s">
        <v>434</v>
      </c>
      <c r="F219" s="20" t="s">
        <v>385</v>
      </c>
      <c r="G219" s="20" t="s">
        <v>436</v>
      </c>
    </row>
    <row r="220" customFormat="false" ht="30" hidden="false" customHeight="true" outlineLevel="0" collapsed="false">
      <c r="A220" s="42" t="s">
        <v>1119</v>
      </c>
      <c r="B220" s="20" t="s">
        <v>461</v>
      </c>
      <c r="C220" s="20" t="s">
        <v>1120</v>
      </c>
      <c r="D220" s="47" t="s">
        <v>1121</v>
      </c>
      <c r="E220" s="20" t="s">
        <v>434</v>
      </c>
      <c r="F220" s="20" t="s">
        <v>385</v>
      </c>
      <c r="G220" s="20" t="s">
        <v>436</v>
      </c>
    </row>
    <row r="221" customFormat="false" ht="30" hidden="false" customHeight="true" outlineLevel="0" collapsed="false">
      <c r="A221" s="42" t="s">
        <v>1122</v>
      </c>
      <c r="B221" s="20" t="s">
        <v>461</v>
      </c>
      <c r="C221" s="20" t="s">
        <v>1123</v>
      </c>
      <c r="D221" s="47" t="s">
        <v>1124</v>
      </c>
      <c r="E221" s="20" t="s">
        <v>480</v>
      </c>
      <c r="F221" s="20" t="s">
        <v>385</v>
      </c>
      <c r="G221" s="20" t="s">
        <v>436</v>
      </c>
    </row>
    <row r="222" customFormat="false" ht="30" hidden="false" customHeight="true" outlineLevel="0" collapsed="false">
      <c r="A222" s="42" t="s">
        <v>1125</v>
      </c>
      <c r="B222" s="20" t="s">
        <v>461</v>
      </c>
      <c r="C222" s="20" t="s">
        <v>1126</v>
      </c>
      <c r="D222" s="47" t="s">
        <v>1127</v>
      </c>
      <c r="E222" s="20" t="s">
        <v>434</v>
      </c>
      <c r="F222" s="20" t="s">
        <v>385</v>
      </c>
      <c r="G222" s="20" t="s">
        <v>436</v>
      </c>
    </row>
    <row r="223" customFormat="false" ht="16.5" hidden="false" customHeight="true" outlineLevel="0" collapsed="false">
      <c r="A223" s="42" t="s">
        <v>1128</v>
      </c>
      <c r="B223" s="20" t="s">
        <v>489</v>
      </c>
      <c r="C223" s="20" t="s">
        <v>1129</v>
      </c>
      <c r="D223" s="47" t="s">
        <v>1130</v>
      </c>
      <c r="E223" s="20" t="s">
        <v>434</v>
      </c>
      <c r="F223" s="20" t="s">
        <v>385</v>
      </c>
      <c r="G223" s="20" t="s">
        <v>436</v>
      </c>
    </row>
    <row r="224" customFormat="false" ht="16.5" hidden="false" customHeight="true" outlineLevel="0" collapsed="false">
      <c r="A224" s="42" t="s">
        <v>1131</v>
      </c>
      <c r="B224" s="20" t="s">
        <v>511</v>
      </c>
      <c r="C224" s="20" t="s">
        <v>1132</v>
      </c>
      <c r="D224" s="47" t="s">
        <v>1133</v>
      </c>
      <c r="E224" s="20" t="s">
        <v>434</v>
      </c>
      <c r="F224" s="20" t="s">
        <v>385</v>
      </c>
      <c r="G224" s="20" t="s">
        <v>436</v>
      </c>
    </row>
    <row r="225" customFormat="false" ht="16.5" hidden="false" customHeight="true" outlineLevel="0" collapsed="false">
      <c r="A225" s="42" t="s">
        <v>1134</v>
      </c>
      <c r="B225" s="20" t="s">
        <v>489</v>
      </c>
      <c r="C225" s="20" t="s">
        <v>1135</v>
      </c>
      <c r="D225" s="47" t="s">
        <v>1136</v>
      </c>
      <c r="E225" s="20" t="s">
        <v>434</v>
      </c>
      <c r="F225" s="20" t="s">
        <v>385</v>
      </c>
      <c r="G225" s="20" t="s">
        <v>436</v>
      </c>
    </row>
    <row r="226" customFormat="false" ht="30" hidden="false" customHeight="true" outlineLevel="0" collapsed="false">
      <c r="A226" s="42" t="s">
        <v>1137</v>
      </c>
      <c r="B226" s="20" t="s">
        <v>461</v>
      </c>
      <c r="C226" s="20" t="s">
        <v>1138</v>
      </c>
      <c r="D226" s="47" t="s">
        <v>1139</v>
      </c>
      <c r="E226" s="20" t="s">
        <v>434</v>
      </c>
      <c r="F226" s="20" t="s">
        <v>394</v>
      </c>
      <c r="G226" s="20" t="s">
        <v>436</v>
      </c>
    </row>
    <row r="227" customFormat="false" ht="16.5" hidden="false" customHeight="true" outlineLevel="0" collapsed="false">
      <c r="A227" s="42" t="s">
        <v>1140</v>
      </c>
      <c r="B227" s="20" t="s">
        <v>461</v>
      </c>
      <c r="C227" s="20" t="s">
        <v>1141</v>
      </c>
      <c r="D227" s="47" t="s">
        <v>1142</v>
      </c>
      <c r="E227" s="20" t="s">
        <v>434</v>
      </c>
      <c r="F227" s="20" t="s">
        <v>394</v>
      </c>
      <c r="G227" s="20" t="s">
        <v>436</v>
      </c>
    </row>
    <row r="228" customFormat="false" ht="30" hidden="false" customHeight="true" outlineLevel="0" collapsed="false">
      <c r="A228" s="42" t="s">
        <v>1143</v>
      </c>
      <c r="B228" s="20" t="s">
        <v>461</v>
      </c>
      <c r="C228" s="20" t="s">
        <v>1144</v>
      </c>
      <c r="D228" s="47" t="s">
        <v>1145</v>
      </c>
      <c r="E228" s="20" t="s">
        <v>434</v>
      </c>
      <c r="F228" s="20" t="s">
        <v>394</v>
      </c>
      <c r="G228" s="20" t="s">
        <v>436</v>
      </c>
    </row>
    <row r="229" customFormat="false" ht="30" hidden="false" customHeight="true" outlineLevel="0" collapsed="false">
      <c r="A229" s="42" t="s">
        <v>1146</v>
      </c>
      <c r="B229" s="20" t="s">
        <v>461</v>
      </c>
      <c r="C229" s="20" t="s">
        <v>1147</v>
      </c>
      <c r="D229" s="47" t="s">
        <v>1148</v>
      </c>
      <c r="E229" s="20" t="s">
        <v>434</v>
      </c>
      <c r="F229" s="20" t="s">
        <v>394</v>
      </c>
      <c r="G229" s="20" t="s">
        <v>436</v>
      </c>
    </row>
    <row r="230" customFormat="false" ht="30" hidden="false" customHeight="true" outlineLevel="0" collapsed="false">
      <c r="A230" s="42" t="s">
        <v>1149</v>
      </c>
      <c r="B230" s="20" t="s">
        <v>461</v>
      </c>
      <c r="C230" s="20" t="s">
        <v>1150</v>
      </c>
      <c r="D230" s="47" t="s">
        <v>1151</v>
      </c>
      <c r="E230" s="20" t="s">
        <v>434</v>
      </c>
      <c r="F230" s="20" t="s">
        <v>394</v>
      </c>
      <c r="G230" s="20" t="s">
        <v>436</v>
      </c>
    </row>
    <row r="231" customFormat="false" ht="30" hidden="false" customHeight="true" outlineLevel="0" collapsed="false">
      <c r="A231" s="42" t="s">
        <v>1152</v>
      </c>
      <c r="B231" s="20" t="s">
        <v>461</v>
      </c>
      <c r="C231" s="20" t="s">
        <v>1153</v>
      </c>
      <c r="D231" s="47" t="s">
        <v>1154</v>
      </c>
      <c r="E231" s="20" t="s">
        <v>434</v>
      </c>
      <c r="F231" s="20" t="s">
        <v>394</v>
      </c>
      <c r="G231" s="20" t="s">
        <v>436</v>
      </c>
    </row>
    <row r="232" customFormat="false" ht="30" hidden="false" customHeight="true" outlineLevel="0" collapsed="false">
      <c r="A232" s="42" t="s">
        <v>1155</v>
      </c>
      <c r="B232" s="20" t="s">
        <v>461</v>
      </c>
      <c r="C232" s="20" t="s">
        <v>1156</v>
      </c>
      <c r="D232" s="47" t="s">
        <v>1157</v>
      </c>
      <c r="E232" s="20" t="s">
        <v>500</v>
      </c>
      <c r="F232" s="20" t="s">
        <v>394</v>
      </c>
      <c r="G232" s="20" t="s">
        <v>436</v>
      </c>
    </row>
    <row r="233" customFormat="false" ht="16.5" hidden="false" customHeight="true" outlineLevel="0" collapsed="false">
      <c r="A233" s="42" t="s">
        <v>1158</v>
      </c>
      <c r="B233" s="20" t="s">
        <v>470</v>
      </c>
      <c r="C233" s="20" t="s">
        <v>1159</v>
      </c>
      <c r="D233" s="47" t="s">
        <v>1160</v>
      </c>
      <c r="E233" s="20" t="s">
        <v>434</v>
      </c>
      <c r="F233" s="20" t="s">
        <v>394</v>
      </c>
      <c r="G233" s="20" t="s">
        <v>436</v>
      </c>
    </row>
    <row r="234" customFormat="false" ht="30" hidden="false" customHeight="true" outlineLevel="0" collapsed="false">
      <c r="A234" s="42" t="s">
        <v>1161</v>
      </c>
      <c r="B234" s="20" t="s">
        <v>431</v>
      </c>
      <c r="C234" s="20" t="s">
        <v>1162</v>
      </c>
      <c r="D234" s="47" t="s">
        <v>1163</v>
      </c>
      <c r="E234" s="20" t="s">
        <v>434</v>
      </c>
      <c r="F234" s="20" t="s">
        <v>403</v>
      </c>
      <c r="G234" s="20" t="s">
        <v>436</v>
      </c>
    </row>
    <row r="235" customFormat="false" ht="30" hidden="false" customHeight="true" outlineLevel="0" collapsed="false">
      <c r="A235" s="42" t="s">
        <v>1164</v>
      </c>
      <c r="B235" s="20" t="s">
        <v>461</v>
      </c>
      <c r="C235" s="20" t="s">
        <v>1165</v>
      </c>
      <c r="D235" s="47" t="s">
        <v>1166</v>
      </c>
      <c r="E235" s="20" t="s">
        <v>500</v>
      </c>
      <c r="F235" s="20" t="s">
        <v>403</v>
      </c>
      <c r="G235" s="20" t="s">
        <v>436</v>
      </c>
    </row>
    <row r="236" customFormat="false" ht="16.5" hidden="false" customHeight="true" outlineLevel="0" collapsed="false">
      <c r="A236" s="42" t="s">
        <v>1167</v>
      </c>
      <c r="B236" s="20" t="s">
        <v>461</v>
      </c>
      <c r="C236" s="20" t="s">
        <v>1168</v>
      </c>
      <c r="D236" s="47" t="s">
        <v>1169</v>
      </c>
      <c r="E236" s="20" t="s">
        <v>480</v>
      </c>
      <c r="F236" s="20" t="s">
        <v>403</v>
      </c>
      <c r="G236" s="20" t="s">
        <v>436</v>
      </c>
    </row>
    <row r="237" customFormat="false" ht="30" hidden="false" customHeight="true" outlineLevel="0" collapsed="false">
      <c r="A237" s="42" t="s">
        <v>1170</v>
      </c>
      <c r="B237" s="20" t="s">
        <v>461</v>
      </c>
      <c r="C237" s="20" t="s">
        <v>1171</v>
      </c>
      <c r="D237" s="47" t="s">
        <v>1172</v>
      </c>
      <c r="E237" s="20" t="s">
        <v>434</v>
      </c>
      <c r="F237" s="20" t="s">
        <v>403</v>
      </c>
      <c r="G237" s="20" t="s">
        <v>436</v>
      </c>
    </row>
    <row r="238" customFormat="false" ht="30" hidden="false" customHeight="true" outlineLevel="0" collapsed="false">
      <c r="A238" s="42" t="s">
        <v>1173</v>
      </c>
      <c r="B238" s="20" t="s">
        <v>461</v>
      </c>
      <c r="C238" s="20" t="s">
        <v>1174</v>
      </c>
      <c r="D238" s="47" t="s">
        <v>1175</v>
      </c>
      <c r="E238" s="20" t="s">
        <v>434</v>
      </c>
      <c r="F238" s="20" t="s">
        <v>403</v>
      </c>
      <c r="G238" s="20" t="s">
        <v>436</v>
      </c>
    </row>
    <row r="239" customFormat="false" ht="30" hidden="false" customHeight="true" outlineLevel="0" collapsed="false">
      <c r="A239" s="42" t="s">
        <v>1176</v>
      </c>
      <c r="B239" s="20" t="s">
        <v>461</v>
      </c>
      <c r="C239" s="20" t="s">
        <v>1177</v>
      </c>
      <c r="D239" s="47" t="s">
        <v>1178</v>
      </c>
      <c r="E239" s="20" t="s">
        <v>434</v>
      </c>
      <c r="F239" s="20" t="s">
        <v>403</v>
      </c>
      <c r="G239" s="20" t="s">
        <v>436</v>
      </c>
    </row>
    <row r="240" customFormat="false" ht="16.5" hidden="false" customHeight="true" outlineLevel="0" collapsed="false">
      <c r="A240" s="42" t="s">
        <v>1179</v>
      </c>
      <c r="B240" s="20" t="s">
        <v>646</v>
      </c>
      <c r="C240" s="20" t="s">
        <v>1180</v>
      </c>
      <c r="D240" s="47" t="s">
        <v>1181</v>
      </c>
      <c r="E240" s="20" t="s">
        <v>434</v>
      </c>
      <c r="F240" s="20" t="s">
        <v>403</v>
      </c>
      <c r="G240" s="20" t="s">
        <v>436</v>
      </c>
    </row>
    <row r="241" customFormat="false" ht="30" hidden="false" customHeight="true" outlineLevel="0" collapsed="false">
      <c r="A241" s="42" t="s">
        <v>1182</v>
      </c>
      <c r="B241" s="20" t="s">
        <v>1183</v>
      </c>
      <c r="C241" s="20" t="s">
        <v>1184</v>
      </c>
      <c r="D241" s="47" t="s">
        <v>1185</v>
      </c>
      <c r="E241" s="20" t="s">
        <v>434</v>
      </c>
      <c r="F241" s="20" t="s">
        <v>403</v>
      </c>
      <c r="G241" s="20" t="s">
        <v>436</v>
      </c>
    </row>
    <row r="242" customFormat="false" ht="30" hidden="false" customHeight="true" outlineLevel="0" collapsed="false">
      <c r="A242" s="42" t="s">
        <v>1186</v>
      </c>
      <c r="B242" s="20" t="s">
        <v>461</v>
      </c>
      <c r="C242" s="20" t="s">
        <v>1187</v>
      </c>
      <c r="D242" s="47" t="s">
        <v>1188</v>
      </c>
      <c r="E242" s="20" t="s">
        <v>434</v>
      </c>
      <c r="F242" s="20" t="s">
        <v>412</v>
      </c>
      <c r="G242" s="20" t="s">
        <v>436</v>
      </c>
    </row>
    <row r="243" customFormat="false" ht="30" hidden="false" customHeight="true" outlineLevel="0" collapsed="false">
      <c r="A243" s="42" t="s">
        <v>1189</v>
      </c>
      <c r="B243" s="20" t="s">
        <v>461</v>
      </c>
      <c r="C243" s="20" t="s">
        <v>1190</v>
      </c>
      <c r="D243" s="47" t="s">
        <v>1191</v>
      </c>
      <c r="E243" s="20" t="s">
        <v>434</v>
      </c>
      <c r="F243" s="20" t="s">
        <v>412</v>
      </c>
      <c r="G243" s="20" t="s">
        <v>436</v>
      </c>
    </row>
    <row r="244" customFormat="false" ht="30" hidden="false" customHeight="true" outlineLevel="0" collapsed="false">
      <c r="A244" s="42" t="s">
        <v>1192</v>
      </c>
      <c r="B244" s="20" t="s">
        <v>461</v>
      </c>
      <c r="C244" s="20" t="s">
        <v>1193</v>
      </c>
      <c r="D244" s="47" t="s">
        <v>1194</v>
      </c>
      <c r="E244" s="20" t="s">
        <v>434</v>
      </c>
      <c r="F244" s="20" t="s">
        <v>412</v>
      </c>
      <c r="G244" s="20" t="s">
        <v>436</v>
      </c>
    </row>
    <row r="245" customFormat="false" ht="30" hidden="false" customHeight="true" outlineLevel="0" collapsed="false">
      <c r="A245" s="42" t="s">
        <v>1195</v>
      </c>
      <c r="B245" s="20" t="s">
        <v>489</v>
      </c>
      <c r="C245" s="20" t="s">
        <v>1196</v>
      </c>
      <c r="D245" s="47" t="s">
        <v>1197</v>
      </c>
      <c r="E245" s="20" t="s">
        <v>434</v>
      </c>
      <c r="F245" s="20" t="s">
        <v>412</v>
      </c>
      <c r="G245" s="20" t="s">
        <v>436</v>
      </c>
    </row>
    <row r="246" customFormat="false" ht="16.5" hidden="false" customHeight="true" outlineLevel="0" collapsed="false">
      <c r="A246" s="42" t="s">
        <v>1198</v>
      </c>
      <c r="B246" s="20" t="s">
        <v>461</v>
      </c>
      <c r="C246" s="20" t="s">
        <v>1199</v>
      </c>
      <c r="D246" s="47" t="s">
        <v>1200</v>
      </c>
      <c r="E246" s="20" t="s">
        <v>434</v>
      </c>
      <c r="F246" s="20" t="s">
        <v>412</v>
      </c>
      <c r="G246" s="20" t="s">
        <v>436</v>
      </c>
    </row>
    <row r="247" customFormat="false" ht="16.5" hidden="false" customHeight="true" outlineLevel="0" collapsed="false">
      <c r="A247" s="42" t="s">
        <v>1201</v>
      </c>
      <c r="B247" s="20" t="s">
        <v>646</v>
      </c>
      <c r="C247" s="20" t="s">
        <v>1202</v>
      </c>
      <c r="D247" s="47" t="s">
        <v>1203</v>
      </c>
      <c r="E247" s="20" t="s">
        <v>434</v>
      </c>
      <c r="F247" s="20" t="s">
        <v>412</v>
      </c>
      <c r="G247" s="20" t="s">
        <v>436</v>
      </c>
    </row>
    <row r="248" customFormat="false" ht="30" hidden="false" customHeight="true" outlineLevel="0" collapsed="false">
      <c r="A248" s="42" t="s">
        <v>1204</v>
      </c>
      <c r="B248" s="20" t="s">
        <v>646</v>
      </c>
      <c r="C248" s="20" t="s">
        <v>1205</v>
      </c>
      <c r="D248" s="47" t="s">
        <v>1206</v>
      </c>
      <c r="E248" s="20" t="s">
        <v>434</v>
      </c>
      <c r="F248" s="20" t="s">
        <v>412</v>
      </c>
      <c r="G248" s="20" t="s">
        <v>436</v>
      </c>
    </row>
    <row r="249" customFormat="false" ht="30" hidden="false" customHeight="true" outlineLevel="0" collapsed="false">
      <c r="A249" s="42" t="s">
        <v>1207</v>
      </c>
      <c r="B249" s="20" t="s">
        <v>461</v>
      </c>
      <c r="C249" s="20" t="s">
        <v>1208</v>
      </c>
      <c r="D249" s="47" t="s">
        <v>1209</v>
      </c>
      <c r="E249" s="20" t="s">
        <v>434</v>
      </c>
      <c r="F249" s="20" t="s">
        <v>412</v>
      </c>
      <c r="G249" s="20" t="s">
        <v>436</v>
      </c>
    </row>
    <row r="250" customFormat="false" ht="16.5" hidden="false" customHeight="true" outlineLevel="0" collapsed="false">
      <c r="A250" s="42" t="s">
        <v>1210</v>
      </c>
      <c r="B250" s="20" t="s">
        <v>461</v>
      </c>
      <c r="C250" s="20" t="s">
        <v>1211</v>
      </c>
      <c r="D250" s="47" t="s">
        <v>1212</v>
      </c>
      <c r="E250" s="20" t="s">
        <v>434</v>
      </c>
      <c r="F250" s="20" t="s">
        <v>412</v>
      </c>
      <c r="G250" s="20" t="s">
        <v>436</v>
      </c>
    </row>
    <row r="251" customFormat="false" ht="30" hidden="false" customHeight="true" outlineLevel="0" collapsed="false">
      <c r="A251" s="42" t="s">
        <v>1213</v>
      </c>
      <c r="B251" s="20" t="s">
        <v>461</v>
      </c>
      <c r="C251" s="20" t="s">
        <v>1214</v>
      </c>
      <c r="D251" s="47" t="s">
        <v>1215</v>
      </c>
      <c r="E251" s="20" t="s">
        <v>434</v>
      </c>
      <c r="F251" s="20" t="s">
        <v>412</v>
      </c>
      <c r="G251" s="20" t="s">
        <v>436</v>
      </c>
    </row>
    <row r="252" customFormat="false" ht="30" hidden="false" customHeight="true" outlineLevel="0" collapsed="false">
      <c r="A252" s="42" t="s">
        <v>1216</v>
      </c>
      <c r="B252" s="20" t="s">
        <v>461</v>
      </c>
      <c r="C252" s="20" t="s">
        <v>1217</v>
      </c>
      <c r="D252" s="47" t="s">
        <v>1218</v>
      </c>
      <c r="E252" s="20" t="s">
        <v>434</v>
      </c>
      <c r="F252" s="20" t="s">
        <v>412</v>
      </c>
      <c r="G252" s="20" t="s">
        <v>436</v>
      </c>
    </row>
    <row r="253" customFormat="false" ht="30" hidden="false" customHeight="true" outlineLevel="0" collapsed="false">
      <c r="A253" s="42" t="s">
        <v>1219</v>
      </c>
      <c r="B253" s="20" t="s">
        <v>461</v>
      </c>
      <c r="C253" s="20" t="s">
        <v>1220</v>
      </c>
      <c r="D253" s="47" t="s">
        <v>1221</v>
      </c>
      <c r="E253" s="20" t="s">
        <v>434</v>
      </c>
      <c r="F253" s="20" t="s">
        <v>412</v>
      </c>
      <c r="G253" s="20" t="s">
        <v>436</v>
      </c>
    </row>
    <row r="254" customFormat="false" ht="30" hidden="false" customHeight="true" outlineLevel="0" collapsed="false">
      <c r="A254" s="42" t="s">
        <v>1222</v>
      </c>
      <c r="B254" s="20" t="s">
        <v>461</v>
      </c>
      <c r="C254" s="20" t="s">
        <v>1223</v>
      </c>
      <c r="D254" s="47" t="s">
        <v>1224</v>
      </c>
      <c r="E254" s="20" t="s">
        <v>434</v>
      </c>
      <c r="F254" s="20" t="s">
        <v>412</v>
      </c>
      <c r="G254" s="20" t="s">
        <v>436</v>
      </c>
    </row>
  </sheetData>
  <autoFilter ref="A4:G254"/>
  <mergeCells count="2">
    <mergeCell ref="A2:G2"/>
    <mergeCell ref="A3:G3"/>
  </mergeCells>
  <hyperlinks>
    <hyperlink ref="D5" r:id="rId1" display="https://www.openintro.org/book/os/"/>
    <hyperlink ref="D6" r:id="rId2" display="https://statsthinking21.github.io/statsthinking21-core-site/"/>
    <hyperlink ref="D7" r:id="rId3" display="https://www.stat.cmu.edu/~larry/all-of-statistics/"/>
    <hyperlink ref="D8" r:id="rId4" display="https://ocw.mit.edu/courses/18-650-statistics-for-applications-fall-2016/"/>
    <hyperlink ref="D9" r:id="rId5" display="https://seeing-theory.brown.edu/"/>
    <hyperlink ref="D10" r:id="rId6" display="https://www.youtube.com/watch?v=zeJD6dqJ5lo"/>
    <hyperlink ref="D11" r:id="rId7" display="https://link.springer.com/article/10.1007/s10654-016-0149-3"/>
    <hyperlink ref="D12" r:id="rId8" display="https://www.amstat.org/asa/files/pdfs/p-valuestatement.pdf"/>
    <hyperlink ref="D13" r:id="rId9" display="https://docs.scipy.org/doc/scipy/reference/generated/scipy.stats.ttest_ind.html"/>
    <hyperlink ref="D14" r:id="rId10" display="https://www.statlearning.com/"/>
    <hyperlink ref="D15" r:id="rId11" display="https://www.nature.com/articles/nrn3475"/>
    <hyperlink ref="D16" r:id="rId12" display="https://sites.stat.columbia.edu/gelman/research/unpublished/p_hacking.pdf"/>
    <hyperlink ref="D17" r:id="rId13" display="https://www.statsmodels.org/stable/stats.html"/>
    <hyperlink ref="D18" r:id="rId14" display="https://www.evanmiller.org/ab-testing/sample-size.html"/>
    <hyperlink ref="D19" r:id="rId15" display="https://experimentguide.com/"/>
    <hyperlink ref="D20" r:id="rId16" display="https://ai.stanford.edu/~ronnyk/2009controlledExperimentsOnTheWebSurvey.pdf"/>
    <hyperlink ref="D21" r:id="rId17" display="https://exp-platform.com/Documents/puzzlingOutcomesInControlledExperiments.pdf"/>
    <hyperlink ref="D22" r:id="rId18" display="https://exp-platform.com/Documents/2013-02-CUPED-ImprovingSensitivityOfControlledExperiments.pdf"/>
    <hyperlink ref="D23" r:id="rId19" display="https://arxiv.org/abs/1512.04922"/>
    <hyperlink ref="D24" r:id="rId20" display="https://www.evanmiller.org/how-not-to-run-an-ab-test.html"/>
    <hyperlink ref="D25" r:id="rId21" display="https://www-users.cse.umn.edu/~kumar001/dmbook/ch5_association_analysis.pdf"/>
    <hyperlink ref="D26" r:id="rId22" display="http://infolab.stanford.edu/~ullman/mmds/ch6.pdf"/>
    <hyperlink ref="D27" r:id="rId23" display="https://www.vldb.org/conf/1994/P487.PDF"/>
    <hyperlink ref="D28" r:id="rId24" display="https://www.cs.sfu.ca/~jpei/publications/sigmod00.pdf"/>
    <hyperlink ref="D29" r:id="rId25" display="https://michael.hahsler.net/arules/docs/measures"/>
    <hyperlink ref="D30" r:id="rId26" display="https://rasbt.github.io/mlxtend/user_guide/frequent_patterns/association_rules/"/>
    <hyperlink ref="D31" r:id="rId27" display="https://grodri.github.io/glms/notes/c7.pdf"/>
    <hyperlink ref="D32" r:id="rId28" display="https://www.nature.com/articles/6601118"/>
    <hyperlink ref="D33" r:id="rId29" display="https://link.springer.com/book/10.1007/978-1-4419-6646-9"/>
    <hyperlink ref="D34" r:id="rId30" display="https://faculty.wharton.upenn.edu/wp-content/uploads/2012/04/Fader_hardie_jim_07.pdf"/>
    <hyperlink ref="D35" r:id="rId31" display="https://lifelines.readthedocs.io/en/latest/Survival%20Analysis%20intro.html"/>
    <hyperlink ref="D36" r:id="rId32" display="https://otexts.com/fpp3/"/>
    <hyperlink ref="D37" r:id="rId33" display="https://github.com/nickpoison/tsa4"/>
    <hyperlink ref="D38" r:id="rId34" display="https://www.itl.nist.gov/div898/handbook/pmc/section4/pmc4.htm"/>
    <hyperlink ref="D39" r:id="rId35" display="https://people.duke.edu/~rnau/411home.htm"/>
    <hyperlink ref="D40" r:id="rId36" display="https://journals.plos.org/plosone/article?id=10.1371/journal.pone.0194889"/>
    <hyperlink ref="D41" r:id="rId37" display="https://www.statsmodels.org/stable/tsa.html"/>
    <hyperlink ref="D42" r:id="rId38" display="https://www.statsmodels.org/stable/examples/notebooks/generated/exponential_smoothing.html"/>
    <hyperlink ref="D43" r:id="rId39" display="https://link.springer.com/book/10.1007/978-0-387-84858-7"/>
    <hyperlink ref="D44" r:id="rId40" display="https://cs229.stanford.edu/main_notes.pdf"/>
    <hyperlink ref="D45" r:id="rId41" display="https://www.microsoft.com/en-us/research/publication/pattern-recognition-machine-learning/"/>
    <hyperlink ref="D46" r:id="rId42" display="https://www.stat.cmu.edu/~cshalizi/ADAfaEPoV/"/>
    <hyperlink ref="D47" r:id="rId43" display="https://online.stat.psu.edu/stat501/"/>
    <hyperlink ref="D48" r:id="rId44" display="https://ocw.mit.edu/courses/18-06-linear-algebra-spring-2010/"/>
    <hyperlink ref="D49" r:id="rId45" display="https://www.statsmodels.org/stable/regression.html"/>
    <hyperlink ref="D50" r:id="rId46" display="https://people.inf.elte.hu/kiss/11dwhdm/roc.pdf"/>
    <hyperlink ref="D51" r:id="rId47" display="https://journals.plos.org/plosone/article?id=10.1371/journal.pone.0118432"/>
    <hyperlink ref="D52" r:id="rId48" display="https://cseweb.ucsd.edu/~elkan/rescale.pdf"/>
    <hyperlink ref="D53" r:id="rId49" display="https://www.cs.cornell.edu/~alexn/papers/calibration.icml05.crc.rev3.pdf"/>
    <hyperlink ref="D54" r:id="rId50" display="https://sites.stat.washington.edu/raftery/Research/PDF/Gneiting2007jasa.pdf"/>
    <hyperlink ref="D55" r:id="rId51" display="https://link.springer.com/article/10.1007/s10994-009-5119-5"/>
    <hyperlink ref="D56" r:id="rId52" display="https://scikit-learn.org/stable/modules/model_evaluation.html"/>
    <hyperlink ref="D57" r:id="rId53" display="https://scikit-learn.org/stable/modules/calibration.html"/>
    <hyperlink ref="D58" r:id="rId54" display="https://online.stat.psu.edu/stat501/lesson/12"/>
    <hyperlink ref="D59" r:id="rId55" display="https://projecteuclid.org/journals/statistical-science/volume-25/issue-3/To-Explain-or-to-Predict/10.1214/10-STS330.full"/>
    <hyperlink ref="D60" r:id="rId56" display="https://projecteuclid.org/journals/statistical-science/volume-16/issue-3/Statistical-Modeling--The-Two-Cultures-with-comments-and-a/10.1214/ss/1009213726.full"/>
    <hyperlink ref="D61" r:id="rId57" display="https://www.cs.umb.edu/~ding/history/470_670_fall_2011/papers/cs670_Tran_PreferredPaper_LeakingInDataMining.pdf"/>
    <hyperlink ref="D62" r:id="rId58" display="https://feat.engineering/"/>
    <hyperlink ref="D63" r:id="rId59" display="https://www.statsmodels.org/stable/generated/statsmodels.stats.outliers_influence.variance_inflation_factor.html"/>
    <hyperlink ref="D64" r:id="rId60" display="https://arxiv.org/abs/1812.11118"/>
    <hyperlink ref="D65" r:id="rId61" display="https://projecteuclid.org/journals/statistics-surveys/volume-4/issue-none/A-survey-of-cross-validation-procedures-for-model-selection/10.1214/09-SS054.full"/>
    <hyperlink ref="D66" r:id="rId62" display="https://bmcbioinformatics.biomedcentral.com/articles/10.1186/1471-2105-7-91"/>
    <hyperlink ref="D67" r:id="rId63" display="https://jmlr.org/papers/v11/cawley10a.html"/>
    <hyperlink ref="D68" r:id="rId64" display="https://scikit-learn.org/stable/modules/cross_validation.html"/>
    <hyperlink ref="D69" r:id="rId65" display="https://mlu-explain.github.io/bias-variance/"/>
    <hyperlink ref="D70" r:id="rId66" display="https://link.springer.com/article/10.1007/BF00058655"/>
    <hyperlink ref="D71" r:id="rId67" display="https://link.springer.com/article/10.1023/A:1010933404324"/>
    <hyperlink ref="D72" r:id="rId68" display="https://projecteuclid.org/journals/annals-of-statistics/volume-29/issue-5/Greedy-function-approximation-A-gradient-boosting-machine/10.1214/aos/1013203451.full"/>
    <hyperlink ref="D73" r:id="rId69" display="https://arxiv.org/abs/1603.02754"/>
    <hyperlink ref="D74" r:id="rId70" display="https://papers.nips.cc/paper_files/paper/2017/hash/6449f44a102fde848669bdd9eb6b76fa-Abstract.html"/>
    <hyperlink ref="D75" r:id="rId71" display="https://bmcbioinformatics.biomedcentral.com/articles/10.1186/1471-2105-8-25"/>
    <hyperlink ref="D76" r:id="rId72" display="https://arxiv.org/abs/2207.08815"/>
    <hyperlink ref="D77" r:id="rId73" display="https://scikit-learn.org/stable/modules/ensemble.html"/>
    <hyperlink ref="D78" r:id="rId74" display="https://www.youtube.com/watch?v=3CC4N4z3GJc"/>
    <hyperlink ref="D79" r:id="rId75" display="https://www.deeplearningbook.org/contents/mlp.html"/>
    <hyperlink ref="D80" r:id="rId76" display="https://d2l.ai/chapter_multilayer-perceptrons/index.html"/>
    <hyperlink ref="D81" r:id="rId77" display="http://neuralnetworksanddeeplearning.com/chap4.html"/>
    <hyperlink ref="D82" r:id="rId78" display="https://cs231n.github.io/neural-networks-1/"/>
    <hyperlink ref="D83" r:id="rId79" display="https://link.springer.com/article/10.1007/BF02551274"/>
    <hyperlink ref="D84" r:id="rId80" display="https://arxiv.org/abs/1602.04485"/>
    <hyperlink ref="D85" r:id="rId81" display="https://proceedings.mlr.press/v15/glorot11a.html"/>
    <hyperlink ref="D86" r:id="rId82" display="https://www.youtube.com/watch?v=aircAruvnKk"/>
    <hyperlink ref="D87" r:id="rId83" display="https://playground.tensorflow.org/"/>
    <hyperlink ref="D88" r:id="rId84" display="https://www.deeplearningbook.org/contents/optimization.html"/>
    <hyperlink ref="D89" r:id="rId85" display="http://neuralnetworksanddeeplearning.com/chap2.html"/>
    <hyperlink ref="D90" r:id="rId86" display="https://cs231n.github.io/optimization-2/"/>
    <hyperlink ref="D91" r:id="rId87" display="https://www.nature.com/articles/323533a0"/>
    <hyperlink ref="D92" r:id="rId88" display="https://jmlr.org/papers/v18/17-468.html"/>
    <hyperlink ref="D93" r:id="rId89" display="https://arxiv.org/abs/1412.6980"/>
    <hyperlink ref="D94" r:id="rId90" display="https://arxiv.org/abs/1609.04747"/>
    <hyperlink ref="D95" r:id="rId91" display="https://distill.pub/2017/momentum/"/>
    <hyperlink ref="D96" r:id="rId92" display="https://www.youtube.com/watch?v=VMj-3S1tku0"/>
    <hyperlink ref="D97" r:id="rId93" display="https://www.deeplearningbook.org/contents/regularization.html"/>
    <hyperlink ref="D98" r:id="rId94" display="https://proceedings.mlr.press/v9/glorot10a.html"/>
    <hyperlink ref="D99" r:id="rId95" display="https://arxiv.org/abs/1502.01852"/>
    <hyperlink ref="D100" r:id="rId96" display="https://arxiv.org/abs/1502.03167"/>
    <hyperlink ref="D101" r:id="rId97" display="https://arxiv.org/abs/1607.06450"/>
    <hyperlink ref="D102" r:id="rId98" display="https://arxiv.org/abs/1805.11604"/>
    <hyperlink ref="D103" r:id="rId99" display="https://arxiv.org/abs/1512.03385"/>
    <hyperlink ref="D104" r:id="rId100" display="https://jmlr.org/papers/v15/srivastava14a.html"/>
    <hyperlink ref="D105" r:id="rId101" display="https://arxiv.org/abs/1711.05101"/>
    <hyperlink ref="D106" r:id="rId102" display="https://karpathy.github.io/2019/04/25/recipe/"/>
    <hyperlink ref="D107" r:id="rId103" display="https://www.deeplearningbook.org/contents/rnn.html"/>
    <hyperlink ref="D108" r:id="rId104" display="https://d2l.ai/chapter_recurrent-neural-networks/index.html"/>
    <hyperlink ref="D109" r:id="rId105" display="https://web.stanford.edu/~jurafsky/slp3/"/>
    <hyperlink ref="D110" r:id="rId106" display="https://www.bioinf.jku.at/publications/older/2604.pdf"/>
    <hyperlink ref="D111" r:id="rId107" display="https://proceedings.mlr.press/v28/pascanu13.html"/>
    <hyperlink ref="D112" r:id="rId108" display="https://arxiv.org/abs/1406.1078"/>
    <hyperlink ref="D113" r:id="rId109" display="https://arxiv.org/abs/1409.3215"/>
    <hyperlink ref="D114" r:id="rId110" display="https://arxiv.org/abs/1409.0473"/>
    <hyperlink ref="D115" r:id="rId111" display="https://colah.github.io/posts/2015-08-Understanding-LSTMs/"/>
    <hyperlink ref="D116" r:id="rId112" display="https://karpathy.github.io/2015/05/21/rnn-effectiveness/"/>
    <hyperlink ref="D117" r:id="rId113" display="https://aclanthology.org/P16-1162/"/>
    <hyperlink ref="D118" r:id="rId114" display="https://aclanthology.org/P18-1007/"/>
    <hyperlink ref="D119" r:id="rId115" display="https://aclanthology.org/D18-2012/"/>
    <hyperlink ref="D120" r:id="rId116" display="https://cdn.openai.com/better-language-models/language_models_are_unsupervised_multitask_learners.pdf"/>
    <hyperlink ref="D121" r:id="rId117" display="https://arxiv.org/abs/2305.15425"/>
    <hyperlink ref="D122" r:id="rId118" display="https://huggingface.co/learn/llm-course/chapter6/1"/>
    <hyperlink ref="D123" r:id="rId119" display="https://www.youtube.com/watch?v=zduSFxRajkE"/>
    <hyperlink ref="D124" r:id="rId120" display="https://github.com/openai/tiktoken"/>
    <hyperlink ref="D125" r:id="rId121" display="https://arxiv.org/abs/1706.03762"/>
    <hyperlink ref="D126" r:id="rId122" display="https://arxiv.org/abs/2207.09238"/>
    <hyperlink ref="D127" r:id="rId123" display="https://nlp.seas.harvard.edu/annotated-transformer/"/>
    <hyperlink ref="D128" r:id="rId124" display="https://transformer-circuits.pub/2021/framework/index.html"/>
    <hyperlink ref="D129" r:id="rId125" display="https://arxiv.org/abs/2002.04745"/>
    <hyperlink ref="D130" r:id="rId126" display="https://jalammar.github.io/illustrated-transformer/"/>
    <hyperlink ref="D131" r:id="rId127" display="https://www.youtube.com/watch?v=eMlx5fFNoYc"/>
    <hyperlink ref="D132" r:id="rId128" display="https://www.youtube.com/watch?v=kCc8FmEb1nY"/>
    <hyperlink ref="D133" r:id="rId129" display="https://web.stanford.edu/class/cs224n/"/>
    <hyperlink ref="D134" r:id="rId130" display="https://arxiv.org/abs/1301.3781"/>
    <hyperlink ref="D135" r:id="rId131" display="https://arxiv.org/abs/1310.4546"/>
    <hyperlink ref="D136" r:id="rId132" display="https://aclanthology.org/D14-1162/"/>
    <hyperlink ref="D137" r:id="rId133" display="https://papers.nips.cc/paper_files/paper/2014/hash/b78666971ceae55a8e87efb7cbfd9ad4-Abstract.html"/>
    <hyperlink ref="D138" r:id="rId134" display="https://arxiv.org/abs/1810.04805"/>
    <hyperlink ref="D139" r:id="rId135" display="https://arxiv.org/abs/1908.10084"/>
    <hyperlink ref="D140" r:id="rId136" display="https://arxiv.org/abs/2104.08821"/>
    <hyperlink ref="D141" r:id="rId137" display="https://aclanthology.org/D19-1006/"/>
    <hyperlink ref="D142" r:id="rId138" display="https://arxiv.org/abs/2210.07316"/>
    <hyperlink ref="D143" r:id="rId139" display="https://jalammar.github.io/illustrated-bert/"/>
    <hyperlink ref="D144" r:id="rId140" display="https://arxiv.org/abs/1904.09751"/>
    <hyperlink ref="D145" r:id="rId141" display="https://arxiv.org/abs/1805.04833"/>
    <hyperlink ref="D146" r:id="rId142" display="https://arxiv.org/abs/2202.00666"/>
    <hyperlink ref="D147" r:id="rId143" display="https://arxiv.org/abs/1908.04319"/>
    <hyperlink ref="D148" r:id="rId144" display="https://arxiv.org/abs/2203.15721"/>
    <hyperlink ref="D149" r:id="rId145" display="https://aclanthology.org/W17-3207/"/>
    <hyperlink ref="D150" r:id="rId146" display="https://arxiv.org/abs/2211.17192"/>
    <hyperlink ref="D151" r:id="rId147" display="https://huggingface.co/blog/how-to-generate"/>
    <hyperlink ref="D152" r:id="rId148" display="https://arxiv.org/abs/2104.09864"/>
    <hyperlink ref="D153" r:id="rId149" display="https://arxiv.org/abs/2108.12409"/>
    <hyperlink ref="D154" r:id="rId150" display="https://arxiv.org/abs/1803.02155"/>
    <hyperlink ref="D155" r:id="rId151" display="https://arxiv.org/abs/2305.19466"/>
    <hyperlink ref="D156" r:id="rId152" display="https://blog.eleuther.ai/rotary-embeddings/"/>
    <hyperlink ref="D157" r:id="rId153" display="https://arxiv.org/abs/2009.06732"/>
    <hyperlink ref="D158" r:id="rId154" display="https://arxiv.org/abs/2004.05150"/>
    <hyperlink ref="D159" r:id="rId155" display="https://arxiv.org/abs/2205.14135"/>
    <hyperlink ref="D160" r:id="rId156" display="https://arxiv.org/abs/2001.08361"/>
    <hyperlink ref="D161" r:id="rId157" display="https://arxiv.org/abs/2203.15556"/>
    <hyperlink ref="D162" r:id="rId158" display="https://arxiv.org/abs/2005.14165"/>
    <hyperlink ref="D163" r:id="rId159" display="https://arxiv.org/abs/2109.01652"/>
    <hyperlink ref="D164" r:id="rId160" display="https://arxiv.org/abs/2203.02155"/>
    <hyperlink ref="D165" r:id="rId161" display="https://arxiv.org/abs/1706.03741"/>
    <hyperlink ref="D166" r:id="rId162" display="https://arxiv.org/abs/2305.18290"/>
    <hyperlink ref="D167" r:id="rId163" display="https://arxiv.org/abs/2201.11903"/>
    <hyperlink ref="D168" r:id="rId164" display="https://arxiv.org/abs/2205.11916"/>
    <hyperlink ref="D169" r:id="rId165" display="https://arxiv.org/abs/2202.12837"/>
    <hyperlink ref="D170" r:id="rId166" display="https://arxiv.org/abs/2102.09690"/>
    <hyperlink ref="D171" r:id="rId167" display="https://aclanthology.org/2022.acl-long.556/"/>
    <hyperlink ref="D172" r:id="rId168" display="https://arxiv.org/abs/2111.02080"/>
    <hyperlink ref="D173" r:id="rId169" display="https://transformer-circuits.pub/2022/in-context-learning-and-induction-heads/index.html"/>
    <hyperlink ref="D174" r:id="rId170" display="https://arxiv.org/abs/2301.00234"/>
    <hyperlink ref="D175" r:id="rId171" display="https://arxiv.org/abs/2307.09702"/>
    <hyperlink ref="D176" r:id="rId172" display="https://arxiv.org/abs/2411.15100"/>
    <hyperlink ref="D177" r:id="rId173" display="https://arxiv.org/abs/2305.13971"/>
    <hyperlink ref="D178" r:id="rId174" display="https://arxiv.org/abs/2403.06988"/>
    <hyperlink ref="D179" r:id="rId175" display="https://arxiv.org/abs/2407.08103"/>
    <hyperlink ref="D180" r:id="rId176" display="https://arxiv.org/abs/2109.05093"/>
    <hyperlink ref="D181" r:id="rId177" display="https://arxiv.org/abs/2408.02442"/>
    <hyperlink ref="D182" r:id="rId178" display="https://ocw.mit.edu/courses/18-404j-theory-of-computation-fall-2020/"/>
    <hyperlink ref="D183" r:id="rId179" display="https://json-schema.org/"/>
    <hyperlink ref="D184" r:id="rId180" display="https://github.com/dottxt-ai/outlines"/>
    <hyperlink ref="D185" r:id="rId181" display="https://arxiv.org/abs/2411.00640"/>
    <hyperlink ref="D186" r:id="rId182" display="https://aclanthology.org/P18-1128/"/>
    <hyperlink ref="D187" r:id="rId183" display="https://aclanthology.org/D12-1091/"/>
    <hyperlink ref="D188" r:id="rId184" display="https://aclanthology.org/W04-3250/"/>
    <hyperlink ref="D189" r:id="rId185" display="https://sci2s.ugr.es/keel/pdf/algorithm/articulo/dietterich1998.pdf"/>
    <hyperlink ref="D190" r:id="rId186" display="https://aclanthology.org/2020.emnlp-main.745/"/>
    <hyperlink ref="D191" r:id="rId187" display="https://aclanthology.org/J08-4004/"/>
    <hyperlink ref="D192" r:id="rId188" display="https://arxiv.org/abs/2306.05685"/>
    <hyperlink ref="D193" r:id="rId189" display="https://arxiv.org/abs/2305.17926"/>
    <hyperlink ref="D194" r:id="rId190" display="https://scikit-learn.org/stable/modules/generated/sklearn.metrics.cohen_kappa_score.html"/>
    <hyperlink ref="D195" r:id="rId191" display="https://kipp.ly/p/transformer-inference-arithmetic"/>
    <hyperlink ref="D196" r:id="rId192" display="https://blog.eleuther.ai/transformer-math/"/>
    <hyperlink ref="D197" r:id="rId193" display="https://arxiv.org/abs/2211.05102"/>
    <hyperlink ref="D198" r:id="rId194" display="https://arxiv.org/abs/2309.06180"/>
    <hyperlink ref="D199" r:id="rId195" display="https://www.usenix.org/conference/osdi22/presentation/yu"/>
    <hyperlink ref="D200" r:id="rId196" display="https://arxiv.org/abs/1911.02150"/>
    <hyperlink ref="D201" r:id="rId197" display="https://arxiv.org/abs/2305.13245"/>
    <hyperlink ref="D202" r:id="rId198" display="https://arxiv.org/abs/2208.07339"/>
    <hyperlink ref="D203" r:id="rId199" display="https://arxiv.org/abs/2210.17323"/>
    <hyperlink ref="D204" r:id="rId200" display="https://arxiv.org/abs/2306.00978"/>
    <hyperlink ref="D205" r:id="rId201" display="https://developer.nvidia.com/blog/mastering-llm-techniques-inference-optimization/"/>
    <hyperlink ref="D206" r:id="rId202" display="https://nlp.stanford.edu/IR-book/"/>
    <hyperlink ref="D207" r:id="rId203" display="https://ciir.cs.umass.edu/irbook/"/>
    <hyperlink ref="D208" r:id="rId204" display="https://www.staff.city.ac.uk/~sbrp622/papers/foundations_bm25_review.pdf"/>
    <hyperlink ref="D209" r:id="rId205" display="https://www.staff.city.ac.uk/~sbrp622/idfpapers/Robertson_idf_JDoc.pdf"/>
    <hyperlink ref="D210" r:id="rId206" display="https://arxiv.org/abs/2104.08663"/>
    <hyperlink ref="D211" r:id="rId207" display="https://arxiv.org/abs/2010.06467"/>
    <hyperlink ref="D212" r:id="rId208" display="https://web.stanford.edu/class/cs276/"/>
    <hyperlink ref="D213" r:id="rId209" display="https://www.elastic.co/blog/practical-bm25-part-2-the-bm25-algorithm-and-its-variables"/>
    <hyperlink ref="D214" r:id="rId210" display="https://arxiv.org/abs/1603.09320"/>
    <hyperlink ref="D215" r:id="rId211" display="https://www.irisa.fr/texmex/people/jegou/papers/jegou_searching_with_quantization.pdf"/>
    <hyperlink ref="D216" r:id="rId212" display="http://infolab.stanford.edu/~ullman/mmds/ch3.pdf"/>
    <hyperlink ref="D217" r:id="rId213" display="https://arxiv.org/abs/2401.08281"/>
    <hyperlink ref="D218" r:id="rId214" display="https://arxiv.org/abs/1702.08734"/>
    <hyperlink ref="D219" r:id="rId215" display="https://arxiv.org/abs/1908.10396"/>
    <hyperlink ref="D220" r:id="rId216" display="https://papers.nips.cc/paper_files/paper/2019/hash/09853c7fb1d3f8ee67a61b6bf4a7f8e6-Abstract.html"/>
    <hyperlink ref="D221" r:id="rId217" display="https://link.springer.com/chapter/10.1007/3-540-49257-7_15"/>
    <hyperlink ref="D222" r:id="rId218" display="https://arxiv.org/abs/1807.05614"/>
    <hyperlink ref="D223" r:id="rId219" display="https://ann-benchmarks.com/"/>
    <hyperlink ref="D224" r:id="rId220" display="https://www.pinecone.io/learn/series/faiss/"/>
    <hyperlink ref="D225" r:id="rId221" display="https://github.com/pgvector/pgvector"/>
    <hyperlink ref="D226" r:id="rId222" display="https://www.microsoft.com/en-us/research/publication/from-ranknet-to-lambdarank-to-lambdamart-an-overview/"/>
    <hyperlink ref="D227" r:id="rId223" display="https://arxiv.org/abs/1901.04085"/>
    <hyperlink ref="D228" r:id="rId224" display="https://arxiv.org/abs/2004.12832"/>
    <hyperlink ref="D229" r:id="rId225" display="https://arxiv.org/abs/2004.04906"/>
    <hyperlink ref="D230" r:id="rId226" display="https://arxiv.org/abs/2007.00808"/>
    <hyperlink ref="D231" r:id="rId227" display="https://arxiv.org/abs/2107.05720"/>
    <hyperlink ref="D232" r:id="rId228" display="https://plg.uwaterloo.ca/~gvcormac/cormacksigir09-rrf.pdf"/>
    <hyperlink ref="D233" r:id="rId229" display="https://sbert.net/examples/cross_encoder/applications/README.html"/>
    <hyperlink ref="D234" r:id="rId230" display="https://nlp.stanford.edu/IR-book/html/htmledition/evaluation-in-information-retrieval-1.html"/>
    <hyperlink ref="D235" r:id="rId231" display="https://faculty.cc.gatech.edu/~zha/CS8803WST/dcg.pdf"/>
    <hyperlink ref="D236" r:id="rId232" display="https://link.springer.com/chapter/10.1007/3-540-45691-0_34"/>
    <hyperlink ref="D237" r:id="rId233" display="https://arxiv.org/abs/1905.11096"/>
    <hyperlink ref="D238" r:id="rId234" display="https://arxiv.org/abs/2309.15217"/>
    <hyperlink ref="D239" r:id="rId235" display="https://arxiv.org/abs/2311.09476"/>
    <hyperlink ref="D240" r:id="rId236" display="https://arxiv.org/abs/2405.07437"/>
    <hyperlink ref="D241" r:id="rId237" display="https://trec.nist.gov/"/>
    <hyperlink ref="D242" r:id="rId238" display="https://arxiv.org/abs/2005.11401"/>
    <hyperlink ref="D243" r:id="rId239" display="https://arxiv.org/abs/2307.03172"/>
    <hyperlink ref="D244" r:id="rId240" display="https://arxiv.org/abs/2404.06654"/>
    <hyperlink ref="D245" r:id="rId241" display="https://github.com/gkamradt/needle-in-a-haystack"/>
    <hyperlink ref="D246" r:id="rId242" display="https://arxiv.org/abs/2310.03025"/>
    <hyperlink ref="D247" r:id="rId243" display="https://arxiv.org/abs/2202.03629"/>
    <hyperlink ref="D248" r:id="rId244" display="https://arxiv.org/abs/2311.05232"/>
    <hyperlink ref="D249" r:id="rId245" display="https://arxiv.org/abs/2311.14648"/>
    <hyperlink ref="D250" r:id="rId246" display="https://arxiv.org/abs/2207.05221"/>
    <hyperlink ref="D251" r:id="rId247" display="https://arxiv.org/abs/2109.07958"/>
    <hyperlink ref="D252" r:id="rId248" display="https://arxiv.org/abs/2305.14251"/>
    <hyperlink ref="D253" r:id="rId249" display="https://arxiv.org/abs/2305.14627"/>
    <hyperlink ref="D254" r:id="rId250" display="https://arxiv.org/abs/2112.12870"/>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25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2026-09-21T05:33:15Z</dcterms:created>
  <dc:creator>openpyxl</dc:creator>
  <dc:description/>
  <dc:language>en-US</dc:language>
  <cp:lastModifiedBy/>
  <dcterms:modified xsi:type="dcterms:W3CDTF">2026-09-21T05:33:17Z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