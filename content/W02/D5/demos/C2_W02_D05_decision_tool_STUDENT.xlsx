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Tree" sheetId="2" state="visible" r:id="rId2"/>
    <sheet xmlns:r="http://schemas.openxmlformats.org/officeDocument/2006/relationships" name="Quarters" sheetId="3" state="visible" r:id="rId3"/>
    <sheet xmlns:r="http://schemas.openxmlformats.org/officeDocument/2006/relationships" name="Lookup" sheetId="4" state="visible" r:id="rId4"/>
    <sheet xmlns:r="http://schemas.openxmlformats.org/officeDocument/2006/relationships" name="Card" sheetId="5" state="visible" r:id="rId5"/>
    <sheet xmlns:r="http://schemas.openxmlformats.org/officeDocument/2006/relationships" name="Rule" sheetId="6" state="visible" r:id="rId6"/>
    <sheet xmlns:r="http://schemas.openxmlformats.org/officeDocument/2006/relationships" name="Director" sheetId="7" state="visible" r:id="rId7"/>
    <sheet xmlns:r="http://schemas.openxmlformats.org/officeDocument/2006/relationships" name="Export" sheetId="8" state="visible" r:id="rId8"/>
  </sheets>
  <definedNames>
    <definedName name="_xlnm._FilterDatabase" localSheetId="6" hidden="1">'Director'!$A$4:$C$12</definedName>
  </definedNames>
  <calcPr calcId="124519" fullCalcOnLoad="1"/>
</workbook>
</file>

<file path=xl/styles.xml><?xml version="1.0" encoding="utf-8"?>
<styleSheet xmlns="http://schemas.openxmlformats.org/spreadsheetml/2006/main">
  <numFmts count="2">
    <numFmt numFmtId="164" formatCode="[&gt;=10000000]##\,##\,##\,##0;[&gt;=100000]##\,##\,##0;##,##0"/>
    <numFmt numFmtId="165" formatCode="0.0%"/>
  </numFmts>
  <fonts count="7">
    <font>
      <name val="Calibri"/>
      <family val="2"/>
      <color theme="1"/>
      <sz val="11"/>
      <scheme val="minor"/>
    </font>
    <font>
      <name val="Georgia"/>
      <color rgb="001A0F5C"/>
      <sz val="15"/>
    </font>
    <font>
      <name val="Arial"/>
      <color rgb="001A1440"/>
      <sz val="10"/>
    </font>
    <font>
      <name val="Arial"/>
      <i val="1"/>
      <color rgb="006B6690"/>
      <sz val="10"/>
    </font>
    <font>
      <name val="Arial"/>
      <b val="1"/>
      <color rgb="00FFFFFF"/>
      <sz val="10"/>
    </font>
    <font>
      <name val="Arial"/>
      <b val="1"/>
      <color rgb="001A0F5C"/>
      <sz val="10"/>
    </font>
    <font>
      <name val="Arial"/>
      <b val="1"/>
      <color rgb="001A0F5C"/>
      <sz val="11"/>
    </font>
  </fonts>
  <fills count="5">
    <fill>
      <patternFill/>
    </fill>
    <fill>
      <patternFill patternType="gray125"/>
    </fill>
    <fill>
      <patternFill patternType="solid">
        <fgColor rgb="00FFF4C2"/>
      </patternFill>
    </fill>
    <fill>
      <patternFill patternType="solid">
        <fgColor rgb="001A0F5C"/>
      </patternFill>
    </fill>
    <fill>
      <patternFill patternType="solid">
        <fgColor rgb="00EEEAFB"/>
      </patternFill>
    </fill>
  </fills>
  <borders count="6">
    <border>
      <left/>
      <right/>
      <top/>
      <bottom/>
      <diagonal/>
    </border>
    <border>
      <left style="thin">
        <color rgb="00CFC9EE"/>
      </left>
      <right style="thin">
        <color rgb="00CFC9EE"/>
      </right>
      <top style="thin">
        <color rgb="00CFC9EE"/>
      </top>
      <bottom style="thin">
        <color rgb="00CFC9EE"/>
      </bottom>
    </border>
    <border>
      <left/>
      <right/>
      <top style="thin">
        <color rgb="00CFC9EE"/>
      </top>
      <bottom/>
      <diagonal/>
    </border>
    <border>
      <left/>
      <right style="thin">
        <color rgb="00CFC9EE"/>
      </right>
      <top style="thin">
        <color rgb="00CFC9EE"/>
      </top>
      <bottom/>
      <diagonal/>
    </border>
    <border>
      <left/>
      <right/>
      <top style="thin">
        <color rgb="00CFC9EE"/>
      </top>
      <bottom style="thin">
        <color rgb="00CFC9EE"/>
      </bottom>
      <diagonal/>
    </border>
    <border>
      <left/>
      <right style="thin">
        <color rgb="00CFC9EE"/>
      </right>
      <top style="thin">
        <color rgb="00CFC9EE"/>
      </top>
      <bottom style="thin">
        <color rgb="00CFC9EE"/>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2" borderId="0" pivotButton="0" quotePrefix="0" xfId="0"/>
    <xf numFmtId="0" fontId="3" fillId="0" borderId="0" applyAlignment="1" pivotButton="0" quotePrefix="0" xfId="0">
      <alignment vertical="top" wrapText="1"/>
    </xf>
    <xf numFmtId="0" fontId="4" fillId="3" borderId="0" applyAlignment="1" pivotButton="0" quotePrefix="0" xfId="0">
      <alignment vertical="center" wrapText="1"/>
    </xf>
    <xf numFmtId="0" fontId="2" fillId="0" borderId="0" pivotButton="0" quotePrefix="0" xfId="0"/>
    <xf numFmtId="0" fontId="2" fillId="2" borderId="1" pivotButton="0" quotePrefix="0" xfId="0"/>
    <xf numFmtId="0" fontId="5" fillId="0" borderId="0" applyAlignment="1" pivotButton="0" quotePrefix="0" xfId="0">
      <alignment vertical="top" wrapText="1"/>
    </xf>
    <xf numFmtId="0" fontId="5" fillId="0" borderId="0" pivotButton="0" quotePrefix="0" xfId="0"/>
    <xf numFmtId="164" fontId="2" fillId="2" borderId="1" pivotButton="0" quotePrefix="0" xfId="0"/>
    <xf numFmtId="164" fontId="2" fillId="0" borderId="0" pivotButton="0" quotePrefix="0" xfId="0"/>
    <xf numFmtId="2" fontId="2" fillId="0" borderId="0" pivotButton="0" quotePrefix="0" xfId="0"/>
    <xf numFmtId="0" fontId="6" fillId="0" borderId="0" applyAlignment="1" pivotButton="0" quotePrefix="0" xfId="0">
      <alignment vertical="top" wrapText="1"/>
    </xf>
    <xf numFmtId="0" fontId="6" fillId="4" borderId="1" applyAlignment="1" pivotButton="0" quotePrefix="0" xfId="0">
      <alignment vertical="top" wrapText="1"/>
    </xf>
    <xf numFmtId="0" fontId="0" fillId="0" borderId="4" pivotButton="0" quotePrefix="0" xfId="0"/>
    <xf numFmtId="0" fontId="0" fillId="0" borderId="5" pivotButton="0" quotePrefix="0" xfId="0"/>
    <xf numFmtId="0" fontId="3" fillId="0" borderId="0" pivotButton="0" quotePrefix="0" xfId="0"/>
    <xf numFmtId="165" fontId="2" fillId="0" borderId="0" pivotButton="0" quotePrefix="0" xfId="0"/>
    <xf numFmtId="164"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4" customWidth="1" min="1" max="1"/>
  </cols>
  <sheetData>
    <row r="1">
      <c r="A1" s="1" t="inlineStr">
        <is>
          <t>What can a director open on Monday without a login, change in the room, and still trust?</t>
        </is>
      </c>
    </row>
    <row r="3">
      <c r="A3" s="2" t="inlineStr">
        <is>
          <t>This is the decision tool for Kalpa Retail, Week 2, Friday. Meera's chief of staff asked for three things to open on Monday without a login: the revenue tree by segment for both quarters, the top-fifty protect list with a lookup by member id, and one number on the front page with its trend, in a sheet that recalculates when a director changes an assumption in the room.</t>
        </is>
      </c>
    </row>
    <row r="4">
      <c r="A4" s="2" t="inlineStr">
        <is>
          <t>The workbook holds the six decisions the day taught, one tab per chapter, and an Export tab that assembles the note to Kavya Nair, the senior analyst who reviews every line before it reaches the chief of staff.</t>
        </is>
      </c>
    </row>
    <row r="5">
      <c r="A5" s="2" t="inlineStr">
        <is>
          <t>Yellow cells are inputs you may change; every other number and sentence is a live formula.</t>
        </is>
      </c>
    </row>
    <row r="6">
      <c r="A6" s="2" t="inlineStr">
        <is>
          <t>Each chapter tab carries one planted defect in one formula: the chapter's trap, written as a spreadsheet mistake. Read the tab's check line first, find the cell, fix the formula, and watch the verdict change.</t>
        </is>
      </c>
    </row>
    <row r="7">
      <c r="A7" s="2" t="inlineStr">
        <is>
          <t>The Export tab releases the note only when all six tabs pass their checks and every computed cell still holds its formula, so fixing one tab does not clear it, and neither does typing the right number over a formula.</t>
        </is>
      </c>
    </row>
    <row r="8">
      <c r="A8" s="2" t="inlineStr">
        <is>
          <t>Each tab's title is the question it answers. Tree asks how a director should get the tree and whether its revenue-per-order leaf multiplies back. Quarters asks whether the tree for both quarters counts each order once. Lookup asks what a lookup returns for an id the table does not hold. Card asks what must sit beside the front-page number. Rule asks where a step belongs and whether collected adds every payment. Director asks what the foot of a filtered list adds and where a director's assumption goes.</t>
        </is>
      </c>
    </row>
    <row r="9">
      <c r="A9" s="2" t="inlineStr">
        <is>
          <t>The Tree tab holds the 39 Business customers of Friday's customer table, and the Card tab holds Retail-Plus's two quarters and the company's Q2 from the raw export, each order counted once. The Quarters, Lookup, Rule and Director tabs run on invented records, labelled invented on each tab.</t>
        </is>
      </c>
    </row>
    <row r="10">
      <c r="A10" s="2" t="inlineStr">
        <is>
          <t>When you finish, use the tool on your own sheet: replace the yellow cells, fix nothing, and read the verdicts.</t>
        </is>
      </c>
    </row>
    <row r="12">
      <c r="A12" s="3" t="inlineStr">
        <is>
          <t>Yellow means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cols>
    <col width="54" customWidth="1" min="1" max="1"/>
    <col width="22" customWidth="1" min="2" max="2"/>
    <col width="18" customWidth="1" min="3" max="3"/>
    <col width="18" customWidth="1" min="4" max="4"/>
    <col width="18" customWidth="1" min="5" max="5"/>
    <col width="18" customWidth="1" min="6" max="6"/>
  </cols>
  <sheetData>
    <row r="1">
      <c r="A1" s="1" t="inlineStr">
        <is>
          <t>How should a director get the tree, and does its revenue-per-order leaf multiply back to the segment's revenue?</t>
        </is>
      </c>
    </row>
    <row r="2" ht="44" customHeight="1">
      <c r="A2" s="4" t="inlineStr">
        <is>
          <t>The chief of staff puts the tree on page two of Monday's deck. Each leaf has to be a ratio of the sums, so that customers times orders per customer times revenue per order lands back on the segment's own revenue.</t>
        </is>
      </c>
    </row>
    <row r="4">
      <c r="A4" s="5" t="inlineStr">
        <is>
          <t>What will the directors do with the tree in the room?</t>
        </is>
      </c>
      <c r="B4" s="5" t="inlineStr">
        <is>
          <t>Answer</t>
        </is>
      </c>
    </row>
    <row r="5">
      <c r="A5" s="6" t="inlineStr">
        <is>
          <t>Will a director re-slice the tree by another column?</t>
        </is>
      </c>
      <c r="B5" s="7" t="inlineStr">
        <is>
          <t>yes</t>
        </is>
      </c>
    </row>
    <row r="6">
      <c r="A6" s="6" t="inlineStr">
        <is>
          <t>Will a director change an assumption that must recalculate at once?</t>
        </is>
      </c>
      <c r="B6" s="7" t="inlineStr">
        <is>
          <t>no</t>
        </is>
      </c>
    </row>
    <row r="7">
      <c r="A7" s="6" t="inlineStr">
        <is>
          <t>Does every director have a login to the warehouse?</t>
        </is>
      </c>
      <c r="B7" s="7" t="inlineStr">
        <is>
          <t>no</t>
        </is>
      </c>
    </row>
    <row r="8" ht="18" customHeight="1">
      <c r="A8" s="8" t="inlineStr">
        <is>
          <t>The way to hand it over</t>
        </is>
      </c>
      <c r="B8" s="9">
        <f>IF(B7="yes","a live dashboard on the warehouse",IF(B6="yes","a SUMIFS grid, which recalculates at once",IF(B5="yes","a PivotTable with each leaf beside it as a ratio of its sums","values pasted from the tied tree")))</f>
        <v/>
      </c>
    </row>
    <row r="10">
      <c r="A10" s="5" t="inlineStr">
        <is>
          <t>Business customer, from the customer table</t>
        </is>
      </c>
      <c r="B10" s="5" t="inlineStr">
        <is>
          <t>Orders</t>
        </is>
      </c>
      <c r="C10" s="5" t="inlineStr">
        <is>
          <t>Revenue (Rs)</t>
        </is>
      </c>
      <c r="D10" s="5" t="inlineStr">
        <is>
          <t>Revenue per order (Rs)</t>
        </is>
      </c>
    </row>
    <row r="11">
      <c r="A11" s="6" t="inlineStr">
        <is>
          <t>C-0271</t>
        </is>
      </c>
      <c r="B11" s="7" t="n">
        <v>6</v>
      </c>
      <c r="C11" s="10" t="n">
        <v>5649000</v>
      </c>
      <c r="D11" s="11">
        <f>C11/B11</f>
        <v/>
      </c>
    </row>
    <row r="12">
      <c r="A12" s="6" t="inlineStr">
        <is>
          <t>C-0272</t>
        </is>
      </c>
      <c r="B12" s="7" t="n">
        <v>6</v>
      </c>
      <c r="C12" s="10" t="n">
        <v>5224000</v>
      </c>
      <c r="D12" s="11">
        <f>C12/B12</f>
        <v/>
      </c>
    </row>
    <row r="13">
      <c r="A13" s="6" t="inlineStr">
        <is>
          <t>C-0273</t>
        </is>
      </c>
      <c r="B13" s="7" t="n">
        <v>10</v>
      </c>
      <c r="C13" s="10" t="n">
        <v>12545000</v>
      </c>
      <c r="D13" s="11">
        <f>C13/B13</f>
        <v/>
      </c>
    </row>
    <row r="14">
      <c r="A14" s="6" t="inlineStr">
        <is>
          <t>C-0274</t>
        </is>
      </c>
      <c r="B14" s="7" t="n">
        <v>6</v>
      </c>
      <c r="C14" s="10" t="n">
        <v>4752000</v>
      </c>
      <c r="D14" s="11">
        <f>C14/B14</f>
        <v/>
      </c>
    </row>
    <row r="15">
      <c r="A15" s="6" t="inlineStr">
        <is>
          <t>C-0275</t>
        </is>
      </c>
      <c r="B15" s="7" t="n">
        <v>10</v>
      </c>
      <c r="C15" s="10" t="n">
        <v>9603000</v>
      </c>
      <c r="D15" s="11">
        <f>C15/B15</f>
        <v/>
      </c>
    </row>
    <row r="16">
      <c r="A16" s="6" t="inlineStr">
        <is>
          <t>C-0276</t>
        </is>
      </c>
      <c r="B16" s="7" t="n">
        <v>10</v>
      </c>
      <c r="C16" s="10" t="n">
        <v>9377000</v>
      </c>
      <c r="D16" s="11">
        <f>C16/B16</f>
        <v/>
      </c>
    </row>
    <row r="17">
      <c r="A17" s="6" t="inlineStr">
        <is>
          <t>C-0277</t>
        </is>
      </c>
      <c r="B17" s="7" t="n">
        <v>4</v>
      </c>
      <c r="C17" s="10" t="n">
        <v>4178000</v>
      </c>
      <c r="D17" s="11">
        <f>C17/B17</f>
        <v/>
      </c>
    </row>
    <row r="18">
      <c r="A18" s="6" t="inlineStr">
        <is>
          <t>C-0278</t>
        </is>
      </c>
      <c r="B18" s="7" t="n">
        <v>3</v>
      </c>
      <c r="C18" s="10" t="n">
        <v>4284000</v>
      </c>
      <c r="D18" s="11">
        <f>C18/B18</f>
        <v/>
      </c>
    </row>
    <row r="19">
      <c r="A19" s="6" t="inlineStr">
        <is>
          <t>C-0279</t>
        </is>
      </c>
      <c r="B19" s="7" t="n">
        <v>8</v>
      </c>
      <c r="C19" s="10" t="n">
        <v>6563000</v>
      </c>
      <c r="D19" s="11">
        <f>C19/B19</f>
        <v/>
      </c>
    </row>
    <row r="20">
      <c r="A20" s="6" t="inlineStr">
        <is>
          <t>C-0280</t>
        </is>
      </c>
      <c r="B20" s="7" t="n">
        <v>10</v>
      </c>
      <c r="C20" s="10" t="n">
        <v>8181000</v>
      </c>
      <c r="D20" s="11">
        <f>C20/B20</f>
        <v/>
      </c>
    </row>
    <row r="21">
      <c r="A21" s="6" t="inlineStr">
        <is>
          <t>C-0281</t>
        </is>
      </c>
      <c r="B21" s="7" t="n">
        <v>5</v>
      </c>
      <c r="C21" s="10" t="n">
        <v>3714000</v>
      </c>
      <c r="D21" s="11">
        <f>C21/B21</f>
        <v/>
      </c>
    </row>
    <row r="22">
      <c r="A22" s="6" t="inlineStr">
        <is>
          <t>C-0282</t>
        </is>
      </c>
      <c r="B22" s="7" t="n">
        <v>11</v>
      </c>
      <c r="C22" s="10" t="n">
        <v>6084000</v>
      </c>
      <c r="D22" s="11">
        <f>C22/B22</f>
        <v/>
      </c>
    </row>
    <row r="23">
      <c r="A23" s="6" t="inlineStr">
        <is>
          <t>C-0283</t>
        </is>
      </c>
      <c r="B23" s="7" t="n">
        <v>10</v>
      </c>
      <c r="C23" s="10" t="n">
        <v>10263000</v>
      </c>
      <c r="D23" s="11">
        <f>C23/B23</f>
        <v/>
      </c>
    </row>
    <row r="24">
      <c r="A24" s="6" t="inlineStr">
        <is>
          <t>C-0284</t>
        </is>
      </c>
      <c r="B24" s="7" t="n">
        <v>4</v>
      </c>
      <c r="C24" s="10" t="n">
        <v>3532000</v>
      </c>
      <c r="D24" s="11">
        <f>C24/B24</f>
        <v/>
      </c>
    </row>
    <row r="25">
      <c r="A25" s="6" t="inlineStr">
        <is>
          <t>C-0285</t>
        </is>
      </c>
      <c r="B25" s="7" t="n">
        <v>2</v>
      </c>
      <c r="C25" s="10" t="n">
        <v>2421000</v>
      </c>
      <c r="D25" s="11">
        <f>C25/B25</f>
        <v/>
      </c>
    </row>
    <row r="26">
      <c r="A26" s="6" t="inlineStr">
        <is>
          <t>C-0286</t>
        </is>
      </c>
      <c r="B26" s="7" t="n">
        <v>4</v>
      </c>
      <c r="C26" s="10" t="n">
        <v>22310600</v>
      </c>
      <c r="D26" s="11">
        <f>C26/B26</f>
        <v/>
      </c>
    </row>
    <row r="27">
      <c r="A27" s="6" t="inlineStr">
        <is>
          <t>C-0287</t>
        </is>
      </c>
      <c r="B27" s="7" t="n">
        <v>3</v>
      </c>
      <c r="C27" s="10" t="n">
        <v>1874000</v>
      </c>
      <c r="D27" s="11">
        <f>C27/B27</f>
        <v/>
      </c>
    </row>
    <row r="28">
      <c r="A28" s="6" t="inlineStr">
        <is>
          <t>C-0288</t>
        </is>
      </c>
      <c r="B28" s="7" t="n">
        <v>4</v>
      </c>
      <c r="C28" s="10" t="n">
        <v>3912000</v>
      </c>
      <c r="D28" s="11">
        <f>C28/B28</f>
        <v/>
      </c>
    </row>
    <row r="29">
      <c r="A29" s="6" t="inlineStr">
        <is>
          <t>C-0289</t>
        </is>
      </c>
      <c r="B29" s="7" t="n">
        <v>3</v>
      </c>
      <c r="C29" s="10" t="n">
        <v>3172000</v>
      </c>
      <c r="D29" s="11">
        <f>C29/B29</f>
        <v/>
      </c>
    </row>
    <row r="30">
      <c r="A30" s="6" t="inlineStr">
        <is>
          <t>C-0290</t>
        </is>
      </c>
      <c r="B30" s="7" t="n">
        <v>6</v>
      </c>
      <c r="C30" s="10" t="n">
        <v>5306000</v>
      </c>
      <c r="D30" s="11">
        <f>C30/B30</f>
        <v/>
      </c>
    </row>
    <row r="31">
      <c r="A31" s="6" t="inlineStr">
        <is>
          <t>C-0291</t>
        </is>
      </c>
      <c r="B31" s="7" t="n">
        <v>2</v>
      </c>
      <c r="C31" s="10" t="n">
        <v>13395440</v>
      </c>
      <c r="D31" s="11">
        <f>C31/B31</f>
        <v/>
      </c>
    </row>
    <row r="32">
      <c r="A32" s="6" t="inlineStr">
        <is>
          <t>C-0292</t>
        </is>
      </c>
      <c r="B32" s="7" t="n">
        <v>2</v>
      </c>
      <c r="C32" s="10" t="n">
        <v>668000</v>
      </c>
      <c r="D32" s="11">
        <f>C32/B32</f>
        <v/>
      </c>
    </row>
    <row r="33">
      <c r="A33" s="6" t="inlineStr">
        <is>
          <t>C-0293</t>
        </is>
      </c>
      <c r="B33" s="7" t="n">
        <v>5</v>
      </c>
      <c r="C33" s="10" t="n">
        <v>4950000</v>
      </c>
      <c r="D33" s="11">
        <f>C33/B33</f>
        <v/>
      </c>
    </row>
    <row r="34">
      <c r="A34" s="6" t="inlineStr">
        <is>
          <t>C-0294</t>
        </is>
      </c>
      <c r="B34" s="7" t="n">
        <v>5</v>
      </c>
      <c r="C34" s="10" t="n">
        <v>3705000</v>
      </c>
      <c r="D34" s="11">
        <f>C34/B34</f>
        <v/>
      </c>
    </row>
    <row r="35">
      <c r="A35" s="6" t="inlineStr">
        <is>
          <t>C-0295</t>
        </is>
      </c>
      <c r="B35" s="7" t="n">
        <v>6</v>
      </c>
      <c r="C35" s="10" t="n">
        <v>4441000</v>
      </c>
      <c r="D35" s="11">
        <f>C35/B35</f>
        <v/>
      </c>
    </row>
    <row r="36">
      <c r="A36" s="6" t="inlineStr">
        <is>
          <t>C-0296</t>
        </is>
      </c>
      <c r="B36" s="7" t="n">
        <v>6</v>
      </c>
      <c r="C36" s="10" t="n">
        <v>5330000</v>
      </c>
      <c r="D36" s="11">
        <f>C36/B36</f>
        <v/>
      </c>
    </row>
    <row r="37">
      <c r="A37" s="6" t="inlineStr">
        <is>
          <t>C-0297</t>
        </is>
      </c>
      <c r="B37" s="7" t="n">
        <v>1</v>
      </c>
      <c r="C37" s="10" t="n">
        <v>1127000</v>
      </c>
      <c r="D37" s="11">
        <f>C37/B37</f>
        <v/>
      </c>
    </row>
    <row r="38">
      <c r="A38" s="6" t="inlineStr">
        <is>
          <t>C-0298</t>
        </is>
      </c>
      <c r="B38" s="7" t="n">
        <v>1</v>
      </c>
      <c r="C38" s="10" t="n">
        <v>880000</v>
      </c>
      <c r="D38" s="11">
        <f>C38/B38</f>
        <v/>
      </c>
    </row>
    <row r="39">
      <c r="A39" s="6" t="inlineStr">
        <is>
          <t>C-0299</t>
        </is>
      </c>
      <c r="B39" s="7" t="n">
        <v>2</v>
      </c>
      <c r="C39" s="10" t="n">
        <v>2649000</v>
      </c>
      <c r="D39" s="11">
        <f>C39/B39</f>
        <v/>
      </c>
    </row>
    <row r="40">
      <c r="A40" s="6" t="inlineStr">
        <is>
          <t>C-0300</t>
        </is>
      </c>
      <c r="B40" s="7" t="n">
        <v>2</v>
      </c>
      <c r="C40" s="10" t="n">
        <v>2978000</v>
      </c>
      <c r="D40" s="11">
        <f>C40/B40</f>
        <v/>
      </c>
    </row>
    <row r="41">
      <c r="A41" s="6" t="inlineStr">
        <is>
          <t>C-0302</t>
        </is>
      </c>
      <c r="B41" s="7" t="n">
        <v>3</v>
      </c>
      <c r="C41" s="10" t="n">
        <v>1974000</v>
      </c>
      <c r="D41" s="11">
        <f>C41/B41</f>
        <v/>
      </c>
    </row>
    <row r="42">
      <c r="A42" s="6" t="inlineStr">
        <is>
          <t>C-0303</t>
        </is>
      </c>
      <c r="B42" s="7" t="n">
        <v>2</v>
      </c>
      <c r="C42" s="10" t="n">
        <v>1536000</v>
      </c>
      <c r="D42" s="11">
        <f>C42/B42</f>
        <v/>
      </c>
    </row>
    <row r="43">
      <c r="A43" s="6" t="inlineStr">
        <is>
          <t>C-0304</t>
        </is>
      </c>
      <c r="B43" s="7" t="n">
        <v>3</v>
      </c>
      <c r="C43" s="10" t="n">
        <v>2853000</v>
      </c>
      <c r="D43" s="11">
        <f>C43/B43</f>
        <v/>
      </c>
    </row>
    <row r="44">
      <c r="A44" s="6" t="inlineStr">
        <is>
          <t>C-0305</t>
        </is>
      </c>
      <c r="B44" s="7" t="n">
        <v>3</v>
      </c>
      <c r="C44" s="10" t="n">
        <v>2753000</v>
      </c>
      <c r="D44" s="11">
        <f>C44/B44</f>
        <v/>
      </c>
    </row>
    <row r="45">
      <c r="A45" s="6" t="inlineStr">
        <is>
          <t>C-0306</t>
        </is>
      </c>
      <c r="B45" s="7" t="n">
        <v>5</v>
      </c>
      <c r="C45" s="10" t="n">
        <v>5174000</v>
      </c>
      <c r="D45" s="11">
        <f>C45/B45</f>
        <v/>
      </c>
    </row>
    <row r="46">
      <c r="A46" s="6" t="inlineStr">
        <is>
          <t>C-0307</t>
        </is>
      </c>
      <c r="B46" s="7" t="n">
        <v>6</v>
      </c>
      <c r="C46" s="10" t="n">
        <v>3284000</v>
      </c>
      <c r="D46" s="11">
        <f>C46/B46</f>
        <v/>
      </c>
    </row>
    <row r="47">
      <c r="A47" s="6" t="inlineStr">
        <is>
          <t>C-0308</t>
        </is>
      </c>
      <c r="B47" s="7" t="n">
        <v>4</v>
      </c>
      <c r="C47" s="10" t="n">
        <v>2590000</v>
      </c>
      <c r="D47" s="11">
        <f>C47/B47</f>
        <v/>
      </c>
    </row>
    <row r="48">
      <c r="A48" s="6" t="inlineStr">
        <is>
          <t>C-0309</t>
        </is>
      </c>
      <c r="B48" s="7" t="n">
        <v>2</v>
      </c>
      <c r="C48" s="10" t="n">
        <v>1446000</v>
      </c>
      <c r="D48" s="11">
        <f>C48/B48</f>
        <v/>
      </c>
    </row>
    <row r="49">
      <c r="A49" s="6" t="inlineStr">
        <is>
          <t>C-0310</t>
        </is>
      </c>
      <c r="B49" s="7" t="n">
        <v>3</v>
      </c>
      <c r="C49" s="10" t="n">
        <v>1921000</v>
      </c>
      <c r="D49" s="11">
        <f>C49/B49</f>
        <v/>
      </c>
    </row>
    <row r="51">
      <c r="A51" s="9" t="inlineStr">
        <is>
          <t>Customers</t>
        </is>
      </c>
      <c r="B51" s="6">
        <f>COUNT(B11:B49)</f>
        <v/>
      </c>
    </row>
    <row r="52">
      <c r="A52" s="9" t="inlineStr">
        <is>
          <t>Orders</t>
        </is>
      </c>
      <c r="B52" s="6">
        <f>SUM(B11:B49)</f>
        <v/>
      </c>
    </row>
    <row r="53">
      <c r="A53" s="9" t="inlineStr">
        <is>
          <t>Revenue (Rs)</t>
        </is>
      </c>
      <c r="B53" s="11">
        <f>SUM(C11:C49)</f>
        <v/>
      </c>
    </row>
    <row r="54">
      <c r="A54" s="6" t="inlineStr">
        <is>
          <t>Orders per customer</t>
        </is>
      </c>
      <c r="B54" s="12">
        <f>B52/B51</f>
        <v/>
      </c>
    </row>
    <row r="55">
      <c r="A55" s="9" t="inlineStr">
        <is>
          <t>Revenue per order (Rs)</t>
        </is>
      </c>
      <c r="B55" s="11">
        <f>AVERAGE(D11:D49)</f>
        <v/>
      </c>
    </row>
    <row r="56">
      <c r="A56" s="6" t="inlineStr">
        <is>
          <t>The three leaves multiplied back (Rs)</t>
        </is>
      </c>
      <c r="B56" s="11">
        <f>B51*B54*B55</f>
        <v/>
      </c>
    </row>
    <row r="57" ht="44" customHeight="1">
      <c r="A57" s="8" t="inlineStr">
        <is>
          <t>The check</t>
        </is>
      </c>
      <c r="B57" s="2">
        <f>IF(ABS(B56-B53)&gt;=1,"The leaves multiply back to "&amp;IF(ABS(B56)&gt;=10000000,"Rs "&amp;TEXT(ABS(B56)/10000000,"0.00")&amp;" crore",IF(ABS(B56)&gt;=100000,"Rs "&amp;TEXT(ABS(B56)/100000,"0.00")&amp;" lakh",IF(ABS(B56)&lt;0,"minus ","")&amp;"Rs "&amp;IF(ROUND(ABS(ABS(B56)),0)&gt;=10000000,INT(ROUND(ABS(ABS(B56)),0)/10000000)&amp;","&amp;TEXT(INT(MOD(ROUND(ABS(ABS(B56)),0),10000000)/100000),"00")&amp;","&amp;TEXT(INT(MOD(ROUND(ABS(ABS(B56)),0),100000)/1000),"00")&amp;","&amp;TEXT(MOD(ROUND(ABS(ABS(B56)),0),1000),"000"),IF(ROUND(ABS(ABS(B56)),0)&gt;=100000,INT(ROUND(ABS(ABS(B56)),0)/100000)&amp;","&amp;TEXT(INT(MOD(ROUND(ABS(ABS(B56)),0),100000)/1000),"00")&amp;","&amp;TEXT(MOD(ROUND(ABS(ABS(B56)),0),1000),"000"),IF(ROUND(ABS(ABS(B56)),0)&gt;=1000,INT(ROUND(ABS(ABS(B56)),0)/1000)&amp;","&amp;TEXT(MOD(ROUND(ABS(ABS(B56)),0),1000),"000"),ROUND(ABS(ABS(B56)),0)&amp;"")))))&amp;" against the segment's "&amp;IF(B53&lt;0,"minus ","")&amp;"Rs "&amp;IF(ROUND(ABS(B53),0)&gt;=10000000,INT(ROUND(ABS(B53),0)/10000000)&amp;","&amp;TEXT(INT(MOD(ROUND(ABS(B53),0),10000000)/100000),"00")&amp;","&amp;TEXT(INT(MOD(ROUND(ABS(B53),0),100000)/1000),"00")&amp;","&amp;TEXT(MOD(ROUND(ABS(B53),0),1000),"000"),IF(ROUND(ABS(B53),0)&gt;=100000,INT(ROUND(ABS(B53),0)/100000)&amp;","&amp;TEXT(INT(MOD(ROUND(ABS(B53),0),100000)/1000),"00")&amp;","&amp;TEXT(MOD(ROUND(ABS(B53),0),1000),"000"),IF(ROUND(ABS(B53),0)&gt;=1000,INT(ROUND(ABS(B53),0)/1000)&amp;","&amp;TEXT(MOD(ROUND(ABS(B53),0),1000),"000"),ROUND(ABS(B53),0)&amp;"")))&amp;": the revenue-per-order leaf averages each customer's own ratio, so a customer with one huge order counts as much as a customer with eleven. Fix it first.","The leaves multiply back to the segment's "&amp;IF(B53&lt;0,"minus ","")&amp;"Rs "&amp;IF(ROUND(ABS(B53),0)&gt;=10000000,INT(ROUND(ABS(B53),0)/10000000)&amp;","&amp;TEXT(INT(MOD(ROUND(ABS(B53),0),10000000)/100000),"00")&amp;","&amp;TEXT(INT(MOD(ROUND(ABS(B53),0),100000)/1000),"00")&amp;","&amp;TEXT(MOD(ROUND(ABS(B53),0),1000),"000"),IF(ROUND(ABS(B53),0)&gt;=100000,INT(ROUND(ABS(B53),0)/100000)&amp;","&amp;TEXT(INT(MOD(ROUND(ABS(B53),0),100000)/1000),"00")&amp;","&amp;TEXT(MOD(ROUND(ABS(B53),0),1000),"000"),IF(ROUND(ABS(B53),0)&gt;=1000,INT(ROUND(ABS(B53),0)/1000)&amp;","&amp;TEXT(MOD(ROUND(ABS(B53),0),1000),"000"),ROUND(ABS(B53),0)&amp;"")))&amp;" to the rupee.")</f>
        <v/>
      </c>
    </row>
    <row r="59" ht="48" customHeight="1">
      <c r="A59" s="13" t="inlineStr">
        <is>
          <t>Verdict</t>
        </is>
      </c>
      <c r="B59" s="14">
        <f>IF(ABS(B56-B53)&gt;=1,"Fix the revenue-per-order leaf before the tree goes on a page.","Hand the directors "&amp;B8&amp;". Business: "&amp;B51&amp;" customers placed "&amp;TEXT(B54,"0.00")&amp;" orders each at "&amp;IF(B55&lt;0,"minus ","")&amp;"Rs "&amp;IF(ROUND(ABS(B55),0)&gt;=10000000,INT(ROUND(ABS(B55),0)/10000000)&amp;","&amp;TEXT(INT(MOD(ROUND(ABS(B55),0),10000000)/100000),"00")&amp;","&amp;TEXT(INT(MOD(ROUND(ABS(B55),0),100000)/1000),"00")&amp;","&amp;TEXT(MOD(ROUND(ABS(B55),0),1000),"000"),IF(ROUND(ABS(B55),0)&gt;=100000,INT(ROUND(ABS(B55),0)/100000)&amp;","&amp;TEXT(INT(MOD(ROUND(ABS(B55),0),100000)/1000),"00")&amp;","&amp;TEXT(MOD(ROUND(ABS(B55),0),1000),"000"),IF(ROUND(ABS(B55),0)&gt;=1000,INT(ROUND(ABS(B55),0)/1000)&amp;","&amp;TEXT(MOD(ROUND(ABS(B55),0),1000),"000"),ROUND(ABS(B55),0)&amp;"")))&amp;" an order, "&amp;IF(B53&lt;0,"minus ","")&amp;"Rs "&amp;IF(ROUND(ABS(B53),0)&gt;=10000000,INT(ROUND(ABS(B53),0)/10000000)&amp;","&amp;TEXT(INT(MOD(ROUND(ABS(B53),0),10000000)/100000),"00")&amp;","&amp;TEXT(INT(MOD(ROUND(ABS(B53),0),100000)/1000),"00")&amp;","&amp;TEXT(MOD(ROUND(ABS(B53),0),1000),"000"),IF(ROUND(ABS(B53),0)&gt;=100000,INT(ROUND(ABS(B53),0)/100000)&amp;","&amp;TEXT(INT(MOD(ROUND(ABS(B53),0),100000)/1000),"00")&amp;","&amp;TEXT(MOD(ROUND(ABS(B53),0),1000),"000"),IF(ROUND(ABS(B53),0)&gt;=1000,INT(ROUND(ABS(B53),0)/1000)&amp;","&amp;TEXT(MOD(ROUND(ABS(B53),0),1000),"000"),ROUND(ABS(B53),0)&amp;"")))&amp;" in all, and the leaves multiply back to the rupee.")</f>
        <v/>
      </c>
      <c r="C59" s="15" t="n"/>
      <c r="D59" s="15" t="n"/>
      <c r="E59" s="15" t="n"/>
      <c r="F59" s="16" t="n"/>
    </row>
    <row r="60">
      <c r="A60" s="17" t="inlineStr">
        <is>
          <t>Fixed, for the Export tab</t>
        </is>
      </c>
      <c r="B60" s="6">
        <f>IF(ABS(B55-B53/B52)&lt;0.5,1,0)</f>
        <v/>
      </c>
    </row>
    <row r="62">
      <c r="A62" s="17" t="inlineStr">
        <is>
          <t>Each Business customer's ratio sits in column D; the leaf the tree needs is the sum of revenue over the sum of orders, because revenue per order is a claim about orders.</t>
        </is>
      </c>
    </row>
  </sheetData>
  <mergeCells count="4">
    <mergeCell ref="A2:F2"/>
    <mergeCell ref="B57:F57"/>
    <mergeCell ref="B59:F59"/>
    <mergeCell ref="B8:F8"/>
  </mergeCells>
  <dataValidations count="3">
    <dataValidation sqref="B5" showDropDown="0" showInputMessage="0" showErrorMessage="0" allowBlank="0" type="list">
      <formula1>"yes,no"</formula1>
    </dataValidation>
    <dataValidation sqref="B6" showDropDown="0" showInputMessage="0" showErrorMessage="0" allowBlank="0" type="list">
      <formula1>"yes,no"</formula1>
    </dataValidation>
    <dataValidation sqref="B7"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4" customWidth="1" min="1" max="1"/>
    <col width="22" customWidth="1" min="2" max="2"/>
    <col width="18" customWidth="1" min="3" max="3"/>
    <col width="18" customWidth="1" min="4" max="4"/>
    <col width="18" customWidth="1" min="5" max="5"/>
    <col width="18" customWidth="1" min="6" max="6"/>
  </cols>
  <sheetData>
    <row r="1">
      <c r="A1" s="1" t="inlineStr">
        <is>
          <t>Does the tree for both quarters count each order once, and does it tie to the warehouse's control totals?</t>
        </is>
      </c>
    </row>
    <row r="2" ht="44" customHeight="1">
      <c r="A2" s="4" t="inlineStr">
        <is>
          <t>The raw export holds one row per payment, with the order's amount repeated on each row, so an order paid in two instalments, or posted twice by the gateway, sits on two rows. A total counts each order once before it is compared with the warehouse.</t>
        </is>
      </c>
    </row>
    <row r="4">
      <c r="A4" s="5" t="inlineStr">
        <is>
          <t>Order id (invented)</t>
        </is>
      </c>
      <c r="B4" s="5" t="inlineStr">
        <is>
          <t>Quarter</t>
        </is>
      </c>
      <c r="C4" s="5" t="inlineStr">
        <is>
          <t>Order amount (Rs)</t>
        </is>
      </c>
      <c r="D4" s="5" t="inlineStr">
        <is>
          <t>Paid amount (Rs)</t>
        </is>
      </c>
      <c r="E4" s="5" t="inlineStr">
        <is>
          <t>First row of this order</t>
        </is>
      </c>
    </row>
    <row r="5">
      <c r="A5" s="7" t="inlineStr">
        <is>
          <t>O-101</t>
        </is>
      </c>
      <c r="B5" s="7" t="inlineStr">
        <is>
          <t>Q1</t>
        </is>
      </c>
      <c r="C5" s="10" t="n">
        <v>1000</v>
      </c>
      <c r="D5" s="10" t="n">
        <v>1000</v>
      </c>
      <c r="E5" s="6">
        <f>IF(COUNTIF($A$5:A5,A5)=1,1,0)</f>
        <v/>
      </c>
    </row>
    <row r="6">
      <c r="A6" s="7" t="inlineStr">
        <is>
          <t>O-102</t>
        </is>
      </c>
      <c r="B6" s="7" t="inlineStr">
        <is>
          <t>Q1</t>
        </is>
      </c>
      <c r="C6" s="10" t="n">
        <v>3000</v>
      </c>
      <c r="D6" s="10" t="n">
        <v>1800</v>
      </c>
      <c r="E6" s="6">
        <f>IF(COUNTIF($A$5:A6,A6)=1,1,0)</f>
        <v/>
      </c>
    </row>
    <row r="7">
      <c r="A7" s="7" t="inlineStr">
        <is>
          <t>O-102</t>
        </is>
      </c>
      <c r="B7" s="7" t="inlineStr">
        <is>
          <t>Q1</t>
        </is>
      </c>
      <c r="C7" s="10" t="n">
        <v>3000</v>
      </c>
      <c r="D7" s="10" t="n">
        <v>1200</v>
      </c>
      <c r="E7" s="6">
        <f>IF(COUNTIF($A$5:A7,A7)=1,1,0)</f>
        <v/>
      </c>
    </row>
    <row r="8">
      <c r="A8" s="7" t="inlineStr">
        <is>
          <t>O-103</t>
        </is>
      </c>
      <c r="B8" s="7" t="inlineStr">
        <is>
          <t>Q1</t>
        </is>
      </c>
      <c r="C8" s="10" t="n">
        <v>2500</v>
      </c>
      <c r="D8" s="10" t="n">
        <v>2500</v>
      </c>
      <c r="E8" s="6">
        <f>IF(COUNTIF($A$5:A8,A8)=1,1,0)</f>
        <v/>
      </c>
    </row>
    <row r="9">
      <c r="A9" s="7" t="inlineStr">
        <is>
          <t>O-103</t>
        </is>
      </c>
      <c r="B9" s="7" t="inlineStr">
        <is>
          <t>Q1</t>
        </is>
      </c>
      <c r="C9" s="10" t="n">
        <v>2500</v>
      </c>
      <c r="D9" s="10" t="n">
        <v>2500</v>
      </c>
      <c r="E9" s="6">
        <f>IF(COUNTIF($A$5:A9,A9)=1,1,0)</f>
        <v/>
      </c>
    </row>
    <row r="10">
      <c r="A10" s="7" t="inlineStr">
        <is>
          <t>O-201</t>
        </is>
      </c>
      <c r="B10" s="7" t="inlineStr">
        <is>
          <t>Q2</t>
        </is>
      </c>
      <c r="C10" s="10" t="n">
        <v>2000</v>
      </c>
      <c r="D10" s="10" t="n">
        <v>2000</v>
      </c>
      <c r="E10" s="6">
        <f>IF(COUNTIF($A$5:A10,A10)=1,1,0)</f>
        <v/>
      </c>
    </row>
    <row r="11">
      <c r="A11" s="7" t="inlineStr">
        <is>
          <t>O-202</t>
        </is>
      </c>
      <c r="B11" s="7" t="inlineStr">
        <is>
          <t>Q2</t>
        </is>
      </c>
      <c r="C11" s="10" t="n">
        <v>2500</v>
      </c>
      <c r="D11" s="10" t="n">
        <v>2500</v>
      </c>
      <c r="E11" s="6">
        <f>IF(COUNTIF($A$5:A11,A11)=1,1,0)</f>
        <v/>
      </c>
    </row>
    <row r="12">
      <c r="A12" s="7" t="inlineStr">
        <is>
          <t>O-203</t>
        </is>
      </c>
      <c r="B12" s="7" t="inlineStr">
        <is>
          <t>Q2</t>
        </is>
      </c>
      <c r="C12" s="10" t="n">
        <v>2200</v>
      </c>
      <c r="D12" s="10" t="n">
        <v>1200</v>
      </c>
      <c r="E12" s="6">
        <f>IF(COUNTIF($A$5:A12,A12)=1,1,0)</f>
        <v/>
      </c>
    </row>
    <row r="13">
      <c r="A13" s="7" t="inlineStr">
        <is>
          <t>O-203</t>
        </is>
      </c>
      <c r="B13" s="7" t="inlineStr">
        <is>
          <t>Q2</t>
        </is>
      </c>
      <c r="C13" s="10" t="n">
        <v>2200</v>
      </c>
      <c r="D13" s="10" t="n">
        <v>1000</v>
      </c>
      <c r="E13" s="6">
        <f>IF(COUNTIF($A$5:A13,A13)=1,1,0)</f>
        <v/>
      </c>
    </row>
    <row r="15">
      <c r="A15" s="5" t="inlineStr">
        <is>
          <t>Control totals from the warehouse (invented)</t>
        </is>
      </c>
      <c r="B15" s="5" t="inlineStr">
        <is>
          <t>Q1</t>
        </is>
      </c>
      <c r="C15" s="5" t="inlineStr">
        <is>
          <t>Q2</t>
        </is>
      </c>
    </row>
    <row r="16">
      <c r="A16" s="6" t="inlineStr">
        <is>
          <t>Orders</t>
        </is>
      </c>
      <c r="B16" s="7" t="n">
        <v>3</v>
      </c>
      <c r="C16" s="7" t="n">
        <v>3</v>
      </c>
    </row>
    <row r="17">
      <c r="A17" s="6" t="inlineStr">
        <is>
          <t>Revenue (Rs)</t>
        </is>
      </c>
      <c r="B17" s="10" t="n">
        <v>6500</v>
      </c>
      <c r="C17" s="10" t="n">
        <v>6700</v>
      </c>
    </row>
    <row r="19">
      <c r="A19" s="5" t="inlineStr">
        <is>
          <t>The tree's quarters</t>
        </is>
      </c>
      <c r="B19" s="5" t="inlineStr">
        <is>
          <t>Q1</t>
        </is>
      </c>
      <c r="C19" s="5" t="inlineStr">
        <is>
          <t>Q2</t>
        </is>
      </c>
    </row>
    <row r="20">
      <c r="A20" s="6" t="inlineStr">
        <is>
          <t>Rows in the export</t>
        </is>
      </c>
      <c r="B20" s="6">
        <f>COUNTIF(B5:B13,"Q1")</f>
        <v/>
      </c>
      <c r="C20" s="6">
        <f>COUNTIF(B5:B13,"Q2")</f>
        <v/>
      </c>
    </row>
    <row r="21">
      <c r="A21" s="6" t="inlineStr">
        <is>
          <t>Orders, each counted once</t>
        </is>
      </c>
      <c r="B21" s="6">
        <f>SUMIFS(E5:E13,B5:B13,"Q1")</f>
        <v/>
      </c>
      <c r="C21" s="6">
        <f>SUMIFS(E5:E13,B5:B13,"Q2")</f>
        <v/>
      </c>
    </row>
    <row r="22">
      <c r="A22" s="9" t="inlineStr">
        <is>
          <t>Revenue counted (Rs)</t>
        </is>
      </c>
      <c r="B22" s="11">
        <f>SUMIFS(C5:C13,B5:B13,"Q1")</f>
        <v/>
      </c>
      <c r="C22" s="11">
        <f>SUMIFS(C5:C13,B5:B13,"Q2")</f>
        <v/>
      </c>
    </row>
    <row r="23">
      <c r="A23" s="6" t="inlineStr">
        <is>
          <t>Q2 against Q1</t>
        </is>
      </c>
      <c r="B23" s="18">
        <f>(C22-B22)/B22</f>
        <v/>
      </c>
    </row>
    <row r="24" ht="44" customHeight="1">
      <c r="A24" s="8" t="inlineStr">
        <is>
          <t>The check</t>
        </is>
      </c>
      <c r="B24" s="2">
        <f>IF(AND(B22=B17,C22=C17,B21=B16,C21=C16),"Both quarters tie to the control totals, orders and rupees, with each of the "&amp;(B21+C21)&amp;" orders counted once.","The quarters add "&amp;IF(B22&lt;0,"minus ","")&amp;"Rs "&amp;IF(ROUND(ABS(B22),0)&gt;=10000000,INT(ROUND(ABS(B22),0)/10000000)&amp;","&amp;TEXT(INT(MOD(ROUND(ABS(B22),0),10000000)/100000),"00")&amp;","&amp;TEXT(INT(MOD(ROUND(ABS(B22),0),100000)/1000),"00")&amp;","&amp;TEXT(MOD(ROUND(ABS(B22),0),1000),"000"),IF(ROUND(ABS(B22),0)&gt;=100000,INT(ROUND(ABS(B22),0)/100000)&amp;","&amp;TEXT(INT(MOD(ROUND(ABS(B22),0),100000)/1000),"00")&amp;","&amp;TEXT(MOD(ROUND(ABS(B22),0),1000),"000"),IF(ROUND(ABS(B22),0)&gt;=1000,INT(ROUND(ABS(B22),0)/1000)&amp;","&amp;TEXT(MOD(ROUND(ABS(B22),0),1000),"000"),ROUND(ABS(B22),0)&amp;"")))&amp;" and "&amp;IF(C22&lt;0,"minus ","")&amp;"Rs "&amp;IF(ROUND(ABS(C22),0)&gt;=10000000,INT(ROUND(ABS(C22),0)/10000000)&amp;","&amp;TEXT(INT(MOD(ROUND(ABS(C22),0),10000000)/100000),"00")&amp;","&amp;TEXT(INT(MOD(ROUND(ABS(C22),0),100000)/1000),"00")&amp;","&amp;TEXT(MOD(ROUND(ABS(C22),0),1000),"000"),IF(ROUND(ABS(C22),0)&gt;=100000,INT(ROUND(ABS(C22),0)/100000)&amp;","&amp;TEXT(INT(MOD(ROUND(ABS(C22),0),100000)/1000),"00")&amp;","&amp;TEXT(MOD(ROUND(ABS(C22),0),1000),"000"),IF(ROUND(ABS(C22),0)&gt;=1000,INT(ROUND(ABS(C22),0)/1000)&amp;","&amp;TEXT(MOD(ROUND(ABS(C22),0),1000),"000"),ROUND(ABS(C22),0)&amp;"")))&amp;" against control totals of "&amp;IF(B17&lt;0,"minus ","")&amp;"Rs "&amp;IF(ROUND(ABS(B17),0)&gt;=10000000,INT(ROUND(ABS(B17),0)/10000000)&amp;","&amp;TEXT(INT(MOD(ROUND(ABS(B17),0),10000000)/100000),"00")&amp;","&amp;TEXT(INT(MOD(ROUND(ABS(B17),0),100000)/1000),"00")&amp;","&amp;TEXT(MOD(ROUND(ABS(B17),0),1000),"000"),IF(ROUND(ABS(B17),0)&gt;=100000,INT(ROUND(ABS(B17),0)/100000)&amp;","&amp;TEXT(INT(MOD(ROUND(ABS(B17),0),100000)/1000),"00")&amp;","&amp;TEXT(MOD(ROUND(ABS(B17),0),1000),"000"),IF(ROUND(ABS(B17),0)&gt;=1000,INT(ROUND(ABS(B17),0)/1000)&amp;","&amp;TEXT(MOD(ROUND(ABS(B17),0),1000),"000"),ROUND(ABS(B17),0)&amp;"")))&amp;" and "&amp;IF(C17&lt;0,"minus ","")&amp;"Rs "&amp;IF(ROUND(ABS(C17),0)&gt;=10000000,INT(ROUND(ABS(C17),0)/10000000)&amp;","&amp;TEXT(INT(MOD(ROUND(ABS(C17),0),10000000)/100000),"00")&amp;","&amp;TEXT(INT(MOD(ROUND(ABS(C17),0),100000)/1000),"00")&amp;","&amp;TEXT(MOD(ROUND(ABS(C17),0),1000),"000"),IF(ROUND(ABS(C17),0)&gt;=100000,INT(ROUND(ABS(C17),0)/100000)&amp;","&amp;TEXT(INT(MOD(ROUND(ABS(C17),0),100000)/1000),"00")&amp;","&amp;TEXT(MOD(ROUND(ABS(C17),0),1000),"000"),IF(ROUND(ABS(C17),0)&gt;=1000,INT(ROUND(ABS(C17),0)/1000)&amp;","&amp;TEXT(MOD(ROUND(ABS(C17),0),1000),"000"),ROUND(ABS(C17),0)&amp;"")))&amp;", on "&amp;(B20+C20)&amp;" rows for "&amp;(B21+C21)&amp;" orders"&amp;IF(NOT(AND(B22=SUMIFS(C5:C13,B5:B13,"Q1",E5:E13,1),C22=SUMIFS(C5:C13,B5:B13,"Q2",E5:E13,1))),": the revenue adds every payment row, so an order on two rows counts twice. Fix it first.",": each order counts once, so orders are missing or extra. Find them before the tree ships."))</f>
        <v/>
      </c>
    </row>
    <row r="26" ht="48" customHeight="1">
      <c r="A26" s="13" t="inlineStr">
        <is>
          <t>Verdict</t>
        </is>
      </c>
      <c r="B26" s="14">
        <f>IF(AND(B22=B17,C22=C17,B21=B16,C21=C16),"Ship the tree for both quarters: Q1 "&amp;IF(B22&lt;0,"minus ","")&amp;"Rs "&amp;IF(ROUND(ABS(B22),0)&gt;=10000000,INT(ROUND(ABS(B22),0)/10000000)&amp;","&amp;TEXT(INT(MOD(ROUND(ABS(B22),0),10000000)/100000),"00")&amp;","&amp;TEXT(INT(MOD(ROUND(ABS(B22),0),100000)/1000),"00")&amp;","&amp;TEXT(MOD(ROUND(ABS(B22),0),1000),"000"),IF(ROUND(ABS(B22),0)&gt;=100000,INT(ROUND(ABS(B22),0)/100000)&amp;","&amp;TEXT(INT(MOD(ROUND(ABS(B22),0),100000)/1000),"00")&amp;","&amp;TEXT(MOD(ROUND(ABS(B22),0),1000),"000"),IF(ROUND(ABS(B22),0)&gt;=1000,INT(ROUND(ABS(B22),0)/1000)&amp;","&amp;TEXT(MOD(ROUND(ABS(B22),0),1000),"000"),ROUND(ABS(B22),0)&amp;"")))&amp;" and Q2 "&amp;IF(C22&lt;0,"minus ","")&amp;"Rs "&amp;IF(ROUND(ABS(C22),0)&gt;=10000000,INT(ROUND(ABS(C22),0)/10000000)&amp;","&amp;TEXT(INT(MOD(ROUND(ABS(C22),0),10000000)/100000),"00")&amp;","&amp;TEXT(INT(MOD(ROUND(ABS(C22),0),100000)/1000),"00")&amp;","&amp;TEXT(MOD(ROUND(ABS(C22),0),1000),"000"),IF(ROUND(ABS(C22),0)&gt;=100000,INT(ROUND(ABS(C22),0)/100000)&amp;","&amp;TEXT(INT(MOD(ROUND(ABS(C22),0),100000)/1000),"00")&amp;","&amp;TEXT(MOD(ROUND(ABS(C22),0),1000),"000"),IF(ROUND(ABS(C22),0)&gt;=1000,INT(ROUND(ABS(C22),0)/1000)&amp;","&amp;TEXT(MOD(ROUND(ABS(C22),0),1000),"000"),ROUND(ABS(C22),0)&amp;"")))&amp;", "&amp;IF(B23&lt;0,"down ","up ")&amp;TEXT(ABS(B23)*100,"0.0")&amp;" percent, each order counted once and tied to the control totals; added on every row, the export would have said "&amp;IF((SUMIFS(C5:C13,B5:B13,"Q2")-SUMIFS(C5:C13,B5:B13,"Q1"))/SUMIFS(C5:C13,B5:B13,"Q1")&lt;0,"down ","up ")&amp;TEXT(ABS((SUMIFS(C5:C13,B5:B13,"Q2")-SUMIFS(C5:C13,B5:B13,"Q1"))/SUMIFS(C5:C13,B5:B13,"Q1"))*100,"0.0")&amp;" percent.",IF(NOT(AND(B22=SUMIFS(C5:C13,B5:B13,"Q1",E5:E13,1),C22=SUMIFS(C5:C13,B5:B13,"Q2",E5:E13,1))),"Fix the revenue count before the tree reaches the deck.","Hold the tree: it counts each order once and still misses the control totals."))</f>
        <v/>
      </c>
      <c r="C26" s="15" t="n"/>
      <c r="D26" s="15" t="n"/>
      <c r="E26" s="15" t="n"/>
      <c r="F26" s="16" t="n"/>
    </row>
    <row r="27">
      <c r="A27" s="17" t="inlineStr">
        <is>
          <t>Fixed, for the Export tab</t>
        </is>
      </c>
      <c r="B27" s="6">
        <f>IF(AND(B22=SUMIFS(C5:C13,B5:B13,"Q1",E5:E13,1),C22=SUMIFS(C5:C13,B5:B13,"Q2",E5:E13,1)),1,0)</f>
        <v/>
      </c>
    </row>
    <row r="29">
      <c r="A29" s="17" t="inlineStr">
        <is>
          <t>Remove Duplicates on every column would take out only O-103's second row, the gateway's copy, because O-102's two rows differ in the amount paid.</t>
        </is>
      </c>
    </row>
  </sheetData>
  <mergeCells count="3">
    <mergeCell ref="A2:F2"/>
    <mergeCell ref="B26:F26"/>
    <mergeCell ref="B24:F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24" customWidth="1" min="1" max="1"/>
    <col width="16" customWidth="1" min="2" max="2"/>
    <col width="4" customWidth="1" min="3" max="3"/>
    <col width="40" customWidth="1" min="4" max="4"/>
    <col width="70" customWidth="1" min="5" max="5"/>
    <col width="10" customWidth="1" min="6" max="6"/>
  </cols>
  <sheetData>
    <row r="1">
      <c r="A1" s="1" t="inlineStr">
        <is>
          <t>What does the lookup return for an id the table does not hold, and which lookup should the file carry?</t>
        </is>
      </c>
    </row>
    <row r="2" ht="44" customHeight="1">
      <c r="A2" s="4" t="inlineStr">
        <is>
          <t>Eight invented members sit sorted by id, and C-0405 is missing. A lookup that cannot find an id has to say so, because one that answers with a neighbour's row hands the chief of staff the wrong member.</t>
        </is>
      </c>
    </row>
    <row r="4">
      <c r="A4" s="5" t="inlineStr">
        <is>
          <t>Member id (invented)</t>
        </is>
      </c>
      <c r="B4" s="5" t="inlineStr">
        <is>
          <t>Revenue (Rs)</t>
        </is>
      </c>
    </row>
    <row r="5">
      <c r="A5" s="7" t="inlineStr">
        <is>
          <t>C-0401</t>
        </is>
      </c>
      <c r="B5" s="10" t="n">
        <v>12400</v>
      </c>
      <c r="D5" s="9" t="inlineStr">
        <is>
          <t>Member id to find</t>
        </is>
      </c>
      <c r="E5" s="7" t="inlineStr">
        <is>
          <t>C-0405</t>
        </is>
      </c>
    </row>
    <row r="6">
      <c r="A6" s="7" t="inlineStr">
        <is>
          <t>C-0402</t>
        </is>
      </c>
      <c r="B6" s="10" t="n">
        <v>9870</v>
      </c>
      <c r="D6" s="9" t="inlineStr">
        <is>
          <t>The Excel on the chief of staff's laptop</t>
        </is>
      </c>
      <c r="E6" s="7" t="inlineStr">
        <is>
          <t>Microsoft 365</t>
        </is>
      </c>
    </row>
    <row r="7">
      <c r="A7" s="7" t="inlineStr">
        <is>
          <t>C-0403</t>
        </is>
      </c>
      <c r="B7" s="10" t="n">
        <v>9120</v>
      </c>
    </row>
    <row r="8">
      <c r="A8" s="7" t="inlineStr">
        <is>
          <t>C-0404</t>
        </is>
      </c>
      <c r="B8" s="10" t="n">
        <v>8760</v>
      </c>
      <c r="D8" s="6" t="inlineStr">
        <is>
          <t>Row returned</t>
        </is>
      </c>
      <c r="E8" s="6">
        <f>INDEX(A5:A12,MATCH(E5,A5:A12,1))</f>
        <v/>
      </c>
    </row>
    <row r="9">
      <c r="A9" s="7" t="inlineStr">
        <is>
          <t>C-0406</t>
        </is>
      </c>
      <c r="B9" s="10" t="n">
        <v>8410</v>
      </c>
      <c r="D9" s="6" t="inlineStr">
        <is>
          <t>Revenue on that row (Rs)</t>
        </is>
      </c>
      <c r="E9" s="11">
        <f>IFERROR(IF(E8="not in the table","",INDEX(B5:B12,MATCH(E8,A5:A12,0))),"")</f>
        <v/>
      </c>
    </row>
    <row r="10">
      <c r="A10" s="7" t="inlineStr">
        <is>
          <t>C-0407</t>
        </is>
      </c>
      <c r="B10" s="10" t="n">
        <v>7990</v>
      </c>
      <c r="D10" s="6" t="inlineStr">
        <is>
          <t>A second route: rows holding the id</t>
        </is>
      </c>
      <c r="E10" s="6">
        <f>COUNTIF(A5:A12,E5)</f>
        <v/>
      </c>
    </row>
    <row r="11">
      <c r="A11" s="7" t="inlineStr">
        <is>
          <t>C-0408</t>
        </is>
      </c>
      <c r="B11" s="10" t="n">
        <v>7650</v>
      </c>
    </row>
    <row r="12">
      <c r="A12" s="7" t="inlineStr">
        <is>
          <t>C-0409</t>
        </is>
      </c>
      <c r="B12" s="10" t="n">
        <v>7300</v>
      </c>
    </row>
    <row r="14" ht="30" customHeight="1">
      <c r="D14" s="2" t="inlineStr">
        <is>
          <t>The lookup the file should carry</t>
        </is>
      </c>
      <c r="E14" s="2">
        <f>IF(OR(E6="Microsoft 365",E6="Excel 2024",E6="Excel 2021"),"XLOOKUP with its fourth argument: =XLOOKUP(id, A:A, B:B, ""not in the table"")","IFERROR around INDEX and MATCH: =IFERROR(INDEX(B:B, MATCH(id, A:A, 0)), ""not in the table""), since "&amp;E6&amp;" has no XLOOKUP")</f>
        <v/>
      </c>
    </row>
    <row r="15" ht="44" customHeight="1">
      <c r="D15" s="8" t="inlineStr">
        <is>
          <t>The check</t>
        </is>
      </c>
      <c r="E15" s="2">
        <f>IFERROR(IF(E8=E5,"The row returned is the member asked for, and COUNTIF finds "&amp;E10&amp;" row holding it.",IF(E8="not in the table",IF(E10=0,"The lookup says the id is missing, and COUNTIF finds no row holding it.","The lookup says the id is missing while COUNTIF finds "&amp;E10&amp;" rows holding it: check the match."),"The lookup returned "&amp;E8&amp;" for "&amp;E5&amp;" while COUNTIF finds "&amp;E10&amp;" rows holding "&amp;E5&amp;": the match type answers with a neighbour. Fix it first.")),"The lookup shows an error where a director needs words: give it a not-found path. Fix it first.")</f>
        <v/>
      </c>
    </row>
    <row r="17" ht="60" customHeight="1">
      <c r="D17" s="13" t="inlineStr">
        <is>
          <t>Verdict</t>
        </is>
      </c>
      <c r="E17" s="14">
        <f>IFERROR(IF(AND(E8&lt;&gt;E5,E8&lt;&gt;"not in the table"),"Fix the match type before answering the chief of staff.",IF(E8="not in the table",E5&amp;" is not in the table: say so, and check the export before anyone answers.",E5&amp;": "&amp;IF(E9&lt;0,"minus ","")&amp;"Rs "&amp;IF(ROUND(ABS(E9),0)&gt;=10000000,INT(ROUND(ABS(E9),0)/10000000)&amp;","&amp;TEXT(INT(MOD(ROUND(ABS(E9),0),10000000)/100000),"00")&amp;","&amp;TEXT(INT(MOD(ROUND(ABS(E9),0),100000)/1000),"00")&amp;","&amp;TEXT(MOD(ROUND(ABS(E9),0),1000),"000"),IF(ROUND(ABS(E9),0)&gt;=100000,INT(ROUND(ABS(E9),0)/100000)&amp;","&amp;TEXT(INT(MOD(ROUND(ABS(E9),0),100000)/1000),"00")&amp;","&amp;TEXT(MOD(ROUND(ABS(E9),0),1000),"000"),IF(ROUND(ABS(E9),0)&gt;=1000,INT(ROUND(ABS(E9),0)/1000)&amp;","&amp;TEXT(MOD(ROUND(ABS(E9),0),1000),"000"),ROUND(ABS(E9),0)&amp;"")))&amp;", on the list.")&amp;" On "&amp;E6&amp;", the file carries "&amp;E14&amp;"."),"Fix the lookup's not-found path before answering the chief of staff.")</f>
        <v/>
      </c>
    </row>
    <row r="18">
      <c r="D18" s="17" t="inlineStr">
        <is>
          <t>Fixed, for the Export tab</t>
        </is>
      </c>
      <c r="E18" s="6">
        <f>IFERROR(IF(OR(E8=E5,E8="not in the table"),1,0),0)</f>
        <v/>
      </c>
    </row>
  </sheetData>
  <mergeCells count="1">
    <mergeCell ref="A2:F2"/>
  </mergeCells>
  <dataValidations count="1">
    <dataValidation sqref="E6" showDropDown="0" showInputMessage="0" showErrorMessage="0" allowBlank="0" type="list">
      <formula1>"Microsoft 365,Excel 2024,Excel 2021,Excel 2019,Excel 2016,LibreOffice"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4" customWidth="1" min="1" max="1"/>
    <col width="22" customWidth="1" min="2" max="2"/>
    <col width="18" customWidth="1" min="3" max="3"/>
    <col width="18" customWidth="1" min="4" max="4"/>
    <col width="18" customWidth="1" min="5" max="5"/>
    <col width="18" customWidth="1" min="6" max="6"/>
  </cols>
  <sheetData>
    <row r="1">
      <c r="A1" s="1" t="inlineStr">
        <is>
          <t>What must sit beside the front-page number so a director reads it right in two minutes?</t>
        </is>
      </c>
    </row>
    <row r="2" ht="44" customHeight="1">
      <c r="A2" s="4" t="inlineStr">
        <is>
          <t>A front-page number is read right only with its period, its comparison and its base, and its change is measured on the earlier period. The inputs below are Retail-Plus's two quarters from the raw export, each order counted once.</t>
        </is>
      </c>
    </row>
    <row r="4">
      <c r="A4" s="5" t="inlineStr">
        <is>
          <t>Input</t>
        </is>
      </c>
      <c r="B4" s="5" t="inlineStr">
        <is>
          <t>Value</t>
        </is>
      </c>
    </row>
    <row r="5">
      <c r="A5" s="6" t="inlineStr">
        <is>
          <t>What the card covers</t>
        </is>
      </c>
      <c r="B5" s="7" t="inlineStr">
        <is>
          <t>Retail-Plus</t>
        </is>
      </c>
    </row>
    <row r="6">
      <c r="A6" s="6" t="inlineStr">
        <is>
          <t>The number: revenue in its period (Rs)</t>
        </is>
      </c>
      <c r="B6" s="10" t="n">
        <v>413380</v>
      </c>
    </row>
    <row r="7">
      <c r="A7" s="6" t="inlineStr">
        <is>
          <t>The period of the number</t>
        </is>
      </c>
      <c r="B7" s="7" t="inlineStr">
        <is>
          <t>Q2, July to September 2026</t>
        </is>
      </c>
    </row>
    <row r="8">
      <c r="A8" s="6" t="inlineStr">
        <is>
          <t>The comparison figure (Rs)</t>
        </is>
      </c>
      <c r="B8" s="10" t="n">
        <v>585770</v>
      </c>
    </row>
    <row r="9">
      <c r="A9" s="6" t="inlineStr">
        <is>
          <t>The period it is compared with</t>
        </is>
      </c>
      <c r="B9" s="7" t="inlineStr">
        <is>
          <t>Q1, April to June 2026</t>
        </is>
      </c>
    </row>
    <row r="10">
      <c r="A10" s="6" t="inlineStr">
        <is>
          <t>Company revenue in the number's period (Rs)</t>
        </is>
      </c>
      <c r="B10" s="10" t="n">
        <v>98400000</v>
      </c>
    </row>
    <row r="12">
      <c r="A12" s="9" t="inlineStr">
        <is>
          <t>Change on the comparison</t>
        </is>
      </c>
      <c r="B12" s="18">
        <f>(B6-B8)/B6</f>
        <v/>
      </c>
    </row>
    <row r="13">
      <c r="A13" s="6" t="inlineStr">
        <is>
          <t>The change in rupees (Rs)</t>
        </is>
      </c>
      <c r="B13" s="11">
        <f>B6-B8</f>
        <v/>
      </c>
    </row>
    <row r="14">
      <c r="A14" s="6" t="inlineStr">
        <is>
          <t>Share of company revenue</t>
        </is>
      </c>
      <c r="B14" s="18">
        <f>IF(B10=0,0,B6/B10)</f>
        <v/>
      </c>
    </row>
    <row r="15">
      <c r="A15" s="6" t="inlineStr">
        <is>
          <t>What the card still lacks</t>
        </is>
      </c>
      <c r="B15" s="6">
        <f>IF(B7="","its period",IF(B9="","its comparison",IF(B10=0,"its base","nothing")))</f>
        <v/>
      </c>
    </row>
    <row r="16" ht="32" customHeight="1">
      <c r="A16" s="8" t="inlineStr">
        <is>
          <t>The check</t>
        </is>
      </c>
      <c r="B16" s="2">
        <f>IF(ABS(B12-(B6-B8)/B8)&gt;0.00001,"The change reads "&amp;TEXT(ABS(B12)*100,"0.0")&amp;" percent because it is divided by the number's own period; measured on the earlier period it is "&amp;TEXT(ABS((B6-B8)/B8)*100,"0.0")&amp;" percent. Fix it first.","The change is measured on the earlier period.")</f>
        <v/>
      </c>
    </row>
    <row r="18" ht="48" customHeight="1">
      <c r="A18" s="13" t="inlineStr">
        <is>
          <t>Verdict</t>
        </is>
      </c>
      <c r="B18" s="14">
        <f>IF(ABS(B12-(B6-B8)/B8)&gt;0.00001,"Fix the change formula before the card is drafted.",IF(B15&lt;&gt;"nothing","Not ready for the front page: add "&amp;B15&amp;", or the number is read against whatever the director remembers.",B5&amp;", "&amp;B7&amp;": "&amp;IF(ABS(B6)&gt;=10000000,"Rs "&amp;TEXT(ABS(B6)/10000000,"0.00")&amp;" crore",IF(ABS(B6)&gt;=100000,"Rs "&amp;TEXT(ABS(B6)/100000,"0.00")&amp;" lakh",IF(ABS(B6)&lt;0,"minus ","")&amp;"Rs "&amp;IF(ROUND(ABS(ABS(B6)),0)&gt;=10000000,INT(ROUND(ABS(ABS(B6)),0)/10000000)&amp;","&amp;TEXT(INT(MOD(ROUND(ABS(ABS(B6)),0),10000000)/100000),"00")&amp;","&amp;TEXT(INT(MOD(ROUND(ABS(ABS(B6)),0),100000)/1000),"00")&amp;","&amp;TEXT(MOD(ROUND(ABS(ABS(B6)),0),1000),"000"),IF(ROUND(ABS(ABS(B6)),0)&gt;=100000,INT(ROUND(ABS(ABS(B6)),0)/100000)&amp;","&amp;TEXT(INT(MOD(ROUND(ABS(ABS(B6)),0),100000)/1000),"00")&amp;","&amp;TEXT(MOD(ROUND(ABS(ABS(B6)),0),1000),"000"),IF(ROUND(ABS(ABS(B6)),0)&gt;=1000,INT(ROUND(ABS(ABS(B6)),0)/1000)&amp;","&amp;TEXT(MOD(ROUND(ABS(ABS(B6)),0),1000),"000"),ROUND(ABS(ABS(B6)),0)&amp;"")))))&amp;", "&amp;IF(B12&lt;0,"down ","up ")&amp;TEXT(ABS(B12)*100,"0.0")&amp;" percent on "&amp;B9&amp;" ("&amp;IF(ABS(B8)&gt;=10000000,"Rs "&amp;TEXT(ABS(B8)/10000000,"0.00")&amp;" crore",IF(ABS(B8)&gt;=100000,"Rs "&amp;TEXT(ABS(B8)/100000,"0.00")&amp;" lakh",IF(ABS(B8)&lt;0,"minus ","")&amp;"Rs "&amp;IF(ROUND(ABS(ABS(B8)),0)&gt;=10000000,INT(ROUND(ABS(ABS(B8)),0)/10000000)&amp;","&amp;TEXT(INT(MOD(ROUND(ABS(ABS(B8)),0),10000000)/100000),"00")&amp;","&amp;TEXT(INT(MOD(ROUND(ABS(ABS(B8)),0),100000)/1000),"00")&amp;","&amp;TEXT(MOD(ROUND(ABS(ABS(B8)),0),1000),"000"),IF(ROUND(ABS(ABS(B8)),0)&gt;=100000,INT(ROUND(ABS(ABS(B8)),0)/100000)&amp;","&amp;TEXT(INT(MOD(ROUND(ABS(ABS(B8)),0),100000)/1000),"00")&amp;","&amp;TEXT(MOD(ROUND(ABS(ABS(B8)),0),1000),"000"),IF(ROUND(ABS(ABS(B8)),0)&gt;=1000,INT(ROUND(ABS(ABS(B8)),0)/1000)&amp;","&amp;TEXT(MOD(ROUND(ABS(ABS(B8)),0),1000),"000"),ROUND(ABS(ABS(B8)),0)&amp;"")))))&amp;"), "&amp;IF(B13&lt;0,"a fall of ","a rise of ")&amp;IF(ABS(B13)&gt;=10000000,"Rs "&amp;TEXT(ABS(B13)/10000000,"0.00")&amp;" crore",IF(ABS(B13)&gt;=100000,"Rs "&amp;TEXT(ABS(B13)/100000,"0.00")&amp;" lakh",IF(ABS(B13)&lt;0,"minus ","")&amp;"Rs "&amp;IF(ROUND(ABS(ABS(B13)),0)&gt;=10000000,INT(ROUND(ABS(ABS(B13)),0)/10000000)&amp;","&amp;TEXT(INT(MOD(ROUND(ABS(ABS(B13)),0),10000000)/100000),"00")&amp;","&amp;TEXT(INT(MOD(ROUND(ABS(ABS(B13)),0),100000)/1000),"00")&amp;","&amp;TEXT(MOD(ROUND(ABS(ABS(B13)),0),1000),"000"),IF(ROUND(ABS(ABS(B13)),0)&gt;=100000,INT(ROUND(ABS(ABS(B13)),0)/100000)&amp;","&amp;TEXT(INT(MOD(ROUND(ABS(ABS(B13)),0),100000)/1000),"00")&amp;","&amp;TEXT(MOD(ROUND(ABS(ABS(B13)),0),1000),"000"),IF(ROUND(ABS(ABS(B13)),0)&gt;=1000,INT(ROUND(ABS(ABS(B13)),0)/1000)&amp;","&amp;TEXT(MOD(ROUND(ABS(ABS(B13)),0),1000),"000"),ROUND(ABS(ABS(B13)),0)&amp;"")))))&amp;"; "&amp;TEXT(B14*100,"0.0")&amp;" percent of company revenue."))</f>
        <v/>
      </c>
      <c r="C18" s="15" t="n"/>
      <c r="D18" s="15" t="n"/>
      <c r="E18" s="15" t="n"/>
      <c r="F18" s="16" t="n"/>
    </row>
    <row r="19">
      <c r="A19" s="17" t="inlineStr">
        <is>
          <t>Fixed, for the Export tab</t>
        </is>
      </c>
      <c r="B19" s="6">
        <f>IF(ABS(B12-(B6-B8)/B8)&lt;=0.00001,1,0)</f>
        <v/>
      </c>
    </row>
    <row r="21">
      <c r="A21" s="17" t="inlineStr">
        <is>
          <t>Try the company's own card: All segments, Rs 9,84,00,000 in Q2 against Rs 10,00,00,000 in Q1. Then clear the period and watch the verdict ask for it.</t>
        </is>
      </c>
    </row>
  </sheetData>
  <mergeCells count="3">
    <mergeCell ref="B16:F16"/>
    <mergeCell ref="A2:F2"/>
    <mergeCell ref="B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4" customWidth="1" min="1" max="1"/>
    <col width="22" customWidth="1" min="2" max="2"/>
    <col width="18" customWidth="1" min="3" max="3"/>
    <col width="18" customWidth="1" min="4" max="4"/>
    <col width="18" customWidth="1" min="5" max="5"/>
    <col width="18" customWidth="1" min="6" max="6"/>
  </cols>
  <sheetData>
    <row r="1">
      <c r="A1" s="1" t="inlineStr">
        <is>
          <t>Where does this step belong, and does collected add every payment of an order?</t>
        </is>
      </c>
    </row>
    <row r="2" ht="44" customHeight="1">
      <c r="A2" s="4" t="inlineStr">
        <is>
          <t>The warehouse owns every join, dedupe and rank Finance relies on; pandas owns the analyst's iteration; the workbook owns the last mile on an export that ties. Booked against collected is the test case, because one order can meet several payments.</t>
        </is>
      </c>
    </row>
    <row r="4">
      <c r="A4" s="5" t="inlineStr">
        <is>
          <t>The step you are placing</t>
        </is>
      </c>
      <c r="B4" s="5" t="inlineStr">
        <is>
          <t>Answer</t>
        </is>
      </c>
    </row>
    <row r="5" ht="18" customHeight="1">
      <c r="A5" s="2" t="inlineStr">
        <is>
          <t>The step</t>
        </is>
      </c>
      <c r="B5" s="7" t="inlineStr">
        <is>
          <t>Booked against collected for the deck pack</t>
        </is>
      </c>
      <c r="C5" s="15" t="n"/>
      <c r="D5" s="15" t="n"/>
      <c r="E5" s="15" t="n"/>
      <c r="F5" s="16" t="n"/>
    </row>
    <row r="6">
      <c r="A6" s="6" t="inlineStr">
        <is>
          <t>Does Finance rely on its number?</t>
        </is>
      </c>
      <c r="B6" s="7" t="inlineStr">
        <is>
          <t>yes</t>
        </is>
      </c>
    </row>
    <row r="7">
      <c r="A7" s="6" t="inlineStr">
        <is>
          <t>Does it join one row to several, dedupe or rank?</t>
        </is>
      </c>
      <c r="B7" s="7" t="inlineStr">
        <is>
          <t>yes</t>
        </is>
      </c>
    </row>
    <row r="8">
      <c r="A8" s="6" t="inlineStr">
        <is>
          <t>Is it the analyst's own iteration this week?</t>
        </is>
      </c>
      <c r="B8" s="7" t="inlineStr">
        <is>
          <t>no</t>
        </is>
      </c>
    </row>
    <row r="9">
      <c r="A9" s="6" t="inlineStr">
        <is>
          <t>Does it present, slice, look up or take a what-if on an export that ties?</t>
        </is>
      </c>
      <c r="B9" s="7" t="inlineStr">
        <is>
          <t>no</t>
        </is>
      </c>
    </row>
    <row r="10">
      <c r="A10" s="9" t="inlineStr">
        <is>
          <t>Where it lives</t>
        </is>
      </c>
      <c r="B10" s="9">
        <f>IF(OR(B6="yes",B7="yes"),"the warehouse",IF(B8="yes","pandas",IF(B9="yes","the workbook","pandas, until someone says who relies on it")))</f>
        <v/>
      </c>
    </row>
    <row r="12">
      <c r="A12" s="5" t="inlineStr">
        <is>
          <t>Order id (invented)</t>
        </is>
      </c>
      <c r="B12" s="5" t="inlineStr">
        <is>
          <t>Booked (Rs)</t>
        </is>
      </c>
      <c r="C12" s="5" t="inlineStr">
        <is>
          <t>Payment rows</t>
        </is>
      </c>
      <c r="D12" s="5" t="inlineStr">
        <is>
          <t>Collected (Rs)</t>
        </is>
      </c>
    </row>
    <row r="13">
      <c r="A13" s="7" t="inlineStr">
        <is>
          <t>O-301</t>
        </is>
      </c>
      <c r="B13" s="10" t="n">
        <v>10000</v>
      </c>
      <c r="C13" s="6">
        <f>COUNTIF($B$19:$B$22,A13)</f>
        <v/>
      </c>
      <c r="D13" s="11">
        <f>INDEX($C$19:$C$22,MATCH(A13,$B$19:$B$22,0))</f>
        <v/>
      </c>
    </row>
    <row r="14">
      <c r="A14" s="7" t="inlineStr">
        <is>
          <t>O-302</t>
        </is>
      </c>
      <c r="B14" s="10" t="n">
        <v>20000</v>
      </c>
      <c r="C14" s="6">
        <f>COUNTIF($B$19:$B$22,A14)</f>
        <v/>
      </c>
      <c r="D14" s="11">
        <f>INDEX($C$19:$C$22,MATCH(A14,$B$19:$B$22,0))</f>
        <v/>
      </c>
    </row>
    <row r="15">
      <c r="A15" s="7" t="inlineStr">
        <is>
          <t>O-303</t>
        </is>
      </c>
      <c r="B15" s="10" t="n">
        <v>6000</v>
      </c>
      <c r="C15" s="6">
        <f>COUNTIF($B$19:$B$22,A15)</f>
        <v/>
      </c>
      <c r="D15" s="11">
        <f>INDEX($C$19:$C$22,MATCH(A15,$B$19:$B$22,0))</f>
        <v/>
      </c>
    </row>
    <row r="16">
      <c r="A16" s="9" t="inlineStr">
        <is>
          <t>Total</t>
        </is>
      </c>
      <c r="B16" s="19">
        <f>SUM(B13:B15)</f>
        <v/>
      </c>
      <c r="D16" s="19">
        <f>SUM(D13:D15)</f>
        <v/>
      </c>
    </row>
    <row r="18">
      <c r="A18" s="5" t="inlineStr">
        <is>
          <t>Payment row (invented)</t>
        </is>
      </c>
      <c r="B18" s="5" t="inlineStr">
        <is>
          <t>Order id</t>
        </is>
      </c>
      <c r="C18" s="5" t="inlineStr">
        <is>
          <t>Paid (Rs)</t>
        </is>
      </c>
    </row>
    <row r="19">
      <c r="A19" s="7" t="inlineStr">
        <is>
          <t>P-1</t>
        </is>
      </c>
      <c r="B19" s="7" t="inlineStr">
        <is>
          <t>O-301</t>
        </is>
      </c>
      <c r="C19" s="10" t="n">
        <v>10000</v>
      </c>
    </row>
    <row r="20">
      <c r="A20" s="7" t="inlineStr">
        <is>
          <t>P-2</t>
        </is>
      </c>
      <c r="B20" s="7" t="inlineStr">
        <is>
          <t>O-302</t>
        </is>
      </c>
      <c r="C20" s="10" t="n">
        <v>12000</v>
      </c>
    </row>
    <row r="21">
      <c r="A21" s="7" t="inlineStr">
        <is>
          <t>P-3</t>
        </is>
      </c>
      <c r="B21" s="7" t="inlineStr">
        <is>
          <t>O-302</t>
        </is>
      </c>
      <c r="C21" s="10" t="n">
        <v>8000</v>
      </c>
    </row>
    <row r="22">
      <c r="A22" s="7" t="inlineStr">
        <is>
          <t>P-4</t>
        </is>
      </c>
      <c r="B22" s="7" t="inlineStr">
        <is>
          <t>O-303</t>
        </is>
      </c>
      <c r="C22" s="10" t="n">
        <v>0</v>
      </c>
    </row>
    <row r="24">
      <c r="A24" s="9" t="inlineStr">
        <is>
          <t>Outstanding (Rs)</t>
        </is>
      </c>
      <c r="B24" s="11">
        <f>B16-D16</f>
        <v/>
      </c>
    </row>
    <row r="25" ht="32" customHeight="1">
      <c r="A25" s="8" t="inlineStr">
        <is>
          <t>The check</t>
        </is>
      </c>
      <c r="B25" s="2">
        <f>IF(D16=SUM(C19:C22),"Collected adds every payment row, "&amp;IF(D16&lt;0,"minus ","")&amp;"Rs "&amp;IF(ROUND(ABS(D16),0)&gt;=10000000,INT(ROUND(ABS(D16),0)/10000000)&amp;","&amp;TEXT(INT(MOD(ROUND(ABS(D16),0),10000000)/100000),"00")&amp;","&amp;TEXT(INT(MOD(ROUND(ABS(D16),0),100000)/1000),"00")&amp;","&amp;TEXT(MOD(ROUND(ABS(D16),0),1000),"000"),IF(ROUND(ABS(D16),0)&gt;=100000,INT(ROUND(ABS(D16),0)/100000)&amp;","&amp;TEXT(INT(MOD(ROUND(ABS(D16),0),100000)/1000),"00")&amp;","&amp;TEXT(MOD(ROUND(ABS(D16),0),1000),"000"),IF(ROUND(ABS(D16),0)&gt;=1000,INT(ROUND(ABS(D16),0)/1000)&amp;","&amp;TEXT(MOD(ROUND(ABS(D16),0),1000),"000"),ROUND(ABS(D16),0)&amp;"")))&amp;" in all.","Collected adds "&amp;IF(D16&lt;0,"minus ","")&amp;"Rs "&amp;IF(ROUND(ABS(D16),0)&gt;=10000000,INT(ROUND(ABS(D16),0)/10000000)&amp;","&amp;TEXT(INT(MOD(ROUND(ABS(D16),0),10000000)/100000),"00")&amp;","&amp;TEXT(INT(MOD(ROUND(ABS(D16),0),100000)/1000),"00")&amp;","&amp;TEXT(MOD(ROUND(ABS(D16),0),1000),"000"),IF(ROUND(ABS(D16),0)&gt;=100000,INT(ROUND(ABS(D16),0)/100000)&amp;","&amp;TEXT(INT(MOD(ROUND(ABS(D16),0),100000)/1000),"00")&amp;","&amp;TEXT(MOD(ROUND(ABS(D16),0),1000),"000"),IF(ROUND(ABS(D16),0)&gt;=1000,INT(ROUND(ABS(D16),0)/1000)&amp;","&amp;TEXT(MOD(ROUND(ABS(D16),0),1000),"000"),ROUND(ABS(D16),0)&amp;"")))&amp;" while the payment rows hold "&amp;IF(SUM(C19:C22)&lt;0,"minus ","")&amp;"Rs "&amp;IF(ROUND(ABS(SUM(C19:C22)),0)&gt;=10000000,INT(ROUND(ABS(SUM(C19:C22)),0)/10000000)&amp;","&amp;TEXT(INT(MOD(ROUND(ABS(SUM(C19:C22)),0),10000000)/100000),"00")&amp;","&amp;TEXT(INT(MOD(ROUND(ABS(SUM(C19:C22)),0),100000)/1000),"00")&amp;","&amp;TEXT(MOD(ROUND(ABS(SUM(C19:C22)),0),1000),"000"),IF(ROUND(ABS(SUM(C19:C22)),0)&gt;=100000,INT(ROUND(ABS(SUM(C19:C22)),0)/100000)&amp;","&amp;TEXT(INT(MOD(ROUND(ABS(SUM(C19:C22)),0),100000)/1000),"00")&amp;","&amp;TEXT(MOD(ROUND(ABS(SUM(C19:C22)),0),1000),"000"),IF(ROUND(ABS(SUM(C19:C22)),0)&gt;=1000,INT(ROUND(ABS(SUM(C19:C22)),0)/1000)&amp;","&amp;TEXT(MOD(ROUND(ABS(SUM(C19:C22)),0),1000),"000"),ROUND(ABS(SUM(C19:C22)),0)&amp;"")))&amp;": "&amp;IF(COUNTIF(C13:C15,"&gt;1")=1,"1 order has",COUNTIF(C13:C15,"&gt;1")&amp;" orders have")&amp;" more than one payment row, and a lookup returns only the first. Fix it first.")</f>
        <v/>
      </c>
    </row>
    <row r="27" ht="48" customHeight="1">
      <c r="A27" s="13" t="inlineStr">
        <is>
          <t>Verdict</t>
        </is>
      </c>
      <c r="B27" s="14">
        <f>IF(NOT(D16=SUM(C19:C22)),"Fix the collected column before anyone reads an outstanding figure.",B5&amp;" lives in "&amp;B10&amp;IF(B10="the warehouse",", and the workbook keeps a SUMIFS beside it only as a check","")&amp;". On the invented orders, collected is "&amp;IF(D16&lt;0,"minus ","")&amp;"Rs "&amp;IF(ROUND(ABS(D16),0)&gt;=10000000,INT(ROUND(ABS(D16),0)/10000000)&amp;","&amp;TEXT(INT(MOD(ROUND(ABS(D16),0),10000000)/100000),"00")&amp;","&amp;TEXT(INT(MOD(ROUND(ABS(D16),0),100000)/1000),"00")&amp;","&amp;TEXT(MOD(ROUND(ABS(D16),0),1000),"000"),IF(ROUND(ABS(D16),0)&gt;=100000,INT(ROUND(ABS(D16),0)/100000)&amp;","&amp;TEXT(INT(MOD(ROUND(ABS(D16),0),100000)/1000),"00")&amp;","&amp;TEXT(MOD(ROUND(ABS(D16),0),1000),"000"),IF(ROUND(ABS(D16),0)&gt;=1000,INT(ROUND(ABS(D16),0)/1000)&amp;","&amp;TEXT(MOD(ROUND(ABS(D16),0),1000),"000"),ROUND(ABS(D16),0)&amp;"")))&amp;" of "&amp;IF(B16&lt;0,"minus ","")&amp;"Rs "&amp;IF(ROUND(ABS(B16),0)&gt;=10000000,INT(ROUND(ABS(B16),0)/10000000)&amp;","&amp;TEXT(INT(MOD(ROUND(ABS(B16),0),10000000)/100000),"00")&amp;","&amp;TEXT(INT(MOD(ROUND(ABS(B16),0),100000)/1000),"00")&amp;","&amp;TEXT(MOD(ROUND(ABS(B16),0),1000),"000"),IF(ROUND(ABS(B16),0)&gt;=100000,INT(ROUND(ABS(B16),0)/100000)&amp;","&amp;TEXT(INT(MOD(ROUND(ABS(B16),0),100000)/1000),"00")&amp;","&amp;TEXT(MOD(ROUND(ABS(B16),0),1000),"000"),IF(ROUND(ABS(B16),0)&gt;=1000,INT(ROUND(ABS(B16),0)/1000)&amp;","&amp;TEXT(MOD(ROUND(ABS(B16),0),1000),"000"),ROUND(ABS(B16),0)&amp;"")))&amp;" booked, and "&amp;IF(B24&lt;0,"minus ","")&amp;"Rs "&amp;IF(ROUND(ABS(B24),0)&gt;=10000000,INT(ROUND(ABS(B24),0)/10000000)&amp;","&amp;TEXT(INT(MOD(ROUND(ABS(B24),0),10000000)/100000),"00")&amp;","&amp;TEXT(INT(MOD(ROUND(ABS(B24),0),100000)/1000),"00")&amp;","&amp;TEXT(MOD(ROUND(ABS(B24),0),1000),"000"),IF(ROUND(ABS(B24),0)&gt;=100000,INT(ROUND(ABS(B24),0)/100000)&amp;","&amp;TEXT(INT(MOD(ROUND(ABS(B24),0),100000)/1000),"00")&amp;","&amp;TEXT(MOD(ROUND(ABS(B24),0),1000),"000"),IF(ROUND(ABS(B24),0)&gt;=1000,INT(ROUND(ABS(B24),0)/1000)&amp;","&amp;TEXT(MOD(ROUND(ABS(B24),0),1000),"000"),ROUND(ABS(B24),0)&amp;"")))&amp;" is outstanding.")</f>
        <v/>
      </c>
      <c r="C27" s="15" t="n"/>
      <c r="D27" s="15" t="n"/>
      <c r="E27" s="15" t="n"/>
      <c r="F27" s="16" t="n"/>
    </row>
    <row r="28">
      <c r="A28" s="17" t="inlineStr">
        <is>
          <t>Fixed, for the Export tab</t>
        </is>
      </c>
      <c r="B28" s="6">
        <f>IF(AND(D13=SUMIFS($C$19:$C$22,$B$19:$B$22,A13),D14=SUMIFS($C$19:$C$22,$B$19:$B$22,A14),D15=SUMIFS($C$19:$C$22,$B$19:$B$22,A15)),1,0)</f>
        <v/>
      </c>
    </row>
    <row r="30">
      <c r="A30" s="17" t="inlineStr">
        <is>
          <t>Try the step a director's what-if in the room: Finance does not rely on it, it joins nothing, it is nobody's iteration, and it is a what-if on an export that ties.</t>
        </is>
      </c>
    </row>
  </sheetData>
  <mergeCells count="4">
    <mergeCell ref="A2:F2"/>
    <mergeCell ref="B25:F25"/>
    <mergeCell ref="B27:F27"/>
    <mergeCell ref="B5:F5"/>
  </mergeCells>
  <dataValidations count="4">
    <dataValidation sqref="B6" showDropDown="0" showInputMessage="0" showErrorMessage="0" allowBlank="0" type="list">
      <formula1>"yes,no"</formula1>
    </dataValidation>
    <dataValidation sqref="B7" showDropDown="0" showInputMessage="0" showErrorMessage="0" allowBlank="0" type="list">
      <formula1>"yes,no"</formula1>
    </dataValidation>
    <dataValidation sqref="B8" showDropDown="0" showInputMessage="0" showErrorMessage="0" allowBlank="0" type="list">
      <formula1>"yes,no"</formula1>
    </dataValidation>
    <dataValidation sqref="B9"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4" customWidth="1" min="1" max="1"/>
    <col width="22" customWidth="1" min="2" max="2"/>
    <col width="18" customWidth="1" min="3" max="3"/>
    <col width="18" customWidth="1" min="4" max="4"/>
    <col width="18" customWidth="1" min="5" max="5"/>
    <col width="18" customWidth="1" min="6" max="6"/>
  </cols>
  <sheetData>
    <row r="1">
      <c r="A1" s="1" t="inlineStr">
        <is>
          <t>What does the foot of a filtered list add, and where does a director's assumption go?</t>
        </is>
      </c>
    </row>
    <row r="2" ht="44" customHeight="1">
      <c r="A2" s="4" t="inlineStr">
        <is>
          <t>Eight invented members, filtered to Mumbai. The foot of a list a director will filter adds only the rows on screen, and a director's what-if goes in a yellow cell that formulas read.</t>
        </is>
      </c>
    </row>
    <row r="4">
      <c r="A4" s="5" t="inlineStr">
        <is>
          <t>Member id (invented)</t>
        </is>
      </c>
      <c r="B4" s="5" t="inlineStr">
        <is>
          <t>City</t>
        </is>
      </c>
      <c r="C4" s="5" t="inlineStr">
        <is>
          <t>Revenue (Rs)</t>
        </is>
      </c>
    </row>
    <row r="5" hidden="1">
      <c r="A5" s="7" t="inlineStr">
        <is>
          <t>C-0501</t>
        </is>
      </c>
      <c r="B5" s="7" t="inlineStr">
        <is>
          <t>Delhi</t>
        </is>
      </c>
      <c r="C5" s="10" t="n">
        <v>11000</v>
      </c>
    </row>
    <row r="6">
      <c r="A6" s="7" t="inlineStr">
        <is>
          <t>C-0502</t>
        </is>
      </c>
      <c r="B6" s="7" t="inlineStr">
        <is>
          <t>Mumbai</t>
        </is>
      </c>
      <c r="C6" s="10" t="n">
        <v>9200</v>
      </c>
    </row>
    <row r="7" hidden="1">
      <c r="A7" s="7" t="inlineStr">
        <is>
          <t>C-0503</t>
        </is>
      </c>
      <c r="B7" s="7" t="inlineStr">
        <is>
          <t>Pune</t>
        </is>
      </c>
      <c r="C7" s="10" t="n">
        <v>8000</v>
      </c>
    </row>
    <row r="8">
      <c r="A8" s="7" t="inlineStr">
        <is>
          <t>C-0504</t>
        </is>
      </c>
      <c r="B8" s="7" t="inlineStr">
        <is>
          <t>Mumbai</t>
        </is>
      </c>
      <c r="C8" s="10" t="n">
        <v>8400</v>
      </c>
    </row>
    <row r="9" hidden="1">
      <c r="A9" s="7" t="inlineStr">
        <is>
          <t>C-0505</t>
        </is>
      </c>
      <c r="B9" s="7" t="inlineStr">
        <is>
          <t>Delhi</t>
        </is>
      </c>
      <c r="C9" s="10" t="n">
        <v>6000</v>
      </c>
    </row>
    <row r="10">
      <c r="A10" s="7" t="inlineStr">
        <is>
          <t>C-0506</t>
        </is>
      </c>
      <c r="B10" s="7" t="inlineStr">
        <is>
          <t>Mumbai</t>
        </is>
      </c>
      <c r="C10" s="10" t="n">
        <v>7900</v>
      </c>
    </row>
    <row r="11" hidden="1">
      <c r="A11" s="7" t="inlineStr">
        <is>
          <t>C-0507</t>
        </is>
      </c>
      <c r="B11" s="7" t="inlineStr">
        <is>
          <t>Chennai</t>
        </is>
      </c>
      <c r="C11" s="10" t="n">
        <v>5500</v>
      </c>
    </row>
    <row r="12" hidden="1">
      <c r="A12" s="7" t="inlineStr">
        <is>
          <t>C-0508</t>
        </is>
      </c>
      <c r="B12" s="7" t="inlineStr">
        <is>
          <t>Pune</t>
        </is>
      </c>
      <c r="C12" s="10" t="n">
        <v>4000</v>
      </c>
    </row>
    <row r="14">
      <c r="A14" s="9" t="inlineStr">
        <is>
          <t>The foot: total revenue (Rs)</t>
        </is>
      </c>
      <c r="C14" s="19">
        <f>SUM(C5:C12)</f>
        <v/>
      </c>
    </row>
    <row r="15">
      <c r="A15" s="6" t="inlineStr">
        <is>
          <t>Rows on screen, by SUBTOTAL(103)</t>
        </is>
      </c>
      <c r="C15" s="6">
        <f>SUBTOTAL(103,A5:A12)</f>
        <v/>
      </c>
    </row>
    <row r="16">
      <c r="A16" s="6" t="inlineStr">
        <is>
          <t>Rows in the list</t>
        </is>
      </c>
      <c r="C16" s="6">
        <f>COUNTA(A5:A12)</f>
        <v/>
      </c>
    </row>
    <row r="17">
      <c r="A17" s="6" t="inlineStr">
        <is>
          <t>Voucher for each member on screen (Rs)</t>
        </is>
      </c>
      <c r="C17" s="10" t="n">
        <v>500</v>
      </c>
    </row>
    <row r="18">
      <c r="A18" s="6" t="inlineStr">
        <is>
          <t>Cost of the voucher for the rows on screen (Rs)</t>
        </is>
      </c>
      <c r="C18" s="11">
        <f>C17*C15</f>
        <v/>
      </c>
    </row>
    <row r="19" ht="32" customHeight="1">
      <c r="A19" s="8" t="inlineStr">
        <is>
          <t>The check</t>
        </is>
      </c>
      <c r="B19" s="2">
        <f>IF(ISNUMBER(SEARCH("SUBTOTAL(109",IFERROR(_xlfn.FORMULATEXT(C14),""))),"The foot is SUBTOTAL(109), and it adds only the "&amp;C15&amp;" rows on screen.",IF(C14&lt;&gt;SUBTOTAL(109,C5:C12),"The foot adds all "&amp;C16&amp;" rows while "&amp;C15&amp;" are on screen: it counts rows the filter hid. Fix it first.","The foot is not SUBTOTAL(109), so it will add hidden rows the moment a director filters. Fix it first."))</f>
        <v/>
      </c>
    </row>
    <row r="21" ht="48" customHeight="1">
      <c r="A21" s="13" t="inlineStr">
        <is>
          <t>Verdict</t>
        </is>
      </c>
      <c r="B21" s="14">
        <f>IF(NOT(ISNUMBER(SEARCH("SUBTOTAL(109",IFERROR(_xlfn.FORMULATEXT(C14),"")))),"Fix the foot before reading it as the city's list.","The "&amp;C15&amp;" members on screen spent "&amp;IF(C14&lt;0,"minus ","")&amp;"Rs "&amp;IF(ROUND(ABS(C14),0)&gt;=10000000,INT(ROUND(ABS(C14),0)/10000000)&amp;","&amp;TEXT(INT(MOD(ROUND(ABS(C14),0),10000000)/100000),"00")&amp;","&amp;TEXT(INT(MOD(ROUND(ABS(C14),0),100000)/1000),"00")&amp;","&amp;TEXT(MOD(ROUND(ABS(C14),0),1000),"000"),IF(ROUND(ABS(C14),0)&gt;=100000,INT(ROUND(ABS(C14),0)/100000)&amp;","&amp;TEXT(INT(MOD(ROUND(ABS(C14),0),100000)/1000),"00")&amp;","&amp;TEXT(MOD(ROUND(ABS(C14),0),1000),"000"),IF(ROUND(ABS(C14),0)&gt;=1000,INT(ROUND(ABS(C14),0)/1000)&amp;","&amp;TEXT(MOD(ROUND(ABS(C14),0),1000),"000"),ROUND(ABS(C14),0)&amp;"")))&amp;", and a "&amp;IF(C17&lt;0,"minus ","")&amp;"Rs "&amp;IF(ROUND(ABS(C17),0)&gt;=10000000,INT(ROUND(ABS(C17),0)/10000000)&amp;","&amp;TEXT(INT(MOD(ROUND(ABS(C17),0),10000000)/100000),"00")&amp;","&amp;TEXT(INT(MOD(ROUND(ABS(C17),0),100000)/1000),"00")&amp;","&amp;TEXT(MOD(ROUND(ABS(C17),0),1000),"000"),IF(ROUND(ABS(C17),0)&gt;=100000,INT(ROUND(ABS(C17),0)/100000)&amp;","&amp;TEXT(INT(MOD(ROUND(ABS(C17),0),100000)/1000),"00")&amp;","&amp;TEXT(MOD(ROUND(ABS(C17),0),1000),"000"),IF(ROUND(ABS(C17),0)&gt;=1000,INT(ROUND(ABS(C17),0)/1000)&amp;","&amp;TEXT(MOD(ROUND(ABS(C17),0),1000),"000"),ROUND(ABS(C17),0)&amp;"")))&amp;" voucher for each of them costs "&amp;IF(C18&lt;0,"minus ","")&amp;"Rs "&amp;IF(ROUND(ABS(C18),0)&gt;=10000000,INT(ROUND(ABS(C18),0)/10000000)&amp;","&amp;TEXT(INT(MOD(ROUND(ABS(C18),0),10000000)/100000),"00")&amp;","&amp;TEXT(INT(MOD(ROUND(ABS(C18),0),100000)/1000),"00")&amp;","&amp;TEXT(MOD(ROUND(ABS(C18),0),1000),"000"),IF(ROUND(ABS(C18),0)&gt;=100000,INT(ROUND(ABS(C18),0)/100000)&amp;","&amp;TEXT(INT(MOD(ROUND(ABS(C18),0),100000)/1000),"00")&amp;","&amp;TEXT(MOD(ROUND(ABS(C18),0),1000),"000"),IF(ROUND(ABS(C18),0)&gt;=1000,INT(ROUND(ABS(C18),0)/1000)&amp;","&amp;TEXT(MOD(ROUND(ABS(C18),0),1000),"000"),ROUND(ABS(C18),0)&amp;"")))&amp;"; the list's figures stay as they are, because the assumption sits in its own yellow cell.")</f>
        <v/>
      </c>
      <c r="C21" s="15" t="n"/>
      <c r="D21" s="15" t="n"/>
      <c r="E21" s="15" t="n"/>
      <c r="F21" s="16" t="n"/>
    </row>
    <row r="22">
      <c r="A22" s="17" t="inlineStr">
        <is>
          <t>Fixed, for the Export tab</t>
        </is>
      </c>
      <c r="B22" s="6">
        <f>IF(ISNUMBER(SEARCH("SUBTOTAL(109",IFERROR(_xlfn.FORMULATEXT(C14),""))),1,0)</f>
        <v/>
      </c>
    </row>
    <row r="24">
      <c r="A24" s="17" t="inlineStr">
        <is>
          <t>Clear the filter and the two feet agree, which is why a SUM at the foot hides until somebody filters.</t>
        </is>
      </c>
    </row>
  </sheetData>
  <autoFilter ref="A4:C12">
    <filterColumn colId="1" hiddenButton="0" showButton="1">
      <filters blank="0">
        <filter val="Mumbai"/>
      </filters>
    </filterColumn>
  </autoFilter>
  <mergeCells count="3">
    <mergeCell ref="B21:F21"/>
    <mergeCell ref="A2:F2"/>
    <mergeCell ref="B19:F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30" customWidth="1" min="1" max="1"/>
    <col width="126" customWidth="1" min="2" max="2"/>
    <col width="10" customWidth="1" min="3" max="3"/>
    <col width="10" customWidth="1" min="4" max="4"/>
    <col width="10" customWidth="1" min="5" max="5"/>
    <col width="10" customWidth="1" min="6" max="6"/>
  </cols>
  <sheetData>
    <row r="1">
      <c r="A1" s="1" t="inlineStr">
        <is>
          <t>Is every tab fixed, and what does the note to Kavya say?</t>
        </is>
      </c>
    </row>
    <row r="2" ht="44" customHeight="1">
      <c r="A2" s="4" t="inlineStr">
        <is>
          <t>The note is released only when every chapter tab passes its check and every computed cell still holds its formula. Paste it into the note to Kavya.</t>
        </is>
      </c>
    </row>
    <row r="4">
      <c r="A4" s="9" t="inlineStr">
        <is>
          <t>Tabs fixed</t>
        </is>
      </c>
      <c r="B4" s="6">
        <f>Tree!B60+Quarters!B27+Lookup!E18+Card!B19+Rule!B28+Director!B22</f>
        <v/>
      </c>
    </row>
    <row r="5">
      <c r="A5" s="9" t="inlineStr">
        <is>
          <t>Computed cells holding a typed figure</t>
        </is>
      </c>
      <c r="B5" s="6">
        <f>SUMPRODUCT(1-_xlfn.ISFORMULA('Tree'!B8))+SUMPRODUCT(1-_xlfn.ISFORMULA('Tree'!B51:B57))+SUMPRODUCT(1-_xlfn.ISFORMULA('Tree'!B59:B60))+SUMPRODUCT(1-_xlfn.ISFORMULA('Tree'!D11:D49))+SUMPRODUCT(1-_xlfn.ISFORMULA('Quarters'!B20:B24))+SUMPRODUCT(1-_xlfn.ISFORMULA('Quarters'!B26:B27))+SUMPRODUCT(1-_xlfn.ISFORMULA('Quarters'!C20:C22))+SUMPRODUCT(1-_xlfn.ISFORMULA('Quarters'!E5:E13))+SUMPRODUCT(1-_xlfn.ISFORMULA('Lookup'!E8:E10))+SUMPRODUCT(1-_xlfn.ISFORMULA('Lookup'!E14:E15))+SUMPRODUCT(1-_xlfn.ISFORMULA('Lookup'!E17:E18))+SUMPRODUCT(1-_xlfn.ISFORMULA('Card'!B12:B16))+SUMPRODUCT(1-_xlfn.ISFORMULA('Card'!B18:B19))+SUMPRODUCT(1-_xlfn.ISFORMULA('Rule'!B10))+SUMPRODUCT(1-_xlfn.ISFORMULA('Rule'!B16))+SUMPRODUCT(1-_xlfn.ISFORMULA('Rule'!B24:B25))+SUMPRODUCT(1-_xlfn.ISFORMULA('Rule'!B27:B28))+SUMPRODUCT(1-_xlfn.ISFORMULA('Rule'!C13:C15))+SUMPRODUCT(1-_xlfn.ISFORMULA('Rule'!D13:D16))+SUMPRODUCT(1-_xlfn.ISFORMULA('Director'!B19))+SUMPRODUCT(1-_xlfn.ISFORMULA('Director'!B21:B22))+SUMPRODUCT(1-_xlfn.ISFORMULA('Director'!C14:C16))+SUMPRODUCT(1-_xlfn.ISFORMULA('Director'!C18))</f>
        <v/>
      </c>
    </row>
    <row r="6" ht="30" customHeight="1">
      <c r="A6" s="20" t="inlineStr">
        <is>
          <t>Release</t>
        </is>
      </c>
      <c r="B6" s="14">
        <f>IF(AND(B4=6,B5=0),"Ready to paste into the note to Kavya.","Not ready: "&amp;IF(B4&lt;6,(6-B4)&amp;" of 6 tabs still "&amp;IF(B4=5,"carries","carry")&amp;" a defect","")&amp;IF(AND(B4&lt;6,B5&gt;0),", and ","")&amp;IF(B5&gt;0,B5&amp;" computed "&amp;IF(B5=1,"cell holds","cells hold")&amp;" a typed figure where a formula belongs","")&amp;".")</f>
        <v/>
      </c>
    </row>
    <row r="8" ht="230" customHeight="1">
      <c r="A8" s="9" t="inlineStr">
        <is>
          <t>Paste-ready note</t>
        </is>
      </c>
      <c r="B8" s="2">
        <f>IF(AND(B4=6,B5=0),"Tree: "&amp;Tree!B59&amp;CHAR(10)&amp;"Quarters: "&amp;Quarters!B26&amp;CHAR(10)&amp;"Lookup: "&amp;Lookup!E17&amp;CHAR(10)&amp;"Card: "&amp;Card!B18&amp;CHAR(10)&amp;"Rule: "&amp;Rule!B27&amp;CHAR(10)&amp;"Director: "&amp;Director!B21,"The note assembles once every tab passes its check and every computed cell holds its formula.")</f>
        <v/>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2026-10-01T01:48:23Z</dcterms:created>
  <dcterms:modified xmlns:dcterms="http://purl.org/dc/terms/" xmlns:xsi="http://www.w3.org/2001/XMLSchema-instance" xsi:type="dcterms:W3CDTF">2026-10-01T01:48:23Z</dcterms:modified>
</cp:coreProperties>
</file>