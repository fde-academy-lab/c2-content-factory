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Raw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Tree" sheetId="5" state="visible" r:id="rId5"/>
    <sheet xmlns:r="http://schemas.openxmlformats.org/officeDocument/2006/relationships" name="Protect" sheetId="6" state="visible" r:id="rId6"/>
    <sheet xmlns:r="http://schemas.openxmlformats.org/officeDocument/2006/relationships" name="FrontPage" sheetId="7" state="visible" r:id="rId7"/>
  </sheets>
  <definedNames>
    <definedName name="_xlnm._FilterDatabase" localSheetId="2" hidden="1">'Raw'!$A$1:$O$1451</definedName>
    <definedName name="_xlnm._FilterDatabase" localSheetId="3" hidden="1">'Customers'!$A$1:$G$301</definedName>
    <definedName name="_xlnm._FilterDatabase" localSheetId="5" hidden="1">'Protect'!$A$11:$F$71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[&gt;=10000000]##\,##\,##\,##0;[&gt;=100000]##\,##\,##0;##,##0"/>
    <numFmt numFmtId="166" formatCode="0.0%"/>
  </numFmts>
  <fonts count="7">
    <font>
      <name val="Calibri"/>
      <family val="2"/>
      <color theme="1"/>
      <sz val="11"/>
      <scheme val="minor"/>
    </font>
    <font>
      <name val="Georgia"/>
      <color rgb="001A0F5C"/>
      <sz val="16"/>
    </font>
    <font>
      <b val="1"/>
      <color rgb="00FFFFFF"/>
    </font>
    <font>
      <i val="1"/>
      <color rgb="006B6690"/>
    </font>
    <font>
      <b val="1"/>
      <color rgb="001A0F5C"/>
    </font>
    <font>
      <color rgb="001A0F5C"/>
    </font>
    <font>
      <b val="1"/>
      <color rgb="001A0F5C"/>
      <sz val="12"/>
    </font>
  </fonts>
  <fills count="5">
    <fill>
      <patternFill/>
    </fill>
    <fill>
      <patternFill patternType="gray125"/>
    </fill>
    <fill>
      <patternFill patternType="solid">
        <fgColor rgb="001A0F5C"/>
      </patternFill>
    </fill>
    <fill>
      <patternFill patternType="solid">
        <fgColor rgb="00FFF4C2"/>
      </patternFill>
    </fill>
    <fill>
      <patternFill patternType="solid">
        <fgColor rgb="00EEEAFB"/>
      </patternFill>
    </fill>
  </fills>
  <borders count="6">
    <border>
      <left/>
      <right/>
      <top/>
      <bottom/>
      <diagonal/>
    </border>
    <border>
      <left style="thin">
        <color rgb="00CFC9EE"/>
      </left>
      <right style="thin">
        <color rgb="00CFC9EE"/>
      </right>
      <top style="thin">
        <color rgb="00CFC9EE"/>
      </top>
      <bottom style="thin">
        <color rgb="00CFC9EE"/>
      </bottom>
    </border>
    <border>
      <left/>
      <right/>
      <top style="thin">
        <color rgb="00CFC9EE"/>
      </top>
      <bottom/>
      <diagonal/>
    </border>
    <border>
      <left/>
      <right style="thin">
        <color rgb="00CFC9EE"/>
      </right>
      <top style="thin">
        <color rgb="00CFC9EE"/>
      </top>
      <bottom/>
      <diagonal/>
    </border>
    <border>
      <left/>
      <right/>
      <top style="thin">
        <color rgb="00CFC9EE"/>
      </top>
      <bottom style="thin">
        <color rgb="00CFC9EE"/>
      </bottom>
      <diagonal/>
    </border>
    <border>
      <left/>
      <right style="thin">
        <color rgb="00CFC9EE"/>
      </right>
      <top style="thin">
        <color rgb="00CFC9EE"/>
      </top>
      <bottom style="thin">
        <color rgb="00CFC9EE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6" fillId="0" borderId="0" pivotButton="0" quotePrefix="0" xfId="0"/>
    <xf numFmtId="0" fontId="6" fillId="4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0" fillId="3" borderId="1" pivotButton="0" quotePrefix="0" xfId="0"/>
    <xf numFmtId="165" fontId="0" fillId="3" borderId="1" pivotButton="0" quotePrefix="0" xfId="0"/>
    <xf numFmtId="0" fontId="5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left"/>
    </xf>
    <xf numFmtId="0" fontId="2" fillId="2" borderId="0" pivotButton="0" quotePrefix="0" xfId="0"/>
    <xf numFmtId="165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per customer, Q1 against Q2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'Tree'!D7</f>
            </strRef>
          </tx>
          <spPr>
            <a:solidFill xmlns:a="http://schemas.openxmlformats.org/drawingml/2006/main">
              <a:srgbClr val="CFC9EE"/>
            </a:solidFill>
            <a:ln xmlns:a="http://schemas.openxmlformats.org/drawingml/2006/main">
              <a:solidFill>
                <a:srgbClr val="CFC9EE"/>
              </a:solidFill>
              <a:prstDash val="solid"/>
            </a:ln>
          </spPr>
          <cat>
            <numRef>
              <f>'Tree'!$A$8:$A$11</f>
            </numRef>
          </cat>
          <val>
            <numRef>
              <f>'Tree'!$D$8:$D$11</f>
            </numRef>
          </val>
        </ser>
        <ser>
          <idx val="1"/>
          <order val="1"/>
          <tx>
            <strRef>
              <f>'Tree'!I7</f>
            </strRef>
          </tx>
          <spPr>
            <a:solidFill xmlns:a="http://schemas.openxmlformats.org/drawingml/2006/main">
              <a:srgbClr val="5B3FD6"/>
            </a:solidFill>
            <a:ln xmlns:a="http://schemas.openxmlformats.org/drawingml/2006/main">
              <a:solidFill>
                <a:srgbClr val="5B3FD6"/>
              </a:solidFill>
              <a:prstDash val="solid"/>
            </a:ln>
          </spPr>
          <cat>
            <numRef>
              <f>'Tree'!$A$8:$A$11</f>
            </numRef>
          </cat>
          <val>
            <numRef>
              <f>'Tree'!$I$8:$I$11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 per customer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for the card's scope, April to September 2026</a:t>
            </a:r>
          </a:p>
        </rich>
      </tx>
    </title>
    <plotArea>
      <lineChart>
        <grouping val="standard"/>
        <ser>
          <idx val="0"/>
          <order val="0"/>
          <tx>
            <strRef>
              <f>'FrontPage'!A12</f>
            </strRef>
          </tx>
          <spPr>
            <a:ln xmlns:a="http://schemas.openxmlformats.org/drawingml/2006/main" w="28575">
              <a:solidFill>
                <a:srgbClr val="5B3F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'FrontPage'!$B$6:$G$6</f>
            </numRef>
          </cat>
          <val>
            <numRef>
              <f>'FrontPage'!$B$12:$G$12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22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Monday's growth review: the deck pack</t>
        </is>
      </c>
    </row>
    <row r="3">
      <c r="A3" s="2" t="inlineStr">
        <is>
          <t>Kalpa Retail, Week 2, Friday. Three things Meera's chief of staff opens on a laptop without a login.</t>
        </is>
      </c>
    </row>
    <row r="4">
      <c r="A4" s="2" t="inlineStr">
        <is>
          <t>Tree: the revenue tree by segment for Q1 and Q2. Protect: the top-fifty protect list and a lookup by member id. FrontPage: one number with its period, its comparison, its denominator and its monthly trend.</t>
        </is>
      </c>
    </row>
    <row r="5">
      <c r="A5" s="2" t="inlineStr">
        <is>
          <t>Checks: whether all three may go into the deck. It holds anything that does not reconcile to the warehouse.</t>
        </is>
      </c>
    </row>
    <row r="6">
      <c r="A6" s="2" t="inlineStr">
        <is>
          <t>Yellow cells are the assumptions a director may change in the room. Every other cell is a live formula over the Raw and Customers tabs, which hold the two exports exactly as they arrived.</t>
        </is>
      </c>
    </row>
    <row r="7">
      <c r="A7" s="2" t="inlineStr">
        <is>
          <t>The Tree tab is a pivot written as SUMIFS, so it recalculates the moment a yellow cell changes. A PivotTable needs a refresh after its source changes.</t>
        </is>
      </c>
    </row>
    <row r="8">
      <c r="A8" s="2" t="inlineStr">
        <is>
          <t>The XLOOKUP cell on the Protect tab is computed in Excel and not proved here: LibreOffice 24.2 returns #NAME? for it, so every other lookup uses INDEX and MATCH.</t>
        </is>
      </c>
    </row>
    <row r="9">
      <c r="A9" s="2" t="inlineStr">
        <is>
          <t>The warehouse owns these numbers. Change an assumption here; never type over a computed cell.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90" customWidth="1" min="3" max="3"/>
  </cols>
  <sheetData>
    <row r="1">
      <c r="A1" s="1" t="inlineStr">
        <is>
          <t>What may go into Monday's deck</t>
        </is>
      </c>
    </row>
    <row r="2">
      <c r="A2" s="3" t="inlineStr">
        <is>
          <t>Each deliverable goes in only when its numbers reconcile to the warehouse. A held item says why.</t>
        </is>
      </c>
    </row>
    <row r="4">
      <c r="A4" s="4" t="inlineStr">
        <is>
          <t>Check</t>
        </is>
      </c>
      <c r="B4" s="4" t="inlineStr">
        <is>
          <t>Passes</t>
        </is>
      </c>
      <c r="C4" s="4" t="inlineStr">
        <is>
          <t>What it found</t>
        </is>
      </c>
    </row>
    <row r="5" ht="30" customHeight="1">
      <c r="A5" t="inlineStr">
        <is>
          <t>The tree reconciles to the warehouse</t>
        </is>
      </c>
      <c r="B5">
        <f>IF(ABS(Tree!C15)&lt;1,1,0)</f>
        <v/>
      </c>
      <c r="C5" s="2">
        <f>Tree!C18</f>
        <v/>
      </c>
    </row>
    <row r="6" ht="30" customHeight="1">
      <c r="A6" t="inlineStr">
        <is>
          <t>The customer table reconciles to the warehouse</t>
        </is>
      </c>
      <c r="B6">
        <f>IF(ABS(SUM(Customers!$E$2:$E$301)-Tree!C5)&lt;1,1,0)</f>
        <v/>
      </c>
      <c r="C6" s="2">
        <f>IF(B6=1,"The customer table sums to the warehouse total.","The customer table is "&amp;IF(ABS((Tree!C5-SUM(Customers!$E$2:$E$301)))&gt;=10000000,"Rs "&amp;TEXT((Tree!C5-SUM(Customers!$E$2:$E$301))/10000000,"0.00")&amp;" crore",IF(ABS((Tree!C5-SUM(Customers!$E$2:$E$301)))&gt;=100000,"Rs "&amp;TEXT((Tree!C5-SUM(Customers!$E$2:$E$301))/100000,"0.00")&amp;" lakh","Rs "&amp;IF(ROUND((Tree!C5-SUM(Customers!$E$2:$E$301)),0)&gt;=100000,INT(ROUND((Tree!C5-SUM(Customers!$E$2:$E$301)),0)/100000)&amp;","&amp;TEXT(INT(MOD(ROUND((Tree!C5-SUM(Customers!$E$2:$E$301)),0),100000)/1000),"00")&amp;","&amp;TEXT(MOD(ROUND((Tree!C5-SUM(Customers!$E$2:$E$301)),0),1000),"000"),IF(ROUND((Tree!C5-SUM(Customers!$E$2:$E$301)),0)&gt;=1000,INT(ROUND((Tree!C5-SUM(Customers!$E$2:$E$301)),0)/1000)&amp;","&amp;TEXT(MOD(ROUND((Tree!C5-SUM(Customers!$E$2:$E$301)),0),1000),"000"),ROUND((Tree!C5-SUM(Customers!$E$2:$E$301)),0)&amp;""))))&amp;" and "&amp;(Tree!C17-SUM(Customers!$D$2:$D$301))&amp;" orders short of the warehouse, so the protect list may be missing a member.")</f>
        <v/>
      </c>
    </row>
    <row r="7" ht="30" customHeight="1">
      <c r="A7" t="inlineStr">
        <is>
          <t>The lookup answers with the member asked for</t>
        </is>
      </c>
      <c r="B7">
        <f>IF(OR(Protect!F4="not found",Protect!F4=Protect!C6),1,0)</f>
        <v/>
      </c>
      <c r="C7" s="2">
        <f>Protect!F7</f>
        <v/>
      </c>
    </row>
    <row r="8" ht="30" customHeight="1">
      <c r="A8" t="inlineStr">
        <is>
          <t>The front page reconciles to the warehouse</t>
        </is>
      </c>
      <c r="B8">
        <f>IF(ABS(FrontPage!H11+FrontPage!I11-Tree!C5)&lt;1,1,0)</f>
        <v/>
      </c>
      <c r="C8" s="2">
        <f>FrontPage!B18</f>
        <v/>
      </c>
    </row>
    <row r="10" ht="46" customHeight="1">
      <c r="A10" s="5" t="inlineStr">
        <is>
          <t>Release</t>
        </is>
      </c>
      <c r="C10" s="6">
        <f>IF(SUM(B5:B8)=4,"Ready for Monday's deck: the tree, the protect list and the front page.",IF(B5=0,"Do not send anything: the tree counts an order more than once, and the card inherits it.",IF(B6=0,"Send the tree and the front page. Hold the protect list until the customer table reconciles to the warehouse.","Hold what fails above and send the rest.")))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9" customWidth="1" min="4" max="4"/>
    <col width="12" customWidth="1" min="5" max="5"/>
    <col width="13" customWidth="1" min="6" max="6"/>
    <col width="12" customWidth="1" min="7" max="7"/>
    <col width="12" customWidth="1" min="8" max="8"/>
    <col width="9" customWidth="1" min="9" max="9"/>
    <col width="9" customWidth="1" min="10" max="10"/>
    <col width="12" customWidth="1" min="11" max="11"/>
    <col width="14" customWidth="1" min="12" max="12"/>
    <col width="13" customWidth="1" min="13" max="13"/>
    <col width="11" customWidth="1" min="14" max="14"/>
    <col width="11" customWidth="1" min="15" max="15"/>
  </cols>
  <sheetData>
    <row r="1">
      <c r="A1" s="4" t="inlineStr">
        <is>
          <t>order_id</t>
        </is>
      </c>
      <c r="B1" s="4" t="inlineStr">
        <is>
          <t>customer_id</t>
        </is>
      </c>
      <c r="C1" s="4" t="inlineStr">
        <is>
          <t>segment</t>
        </is>
      </c>
      <c r="D1" s="4" t="inlineStr">
        <is>
          <t>channel</t>
        </is>
      </c>
      <c r="E1" s="4" t="inlineStr">
        <is>
          <t>order_date</t>
        </is>
      </c>
      <c r="F1" s="4" t="inlineStr">
        <is>
          <t>order_amount</t>
        </is>
      </c>
      <c r="G1" s="4" t="inlineStr">
        <is>
          <t>paid_amount</t>
        </is>
      </c>
      <c r="H1" s="4" t="inlineStr">
        <is>
          <t>paid_date</t>
        </is>
      </c>
      <c r="I1" s="4" t="inlineStr">
        <is>
          <t>quarter</t>
        </is>
      </c>
      <c r="J1" s="4" t="inlineStr">
        <is>
          <t>month</t>
        </is>
      </c>
      <c r="K1" s="4" t="inlineStr">
        <is>
          <t>first row of this order</t>
        </is>
      </c>
      <c r="L1" s="4" t="inlineStr">
        <is>
          <t>first order of this customer in the quarter</t>
        </is>
      </c>
      <c r="M1" s="4" t="inlineStr">
        <is>
          <t>amount counted</t>
        </is>
      </c>
      <c r="N1" s="4" t="inlineStr">
        <is>
          <t>orders counted</t>
        </is>
      </c>
      <c r="O1" s="4" t="inlineStr">
        <is>
          <t>customers counted</t>
        </is>
      </c>
    </row>
    <row r="2">
      <c r="A2" t="inlineStr">
        <is>
          <t>KR-00001</t>
        </is>
      </c>
      <c r="B2" t="inlineStr">
        <is>
          <t>C-0316</t>
        </is>
      </c>
      <c r="C2" t="inlineStr">
        <is>
          <t>Student</t>
        </is>
      </c>
      <c r="D2" t="inlineStr">
        <is>
          <t>web</t>
        </is>
      </c>
      <c r="E2" s="7" t="n">
        <v>46132</v>
      </c>
      <c r="F2" t="n">
        <v>520</v>
      </c>
      <c r="G2" t="n">
        <v>520</v>
      </c>
      <c r="H2" t="inlineStr">
        <is>
          <t>2026-04-22</t>
        </is>
      </c>
      <c r="I2">
        <f>IF(MONTH(E2)&lt;=6,"Q1","Q2")</f>
        <v/>
      </c>
      <c r="J2">
        <f>YEAR(E2)*100+MONTH(E2)</f>
        <v/>
      </c>
      <c r="K2">
        <f>IF(COUNTIF($A$2:A2,A2)=1,1,0)</f>
        <v/>
      </c>
      <c r="L2">
        <f>IF(K2=1,IF(COUNTIFS($B$2:B2,B2,$I$2:I2,I2,$K$2:K2,1)=1,1,0),0)</f>
        <v/>
      </c>
      <c r="M2">
        <f>IF(Tree!$C$4="once per order",F2*K2,F2)</f>
        <v/>
      </c>
      <c r="N2">
        <f>IF(Tree!$C$4="once per order",K2,1)</f>
        <v/>
      </c>
      <c r="O2">
        <f>IF(Tree!$C$4="once per order",L2,1)</f>
        <v/>
      </c>
    </row>
    <row r="3">
      <c r="A3" t="inlineStr">
        <is>
          <t>KR-00001</t>
        </is>
      </c>
      <c r="B3" t="inlineStr">
        <is>
          <t>C-0316</t>
        </is>
      </c>
      <c r="C3" t="inlineStr">
        <is>
          <t>Student</t>
        </is>
      </c>
      <c r="D3" t="inlineStr">
        <is>
          <t>web</t>
        </is>
      </c>
      <c r="E3" s="7" t="n">
        <v>46132</v>
      </c>
      <c r="F3" t="n">
        <v>520</v>
      </c>
      <c r="G3" t="n">
        <v>520</v>
      </c>
      <c r="H3" t="inlineStr">
        <is>
          <t>2026-04-22</t>
        </is>
      </c>
      <c r="I3">
        <f>IF(MONTH(E3)&lt;=6,"Q1","Q2")</f>
        <v/>
      </c>
      <c r="J3">
        <f>YEAR(E3)*100+MONTH(E3)</f>
        <v/>
      </c>
      <c r="K3">
        <f>IF(COUNTIF($A$2:A3,A3)=1,1,0)</f>
        <v/>
      </c>
      <c r="L3">
        <f>IF(K3=1,IF(COUNTIFS($B$2:B3,B3,$I$2:I3,I3,$K$2:K3,1)=1,1,0),0)</f>
        <v/>
      </c>
      <c r="M3">
        <f>IF(Tree!$C$4="once per order",F3*K3,F3)</f>
        <v/>
      </c>
      <c r="N3">
        <f>IF(Tree!$C$4="once per order",K3,1)</f>
        <v/>
      </c>
      <c r="O3">
        <f>IF(Tree!$C$4="once per order",L3,1)</f>
        <v/>
      </c>
    </row>
    <row r="4">
      <c r="A4" t="inlineStr">
        <is>
          <t>KR-00002</t>
        </is>
      </c>
      <c r="B4" t="inlineStr">
        <is>
          <t>C-0323</t>
        </is>
      </c>
      <c r="C4" t="inlineStr">
        <is>
          <t>Student</t>
        </is>
      </c>
      <c r="D4" t="inlineStr">
        <is>
          <t>app</t>
        </is>
      </c>
      <c r="E4" s="7" t="n">
        <v>46161</v>
      </c>
      <c r="F4" t="n">
        <v>800</v>
      </c>
      <c r="G4" t="n">
        <v>800</v>
      </c>
      <c r="H4" t="inlineStr">
        <is>
          <t>2026-05-21</t>
        </is>
      </c>
      <c r="I4">
        <f>IF(MONTH(E4)&lt;=6,"Q1","Q2")</f>
        <v/>
      </c>
      <c r="J4">
        <f>YEAR(E4)*100+MONTH(E4)</f>
        <v/>
      </c>
      <c r="K4">
        <f>IF(COUNTIF($A$2:A4,A4)=1,1,0)</f>
        <v/>
      </c>
      <c r="L4">
        <f>IF(K4=1,IF(COUNTIFS($B$2:B4,B4,$I$2:I4,I4,$K$2:K4,1)=1,1,0),0)</f>
        <v/>
      </c>
      <c r="M4">
        <f>IF(Tree!$C$4="once per order",F4*K4,F4)</f>
        <v/>
      </c>
      <c r="N4">
        <f>IF(Tree!$C$4="once per order",K4,1)</f>
        <v/>
      </c>
      <c r="O4">
        <f>IF(Tree!$C$4="once per order",L4,1)</f>
        <v/>
      </c>
    </row>
    <row r="5">
      <c r="A5" t="inlineStr">
        <is>
          <t>KR-00002</t>
        </is>
      </c>
      <c r="B5" t="inlineStr">
        <is>
          <t>C-0323</t>
        </is>
      </c>
      <c r="C5" t="inlineStr">
        <is>
          <t>Student</t>
        </is>
      </c>
      <c r="D5" t="inlineStr">
        <is>
          <t>app</t>
        </is>
      </c>
      <c r="E5" s="7" t="n">
        <v>46161</v>
      </c>
      <c r="F5" t="n">
        <v>800</v>
      </c>
      <c r="G5" t="n">
        <v>800</v>
      </c>
      <c r="H5" t="inlineStr">
        <is>
          <t>2026-05-21</t>
        </is>
      </c>
      <c r="I5">
        <f>IF(MONTH(E5)&lt;=6,"Q1","Q2")</f>
        <v/>
      </c>
      <c r="J5">
        <f>YEAR(E5)*100+MONTH(E5)</f>
        <v/>
      </c>
      <c r="K5">
        <f>IF(COUNTIF($A$2:A5,A5)=1,1,0)</f>
        <v/>
      </c>
      <c r="L5">
        <f>IF(K5=1,IF(COUNTIFS($B$2:B5,B5,$I$2:I5,I5,$K$2:K5,1)=1,1,0),0)</f>
        <v/>
      </c>
      <c r="M5">
        <f>IF(Tree!$C$4="once per order",F5*K5,F5)</f>
        <v/>
      </c>
      <c r="N5">
        <f>IF(Tree!$C$4="once per order",K5,1)</f>
        <v/>
      </c>
      <c r="O5">
        <f>IF(Tree!$C$4="once per order",L5,1)</f>
        <v/>
      </c>
    </row>
    <row r="6">
      <c r="A6" t="inlineStr">
        <is>
          <t>KR-00003</t>
        </is>
      </c>
      <c r="B6" t="inlineStr">
        <is>
          <t>C-0322</t>
        </is>
      </c>
      <c r="C6" t="inlineStr">
        <is>
          <t>Student</t>
        </is>
      </c>
      <c r="D6" t="inlineStr">
        <is>
          <t>store</t>
        </is>
      </c>
      <c r="E6" s="7" t="n">
        <v>46181</v>
      </c>
      <c r="F6" t="n">
        <v>800</v>
      </c>
      <c r="G6" t="n">
        <v>800</v>
      </c>
      <c r="H6" t="inlineStr">
        <is>
          <t>2026-06-10</t>
        </is>
      </c>
      <c r="I6">
        <f>IF(MONTH(E6)&lt;=6,"Q1","Q2")</f>
        <v/>
      </c>
      <c r="J6">
        <f>YEAR(E6)*100+MONTH(E6)</f>
        <v/>
      </c>
      <c r="K6">
        <f>IF(COUNTIF($A$2:A6,A6)=1,1,0)</f>
        <v/>
      </c>
      <c r="L6">
        <f>IF(K6=1,IF(COUNTIFS($B$2:B6,B6,$I$2:I6,I6,$K$2:K6,1)=1,1,0),0)</f>
        <v/>
      </c>
      <c r="M6">
        <f>IF(Tree!$C$4="once per order",F6*K6,F6)</f>
        <v/>
      </c>
      <c r="N6">
        <f>IF(Tree!$C$4="once per order",K6,1)</f>
        <v/>
      </c>
      <c r="O6">
        <f>IF(Tree!$C$4="once per order",L6,1)</f>
        <v/>
      </c>
    </row>
    <row r="7">
      <c r="A7" t="inlineStr">
        <is>
          <t>KR-00003</t>
        </is>
      </c>
      <c r="B7" t="inlineStr">
        <is>
          <t>C-0322</t>
        </is>
      </c>
      <c r="C7" t="inlineStr">
        <is>
          <t>Student</t>
        </is>
      </c>
      <c r="D7" t="inlineStr">
        <is>
          <t>store</t>
        </is>
      </c>
      <c r="E7" s="7" t="n">
        <v>46181</v>
      </c>
      <c r="F7" t="n">
        <v>800</v>
      </c>
      <c r="G7" t="n">
        <v>800</v>
      </c>
      <c r="H7" t="inlineStr">
        <is>
          <t>2026-06-10</t>
        </is>
      </c>
      <c r="I7">
        <f>IF(MONTH(E7)&lt;=6,"Q1","Q2")</f>
        <v/>
      </c>
      <c r="J7">
        <f>YEAR(E7)*100+MONTH(E7)</f>
        <v/>
      </c>
      <c r="K7">
        <f>IF(COUNTIF($A$2:A7,A7)=1,1,0)</f>
        <v/>
      </c>
      <c r="L7">
        <f>IF(K7=1,IF(COUNTIFS($B$2:B7,B7,$I$2:I7,I7,$K$2:K7,1)=1,1,0),0)</f>
        <v/>
      </c>
      <c r="M7">
        <f>IF(Tree!$C$4="once per order",F7*K7,F7)</f>
        <v/>
      </c>
      <c r="N7">
        <f>IF(Tree!$C$4="once per order",K7,1)</f>
        <v/>
      </c>
      <c r="O7">
        <f>IF(Tree!$C$4="once per order",L7,1)</f>
        <v/>
      </c>
    </row>
    <row r="8">
      <c r="A8" t="inlineStr">
        <is>
          <t>KR-00004</t>
        </is>
      </c>
      <c r="B8" t="inlineStr">
        <is>
          <t>C-0325</t>
        </is>
      </c>
      <c r="C8" t="inlineStr">
        <is>
          <t>Student</t>
        </is>
      </c>
      <c r="D8" t="inlineStr">
        <is>
          <t>app</t>
        </is>
      </c>
      <c r="E8" s="7" t="n">
        <v>46136</v>
      </c>
      <c r="F8" t="n">
        <v>1310</v>
      </c>
      <c r="G8" t="n">
        <v>1310</v>
      </c>
      <c r="H8" t="inlineStr">
        <is>
          <t>2026-04-26</t>
        </is>
      </c>
      <c r="I8">
        <f>IF(MONTH(E8)&lt;=6,"Q1","Q2")</f>
        <v/>
      </c>
      <c r="J8">
        <f>YEAR(E8)*100+MONTH(E8)</f>
        <v/>
      </c>
      <c r="K8">
        <f>IF(COUNTIF($A$2:A8,A8)=1,1,0)</f>
        <v/>
      </c>
      <c r="L8">
        <f>IF(K8=1,IF(COUNTIFS($B$2:B8,B8,$I$2:I8,I8,$K$2:K8,1)=1,1,0),0)</f>
        <v/>
      </c>
      <c r="M8">
        <f>IF(Tree!$C$4="once per order",F8*K8,F8)</f>
        <v/>
      </c>
      <c r="N8">
        <f>IF(Tree!$C$4="once per order",K8,1)</f>
        <v/>
      </c>
      <c r="O8">
        <f>IF(Tree!$C$4="once per order",L8,1)</f>
        <v/>
      </c>
    </row>
    <row r="9">
      <c r="A9" t="inlineStr">
        <is>
          <t>KR-00005</t>
        </is>
      </c>
      <c r="B9" t="inlineStr">
        <is>
          <t>C-0333</t>
        </is>
      </c>
      <c r="C9" t="inlineStr">
        <is>
          <t>Student</t>
        </is>
      </c>
      <c r="D9" t="inlineStr">
        <is>
          <t>app</t>
        </is>
      </c>
      <c r="E9" s="7" t="n">
        <v>46169</v>
      </c>
      <c r="F9" t="n">
        <v>1380</v>
      </c>
      <c r="G9" t="n">
        <v>1380</v>
      </c>
      <c r="H9" t="inlineStr">
        <is>
          <t>2026-05-28</t>
        </is>
      </c>
      <c r="I9">
        <f>IF(MONTH(E9)&lt;=6,"Q1","Q2")</f>
        <v/>
      </c>
      <c r="J9">
        <f>YEAR(E9)*100+MONTH(E9)</f>
        <v/>
      </c>
      <c r="K9">
        <f>IF(COUNTIF($A$2:A9,A9)=1,1,0)</f>
        <v/>
      </c>
      <c r="L9">
        <f>IF(K9=1,IF(COUNTIFS($B$2:B9,B9,$I$2:I9,I9,$K$2:K9,1)=1,1,0),0)</f>
        <v/>
      </c>
      <c r="M9">
        <f>IF(Tree!$C$4="once per order",F9*K9,F9)</f>
        <v/>
      </c>
      <c r="N9">
        <f>IF(Tree!$C$4="once per order",K9,1)</f>
        <v/>
      </c>
      <c r="O9">
        <f>IF(Tree!$C$4="once per order",L9,1)</f>
        <v/>
      </c>
    </row>
    <row r="10">
      <c r="A10" t="inlineStr">
        <is>
          <t>KR-00006</t>
        </is>
      </c>
      <c r="B10" t="inlineStr">
        <is>
          <t>C-0323</t>
        </is>
      </c>
      <c r="C10" t="inlineStr">
        <is>
          <t>Student</t>
        </is>
      </c>
      <c r="D10" t="inlineStr">
        <is>
          <t>app</t>
        </is>
      </c>
      <c r="E10" s="7" t="n">
        <v>46198</v>
      </c>
      <c r="F10" t="n">
        <v>970</v>
      </c>
      <c r="G10" t="n">
        <v>970</v>
      </c>
      <c r="H10" t="inlineStr">
        <is>
          <t>2026-06-27</t>
        </is>
      </c>
      <c r="I10">
        <f>IF(MONTH(E10)&lt;=6,"Q1","Q2")</f>
        <v/>
      </c>
      <c r="J10">
        <f>YEAR(E10)*100+MONTH(E10)</f>
        <v/>
      </c>
      <c r="K10">
        <f>IF(COUNTIF($A$2:A10,A10)=1,1,0)</f>
        <v/>
      </c>
      <c r="L10">
        <f>IF(K10=1,IF(COUNTIFS($B$2:B10,B10,$I$2:I10,I10,$K$2:K10,1)=1,1,0),0)</f>
        <v/>
      </c>
      <c r="M10">
        <f>IF(Tree!$C$4="once per order",F10*K10,F10)</f>
        <v/>
      </c>
      <c r="N10">
        <f>IF(Tree!$C$4="once per order",K10,1)</f>
        <v/>
      </c>
      <c r="O10">
        <f>IF(Tree!$C$4="once per order",L10,1)</f>
        <v/>
      </c>
    </row>
    <row r="11">
      <c r="A11" t="inlineStr">
        <is>
          <t>KR-00007</t>
        </is>
      </c>
      <c r="B11" t="inlineStr">
        <is>
          <t>C-0315</t>
        </is>
      </c>
      <c r="C11" t="inlineStr">
        <is>
          <t>Student</t>
        </is>
      </c>
      <c r="D11" t="inlineStr">
        <is>
          <t>store</t>
        </is>
      </c>
      <c r="E11" s="7" t="n">
        <v>46115</v>
      </c>
      <c r="F11" t="n">
        <v>1310</v>
      </c>
      <c r="G11" t="n">
        <v>1310</v>
      </c>
      <c r="H11" t="inlineStr">
        <is>
          <t>2026-04-05</t>
        </is>
      </c>
      <c r="I11">
        <f>IF(MONTH(E11)&lt;=6,"Q1","Q2")</f>
        <v/>
      </c>
      <c r="J11">
        <f>YEAR(E11)*100+MONTH(E11)</f>
        <v/>
      </c>
      <c r="K11">
        <f>IF(COUNTIF($A$2:A11,A11)=1,1,0)</f>
        <v/>
      </c>
      <c r="L11">
        <f>IF(K11=1,IF(COUNTIFS($B$2:B11,B11,$I$2:I11,I11,$K$2:K11,1)=1,1,0),0)</f>
        <v/>
      </c>
      <c r="M11">
        <f>IF(Tree!$C$4="once per order",F11*K11,F11)</f>
        <v/>
      </c>
      <c r="N11">
        <f>IF(Tree!$C$4="once per order",K11,1)</f>
        <v/>
      </c>
      <c r="O11">
        <f>IF(Tree!$C$4="once per order",L11,1)</f>
        <v/>
      </c>
    </row>
    <row r="12">
      <c r="A12" t="inlineStr">
        <is>
          <t>KR-00008</t>
        </is>
      </c>
      <c r="B12" t="inlineStr">
        <is>
          <t>C-0331</t>
        </is>
      </c>
      <c r="C12" t="inlineStr">
        <is>
          <t>Student</t>
        </is>
      </c>
      <c r="D12" t="inlineStr">
        <is>
          <t>app</t>
        </is>
      </c>
      <c r="E12" s="7" t="n">
        <v>46160</v>
      </c>
      <c r="F12" t="n">
        <v>1070</v>
      </c>
      <c r="G12" t="n">
        <v>1070</v>
      </c>
      <c r="H12" t="inlineStr">
        <is>
          <t>2026-05-20</t>
        </is>
      </c>
      <c r="I12">
        <f>IF(MONTH(E12)&lt;=6,"Q1","Q2")</f>
        <v/>
      </c>
      <c r="J12">
        <f>YEAR(E12)*100+MONTH(E12)</f>
        <v/>
      </c>
      <c r="K12">
        <f>IF(COUNTIF($A$2:A12,A12)=1,1,0)</f>
        <v/>
      </c>
      <c r="L12">
        <f>IF(K12=1,IF(COUNTIFS($B$2:B12,B12,$I$2:I12,I12,$K$2:K12,1)=1,1,0),0)</f>
        <v/>
      </c>
      <c r="M12">
        <f>IF(Tree!$C$4="once per order",F12*K12,F12)</f>
        <v/>
      </c>
      <c r="N12">
        <f>IF(Tree!$C$4="once per order",K12,1)</f>
        <v/>
      </c>
      <c r="O12">
        <f>IF(Tree!$C$4="once per order",L12,1)</f>
        <v/>
      </c>
    </row>
    <row r="13">
      <c r="A13" t="inlineStr">
        <is>
          <t>KR-00009</t>
        </is>
      </c>
      <c r="B13" t="inlineStr">
        <is>
          <t>C-0335</t>
        </is>
      </c>
      <c r="C13" t="inlineStr">
        <is>
          <t>Student</t>
        </is>
      </c>
      <c r="D13" t="inlineStr">
        <is>
          <t>app</t>
        </is>
      </c>
      <c r="E13" s="7" t="n">
        <v>46193</v>
      </c>
      <c r="F13" t="n">
        <v>900</v>
      </c>
      <c r="G13" t="n">
        <v>900</v>
      </c>
      <c r="H13" t="inlineStr">
        <is>
          <t>2026-06-22</t>
        </is>
      </c>
      <c r="I13">
        <f>IF(MONTH(E13)&lt;=6,"Q1","Q2")</f>
        <v/>
      </c>
      <c r="J13">
        <f>YEAR(E13)*100+MONTH(E13)</f>
        <v/>
      </c>
      <c r="K13">
        <f>IF(COUNTIF($A$2:A13,A13)=1,1,0)</f>
        <v/>
      </c>
      <c r="L13">
        <f>IF(K13=1,IF(COUNTIFS($B$2:B13,B13,$I$2:I13,I13,$K$2:K13,1)=1,1,0),0)</f>
        <v/>
      </c>
      <c r="M13">
        <f>IF(Tree!$C$4="once per order",F13*K13,F13)</f>
        <v/>
      </c>
      <c r="N13">
        <f>IF(Tree!$C$4="once per order",K13,1)</f>
        <v/>
      </c>
      <c r="O13">
        <f>IF(Tree!$C$4="once per order",L13,1)</f>
        <v/>
      </c>
    </row>
    <row r="14">
      <c r="A14" t="inlineStr">
        <is>
          <t>KR-00009</t>
        </is>
      </c>
      <c r="B14" t="inlineStr">
        <is>
          <t>C-0335</t>
        </is>
      </c>
      <c r="C14" t="inlineStr">
        <is>
          <t>Student</t>
        </is>
      </c>
      <c r="D14" t="inlineStr">
        <is>
          <t>app</t>
        </is>
      </c>
      <c r="E14" s="7" t="n">
        <v>46193</v>
      </c>
      <c r="F14" t="n">
        <v>900</v>
      </c>
      <c r="G14" t="n">
        <v>900</v>
      </c>
      <c r="H14" t="inlineStr">
        <is>
          <t>2026-06-22</t>
        </is>
      </c>
      <c r="I14">
        <f>IF(MONTH(E14)&lt;=6,"Q1","Q2")</f>
        <v/>
      </c>
      <c r="J14">
        <f>YEAR(E14)*100+MONTH(E14)</f>
        <v/>
      </c>
      <c r="K14">
        <f>IF(COUNTIF($A$2:A14,A14)=1,1,0)</f>
        <v/>
      </c>
      <c r="L14">
        <f>IF(K14=1,IF(COUNTIFS($B$2:B14,B14,$I$2:I14,I14,$K$2:K14,1)=1,1,0),0)</f>
        <v/>
      </c>
      <c r="M14">
        <f>IF(Tree!$C$4="once per order",F14*K14,F14)</f>
        <v/>
      </c>
      <c r="N14">
        <f>IF(Tree!$C$4="once per order",K14,1)</f>
        <v/>
      </c>
      <c r="O14">
        <f>IF(Tree!$C$4="once per order",L14,1)</f>
        <v/>
      </c>
    </row>
    <row r="15">
      <c r="A15" t="inlineStr">
        <is>
          <t>KR-00010</t>
        </is>
      </c>
      <c r="B15" t="inlineStr">
        <is>
          <t>C-0333</t>
        </is>
      </c>
      <c r="C15" t="inlineStr">
        <is>
          <t>Student</t>
        </is>
      </c>
      <c r="D15" t="inlineStr">
        <is>
          <t>web</t>
        </is>
      </c>
      <c r="E15" s="7" t="n">
        <v>46139</v>
      </c>
      <c r="F15" t="n">
        <v>1450</v>
      </c>
      <c r="G15" t="n">
        <v>1450</v>
      </c>
      <c r="H15" t="inlineStr">
        <is>
          <t>2026-04-28</t>
        </is>
      </c>
      <c r="I15">
        <f>IF(MONTH(E15)&lt;=6,"Q1","Q2")</f>
        <v/>
      </c>
      <c r="J15">
        <f>YEAR(E15)*100+MONTH(E15)</f>
        <v/>
      </c>
      <c r="K15">
        <f>IF(COUNTIF($A$2:A15,A15)=1,1,0)</f>
        <v/>
      </c>
      <c r="L15">
        <f>IF(K15=1,IF(COUNTIFS($B$2:B15,B15,$I$2:I15,I15,$K$2:K15,1)=1,1,0),0)</f>
        <v/>
      </c>
      <c r="M15">
        <f>IF(Tree!$C$4="once per order",F15*K15,F15)</f>
        <v/>
      </c>
      <c r="N15">
        <f>IF(Tree!$C$4="once per order",K15,1)</f>
        <v/>
      </c>
      <c r="O15">
        <f>IF(Tree!$C$4="once per order",L15,1)</f>
        <v/>
      </c>
    </row>
    <row r="16">
      <c r="A16" t="inlineStr">
        <is>
          <t>KR-00011</t>
        </is>
      </c>
      <c r="B16" t="inlineStr">
        <is>
          <t>C-0315</t>
        </is>
      </c>
      <c r="C16" t="inlineStr">
        <is>
          <t>Student</t>
        </is>
      </c>
      <c r="D16" t="inlineStr">
        <is>
          <t>app</t>
        </is>
      </c>
      <c r="E16" s="7" t="n">
        <v>46162</v>
      </c>
      <c r="F16" t="n">
        <v>1050</v>
      </c>
      <c r="G16" t="n">
        <v>1050</v>
      </c>
      <c r="H16" t="inlineStr">
        <is>
          <t>2026-05-22</t>
        </is>
      </c>
      <c r="I16">
        <f>IF(MONTH(E16)&lt;=6,"Q1","Q2")</f>
        <v/>
      </c>
      <c r="J16">
        <f>YEAR(E16)*100+MONTH(E16)</f>
        <v/>
      </c>
      <c r="K16">
        <f>IF(COUNTIF($A$2:A16,A16)=1,1,0)</f>
        <v/>
      </c>
      <c r="L16">
        <f>IF(K16=1,IF(COUNTIFS($B$2:B16,B16,$I$2:I16,I16,$K$2:K16,1)=1,1,0),0)</f>
        <v/>
      </c>
      <c r="M16">
        <f>IF(Tree!$C$4="once per order",F16*K16,F16)</f>
        <v/>
      </c>
      <c r="N16">
        <f>IF(Tree!$C$4="once per order",K16,1)</f>
        <v/>
      </c>
      <c r="O16">
        <f>IF(Tree!$C$4="once per order",L16,1)</f>
        <v/>
      </c>
    </row>
    <row r="17">
      <c r="A17" t="inlineStr">
        <is>
          <t>KR-00012</t>
        </is>
      </c>
      <c r="B17" t="inlineStr">
        <is>
          <t>C-0323</t>
        </is>
      </c>
      <c r="C17" t="inlineStr">
        <is>
          <t>Student</t>
        </is>
      </c>
      <c r="D17" t="inlineStr">
        <is>
          <t>web</t>
        </is>
      </c>
      <c r="E17" s="7" t="n">
        <v>46185</v>
      </c>
      <c r="F17" t="n">
        <v>1480</v>
      </c>
      <c r="G17" t="n">
        <v>1480</v>
      </c>
      <c r="H17" t="inlineStr">
        <is>
          <t>2026-06-14</t>
        </is>
      </c>
      <c r="I17">
        <f>IF(MONTH(E17)&lt;=6,"Q1","Q2")</f>
        <v/>
      </c>
      <c r="J17">
        <f>YEAR(E17)*100+MONTH(E17)</f>
        <v/>
      </c>
      <c r="K17">
        <f>IF(COUNTIF($A$2:A17,A17)=1,1,0)</f>
        <v/>
      </c>
      <c r="L17">
        <f>IF(K17=1,IF(COUNTIFS($B$2:B17,B17,$I$2:I17,I17,$K$2:K17,1)=1,1,0),0)</f>
        <v/>
      </c>
      <c r="M17">
        <f>IF(Tree!$C$4="once per order",F17*K17,F17)</f>
        <v/>
      </c>
      <c r="N17">
        <f>IF(Tree!$C$4="once per order",K17,1)</f>
        <v/>
      </c>
      <c r="O17">
        <f>IF(Tree!$C$4="once per order",L17,1)</f>
        <v/>
      </c>
    </row>
    <row r="18">
      <c r="A18" t="inlineStr">
        <is>
          <t>KR-00013</t>
        </is>
      </c>
      <c r="B18" t="inlineStr">
        <is>
          <t>C-0337</t>
        </is>
      </c>
      <c r="C18" t="inlineStr">
        <is>
          <t>Student</t>
        </is>
      </c>
      <c r="D18" t="inlineStr">
        <is>
          <t>app</t>
        </is>
      </c>
      <c r="E18" s="7" t="n">
        <v>46121</v>
      </c>
      <c r="F18" t="n">
        <v>710</v>
      </c>
      <c r="G18" t="n">
        <v>710</v>
      </c>
      <c r="H18" t="inlineStr">
        <is>
          <t>2026-04-11</t>
        </is>
      </c>
      <c r="I18">
        <f>IF(MONTH(E18)&lt;=6,"Q1","Q2")</f>
        <v/>
      </c>
      <c r="J18">
        <f>YEAR(E18)*100+MONTH(E18)</f>
        <v/>
      </c>
      <c r="K18">
        <f>IF(COUNTIF($A$2:A18,A18)=1,1,0)</f>
        <v/>
      </c>
      <c r="L18">
        <f>IF(K18=1,IF(COUNTIFS($B$2:B18,B18,$I$2:I18,I18,$K$2:K18,1)=1,1,0),0)</f>
        <v/>
      </c>
      <c r="M18">
        <f>IF(Tree!$C$4="once per order",F18*K18,F18)</f>
        <v/>
      </c>
      <c r="N18">
        <f>IF(Tree!$C$4="once per order",K18,1)</f>
        <v/>
      </c>
      <c r="O18">
        <f>IF(Tree!$C$4="once per order",L18,1)</f>
        <v/>
      </c>
    </row>
    <row r="19">
      <c r="A19" t="inlineStr">
        <is>
          <t>KR-00013</t>
        </is>
      </c>
      <c r="B19" t="inlineStr">
        <is>
          <t>C-0337</t>
        </is>
      </c>
      <c r="C19" t="inlineStr">
        <is>
          <t>Student</t>
        </is>
      </c>
      <c r="D19" t="inlineStr">
        <is>
          <t>app</t>
        </is>
      </c>
      <c r="E19" s="7" t="n">
        <v>46121</v>
      </c>
      <c r="F19" t="n">
        <v>710</v>
      </c>
      <c r="G19" t="n">
        <v>710</v>
      </c>
      <c r="H19" t="inlineStr">
        <is>
          <t>2026-04-11</t>
        </is>
      </c>
      <c r="I19">
        <f>IF(MONTH(E19)&lt;=6,"Q1","Q2")</f>
        <v/>
      </c>
      <c r="J19">
        <f>YEAR(E19)*100+MONTH(E19)</f>
        <v/>
      </c>
      <c r="K19">
        <f>IF(COUNTIF($A$2:A19,A19)=1,1,0)</f>
        <v/>
      </c>
      <c r="L19">
        <f>IF(K19=1,IF(COUNTIFS($B$2:B19,B19,$I$2:I19,I19,$K$2:K19,1)=1,1,0),0)</f>
        <v/>
      </c>
      <c r="M19">
        <f>IF(Tree!$C$4="once per order",F19*K19,F19)</f>
        <v/>
      </c>
      <c r="N19">
        <f>IF(Tree!$C$4="once per order",K19,1)</f>
        <v/>
      </c>
      <c r="O19">
        <f>IF(Tree!$C$4="once per order",L19,1)</f>
        <v/>
      </c>
    </row>
    <row r="20">
      <c r="A20" t="inlineStr">
        <is>
          <t>KR-00014</t>
        </is>
      </c>
      <c r="B20" t="inlineStr">
        <is>
          <t>C-0315</t>
        </is>
      </c>
      <c r="C20" t="inlineStr">
        <is>
          <t>Student</t>
        </is>
      </c>
      <c r="D20" t="inlineStr">
        <is>
          <t>web</t>
        </is>
      </c>
      <c r="E20" s="7" t="n">
        <v>46153</v>
      </c>
      <c r="F20" t="n">
        <v>1080</v>
      </c>
      <c r="G20" t="n">
        <v>1080</v>
      </c>
      <c r="H20" t="inlineStr">
        <is>
          <t>2026-05-13</t>
        </is>
      </c>
      <c r="I20">
        <f>IF(MONTH(E20)&lt;=6,"Q1","Q2")</f>
        <v/>
      </c>
      <c r="J20">
        <f>YEAR(E20)*100+MONTH(E20)</f>
        <v/>
      </c>
      <c r="K20">
        <f>IF(COUNTIF($A$2:A20,A20)=1,1,0)</f>
        <v/>
      </c>
      <c r="L20">
        <f>IF(K20=1,IF(COUNTIFS($B$2:B20,B20,$I$2:I20,I20,$K$2:K20,1)=1,1,0),0)</f>
        <v/>
      </c>
      <c r="M20">
        <f>IF(Tree!$C$4="once per order",F20*K20,F20)</f>
        <v/>
      </c>
      <c r="N20">
        <f>IF(Tree!$C$4="once per order",K20,1)</f>
        <v/>
      </c>
      <c r="O20">
        <f>IF(Tree!$C$4="once per order",L20,1)</f>
        <v/>
      </c>
    </row>
    <row r="21">
      <c r="A21" t="inlineStr">
        <is>
          <t>KR-00015</t>
        </is>
      </c>
      <c r="B21" t="inlineStr">
        <is>
          <t>C-0338</t>
        </is>
      </c>
      <c r="C21" t="inlineStr">
        <is>
          <t>Student</t>
        </is>
      </c>
      <c r="D21" t="inlineStr">
        <is>
          <t>web</t>
        </is>
      </c>
      <c r="E21" s="7" t="n">
        <v>46179</v>
      </c>
      <c r="F21" t="n">
        <v>660</v>
      </c>
      <c r="G21" t="n">
        <v>660</v>
      </c>
      <c r="H21" t="inlineStr">
        <is>
          <t>2026-06-08</t>
        </is>
      </c>
      <c r="I21">
        <f>IF(MONTH(E21)&lt;=6,"Q1","Q2")</f>
        <v/>
      </c>
      <c r="J21">
        <f>YEAR(E21)*100+MONTH(E21)</f>
        <v/>
      </c>
      <c r="K21">
        <f>IF(COUNTIF($A$2:A21,A21)=1,1,0)</f>
        <v/>
      </c>
      <c r="L21">
        <f>IF(K21=1,IF(COUNTIFS($B$2:B21,B21,$I$2:I21,I21,$K$2:K21,1)=1,1,0),0)</f>
        <v/>
      </c>
      <c r="M21">
        <f>IF(Tree!$C$4="once per order",F21*K21,F21)</f>
        <v/>
      </c>
      <c r="N21">
        <f>IF(Tree!$C$4="once per order",K21,1)</f>
        <v/>
      </c>
      <c r="O21">
        <f>IF(Tree!$C$4="once per order",L21,1)</f>
        <v/>
      </c>
    </row>
    <row r="22">
      <c r="A22" t="inlineStr">
        <is>
          <t>KR-00015</t>
        </is>
      </c>
      <c r="B22" t="inlineStr">
        <is>
          <t>C-0338</t>
        </is>
      </c>
      <c r="C22" t="inlineStr">
        <is>
          <t>Student</t>
        </is>
      </c>
      <c r="D22" t="inlineStr">
        <is>
          <t>web</t>
        </is>
      </c>
      <c r="E22" s="7" t="n">
        <v>46179</v>
      </c>
      <c r="F22" t="n">
        <v>660</v>
      </c>
      <c r="G22" t="n">
        <v>660</v>
      </c>
      <c r="H22" t="inlineStr">
        <is>
          <t>2026-06-08</t>
        </is>
      </c>
      <c r="I22">
        <f>IF(MONTH(E22)&lt;=6,"Q1","Q2")</f>
        <v/>
      </c>
      <c r="J22">
        <f>YEAR(E22)*100+MONTH(E22)</f>
        <v/>
      </c>
      <c r="K22">
        <f>IF(COUNTIF($A$2:A22,A22)=1,1,0)</f>
        <v/>
      </c>
      <c r="L22">
        <f>IF(K22=1,IF(COUNTIFS($B$2:B22,B22,$I$2:I22,I22,$K$2:K22,1)=1,1,0),0)</f>
        <v/>
      </c>
      <c r="M22">
        <f>IF(Tree!$C$4="once per order",F22*K22,F22)</f>
        <v/>
      </c>
      <c r="N22">
        <f>IF(Tree!$C$4="once per order",K22,1)</f>
        <v/>
      </c>
      <c r="O22">
        <f>IF(Tree!$C$4="once per order",L22,1)</f>
        <v/>
      </c>
    </row>
    <row r="23">
      <c r="A23" t="inlineStr">
        <is>
          <t>KR-00016</t>
        </is>
      </c>
      <c r="B23" t="inlineStr">
        <is>
          <t>C-0338</t>
        </is>
      </c>
      <c r="C23" t="inlineStr">
        <is>
          <t>Student</t>
        </is>
      </c>
      <c r="D23" t="inlineStr">
        <is>
          <t>store</t>
        </is>
      </c>
      <c r="E23" s="7" t="n">
        <v>46138</v>
      </c>
      <c r="F23" t="n">
        <v>610</v>
      </c>
      <c r="G23" t="n">
        <v>610</v>
      </c>
      <c r="H23" t="inlineStr">
        <is>
          <t>2026-04-28</t>
        </is>
      </c>
      <c r="I23">
        <f>IF(MONTH(E23)&lt;=6,"Q1","Q2")</f>
        <v/>
      </c>
      <c r="J23">
        <f>YEAR(E23)*100+MONTH(E23)</f>
        <v/>
      </c>
      <c r="K23">
        <f>IF(COUNTIF($A$2:A23,A23)=1,1,0)</f>
        <v/>
      </c>
      <c r="L23">
        <f>IF(K23=1,IF(COUNTIFS($B$2:B23,B23,$I$2:I23,I23,$K$2:K23,1)=1,1,0),0)</f>
        <v/>
      </c>
      <c r="M23">
        <f>IF(Tree!$C$4="once per order",F23*K23,F23)</f>
        <v/>
      </c>
      <c r="N23">
        <f>IF(Tree!$C$4="once per order",K23,1)</f>
        <v/>
      </c>
      <c r="O23">
        <f>IF(Tree!$C$4="once per order",L23,1)</f>
        <v/>
      </c>
    </row>
    <row r="24">
      <c r="A24" t="inlineStr">
        <is>
          <t>KR-00016</t>
        </is>
      </c>
      <c r="B24" t="inlineStr">
        <is>
          <t>C-0338</t>
        </is>
      </c>
      <c r="C24" t="inlineStr">
        <is>
          <t>Student</t>
        </is>
      </c>
      <c r="D24" t="inlineStr">
        <is>
          <t>store</t>
        </is>
      </c>
      <c r="E24" s="7" t="n">
        <v>46138</v>
      </c>
      <c r="F24" t="n">
        <v>610</v>
      </c>
      <c r="G24" t="n">
        <v>610</v>
      </c>
      <c r="H24" t="inlineStr">
        <is>
          <t>2026-04-28</t>
        </is>
      </c>
      <c r="I24">
        <f>IF(MONTH(E24)&lt;=6,"Q1","Q2")</f>
        <v/>
      </c>
      <c r="J24">
        <f>YEAR(E24)*100+MONTH(E24)</f>
        <v/>
      </c>
      <c r="K24">
        <f>IF(COUNTIF($A$2:A24,A24)=1,1,0)</f>
        <v/>
      </c>
      <c r="L24">
        <f>IF(K24=1,IF(COUNTIFS($B$2:B24,B24,$I$2:I24,I24,$K$2:K24,1)=1,1,0),0)</f>
        <v/>
      </c>
      <c r="M24">
        <f>IF(Tree!$C$4="once per order",F24*K24,F24)</f>
        <v/>
      </c>
      <c r="N24">
        <f>IF(Tree!$C$4="once per order",K24,1)</f>
        <v/>
      </c>
      <c r="O24">
        <f>IF(Tree!$C$4="once per order",L24,1)</f>
        <v/>
      </c>
    </row>
    <row r="25">
      <c r="A25" t="inlineStr">
        <is>
          <t>KR-00017</t>
        </is>
      </c>
      <c r="B25" t="inlineStr">
        <is>
          <t>C-0329</t>
        </is>
      </c>
      <c r="C25" t="inlineStr">
        <is>
          <t>Student</t>
        </is>
      </c>
      <c r="D25" t="inlineStr">
        <is>
          <t>store</t>
        </is>
      </c>
      <c r="E25" s="7" t="n">
        <v>46170</v>
      </c>
      <c r="F25" t="n">
        <v>860</v>
      </c>
      <c r="G25" t="n">
        <v>860</v>
      </c>
      <c r="H25" t="inlineStr">
        <is>
          <t>2026-05-28</t>
        </is>
      </c>
      <c r="I25">
        <f>IF(MONTH(E25)&lt;=6,"Q1","Q2")</f>
        <v/>
      </c>
      <c r="J25">
        <f>YEAR(E25)*100+MONTH(E25)</f>
        <v/>
      </c>
      <c r="K25">
        <f>IF(COUNTIF($A$2:A25,A25)=1,1,0)</f>
        <v/>
      </c>
      <c r="L25">
        <f>IF(K25=1,IF(COUNTIFS($B$2:B25,B25,$I$2:I25,I25,$K$2:K25,1)=1,1,0),0)</f>
        <v/>
      </c>
      <c r="M25">
        <f>IF(Tree!$C$4="once per order",F25*K25,F25)</f>
        <v/>
      </c>
      <c r="N25">
        <f>IF(Tree!$C$4="once per order",K25,1)</f>
        <v/>
      </c>
      <c r="O25">
        <f>IF(Tree!$C$4="once per order",L25,1)</f>
        <v/>
      </c>
    </row>
    <row r="26">
      <c r="A26" t="inlineStr">
        <is>
          <t>KR-00017</t>
        </is>
      </c>
      <c r="B26" t="inlineStr">
        <is>
          <t>C-0329</t>
        </is>
      </c>
      <c r="C26" t="inlineStr">
        <is>
          <t>Student</t>
        </is>
      </c>
      <c r="D26" t="inlineStr">
        <is>
          <t>store</t>
        </is>
      </c>
      <c r="E26" s="7" t="n">
        <v>46170</v>
      </c>
      <c r="F26" t="n">
        <v>860</v>
      </c>
      <c r="G26" t="n">
        <v>860</v>
      </c>
      <c r="H26" t="inlineStr">
        <is>
          <t>2026-05-28</t>
        </is>
      </c>
      <c r="I26">
        <f>IF(MONTH(E26)&lt;=6,"Q1","Q2")</f>
        <v/>
      </c>
      <c r="J26">
        <f>YEAR(E26)*100+MONTH(E26)</f>
        <v/>
      </c>
      <c r="K26">
        <f>IF(COUNTIF($A$2:A26,A26)=1,1,0)</f>
        <v/>
      </c>
      <c r="L26">
        <f>IF(K26=1,IF(COUNTIFS($B$2:B26,B26,$I$2:I26,I26,$K$2:K26,1)=1,1,0),0)</f>
        <v/>
      </c>
      <c r="M26">
        <f>IF(Tree!$C$4="once per order",F26*K26,F26)</f>
        <v/>
      </c>
      <c r="N26">
        <f>IF(Tree!$C$4="once per order",K26,1)</f>
        <v/>
      </c>
      <c r="O26">
        <f>IF(Tree!$C$4="once per order",L26,1)</f>
        <v/>
      </c>
    </row>
    <row r="27">
      <c r="A27" t="inlineStr">
        <is>
          <t>KR-00018</t>
        </is>
      </c>
      <c r="B27" t="inlineStr">
        <is>
          <t>C-0313</t>
        </is>
      </c>
      <c r="C27" t="inlineStr">
        <is>
          <t>Student</t>
        </is>
      </c>
      <c r="D27" t="inlineStr">
        <is>
          <t>app</t>
        </is>
      </c>
      <c r="E27" s="7" t="n">
        <v>46178</v>
      </c>
      <c r="F27" t="n">
        <v>940</v>
      </c>
      <c r="G27" t="n">
        <v>940</v>
      </c>
      <c r="H27" t="inlineStr">
        <is>
          <t>2026-06-07</t>
        </is>
      </c>
      <c r="I27">
        <f>IF(MONTH(E27)&lt;=6,"Q1","Q2")</f>
        <v/>
      </c>
      <c r="J27">
        <f>YEAR(E27)*100+MONTH(E27)</f>
        <v/>
      </c>
      <c r="K27">
        <f>IF(COUNTIF($A$2:A27,A27)=1,1,0)</f>
        <v/>
      </c>
      <c r="L27">
        <f>IF(K27=1,IF(COUNTIFS($B$2:B27,B27,$I$2:I27,I27,$K$2:K27,1)=1,1,0),0)</f>
        <v/>
      </c>
      <c r="M27">
        <f>IF(Tree!$C$4="once per order",F27*K27,F27)</f>
        <v/>
      </c>
      <c r="N27">
        <f>IF(Tree!$C$4="once per order",K27,1)</f>
        <v/>
      </c>
      <c r="O27">
        <f>IF(Tree!$C$4="once per order",L27,1)</f>
        <v/>
      </c>
    </row>
    <row r="28">
      <c r="A28" t="inlineStr">
        <is>
          <t>KR-00019</t>
        </is>
      </c>
      <c r="B28" t="inlineStr">
        <is>
          <t>C-0312</t>
        </is>
      </c>
      <c r="C28" t="inlineStr">
        <is>
          <t>Student</t>
        </is>
      </c>
      <c r="D28" t="inlineStr">
        <is>
          <t>store</t>
        </is>
      </c>
      <c r="E28" s="7" t="n">
        <v>46137</v>
      </c>
      <c r="F28" t="n">
        <v>530</v>
      </c>
      <c r="G28" t="n">
        <v>530</v>
      </c>
      <c r="H28" t="inlineStr">
        <is>
          <t>2026-04-27</t>
        </is>
      </c>
      <c r="I28">
        <f>IF(MONTH(E28)&lt;=6,"Q1","Q2")</f>
        <v/>
      </c>
      <c r="J28">
        <f>YEAR(E28)*100+MONTH(E28)</f>
        <v/>
      </c>
      <c r="K28">
        <f>IF(COUNTIF($A$2:A28,A28)=1,1,0)</f>
        <v/>
      </c>
      <c r="L28">
        <f>IF(K28=1,IF(COUNTIFS($B$2:B28,B28,$I$2:I28,I28,$K$2:K28,1)=1,1,0),0)</f>
        <v/>
      </c>
      <c r="M28">
        <f>IF(Tree!$C$4="once per order",F28*K28,F28)</f>
        <v/>
      </c>
      <c r="N28">
        <f>IF(Tree!$C$4="once per order",K28,1)</f>
        <v/>
      </c>
      <c r="O28">
        <f>IF(Tree!$C$4="once per order",L28,1)</f>
        <v/>
      </c>
    </row>
    <row r="29">
      <c r="A29" t="inlineStr">
        <is>
          <t>KR-00019</t>
        </is>
      </c>
      <c r="B29" t="inlineStr">
        <is>
          <t>C-0312</t>
        </is>
      </c>
      <c r="C29" t="inlineStr">
        <is>
          <t>Student</t>
        </is>
      </c>
      <c r="D29" t="inlineStr">
        <is>
          <t>store</t>
        </is>
      </c>
      <c r="E29" s="7" t="n">
        <v>46137</v>
      </c>
      <c r="F29" t="n">
        <v>530</v>
      </c>
      <c r="G29" t="n">
        <v>530</v>
      </c>
      <c r="H29" t="inlineStr">
        <is>
          <t>2026-04-27</t>
        </is>
      </c>
      <c r="I29">
        <f>IF(MONTH(E29)&lt;=6,"Q1","Q2")</f>
        <v/>
      </c>
      <c r="J29">
        <f>YEAR(E29)*100+MONTH(E29)</f>
        <v/>
      </c>
      <c r="K29">
        <f>IF(COUNTIF($A$2:A29,A29)=1,1,0)</f>
        <v/>
      </c>
      <c r="L29">
        <f>IF(K29=1,IF(COUNTIFS($B$2:B29,B29,$I$2:I29,I29,$K$2:K29,1)=1,1,0),0)</f>
        <v/>
      </c>
      <c r="M29">
        <f>IF(Tree!$C$4="once per order",F29*K29,F29)</f>
        <v/>
      </c>
      <c r="N29">
        <f>IF(Tree!$C$4="once per order",K29,1)</f>
        <v/>
      </c>
      <c r="O29">
        <f>IF(Tree!$C$4="once per order",L29,1)</f>
        <v/>
      </c>
    </row>
    <row r="30">
      <c r="A30" t="inlineStr">
        <is>
          <t>KR-00020</t>
        </is>
      </c>
      <c r="B30" t="inlineStr">
        <is>
          <t>C-0316</t>
        </is>
      </c>
      <c r="C30" t="inlineStr">
        <is>
          <t>Student</t>
        </is>
      </c>
      <c r="D30" t="inlineStr">
        <is>
          <t>store</t>
        </is>
      </c>
      <c r="E30" s="7" t="n">
        <v>46157</v>
      </c>
      <c r="F30" t="n">
        <v>470</v>
      </c>
      <c r="G30" t="n">
        <v>470</v>
      </c>
      <c r="H30" t="inlineStr">
        <is>
          <t>2026-05-17</t>
        </is>
      </c>
      <c r="I30">
        <f>IF(MONTH(E30)&lt;=6,"Q1","Q2")</f>
        <v/>
      </c>
      <c r="J30">
        <f>YEAR(E30)*100+MONTH(E30)</f>
        <v/>
      </c>
      <c r="K30">
        <f>IF(COUNTIF($A$2:A30,A30)=1,1,0)</f>
        <v/>
      </c>
      <c r="L30">
        <f>IF(K30=1,IF(COUNTIFS($B$2:B30,B30,$I$2:I30,I30,$K$2:K30,1)=1,1,0),0)</f>
        <v/>
      </c>
      <c r="M30">
        <f>IF(Tree!$C$4="once per order",F30*K30,F30)</f>
        <v/>
      </c>
      <c r="N30">
        <f>IF(Tree!$C$4="once per order",K30,1)</f>
        <v/>
      </c>
      <c r="O30">
        <f>IF(Tree!$C$4="once per order",L30,1)</f>
        <v/>
      </c>
    </row>
    <row r="31">
      <c r="A31" t="inlineStr">
        <is>
          <t>KR-00020</t>
        </is>
      </c>
      <c r="B31" t="inlineStr">
        <is>
          <t>C-0316</t>
        </is>
      </c>
      <c r="C31" t="inlineStr">
        <is>
          <t>Student</t>
        </is>
      </c>
      <c r="D31" t="inlineStr">
        <is>
          <t>store</t>
        </is>
      </c>
      <c r="E31" s="7" t="n">
        <v>46157</v>
      </c>
      <c r="F31" t="n">
        <v>470</v>
      </c>
      <c r="G31" t="n">
        <v>470</v>
      </c>
      <c r="H31" t="inlineStr">
        <is>
          <t>2026-05-17</t>
        </is>
      </c>
      <c r="I31">
        <f>IF(MONTH(E31)&lt;=6,"Q1","Q2")</f>
        <v/>
      </c>
      <c r="J31">
        <f>YEAR(E31)*100+MONTH(E31)</f>
        <v/>
      </c>
      <c r="K31">
        <f>IF(COUNTIF($A$2:A31,A31)=1,1,0)</f>
        <v/>
      </c>
      <c r="L31">
        <f>IF(K31=1,IF(COUNTIFS($B$2:B31,B31,$I$2:I31,I31,$K$2:K31,1)=1,1,0),0)</f>
        <v/>
      </c>
      <c r="M31">
        <f>IF(Tree!$C$4="once per order",F31*K31,F31)</f>
        <v/>
      </c>
      <c r="N31">
        <f>IF(Tree!$C$4="once per order",K31,1)</f>
        <v/>
      </c>
      <c r="O31">
        <f>IF(Tree!$C$4="once per order",L31,1)</f>
        <v/>
      </c>
    </row>
    <row r="32">
      <c r="A32" t="inlineStr">
        <is>
          <t>KR-00021</t>
        </is>
      </c>
      <c r="B32" t="inlineStr">
        <is>
          <t>C-0328</t>
        </is>
      </c>
      <c r="C32" t="inlineStr">
        <is>
          <t>Student</t>
        </is>
      </c>
      <c r="D32" t="inlineStr">
        <is>
          <t>app</t>
        </is>
      </c>
      <c r="E32" s="7" t="n">
        <v>46176</v>
      </c>
      <c r="F32" t="n">
        <v>1050</v>
      </c>
      <c r="G32" t="n">
        <v>1050</v>
      </c>
      <c r="H32" t="inlineStr">
        <is>
          <t>2026-06-05</t>
        </is>
      </c>
      <c r="I32">
        <f>IF(MONTH(E32)&lt;=6,"Q1","Q2")</f>
        <v/>
      </c>
      <c r="J32">
        <f>YEAR(E32)*100+MONTH(E32)</f>
        <v/>
      </c>
      <c r="K32">
        <f>IF(COUNTIF($A$2:A32,A32)=1,1,0)</f>
        <v/>
      </c>
      <c r="L32">
        <f>IF(K32=1,IF(COUNTIFS($B$2:B32,B32,$I$2:I32,I32,$K$2:K32,1)=1,1,0),0)</f>
        <v/>
      </c>
      <c r="M32">
        <f>IF(Tree!$C$4="once per order",F32*K32,F32)</f>
        <v/>
      </c>
      <c r="N32">
        <f>IF(Tree!$C$4="once per order",K32,1)</f>
        <v/>
      </c>
      <c r="O32">
        <f>IF(Tree!$C$4="once per order",L32,1)</f>
        <v/>
      </c>
    </row>
    <row r="33">
      <c r="A33" t="inlineStr">
        <is>
          <t>KR-00022</t>
        </is>
      </c>
      <c r="B33" t="inlineStr">
        <is>
          <t>C-0333</t>
        </is>
      </c>
      <c r="C33" t="inlineStr">
        <is>
          <t>Student</t>
        </is>
      </c>
      <c r="D33" t="inlineStr">
        <is>
          <t>app</t>
        </is>
      </c>
      <c r="E33" s="7" t="n">
        <v>46128</v>
      </c>
      <c r="F33" t="n">
        <v>900</v>
      </c>
      <c r="G33" t="n">
        <v>900</v>
      </c>
      <c r="H33" t="inlineStr">
        <is>
          <t>2026-04-18</t>
        </is>
      </c>
      <c r="I33">
        <f>IF(MONTH(E33)&lt;=6,"Q1","Q2")</f>
        <v/>
      </c>
      <c r="J33">
        <f>YEAR(E33)*100+MONTH(E33)</f>
        <v/>
      </c>
      <c r="K33">
        <f>IF(COUNTIF($A$2:A33,A33)=1,1,0)</f>
        <v/>
      </c>
      <c r="L33">
        <f>IF(K33=1,IF(COUNTIFS($B$2:B33,B33,$I$2:I33,I33,$K$2:K33,1)=1,1,0),0)</f>
        <v/>
      </c>
      <c r="M33">
        <f>IF(Tree!$C$4="once per order",F33*K33,F33)</f>
        <v/>
      </c>
      <c r="N33">
        <f>IF(Tree!$C$4="once per order",K33,1)</f>
        <v/>
      </c>
      <c r="O33">
        <f>IF(Tree!$C$4="once per order",L33,1)</f>
        <v/>
      </c>
    </row>
    <row r="34">
      <c r="A34" t="inlineStr">
        <is>
          <t>KR-00022</t>
        </is>
      </c>
      <c r="B34" t="inlineStr">
        <is>
          <t>C-0333</t>
        </is>
      </c>
      <c r="C34" t="inlineStr">
        <is>
          <t>Student</t>
        </is>
      </c>
      <c r="D34" t="inlineStr">
        <is>
          <t>app</t>
        </is>
      </c>
      <c r="E34" s="7" t="n">
        <v>46128</v>
      </c>
      <c r="F34" t="n">
        <v>900</v>
      </c>
      <c r="G34" t="n">
        <v>900</v>
      </c>
      <c r="H34" t="inlineStr">
        <is>
          <t>2026-04-18</t>
        </is>
      </c>
      <c r="I34">
        <f>IF(MONTH(E34)&lt;=6,"Q1","Q2")</f>
        <v/>
      </c>
      <c r="J34">
        <f>YEAR(E34)*100+MONTH(E34)</f>
        <v/>
      </c>
      <c r="K34">
        <f>IF(COUNTIF($A$2:A34,A34)=1,1,0)</f>
        <v/>
      </c>
      <c r="L34">
        <f>IF(K34=1,IF(COUNTIFS($B$2:B34,B34,$I$2:I34,I34,$K$2:K34,1)=1,1,0),0)</f>
        <v/>
      </c>
      <c r="M34">
        <f>IF(Tree!$C$4="once per order",F34*K34,F34)</f>
        <v/>
      </c>
      <c r="N34">
        <f>IF(Tree!$C$4="once per order",K34,1)</f>
        <v/>
      </c>
      <c r="O34">
        <f>IF(Tree!$C$4="once per order",L34,1)</f>
        <v/>
      </c>
    </row>
    <row r="35">
      <c r="A35" t="inlineStr">
        <is>
          <t>KR-00023</t>
        </is>
      </c>
      <c r="B35" t="inlineStr">
        <is>
          <t>C-0338</t>
        </is>
      </c>
      <c r="C35" t="inlineStr">
        <is>
          <t>Student</t>
        </is>
      </c>
      <c r="D35" t="inlineStr">
        <is>
          <t>app</t>
        </is>
      </c>
      <c r="E35" s="7" t="n">
        <v>46159</v>
      </c>
      <c r="F35" t="n">
        <v>1470</v>
      </c>
      <c r="G35" t="n">
        <v>1470</v>
      </c>
      <c r="H35" t="inlineStr">
        <is>
          <t>2026-05-19</t>
        </is>
      </c>
      <c r="I35">
        <f>IF(MONTH(E35)&lt;=6,"Q1","Q2")</f>
        <v/>
      </c>
      <c r="J35">
        <f>YEAR(E35)*100+MONTH(E35)</f>
        <v/>
      </c>
      <c r="K35">
        <f>IF(COUNTIF($A$2:A35,A35)=1,1,0)</f>
        <v/>
      </c>
      <c r="L35">
        <f>IF(K35=1,IF(COUNTIFS($B$2:B35,B35,$I$2:I35,I35,$K$2:K35,1)=1,1,0),0)</f>
        <v/>
      </c>
      <c r="M35">
        <f>IF(Tree!$C$4="once per order",F35*K35,F35)</f>
        <v/>
      </c>
      <c r="N35">
        <f>IF(Tree!$C$4="once per order",K35,1)</f>
        <v/>
      </c>
      <c r="O35">
        <f>IF(Tree!$C$4="once per order",L35,1)</f>
        <v/>
      </c>
    </row>
    <row r="36">
      <c r="A36" t="inlineStr">
        <is>
          <t>KR-00024</t>
        </is>
      </c>
      <c r="B36" t="inlineStr">
        <is>
          <t>C-0325</t>
        </is>
      </c>
      <c r="C36" t="inlineStr">
        <is>
          <t>Student</t>
        </is>
      </c>
      <c r="D36" t="inlineStr">
        <is>
          <t>store</t>
        </is>
      </c>
      <c r="E36" s="7" t="n">
        <v>46174</v>
      </c>
      <c r="F36" t="n">
        <v>1070</v>
      </c>
      <c r="G36" t="n">
        <v>1070</v>
      </c>
      <c r="H36" t="inlineStr">
        <is>
          <t>2026-06-03</t>
        </is>
      </c>
      <c r="I36">
        <f>IF(MONTH(E36)&lt;=6,"Q1","Q2")</f>
        <v/>
      </c>
      <c r="J36">
        <f>YEAR(E36)*100+MONTH(E36)</f>
        <v/>
      </c>
      <c r="K36">
        <f>IF(COUNTIF($A$2:A36,A36)=1,1,0)</f>
        <v/>
      </c>
      <c r="L36">
        <f>IF(K36=1,IF(COUNTIFS($B$2:B36,B36,$I$2:I36,I36,$K$2:K36,1)=1,1,0),0)</f>
        <v/>
      </c>
      <c r="M36">
        <f>IF(Tree!$C$4="once per order",F36*K36,F36)</f>
        <v/>
      </c>
      <c r="N36">
        <f>IF(Tree!$C$4="once per order",K36,1)</f>
        <v/>
      </c>
      <c r="O36">
        <f>IF(Tree!$C$4="once per order",L36,1)</f>
        <v/>
      </c>
    </row>
    <row r="37">
      <c r="A37" t="inlineStr">
        <is>
          <t>KR-00025</t>
        </is>
      </c>
      <c r="B37" t="inlineStr">
        <is>
          <t>C-0326</t>
        </is>
      </c>
      <c r="C37" t="inlineStr">
        <is>
          <t>Student</t>
        </is>
      </c>
      <c r="D37" t="inlineStr">
        <is>
          <t>store</t>
        </is>
      </c>
      <c r="E37" s="7" t="n">
        <v>46113</v>
      </c>
      <c r="F37" t="n">
        <v>1420</v>
      </c>
      <c r="G37" t="n">
        <v>1420</v>
      </c>
      <c r="H37" t="inlineStr">
        <is>
          <t>2026-04-03</t>
        </is>
      </c>
      <c r="I37">
        <f>IF(MONTH(E37)&lt;=6,"Q1","Q2")</f>
        <v/>
      </c>
      <c r="J37">
        <f>YEAR(E37)*100+MONTH(E37)</f>
        <v/>
      </c>
      <c r="K37">
        <f>IF(COUNTIF($A$2:A37,A37)=1,1,0)</f>
        <v/>
      </c>
      <c r="L37">
        <f>IF(K37=1,IF(COUNTIFS($B$2:B37,B37,$I$2:I37,I37,$K$2:K37,1)=1,1,0),0)</f>
        <v/>
      </c>
      <c r="M37">
        <f>IF(Tree!$C$4="once per order",F37*K37,F37)</f>
        <v/>
      </c>
      <c r="N37">
        <f>IF(Tree!$C$4="once per order",K37,1)</f>
        <v/>
      </c>
      <c r="O37">
        <f>IF(Tree!$C$4="once per order",L37,1)</f>
        <v/>
      </c>
    </row>
    <row r="38">
      <c r="A38" t="inlineStr">
        <is>
          <t>KR-00026</t>
        </is>
      </c>
      <c r="B38" t="inlineStr">
        <is>
          <t>C-0328</t>
        </is>
      </c>
      <c r="C38" t="inlineStr">
        <is>
          <t>Student</t>
        </is>
      </c>
      <c r="D38" t="inlineStr">
        <is>
          <t>web</t>
        </is>
      </c>
      <c r="E38" s="7" t="n">
        <v>46168</v>
      </c>
      <c r="F38" t="n">
        <v>1040</v>
      </c>
      <c r="G38" t="n">
        <v>1040</v>
      </c>
      <c r="H38" t="inlineStr">
        <is>
          <t>2026-05-28</t>
        </is>
      </c>
      <c r="I38">
        <f>IF(MONTH(E38)&lt;=6,"Q1","Q2")</f>
        <v/>
      </c>
      <c r="J38">
        <f>YEAR(E38)*100+MONTH(E38)</f>
        <v/>
      </c>
      <c r="K38">
        <f>IF(COUNTIF($A$2:A38,A38)=1,1,0)</f>
        <v/>
      </c>
      <c r="L38">
        <f>IF(K38=1,IF(COUNTIFS($B$2:B38,B38,$I$2:I38,I38,$K$2:K38,1)=1,1,0),0)</f>
        <v/>
      </c>
      <c r="M38">
        <f>IF(Tree!$C$4="once per order",F38*K38,F38)</f>
        <v/>
      </c>
      <c r="N38">
        <f>IF(Tree!$C$4="once per order",K38,1)</f>
        <v/>
      </c>
      <c r="O38">
        <f>IF(Tree!$C$4="once per order",L38,1)</f>
        <v/>
      </c>
    </row>
    <row r="39">
      <c r="A39" t="inlineStr">
        <is>
          <t>KR-00027</t>
        </is>
      </c>
      <c r="B39" t="inlineStr">
        <is>
          <t>C-0316</t>
        </is>
      </c>
      <c r="C39" t="inlineStr">
        <is>
          <t>Student</t>
        </is>
      </c>
      <c r="D39" t="inlineStr">
        <is>
          <t>store</t>
        </is>
      </c>
      <c r="E39" s="7" t="n">
        <v>46193</v>
      </c>
      <c r="F39" t="n">
        <v>870</v>
      </c>
      <c r="G39" t="n">
        <v>870</v>
      </c>
      <c r="H39" t="inlineStr">
        <is>
          <t>2026-06-22</t>
        </is>
      </c>
      <c r="I39">
        <f>IF(MONTH(E39)&lt;=6,"Q1","Q2")</f>
        <v/>
      </c>
      <c r="J39">
        <f>YEAR(E39)*100+MONTH(E39)</f>
        <v/>
      </c>
      <c r="K39">
        <f>IF(COUNTIF($A$2:A39,A39)=1,1,0)</f>
        <v/>
      </c>
      <c r="L39">
        <f>IF(K39=1,IF(COUNTIFS($B$2:B39,B39,$I$2:I39,I39,$K$2:K39,1)=1,1,0),0)</f>
        <v/>
      </c>
      <c r="M39">
        <f>IF(Tree!$C$4="once per order",F39*K39,F39)</f>
        <v/>
      </c>
      <c r="N39">
        <f>IF(Tree!$C$4="once per order",K39,1)</f>
        <v/>
      </c>
      <c r="O39">
        <f>IF(Tree!$C$4="once per order",L39,1)</f>
        <v/>
      </c>
    </row>
    <row r="40">
      <c r="A40" t="inlineStr">
        <is>
          <t>KR-00027</t>
        </is>
      </c>
      <c r="B40" t="inlineStr">
        <is>
          <t>C-0316</t>
        </is>
      </c>
      <c r="C40" t="inlineStr">
        <is>
          <t>Student</t>
        </is>
      </c>
      <c r="D40" t="inlineStr">
        <is>
          <t>store</t>
        </is>
      </c>
      <c r="E40" s="7" t="n">
        <v>46193</v>
      </c>
      <c r="F40" t="n">
        <v>870</v>
      </c>
      <c r="G40" t="n">
        <v>870</v>
      </c>
      <c r="H40" t="inlineStr">
        <is>
          <t>2026-06-22</t>
        </is>
      </c>
      <c r="I40">
        <f>IF(MONTH(E40)&lt;=6,"Q1","Q2")</f>
        <v/>
      </c>
      <c r="J40">
        <f>YEAR(E40)*100+MONTH(E40)</f>
        <v/>
      </c>
      <c r="K40">
        <f>IF(COUNTIF($A$2:A40,A40)=1,1,0)</f>
        <v/>
      </c>
      <c r="L40">
        <f>IF(K40=1,IF(COUNTIFS($B$2:B40,B40,$I$2:I40,I40,$K$2:K40,1)=1,1,0),0)</f>
        <v/>
      </c>
      <c r="M40">
        <f>IF(Tree!$C$4="once per order",F40*K40,F40)</f>
        <v/>
      </c>
      <c r="N40">
        <f>IF(Tree!$C$4="once per order",K40,1)</f>
        <v/>
      </c>
      <c r="O40">
        <f>IF(Tree!$C$4="once per order",L40,1)</f>
        <v/>
      </c>
    </row>
    <row r="41">
      <c r="A41" t="inlineStr">
        <is>
          <t>KR-00028</t>
        </is>
      </c>
      <c r="B41" t="inlineStr">
        <is>
          <t>C-0283</t>
        </is>
      </c>
      <c r="C41" t="inlineStr">
        <is>
          <t>Business</t>
        </is>
      </c>
      <c r="D41" t="inlineStr">
        <is>
          <t>web</t>
        </is>
      </c>
      <c r="E41" s="7" t="n">
        <v>46114</v>
      </c>
      <c r="F41" t="n">
        <v>635000</v>
      </c>
      <c r="G41" t="n">
        <v>381000</v>
      </c>
      <c r="H41" t="inlineStr">
        <is>
          <t>2026-04-04</t>
        </is>
      </c>
      <c r="I41">
        <f>IF(MONTH(E41)&lt;=6,"Q1","Q2")</f>
        <v/>
      </c>
      <c r="J41">
        <f>YEAR(E41)*100+MONTH(E41)</f>
        <v/>
      </c>
      <c r="K41">
        <f>IF(COUNTIF($A$2:A41,A41)=1,1,0)</f>
        <v/>
      </c>
      <c r="L41">
        <f>IF(K41=1,IF(COUNTIFS($B$2:B41,B41,$I$2:I41,I41,$K$2:K41,1)=1,1,0),0)</f>
        <v/>
      </c>
      <c r="M41">
        <f>IF(Tree!$C$4="once per order",F41*K41,F41)</f>
        <v/>
      </c>
      <c r="N41">
        <f>IF(Tree!$C$4="once per order",K41,1)</f>
        <v/>
      </c>
      <c r="O41">
        <f>IF(Tree!$C$4="once per order",L41,1)</f>
        <v/>
      </c>
    </row>
    <row r="42">
      <c r="A42" t="inlineStr">
        <is>
          <t>KR-00028</t>
        </is>
      </c>
      <c r="B42" t="inlineStr">
        <is>
          <t>C-0283</t>
        </is>
      </c>
      <c r="C42" t="inlineStr">
        <is>
          <t>Business</t>
        </is>
      </c>
      <c r="D42" t="inlineStr">
        <is>
          <t>web</t>
        </is>
      </c>
      <c r="E42" s="7" t="n">
        <v>46114</v>
      </c>
      <c r="F42" t="n">
        <v>635000</v>
      </c>
      <c r="G42" t="n">
        <v>254000</v>
      </c>
      <c r="H42" t="inlineStr">
        <is>
          <t>2026-04-04</t>
        </is>
      </c>
      <c r="I42">
        <f>IF(MONTH(E42)&lt;=6,"Q1","Q2")</f>
        <v/>
      </c>
      <c r="J42">
        <f>YEAR(E42)*100+MONTH(E42)</f>
        <v/>
      </c>
      <c r="K42">
        <f>IF(COUNTIF($A$2:A42,A42)=1,1,0)</f>
        <v/>
      </c>
      <c r="L42">
        <f>IF(K42=1,IF(COUNTIFS($B$2:B42,B42,$I$2:I42,I42,$K$2:K42,1)=1,1,0),0)</f>
        <v/>
      </c>
      <c r="M42">
        <f>IF(Tree!$C$4="once per order",F42*K42,F42)</f>
        <v/>
      </c>
      <c r="N42">
        <f>IF(Tree!$C$4="once per order",K42,1)</f>
        <v/>
      </c>
      <c r="O42">
        <f>IF(Tree!$C$4="once per order",L42,1)</f>
        <v/>
      </c>
    </row>
    <row r="43">
      <c r="A43" t="inlineStr">
        <is>
          <t>KR-00029</t>
        </is>
      </c>
      <c r="B43" t="inlineStr">
        <is>
          <t>C-0277</t>
        </is>
      </c>
      <c r="C43" t="inlineStr">
        <is>
          <t>Business</t>
        </is>
      </c>
      <c r="D43" t="inlineStr">
        <is>
          <t>store</t>
        </is>
      </c>
      <c r="E43" s="7" t="n">
        <v>46164</v>
      </c>
      <c r="F43" t="n">
        <v>1140000</v>
      </c>
      <c r="G43" t="n">
        <v>684000</v>
      </c>
      <c r="H43" t="inlineStr">
        <is>
          <t>2026-05-24</t>
        </is>
      </c>
      <c r="I43">
        <f>IF(MONTH(E43)&lt;=6,"Q1","Q2")</f>
        <v/>
      </c>
      <c r="J43">
        <f>YEAR(E43)*100+MONTH(E43)</f>
        <v/>
      </c>
      <c r="K43">
        <f>IF(COUNTIF($A$2:A43,A43)=1,1,0)</f>
        <v/>
      </c>
      <c r="L43">
        <f>IF(K43=1,IF(COUNTIFS($B$2:B43,B43,$I$2:I43,I43,$K$2:K43,1)=1,1,0),0)</f>
        <v/>
      </c>
      <c r="M43">
        <f>IF(Tree!$C$4="once per order",F43*K43,F43)</f>
        <v/>
      </c>
      <c r="N43">
        <f>IF(Tree!$C$4="once per order",K43,1)</f>
        <v/>
      </c>
      <c r="O43">
        <f>IF(Tree!$C$4="once per order",L43,1)</f>
        <v/>
      </c>
    </row>
    <row r="44">
      <c r="A44" t="inlineStr">
        <is>
          <t>KR-00029</t>
        </is>
      </c>
      <c r="B44" t="inlineStr">
        <is>
          <t>C-0277</t>
        </is>
      </c>
      <c r="C44" t="inlineStr">
        <is>
          <t>Business</t>
        </is>
      </c>
      <c r="D44" t="inlineStr">
        <is>
          <t>store</t>
        </is>
      </c>
      <c r="E44" s="7" t="n">
        <v>46164</v>
      </c>
      <c r="F44" t="n">
        <v>1140000</v>
      </c>
      <c r="G44" t="n">
        <v>456000</v>
      </c>
      <c r="H44" t="inlineStr">
        <is>
          <t>2026-05-24</t>
        </is>
      </c>
      <c r="I44">
        <f>IF(MONTH(E44)&lt;=6,"Q1","Q2")</f>
        <v/>
      </c>
      <c r="J44">
        <f>YEAR(E44)*100+MONTH(E44)</f>
        <v/>
      </c>
      <c r="K44">
        <f>IF(COUNTIF($A$2:A44,A44)=1,1,0)</f>
        <v/>
      </c>
      <c r="L44">
        <f>IF(K44=1,IF(COUNTIFS($B$2:B44,B44,$I$2:I44,I44,$K$2:K44,1)=1,1,0),0)</f>
        <v/>
      </c>
      <c r="M44">
        <f>IF(Tree!$C$4="once per order",F44*K44,F44)</f>
        <v/>
      </c>
      <c r="N44">
        <f>IF(Tree!$C$4="once per order",K44,1)</f>
        <v/>
      </c>
      <c r="O44">
        <f>IF(Tree!$C$4="once per order",L44,1)</f>
        <v/>
      </c>
    </row>
    <row r="45">
      <c r="A45" t="inlineStr">
        <is>
          <t>KR-00030</t>
        </is>
      </c>
      <c r="B45" t="inlineStr">
        <is>
          <t>C-0287</t>
        </is>
      </c>
      <c r="C45" t="inlineStr">
        <is>
          <t>Business</t>
        </is>
      </c>
      <c r="D45" t="inlineStr">
        <is>
          <t>store</t>
        </is>
      </c>
      <c r="E45" s="7" t="n">
        <v>46181</v>
      </c>
      <c r="F45" t="n">
        <v>212000</v>
      </c>
      <c r="G45" t="n">
        <v>127200</v>
      </c>
      <c r="H45" t="inlineStr">
        <is>
          <t>2026-06-10</t>
        </is>
      </c>
      <c r="I45">
        <f>IF(MONTH(E45)&lt;=6,"Q1","Q2")</f>
        <v/>
      </c>
      <c r="J45">
        <f>YEAR(E45)*100+MONTH(E45)</f>
        <v/>
      </c>
      <c r="K45">
        <f>IF(COUNTIF($A$2:A45,A45)=1,1,0)</f>
        <v/>
      </c>
      <c r="L45">
        <f>IF(K45=1,IF(COUNTIFS($B$2:B45,B45,$I$2:I45,I45,$K$2:K45,1)=1,1,0),0)</f>
        <v/>
      </c>
      <c r="M45">
        <f>IF(Tree!$C$4="once per order",F45*K45,F45)</f>
        <v/>
      </c>
      <c r="N45">
        <f>IF(Tree!$C$4="once per order",K45,1)</f>
        <v/>
      </c>
      <c r="O45">
        <f>IF(Tree!$C$4="once per order",L45,1)</f>
        <v/>
      </c>
    </row>
    <row r="46">
      <c r="A46" t="inlineStr">
        <is>
          <t>KR-00030</t>
        </is>
      </c>
      <c r="B46" t="inlineStr">
        <is>
          <t>C-0287</t>
        </is>
      </c>
      <c r="C46" t="inlineStr">
        <is>
          <t>Business</t>
        </is>
      </c>
      <c r="D46" t="inlineStr">
        <is>
          <t>store</t>
        </is>
      </c>
      <c r="E46" s="7" t="n">
        <v>46181</v>
      </c>
      <c r="F46" t="n">
        <v>212000</v>
      </c>
      <c r="G46" t="n">
        <v>84800</v>
      </c>
      <c r="H46" t="inlineStr">
        <is>
          <t>2026-06-10</t>
        </is>
      </c>
      <c r="I46">
        <f>IF(MONTH(E46)&lt;=6,"Q1","Q2")</f>
        <v/>
      </c>
      <c r="J46">
        <f>YEAR(E46)*100+MONTH(E46)</f>
        <v/>
      </c>
      <c r="K46">
        <f>IF(COUNTIF($A$2:A46,A46)=1,1,0)</f>
        <v/>
      </c>
      <c r="L46">
        <f>IF(K46=1,IF(COUNTIFS($B$2:B46,B46,$I$2:I46,I46,$K$2:K46,1)=1,1,0),0)</f>
        <v/>
      </c>
      <c r="M46">
        <f>IF(Tree!$C$4="once per order",F46*K46,F46)</f>
        <v/>
      </c>
      <c r="N46">
        <f>IF(Tree!$C$4="once per order",K46,1)</f>
        <v/>
      </c>
      <c r="O46">
        <f>IF(Tree!$C$4="once per order",L46,1)</f>
        <v/>
      </c>
    </row>
    <row r="47">
      <c r="A47" t="inlineStr">
        <is>
          <t>KR-00031</t>
        </is>
      </c>
      <c r="B47" t="inlineStr">
        <is>
          <t>C-0283</t>
        </is>
      </c>
      <c r="C47" t="inlineStr">
        <is>
          <t>Business</t>
        </is>
      </c>
      <c r="D47" t="inlineStr">
        <is>
          <t>web</t>
        </is>
      </c>
      <c r="E47" s="7" t="n">
        <v>46125</v>
      </c>
      <c r="F47" t="n">
        <v>1647000</v>
      </c>
      <c r="G47" t="n">
        <v>988200</v>
      </c>
      <c r="H47" t="inlineStr">
        <is>
          <t>2026-04-15</t>
        </is>
      </c>
      <c r="I47">
        <f>IF(MONTH(E47)&lt;=6,"Q1","Q2")</f>
        <v/>
      </c>
      <c r="J47">
        <f>YEAR(E47)*100+MONTH(E47)</f>
        <v/>
      </c>
      <c r="K47">
        <f>IF(COUNTIF($A$2:A47,A47)=1,1,0)</f>
        <v/>
      </c>
      <c r="L47">
        <f>IF(K47=1,IF(COUNTIFS($B$2:B47,B47,$I$2:I47,I47,$K$2:K47,1)=1,1,0),0)</f>
        <v/>
      </c>
      <c r="M47">
        <f>IF(Tree!$C$4="once per order",F47*K47,F47)</f>
        <v/>
      </c>
      <c r="N47">
        <f>IF(Tree!$C$4="once per order",K47,1)</f>
        <v/>
      </c>
      <c r="O47">
        <f>IF(Tree!$C$4="once per order",L47,1)</f>
        <v/>
      </c>
    </row>
    <row r="48">
      <c r="A48" t="inlineStr">
        <is>
          <t>KR-00031</t>
        </is>
      </c>
      <c r="B48" t="inlineStr">
        <is>
          <t>C-0283</t>
        </is>
      </c>
      <c r="C48" t="inlineStr">
        <is>
          <t>Business</t>
        </is>
      </c>
      <c r="D48" t="inlineStr">
        <is>
          <t>web</t>
        </is>
      </c>
      <c r="E48" s="7" t="n">
        <v>46125</v>
      </c>
      <c r="F48" t="n">
        <v>1647000</v>
      </c>
      <c r="G48" t="n">
        <v>658800</v>
      </c>
      <c r="H48" t="inlineStr">
        <is>
          <t>2026-04-15</t>
        </is>
      </c>
      <c r="I48">
        <f>IF(MONTH(E48)&lt;=6,"Q1","Q2")</f>
        <v/>
      </c>
      <c r="J48">
        <f>YEAR(E48)*100+MONTH(E48)</f>
        <v/>
      </c>
      <c r="K48">
        <f>IF(COUNTIF($A$2:A48,A48)=1,1,0)</f>
        <v/>
      </c>
      <c r="L48">
        <f>IF(K48=1,IF(COUNTIFS($B$2:B48,B48,$I$2:I48,I48,$K$2:K48,1)=1,1,0),0)</f>
        <v/>
      </c>
      <c r="M48">
        <f>IF(Tree!$C$4="once per order",F48*K48,F48)</f>
        <v/>
      </c>
      <c r="N48">
        <f>IF(Tree!$C$4="once per order",K48,1)</f>
        <v/>
      </c>
      <c r="O48">
        <f>IF(Tree!$C$4="once per order",L48,1)</f>
        <v/>
      </c>
    </row>
    <row r="49">
      <c r="A49" t="inlineStr">
        <is>
          <t>KR-00032</t>
        </is>
      </c>
      <c r="B49" t="inlineStr">
        <is>
          <t>C-0290</t>
        </is>
      </c>
      <c r="C49" t="inlineStr">
        <is>
          <t>Business</t>
        </is>
      </c>
      <c r="D49" t="inlineStr">
        <is>
          <t>app</t>
        </is>
      </c>
      <c r="E49" s="7" t="n">
        <v>46162</v>
      </c>
      <c r="F49" t="n">
        <v>1661000</v>
      </c>
      <c r="G49" t="n">
        <v>996600</v>
      </c>
      <c r="H49" t="inlineStr">
        <is>
          <t>2026-05-22</t>
        </is>
      </c>
      <c r="I49">
        <f>IF(MONTH(E49)&lt;=6,"Q1","Q2")</f>
        <v/>
      </c>
      <c r="J49">
        <f>YEAR(E49)*100+MONTH(E49)</f>
        <v/>
      </c>
      <c r="K49">
        <f>IF(COUNTIF($A$2:A49,A49)=1,1,0)</f>
        <v/>
      </c>
      <c r="L49">
        <f>IF(K49=1,IF(COUNTIFS($B$2:B49,B49,$I$2:I49,I49,$K$2:K49,1)=1,1,0),0)</f>
        <v/>
      </c>
      <c r="M49">
        <f>IF(Tree!$C$4="once per order",F49*K49,F49)</f>
        <v/>
      </c>
      <c r="N49">
        <f>IF(Tree!$C$4="once per order",K49,1)</f>
        <v/>
      </c>
      <c r="O49">
        <f>IF(Tree!$C$4="once per order",L49,1)</f>
        <v/>
      </c>
    </row>
    <row r="50">
      <c r="A50" t="inlineStr">
        <is>
          <t>KR-00032</t>
        </is>
      </c>
      <c r="B50" t="inlineStr">
        <is>
          <t>C-0290</t>
        </is>
      </c>
      <c r="C50" t="inlineStr">
        <is>
          <t>Business</t>
        </is>
      </c>
      <c r="D50" t="inlineStr">
        <is>
          <t>app</t>
        </is>
      </c>
      <c r="E50" s="7" t="n">
        <v>46162</v>
      </c>
      <c r="F50" t="n">
        <v>1661000</v>
      </c>
      <c r="G50" t="n">
        <v>664400</v>
      </c>
      <c r="H50" t="inlineStr">
        <is>
          <t>2026-05-22</t>
        </is>
      </c>
      <c r="I50">
        <f>IF(MONTH(E50)&lt;=6,"Q1","Q2")</f>
        <v/>
      </c>
      <c r="J50">
        <f>YEAR(E50)*100+MONTH(E50)</f>
        <v/>
      </c>
      <c r="K50">
        <f>IF(COUNTIF($A$2:A50,A50)=1,1,0)</f>
        <v/>
      </c>
      <c r="L50">
        <f>IF(K50=1,IF(COUNTIFS($B$2:B50,B50,$I$2:I50,I50,$K$2:K50,1)=1,1,0),0)</f>
        <v/>
      </c>
      <c r="M50">
        <f>IF(Tree!$C$4="once per order",F50*K50,F50)</f>
        <v/>
      </c>
      <c r="N50">
        <f>IF(Tree!$C$4="once per order",K50,1)</f>
        <v/>
      </c>
      <c r="O50">
        <f>IF(Tree!$C$4="once per order",L50,1)</f>
        <v/>
      </c>
    </row>
    <row r="51">
      <c r="A51" t="inlineStr">
        <is>
          <t>KR-00033</t>
        </is>
      </c>
      <c r="B51" t="inlineStr">
        <is>
          <t>C-0271</t>
        </is>
      </c>
      <c r="C51" t="inlineStr">
        <is>
          <t>Business</t>
        </is>
      </c>
      <c r="D51" t="inlineStr">
        <is>
          <t>app</t>
        </is>
      </c>
      <c r="E51" s="7" t="n">
        <v>46181</v>
      </c>
      <c r="F51" t="n">
        <v>866000</v>
      </c>
      <c r="G51" t="n">
        <v>519600</v>
      </c>
      <c r="H51" t="inlineStr">
        <is>
          <t>2026-06-10</t>
        </is>
      </c>
      <c r="I51">
        <f>IF(MONTH(E51)&lt;=6,"Q1","Q2")</f>
        <v/>
      </c>
      <c r="J51">
        <f>YEAR(E51)*100+MONTH(E51)</f>
        <v/>
      </c>
      <c r="K51">
        <f>IF(COUNTIF($A$2:A51,A51)=1,1,0)</f>
        <v/>
      </c>
      <c r="L51">
        <f>IF(K51=1,IF(COUNTIFS($B$2:B51,B51,$I$2:I51,I51,$K$2:K51,1)=1,1,0),0)</f>
        <v/>
      </c>
      <c r="M51">
        <f>IF(Tree!$C$4="once per order",F51*K51,F51)</f>
        <v/>
      </c>
      <c r="N51">
        <f>IF(Tree!$C$4="once per order",K51,1)</f>
        <v/>
      </c>
      <c r="O51">
        <f>IF(Tree!$C$4="once per order",L51,1)</f>
        <v/>
      </c>
    </row>
    <row r="52">
      <c r="A52" t="inlineStr">
        <is>
          <t>KR-00033</t>
        </is>
      </c>
      <c r="B52" t="inlineStr">
        <is>
          <t>C-0271</t>
        </is>
      </c>
      <c r="C52" t="inlineStr">
        <is>
          <t>Business</t>
        </is>
      </c>
      <c r="D52" t="inlineStr">
        <is>
          <t>app</t>
        </is>
      </c>
      <c r="E52" s="7" t="n">
        <v>46181</v>
      </c>
      <c r="F52" t="n">
        <v>866000</v>
      </c>
      <c r="G52" t="n">
        <v>346400</v>
      </c>
      <c r="H52" t="inlineStr">
        <is>
          <t>2026-06-10</t>
        </is>
      </c>
      <c r="I52">
        <f>IF(MONTH(E52)&lt;=6,"Q1","Q2")</f>
        <v/>
      </c>
      <c r="J52">
        <f>YEAR(E52)*100+MONTH(E52)</f>
        <v/>
      </c>
      <c r="K52">
        <f>IF(COUNTIF($A$2:A52,A52)=1,1,0)</f>
        <v/>
      </c>
      <c r="L52">
        <f>IF(K52=1,IF(COUNTIFS($B$2:B52,B52,$I$2:I52,I52,$K$2:K52,1)=1,1,0),0)</f>
        <v/>
      </c>
      <c r="M52">
        <f>IF(Tree!$C$4="once per order",F52*K52,F52)</f>
        <v/>
      </c>
      <c r="N52">
        <f>IF(Tree!$C$4="once per order",K52,1)</f>
        <v/>
      </c>
      <c r="O52">
        <f>IF(Tree!$C$4="once per order",L52,1)</f>
        <v/>
      </c>
    </row>
    <row r="53">
      <c r="A53" t="inlineStr">
        <is>
          <t>KR-00034</t>
        </is>
      </c>
      <c r="B53" t="inlineStr">
        <is>
          <t>C-0272</t>
        </is>
      </c>
      <c r="C53" t="inlineStr">
        <is>
          <t>Business</t>
        </is>
      </c>
      <c r="D53" t="inlineStr">
        <is>
          <t>app</t>
        </is>
      </c>
      <c r="E53" s="7" t="n">
        <v>46134</v>
      </c>
      <c r="F53" t="n">
        <v>869000</v>
      </c>
      <c r="G53" t="n">
        <v>521400</v>
      </c>
      <c r="H53" t="inlineStr">
        <is>
          <t>2026-04-24</t>
        </is>
      </c>
      <c r="I53">
        <f>IF(MONTH(E53)&lt;=6,"Q1","Q2")</f>
        <v/>
      </c>
      <c r="J53">
        <f>YEAR(E53)*100+MONTH(E53)</f>
        <v/>
      </c>
      <c r="K53">
        <f>IF(COUNTIF($A$2:A53,A53)=1,1,0)</f>
        <v/>
      </c>
      <c r="L53">
        <f>IF(K53=1,IF(COUNTIFS($B$2:B53,B53,$I$2:I53,I53,$K$2:K53,1)=1,1,0),0)</f>
        <v/>
      </c>
      <c r="M53">
        <f>IF(Tree!$C$4="once per order",F53*K53,F53)</f>
        <v/>
      </c>
      <c r="N53">
        <f>IF(Tree!$C$4="once per order",K53,1)</f>
        <v/>
      </c>
      <c r="O53">
        <f>IF(Tree!$C$4="once per order",L53,1)</f>
        <v/>
      </c>
    </row>
    <row r="54">
      <c r="A54" t="inlineStr">
        <is>
          <t>KR-00034</t>
        </is>
      </c>
      <c r="B54" t="inlineStr">
        <is>
          <t>C-0272</t>
        </is>
      </c>
      <c r="C54" t="inlineStr">
        <is>
          <t>Business</t>
        </is>
      </c>
      <c r="D54" t="inlineStr">
        <is>
          <t>app</t>
        </is>
      </c>
      <c r="E54" s="7" t="n">
        <v>46134</v>
      </c>
      <c r="F54" t="n">
        <v>869000</v>
      </c>
      <c r="G54" t="n">
        <v>347600</v>
      </c>
      <c r="H54" t="inlineStr">
        <is>
          <t>2026-04-24</t>
        </is>
      </c>
      <c r="I54">
        <f>IF(MONTH(E54)&lt;=6,"Q1","Q2")</f>
        <v/>
      </c>
      <c r="J54">
        <f>YEAR(E54)*100+MONTH(E54)</f>
        <v/>
      </c>
      <c r="K54">
        <f>IF(COUNTIF($A$2:A54,A54)=1,1,0)</f>
        <v/>
      </c>
      <c r="L54">
        <f>IF(K54=1,IF(COUNTIFS($B$2:B54,B54,$I$2:I54,I54,$K$2:K54,1)=1,1,0),0)</f>
        <v/>
      </c>
      <c r="M54">
        <f>IF(Tree!$C$4="once per order",F54*K54,F54)</f>
        <v/>
      </c>
      <c r="N54">
        <f>IF(Tree!$C$4="once per order",K54,1)</f>
        <v/>
      </c>
      <c r="O54">
        <f>IF(Tree!$C$4="once per order",L54,1)</f>
        <v/>
      </c>
    </row>
    <row r="55">
      <c r="A55" t="inlineStr">
        <is>
          <t>KR-00035</t>
        </is>
      </c>
      <c r="B55" t="inlineStr">
        <is>
          <t>C-0273</t>
        </is>
      </c>
      <c r="C55" t="inlineStr">
        <is>
          <t>Business</t>
        </is>
      </c>
      <c r="D55" t="inlineStr">
        <is>
          <t>web</t>
        </is>
      </c>
      <c r="E55" s="7" t="n">
        <v>46144</v>
      </c>
      <c r="F55" t="n">
        <v>1197000</v>
      </c>
      <c r="G55" t="n">
        <v>718200</v>
      </c>
      <c r="H55" t="inlineStr">
        <is>
          <t>2026-05-04</t>
        </is>
      </c>
      <c r="I55">
        <f>IF(MONTH(E55)&lt;=6,"Q1","Q2")</f>
        <v/>
      </c>
      <c r="J55">
        <f>YEAR(E55)*100+MONTH(E55)</f>
        <v/>
      </c>
      <c r="K55">
        <f>IF(COUNTIF($A$2:A55,A55)=1,1,0)</f>
        <v/>
      </c>
      <c r="L55">
        <f>IF(K55=1,IF(COUNTIFS($B$2:B55,B55,$I$2:I55,I55,$K$2:K55,1)=1,1,0),0)</f>
        <v/>
      </c>
      <c r="M55">
        <f>IF(Tree!$C$4="once per order",F55*K55,F55)</f>
        <v/>
      </c>
      <c r="N55">
        <f>IF(Tree!$C$4="once per order",K55,1)</f>
        <v/>
      </c>
      <c r="O55">
        <f>IF(Tree!$C$4="once per order",L55,1)</f>
        <v/>
      </c>
    </row>
    <row r="56">
      <c r="A56" t="inlineStr">
        <is>
          <t>KR-00035</t>
        </is>
      </c>
      <c r="B56" t="inlineStr">
        <is>
          <t>C-0273</t>
        </is>
      </c>
      <c r="C56" t="inlineStr">
        <is>
          <t>Business</t>
        </is>
      </c>
      <c r="D56" t="inlineStr">
        <is>
          <t>web</t>
        </is>
      </c>
      <c r="E56" s="7" t="n">
        <v>46144</v>
      </c>
      <c r="F56" t="n">
        <v>1197000</v>
      </c>
      <c r="G56" t="n">
        <v>478800</v>
      </c>
      <c r="H56" t="inlineStr">
        <is>
          <t>2026-05-04</t>
        </is>
      </c>
      <c r="I56">
        <f>IF(MONTH(E56)&lt;=6,"Q1","Q2")</f>
        <v/>
      </c>
      <c r="J56">
        <f>YEAR(E56)*100+MONTH(E56)</f>
        <v/>
      </c>
      <c r="K56">
        <f>IF(COUNTIF($A$2:A56,A56)=1,1,0)</f>
        <v/>
      </c>
      <c r="L56">
        <f>IF(K56=1,IF(COUNTIFS($B$2:B56,B56,$I$2:I56,I56,$K$2:K56,1)=1,1,0),0)</f>
        <v/>
      </c>
      <c r="M56">
        <f>IF(Tree!$C$4="once per order",F56*K56,F56)</f>
        <v/>
      </c>
      <c r="N56">
        <f>IF(Tree!$C$4="once per order",K56,1)</f>
        <v/>
      </c>
      <c r="O56">
        <f>IF(Tree!$C$4="once per order",L56,1)</f>
        <v/>
      </c>
    </row>
    <row r="57">
      <c r="A57" t="inlineStr">
        <is>
          <t>KR-00036</t>
        </is>
      </c>
      <c r="B57" t="inlineStr">
        <is>
          <t>C-0282</t>
        </is>
      </c>
      <c r="C57" t="inlineStr">
        <is>
          <t>Business</t>
        </is>
      </c>
      <c r="D57" t="inlineStr">
        <is>
          <t>web</t>
        </is>
      </c>
      <c r="E57" s="7" t="n">
        <v>46199</v>
      </c>
      <c r="F57" t="n">
        <v>1046000</v>
      </c>
      <c r="G57" t="n">
        <v>627600</v>
      </c>
      <c r="H57" t="inlineStr">
        <is>
          <t>2026-06-28</t>
        </is>
      </c>
      <c r="I57">
        <f>IF(MONTH(E57)&lt;=6,"Q1","Q2")</f>
        <v/>
      </c>
      <c r="J57">
        <f>YEAR(E57)*100+MONTH(E57)</f>
        <v/>
      </c>
      <c r="K57">
        <f>IF(COUNTIF($A$2:A57,A57)=1,1,0)</f>
        <v/>
      </c>
      <c r="L57">
        <f>IF(K57=1,IF(COUNTIFS($B$2:B57,B57,$I$2:I57,I57,$K$2:K57,1)=1,1,0),0)</f>
        <v/>
      </c>
      <c r="M57">
        <f>IF(Tree!$C$4="once per order",F57*K57,F57)</f>
        <v/>
      </c>
      <c r="N57">
        <f>IF(Tree!$C$4="once per order",K57,1)</f>
        <v/>
      </c>
      <c r="O57">
        <f>IF(Tree!$C$4="once per order",L57,1)</f>
        <v/>
      </c>
    </row>
    <row r="58">
      <c r="A58" t="inlineStr">
        <is>
          <t>KR-00036</t>
        </is>
      </c>
      <c r="B58" t="inlineStr">
        <is>
          <t>C-0282</t>
        </is>
      </c>
      <c r="C58" t="inlineStr">
        <is>
          <t>Business</t>
        </is>
      </c>
      <c r="D58" t="inlineStr">
        <is>
          <t>web</t>
        </is>
      </c>
      <c r="E58" s="7" t="n">
        <v>46199</v>
      </c>
      <c r="F58" t="n">
        <v>1046000</v>
      </c>
      <c r="G58" t="n">
        <v>418400</v>
      </c>
      <c r="H58" t="inlineStr">
        <is>
          <t>2026-06-28</t>
        </is>
      </c>
      <c r="I58">
        <f>IF(MONTH(E58)&lt;=6,"Q1","Q2")</f>
        <v/>
      </c>
      <c r="J58">
        <f>YEAR(E58)*100+MONTH(E58)</f>
        <v/>
      </c>
      <c r="K58">
        <f>IF(COUNTIF($A$2:A58,A58)=1,1,0)</f>
        <v/>
      </c>
      <c r="L58">
        <f>IF(K58=1,IF(COUNTIFS($B$2:B58,B58,$I$2:I58,I58,$K$2:K58,1)=1,1,0),0)</f>
        <v/>
      </c>
      <c r="M58">
        <f>IF(Tree!$C$4="once per order",F58*K58,F58)</f>
        <v/>
      </c>
      <c r="N58">
        <f>IF(Tree!$C$4="once per order",K58,1)</f>
        <v/>
      </c>
      <c r="O58">
        <f>IF(Tree!$C$4="once per order",L58,1)</f>
        <v/>
      </c>
    </row>
    <row r="59">
      <c r="A59" t="inlineStr">
        <is>
          <t>KR-00037</t>
        </is>
      </c>
      <c r="B59" t="inlineStr">
        <is>
          <t>C-0304</t>
        </is>
      </c>
      <c r="C59" t="inlineStr">
        <is>
          <t>Business</t>
        </is>
      </c>
      <c r="D59" t="inlineStr">
        <is>
          <t>app</t>
        </is>
      </c>
      <c r="E59" s="7" t="n">
        <v>46123</v>
      </c>
      <c r="F59" t="n">
        <v>1153000</v>
      </c>
      <c r="G59" t="n">
        <v>691800</v>
      </c>
      <c r="H59" t="inlineStr">
        <is>
          <t>2026-04-13</t>
        </is>
      </c>
      <c r="I59">
        <f>IF(MONTH(E59)&lt;=6,"Q1","Q2")</f>
        <v/>
      </c>
      <c r="J59">
        <f>YEAR(E59)*100+MONTH(E59)</f>
        <v/>
      </c>
      <c r="K59">
        <f>IF(COUNTIF($A$2:A59,A59)=1,1,0)</f>
        <v/>
      </c>
      <c r="L59">
        <f>IF(K59=1,IF(COUNTIFS($B$2:B59,B59,$I$2:I59,I59,$K$2:K59,1)=1,1,0),0)</f>
        <v/>
      </c>
      <c r="M59">
        <f>IF(Tree!$C$4="once per order",F59*K59,F59)</f>
        <v/>
      </c>
      <c r="N59">
        <f>IF(Tree!$C$4="once per order",K59,1)</f>
        <v/>
      </c>
      <c r="O59">
        <f>IF(Tree!$C$4="once per order",L59,1)</f>
        <v/>
      </c>
    </row>
    <row r="60">
      <c r="A60" t="inlineStr">
        <is>
          <t>KR-00037</t>
        </is>
      </c>
      <c r="B60" t="inlineStr">
        <is>
          <t>C-0304</t>
        </is>
      </c>
      <c r="C60" t="inlineStr">
        <is>
          <t>Business</t>
        </is>
      </c>
      <c r="D60" t="inlineStr">
        <is>
          <t>app</t>
        </is>
      </c>
      <c r="E60" s="7" t="n">
        <v>46123</v>
      </c>
      <c r="F60" t="n">
        <v>1153000</v>
      </c>
      <c r="G60" t="n">
        <v>461200</v>
      </c>
      <c r="H60" t="inlineStr">
        <is>
          <t>2026-04-13</t>
        </is>
      </c>
      <c r="I60">
        <f>IF(MONTH(E60)&lt;=6,"Q1","Q2")</f>
        <v/>
      </c>
      <c r="J60">
        <f>YEAR(E60)*100+MONTH(E60)</f>
        <v/>
      </c>
      <c r="K60">
        <f>IF(COUNTIF($A$2:A60,A60)=1,1,0)</f>
        <v/>
      </c>
      <c r="L60">
        <f>IF(K60=1,IF(COUNTIFS($B$2:B60,B60,$I$2:I60,I60,$K$2:K60,1)=1,1,0),0)</f>
        <v/>
      </c>
      <c r="M60">
        <f>IF(Tree!$C$4="once per order",F60*K60,F60)</f>
        <v/>
      </c>
      <c r="N60">
        <f>IF(Tree!$C$4="once per order",K60,1)</f>
        <v/>
      </c>
      <c r="O60">
        <f>IF(Tree!$C$4="once per order",L60,1)</f>
        <v/>
      </c>
    </row>
    <row r="61">
      <c r="A61" t="inlineStr">
        <is>
          <t>KR-00038</t>
        </is>
      </c>
      <c r="B61" t="inlineStr">
        <is>
          <t>C-0283</t>
        </is>
      </c>
      <c r="C61" t="inlineStr">
        <is>
          <t>Business</t>
        </is>
      </c>
      <c r="D61" t="inlineStr">
        <is>
          <t>app</t>
        </is>
      </c>
      <c r="E61" s="7" t="n">
        <v>46152</v>
      </c>
      <c r="F61" t="n">
        <v>715000</v>
      </c>
      <c r="G61" t="n">
        <v>429000</v>
      </c>
      <c r="H61" t="inlineStr">
        <is>
          <t>2026-05-12</t>
        </is>
      </c>
      <c r="I61">
        <f>IF(MONTH(E61)&lt;=6,"Q1","Q2")</f>
        <v/>
      </c>
      <c r="J61">
        <f>YEAR(E61)*100+MONTH(E61)</f>
        <v/>
      </c>
      <c r="K61">
        <f>IF(COUNTIF($A$2:A61,A61)=1,1,0)</f>
        <v/>
      </c>
      <c r="L61">
        <f>IF(K61=1,IF(COUNTIFS($B$2:B61,B61,$I$2:I61,I61,$K$2:K61,1)=1,1,0),0)</f>
        <v/>
      </c>
      <c r="M61">
        <f>IF(Tree!$C$4="once per order",F61*K61,F61)</f>
        <v/>
      </c>
      <c r="N61">
        <f>IF(Tree!$C$4="once per order",K61,1)</f>
        <v/>
      </c>
      <c r="O61">
        <f>IF(Tree!$C$4="once per order",L61,1)</f>
        <v/>
      </c>
    </row>
    <row r="62">
      <c r="A62" t="inlineStr">
        <is>
          <t>KR-00038</t>
        </is>
      </c>
      <c r="B62" t="inlineStr">
        <is>
          <t>C-0283</t>
        </is>
      </c>
      <c r="C62" t="inlineStr">
        <is>
          <t>Business</t>
        </is>
      </c>
      <c r="D62" t="inlineStr">
        <is>
          <t>app</t>
        </is>
      </c>
      <c r="E62" s="7" t="n">
        <v>46152</v>
      </c>
      <c r="F62" t="n">
        <v>715000</v>
      </c>
      <c r="G62" t="n">
        <v>286000</v>
      </c>
      <c r="H62" t="inlineStr">
        <is>
          <t>2026-05-12</t>
        </is>
      </c>
      <c r="I62">
        <f>IF(MONTH(E62)&lt;=6,"Q1","Q2")</f>
        <v/>
      </c>
      <c r="J62">
        <f>YEAR(E62)*100+MONTH(E62)</f>
        <v/>
      </c>
      <c r="K62">
        <f>IF(COUNTIF($A$2:A62,A62)=1,1,0)</f>
        <v/>
      </c>
      <c r="L62">
        <f>IF(K62=1,IF(COUNTIFS($B$2:B62,B62,$I$2:I62,I62,$K$2:K62,1)=1,1,0),0)</f>
        <v/>
      </c>
      <c r="M62">
        <f>IF(Tree!$C$4="once per order",F62*K62,F62)</f>
        <v/>
      </c>
      <c r="N62">
        <f>IF(Tree!$C$4="once per order",K62,1)</f>
        <v/>
      </c>
      <c r="O62">
        <f>IF(Tree!$C$4="once per order",L62,1)</f>
        <v/>
      </c>
    </row>
    <row r="63">
      <c r="A63" t="inlineStr">
        <is>
          <t>KR-00039</t>
        </is>
      </c>
      <c r="B63" t="inlineStr">
        <is>
          <t>C-0280</t>
        </is>
      </c>
      <c r="C63" t="inlineStr">
        <is>
          <t>Business</t>
        </is>
      </c>
      <c r="D63" t="inlineStr">
        <is>
          <t>app</t>
        </is>
      </c>
      <c r="E63" s="7" t="n">
        <v>46196</v>
      </c>
      <c r="F63" t="n">
        <v>881000</v>
      </c>
      <c r="G63" t="n">
        <v>528600</v>
      </c>
      <c r="H63" t="inlineStr">
        <is>
          <t>2026-06-25</t>
        </is>
      </c>
      <c r="I63">
        <f>IF(MONTH(E63)&lt;=6,"Q1","Q2")</f>
        <v/>
      </c>
      <c r="J63">
        <f>YEAR(E63)*100+MONTH(E63)</f>
        <v/>
      </c>
      <c r="K63">
        <f>IF(COUNTIF($A$2:A63,A63)=1,1,0)</f>
        <v/>
      </c>
      <c r="L63">
        <f>IF(K63=1,IF(COUNTIFS($B$2:B63,B63,$I$2:I63,I63,$K$2:K63,1)=1,1,0),0)</f>
        <v/>
      </c>
      <c r="M63">
        <f>IF(Tree!$C$4="once per order",F63*K63,F63)</f>
        <v/>
      </c>
      <c r="N63">
        <f>IF(Tree!$C$4="once per order",K63,1)</f>
        <v/>
      </c>
      <c r="O63">
        <f>IF(Tree!$C$4="once per order",L63,1)</f>
        <v/>
      </c>
    </row>
    <row r="64">
      <c r="A64" t="inlineStr">
        <is>
          <t>KR-00039</t>
        </is>
      </c>
      <c r="B64" t="inlineStr">
        <is>
          <t>C-0280</t>
        </is>
      </c>
      <c r="C64" t="inlineStr">
        <is>
          <t>Business</t>
        </is>
      </c>
      <c r="D64" t="inlineStr">
        <is>
          <t>app</t>
        </is>
      </c>
      <c r="E64" s="7" t="n">
        <v>46196</v>
      </c>
      <c r="F64" t="n">
        <v>881000</v>
      </c>
      <c r="G64" t="n">
        <v>352400</v>
      </c>
      <c r="H64" t="inlineStr">
        <is>
          <t>2026-06-25</t>
        </is>
      </c>
      <c r="I64">
        <f>IF(MONTH(E64)&lt;=6,"Q1","Q2")</f>
        <v/>
      </c>
      <c r="J64">
        <f>YEAR(E64)*100+MONTH(E64)</f>
        <v/>
      </c>
      <c r="K64">
        <f>IF(COUNTIF($A$2:A64,A64)=1,1,0)</f>
        <v/>
      </c>
      <c r="L64">
        <f>IF(K64=1,IF(COUNTIFS($B$2:B64,B64,$I$2:I64,I64,$K$2:K64,1)=1,1,0),0)</f>
        <v/>
      </c>
      <c r="M64">
        <f>IF(Tree!$C$4="once per order",F64*K64,F64)</f>
        <v/>
      </c>
      <c r="N64">
        <f>IF(Tree!$C$4="once per order",K64,1)</f>
        <v/>
      </c>
      <c r="O64">
        <f>IF(Tree!$C$4="once per order",L64,1)</f>
        <v/>
      </c>
    </row>
    <row r="65">
      <c r="A65" t="inlineStr">
        <is>
          <t>KR-00040</t>
        </is>
      </c>
      <c r="B65" t="inlineStr">
        <is>
          <t>C-0310</t>
        </is>
      </c>
      <c r="C65" t="inlineStr">
        <is>
          <t>Business</t>
        </is>
      </c>
      <c r="D65" t="inlineStr">
        <is>
          <t>web</t>
        </is>
      </c>
      <c r="E65" s="7" t="n">
        <v>46123</v>
      </c>
      <c r="F65" t="n">
        <v>379000</v>
      </c>
      <c r="G65" t="n">
        <v>227400</v>
      </c>
      <c r="H65" t="inlineStr">
        <is>
          <t>2026-04-13</t>
        </is>
      </c>
      <c r="I65">
        <f>IF(MONTH(E65)&lt;=6,"Q1","Q2")</f>
        <v/>
      </c>
      <c r="J65">
        <f>YEAR(E65)*100+MONTH(E65)</f>
        <v/>
      </c>
      <c r="K65">
        <f>IF(COUNTIF($A$2:A65,A65)=1,1,0)</f>
        <v/>
      </c>
      <c r="L65">
        <f>IF(K65=1,IF(COUNTIFS($B$2:B65,B65,$I$2:I65,I65,$K$2:K65,1)=1,1,0),0)</f>
        <v/>
      </c>
      <c r="M65">
        <f>IF(Tree!$C$4="once per order",F65*K65,F65)</f>
        <v/>
      </c>
      <c r="N65">
        <f>IF(Tree!$C$4="once per order",K65,1)</f>
        <v/>
      </c>
      <c r="O65">
        <f>IF(Tree!$C$4="once per order",L65,1)</f>
        <v/>
      </c>
    </row>
    <row r="66">
      <c r="A66" t="inlineStr">
        <is>
          <t>KR-00040</t>
        </is>
      </c>
      <c r="B66" t="inlineStr">
        <is>
          <t>C-0310</t>
        </is>
      </c>
      <c r="C66" t="inlineStr">
        <is>
          <t>Business</t>
        </is>
      </c>
      <c r="D66" t="inlineStr">
        <is>
          <t>web</t>
        </is>
      </c>
      <c r="E66" s="7" t="n">
        <v>46123</v>
      </c>
      <c r="F66" t="n">
        <v>379000</v>
      </c>
      <c r="G66" t="n">
        <v>151600</v>
      </c>
      <c r="H66" t="inlineStr">
        <is>
          <t>2026-04-13</t>
        </is>
      </c>
      <c r="I66">
        <f>IF(MONTH(E66)&lt;=6,"Q1","Q2")</f>
        <v/>
      </c>
      <c r="J66">
        <f>YEAR(E66)*100+MONTH(E66)</f>
        <v/>
      </c>
      <c r="K66">
        <f>IF(COUNTIF($A$2:A66,A66)=1,1,0)</f>
        <v/>
      </c>
      <c r="L66">
        <f>IF(K66=1,IF(COUNTIFS($B$2:B66,B66,$I$2:I66,I66,$K$2:K66,1)=1,1,0),0)</f>
        <v/>
      </c>
      <c r="M66">
        <f>IF(Tree!$C$4="once per order",F66*K66,F66)</f>
        <v/>
      </c>
      <c r="N66">
        <f>IF(Tree!$C$4="once per order",K66,1)</f>
        <v/>
      </c>
      <c r="O66">
        <f>IF(Tree!$C$4="once per order",L66,1)</f>
        <v/>
      </c>
    </row>
    <row r="67">
      <c r="A67" t="inlineStr">
        <is>
          <t>KR-00041</t>
        </is>
      </c>
      <c r="B67" t="inlineStr">
        <is>
          <t>C-0299</t>
        </is>
      </c>
      <c r="C67" t="inlineStr">
        <is>
          <t>Business</t>
        </is>
      </c>
      <c r="D67" t="inlineStr">
        <is>
          <t>store</t>
        </is>
      </c>
      <c r="E67" s="7" t="n">
        <v>46169</v>
      </c>
      <c r="F67" t="n">
        <v>1282000</v>
      </c>
      <c r="G67" t="n">
        <v>769200</v>
      </c>
      <c r="H67" t="inlineStr">
        <is>
          <t>2026-05-28</t>
        </is>
      </c>
      <c r="I67">
        <f>IF(MONTH(E67)&lt;=6,"Q1","Q2")</f>
        <v/>
      </c>
      <c r="J67">
        <f>YEAR(E67)*100+MONTH(E67)</f>
        <v/>
      </c>
      <c r="K67">
        <f>IF(COUNTIF($A$2:A67,A67)=1,1,0)</f>
        <v/>
      </c>
      <c r="L67">
        <f>IF(K67=1,IF(COUNTIFS($B$2:B67,B67,$I$2:I67,I67,$K$2:K67,1)=1,1,0),0)</f>
        <v/>
      </c>
      <c r="M67">
        <f>IF(Tree!$C$4="once per order",F67*K67,F67)</f>
        <v/>
      </c>
      <c r="N67">
        <f>IF(Tree!$C$4="once per order",K67,1)</f>
        <v/>
      </c>
      <c r="O67">
        <f>IF(Tree!$C$4="once per order",L67,1)</f>
        <v/>
      </c>
    </row>
    <row r="68">
      <c r="A68" t="inlineStr">
        <is>
          <t>KR-00041</t>
        </is>
      </c>
      <c r="B68" t="inlineStr">
        <is>
          <t>C-0299</t>
        </is>
      </c>
      <c r="C68" t="inlineStr">
        <is>
          <t>Business</t>
        </is>
      </c>
      <c r="D68" t="inlineStr">
        <is>
          <t>store</t>
        </is>
      </c>
      <c r="E68" s="7" t="n">
        <v>46169</v>
      </c>
      <c r="F68" t="n">
        <v>1282000</v>
      </c>
      <c r="G68" t="n">
        <v>512800</v>
      </c>
      <c r="H68" t="inlineStr">
        <is>
          <t>2026-05-28</t>
        </is>
      </c>
      <c r="I68">
        <f>IF(MONTH(E68)&lt;=6,"Q1","Q2")</f>
        <v/>
      </c>
      <c r="J68">
        <f>YEAR(E68)*100+MONTH(E68)</f>
        <v/>
      </c>
      <c r="K68">
        <f>IF(COUNTIF($A$2:A68,A68)=1,1,0)</f>
        <v/>
      </c>
      <c r="L68">
        <f>IF(K68=1,IF(COUNTIFS($B$2:B68,B68,$I$2:I68,I68,$K$2:K68,1)=1,1,0),0)</f>
        <v/>
      </c>
      <c r="M68">
        <f>IF(Tree!$C$4="once per order",F68*K68,F68)</f>
        <v/>
      </c>
      <c r="N68">
        <f>IF(Tree!$C$4="once per order",K68,1)</f>
        <v/>
      </c>
      <c r="O68">
        <f>IF(Tree!$C$4="once per order",L68,1)</f>
        <v/>
      </c>
    </row>
    <row r="69">
      <c r="A69" t="inlineStr">
        <is>
          <t>KR-00042</t>
        </is>
      </c>
      <c r="B69" t="inlineStr">
        <is>
          <t>C-0278</t>
        </is>
      </c>
      <c r="C69" t="inlineStr">
        <is>
          <t>Business</t>
        </is>
      </c>
      <c r="D69" t="inlineStr">
        <is>
          <t>app</t>
        </is>
      </c>
      <c r="E69" s="7" t="n">
        <v>46177</v>
      </c>
      <c r="F69" t="n">
        <v>1566000</v>
      </c>
      <c r="G69" t="n">
        <v>939600</v>
      </c>
      <c r="H69" t="inlineStr">
        <is>
          <t>2026-06-06</t>
        </is>
      </c>
      <c r="I69">
        <f>IF(MONTH(E69)&lt;=6,"Q1","Q2")</f>
        <v/>
      </c>
      <c r="J69">
        <f>YEAR(E69)*100+MONTH(E69)</f>
        <v/>
      </c>
      <c r="K69">
        <f>IF(COUNTIF($A$2:A69,A69)=1,1,0)</f>
        <v/>
      </c>
      <c r="L69">
        <f>IF(K69=1,IF(COUNTIFS($B$2:B69,B69,$I$2:I69,I69,$K$2:K69,1)=1,1,0),0)</f>
        <v/>
      </c>
      <c r="M69">
        <f>IF(Tree!$C$4="once per order",F69*K69,F69)</f>
        <v/>
      </c>
      <c r="N69">
        <f>IF(Tree!$C$4="once per order",K69,1)</f>
        <v/>
      </c>
      <c r="O69">
        <f>IF(Tree!$C$4="once per order",L69,1)</f>
        <v/>
      </c>
    </row>
    <row r="70">
      <c r="A70" t="inlineStr">
        <is>
          <t>KR-00042</t>
        </is>
      </c>
      <c r="B70" t="inlineStr">
        <is>
          <t>C-0278</t>
        </is>
      </c>
      <c r="C70" t="inlineStr">
        <is>
          <t>Business</t>
        </is>
      </c>
      <c r="D70" t="inlineStr">
        <is>
          <t>app</t>
        </is>
      </c>
      <c r="E70" s="7" t="n">
        <v>46177</v>
      </c>
      <c r="F70" t="n">
        <v>1566000</v>
      </c>
      <c r="G70" t="n">
        <v>626400</v>
      </c>
      <c r="H70" t="inlineStr">
        <is>
          <t>2026-06-06</t>
        </is>
      </c>
      <c r="I70">
        <f>IF(MONTH(E70)&lt;=6,"Q1","Q2")</f>
        <v/>
      </c>
      <c r="J70">
        <f>YEAR(E70)*100+MONTH(E70)</f>
        <v/>
      </c>
      <c r="K70">
        <f>IF(COUNTIF($A$2:A70,A70)=1,1,0)</f>
        <v/>
      </c>
      <c r="L70">
        <f>IF(K70=1,IF(COUNTIFS($B$2:B70,B70,$I$2:I70,I70,$K$2:K70,1)=1,1,0),0)</f>
        <v/>
      </c>
      <c r="M70">
        <f>IF(Tree!$C$4="once per order",F70*K70,F70)</f>
        <v/>
      </c>
      <c r="N70">
        <f>IF(Tree!$C$4="once per order",K70,1)</f>
        <v/>
      </c>
      <c r="O70">
        <f>IF(Tree!$C$4="once per order",L70,1)</f>
        <v/>
      </c>
    </row>
    <row r="71">
      <c r="A71" t="inlineStr">
        <is>
          <t>KR-00043</t>
        </is>
      </c>
      <c r="B71" t="inlineStr">
        <is>
          <t>C-0279</t>
        </is>
      </c>
      <c r="C71" t="inlineStr">
        <is>
          <t>Business</t>
        </is>
      </c>
      <c r="D71" t="inlineStr">
        <is>
          <t>app</t>
        </is>
      </c>
      <c r="E71" s="7" t="n">
        <v>46130</v>
      </c>
      <c r="F71" t="n">
        <v>1245000</v>
      </c>
      <c r="G71" t="n">
        <v>747000</v>
      </c>
      <c r="H71" t="inlineStr">
        <is>
          <t>2026-04-20</t>
        </is>
      </c>
      <c r="I71">
        <f>IF(MONTH(E71)&lt;=6,"Q1","Q2")</f>
        <v/>
      </c>
      <c r="J71">
        <f>YEAR(E71)*100+MONTH(E71)</f>
        <v/>
      </c>
      <c r="K71">
        <f>IF(COUNTIF($A$2:A71,A71)=1,1,0)</f>
        <v/>
      </c>
      <c r="L71">
        <f>IF(K71=1,IF(COUNTIFS($B$2:B71,B71,$I$2:I71,I71,$K$2:K71,1)=1,1,0),0)</f>
        <v/>
      </c>
      <c r="M71">
        <f>IF(Tree!$C$4="once per order",F71*K71,F71)</f>
        <v/>
      </c>
      <c r="N71">
        <f>IF(Tree!$C$4="once per order",K71,1)</f>
        <v/>
      </c>
      <c r="O71">
        <f>IF(Tree!$C$4="once per order",L71,1)</f>
        <v/>
      </c>
    </row>
    <row r="72">
      <c r="A72" t="inlineStr">
        <is>
          <t>KR-00043</t>
        </is>
      </c>
      <c r="B72" t="inlineStr">
        <is>
          <t>C-0279</t>
        </is>
      </c>
      <c r="C72" t="inlineStr">
        <is>
          <t>Business</t>
        </is>
      </c>
      <c r="D72" t="inlineStr">
        <is>
          <t>app</t>
        </is>
      </c>
      <c r="E72" s="7" t="n">
        <v>46130</v>
      </c>
      <c r="F72" t="n">
        <v>1245000</v>
      </c>
      <c r="G72" t="n">
        <v>498000</v>
      </c>
      <c r="H72" t="inlineStr">
        <is>
          <t>2026-04-20</t>
        </is>
      </c>
      <c r="I72">
        <f>IF(MONTH(E72)&lt;=6,"Q1","Q2")</f>
        <v/>
      </c>
      <c r="J72">
        <f>YEAR(E72)*100+MONTH(E72)</f>
        <v/>
      </c>
      <c r="K72">
        <f>IF(COUNTIF($A$2:A72,A72)=1,1,0)</f>
        <v/>
      </c>
      <c r="L72">
        <f>IF(K72=1,IF(COUNTIFS($B$2:B72,B72,$I$2:I72,I72,$K$2:K72,1)=1,1,0),0)</f>
        <v/>
      </c>
      <c r="M72">
        <f>IF(Tree!$C$4="once per order",F72*K72,F72)</f>
        <v/>
      </c>
      <c r="N72">
        <f>IF(Tree!$C$4="once per order",K72,1)</f>
        <v/>
      </c>
      <c r="O72">
        <f>IF(Tree!$C$4="once per order",L72,1)</f>
        <v/>
      </c>
    </row>
    <row r="73">
      <c r="A73" t="inlineStr">
        <is>
          <t>KR-00044</t>
        </is>
      </c>
      <c r="B73" t="inlineStr">
        <is>
          <t>C-0303</t>
        </is>
      </c>
      <c r="C73" t="inlineStr">
        <is>
          <t>Business</t>
        </is>
      </c>
      <c r="D73" t="inlineStr">
        <is>
          <t>app</t>
        </is>
      </c>
      <c r="E73" s="7" t="n">
        <v>46160</v>
      </c>
      <c r="F73" t="n">
        <v>963000</v>
      </c>
      <c r="G73" t="n">
        <v>577800</v>
      </c>
      <c r="H73" t="inlineStr">
        <is>
          <t>2026-05-20</t>
        </is>
      </c>
      <c r="I73">
        <f>IF(MONTH(E73)&lt;=6,"Q1","Q2")</f>
        <v/>
      </c>
      <c r="J73">
        <f>YEAR(E73)*100+MONTH(E73)</f>
        <v/>
      </c>
      <c r="K73">
        <f>IF(COUNTIF($A$2:A73,A73)=1,1,0)</f>
        <v/>
      </c>
      <c r="L73">
        <f>IF(K73=1,IF(COUNTIFS($B$2:B73,B73,$I$2:I73,I73,$K$2:K73,1)=1,1,0),0)</f>
        <v/>
      </c>
      <c r="M73">
        <f>IF(Tree!$C$4="once per order",F73*K73,F73)</f>
        <v/>
      </c>
      <c r="N73">
        <f>IF(Tree!$C$4="once per order",K73,1)</f>
        <v/>
      </c>
      <c r="O73">
        <f>IF(Tree!$C$4="once per order",L73,1)</f>
        <v/>
      </c>
    </row>
    <row r="74">
      <c r="A74" t="inlineStr">
        <is>
          <t>KR-00044</t>
        </is>
      </c>
      <c r="B74" t="inlineStr">
        <is>
          <t>C-0303</t>
        </is>
      </c>
      <c r="C74" t="inlineStr">
        <is>
          <t>Business</t>
        </is>
      </c>
      <c r="D74" t="inlineStr">
        <is>
          <t>app</t>
        </is>
      </c>
      <c r="E74" s="7" t="n">
        <v>46160</v>
      </c>
      <c r="F74" t="n">
        <v>963000</v>
      </c>
      <c r="G74" t="n">
        <v>385200</v>
      </c>
      <c r="H74" t="inlineStr">
        <is>
          <t>2026-05-20</t>
        </is>
      </c>
      <c r="I74">
        <f>IF(MONTH(E74)&lt;=6,"Q1","Q2")</f>
        <v/>
      </c>
      <c r="J74">
        <f>YEAR(E74)*100+MONTH(E74)</f>
        <v/>
      </c>
      <c r="K74">
        <f>IF(COUNTIF($A$2:A74,A74)=1,1,0)</f>
        <v/>
      </c>
      <c r="L74">
        <f>IF(K74=1,IF(COUNTIFS($B$2:B74,B74,$I$2:I74,I74,$K$2:K74,1)=1,1,0),0)</f>
        <v/>
      </c>
      <c r="M74">
        <f>IF(Tree!$C$4="once per order",F74*K74,F74)</f>
        <v/>
      </c>
      <c r="N74">
        <f>IF(Tree!$C$4="once per order",K74,1)</f>
        <v/>
      </c>
      <c r="O74">
        <f>IF(Tree!$C$4="once per order",L74,1)</f>
        <v/>
      </c>
    </row>
    <row r="75">
      <c r="A75" t="inlineStr">
        <is>
          <t>KR-00045</t>
        </is>
      </c>
      <c r="B75" t="inlineStr">
        <is>
          <t>C-0306</t>
        </is>
      </c>
      <c r="C75" t="inlineStr">
        <is>
          <t>Business</t>
        </is>
      </c>
      <c r="D75" t="inlineStr">
        <is>
          <t>app</t>
        </is>
      </c>
      <c r="E75" s="7" t="n">
        <v>46180</v>
      </c>
      <c r="F75" t="n">
        <v>1645000</v>
      </c>
      <c r="G75" t="n">
        <v>987000</v>
      </c>
      <c r="H75" t="inlineStr">
        <is>
          <t>2026-06-09</t>
        </is>
      </c>
      <c r="I75">
        <f>IF(MONTH(E75)&lt;=6,"Q1","Q2")</f>
        <v/>
      </c>
      <c r="J75">
        <f>YEAR(E75)*100+MONTH(E75)</f>
        <v/>
      </c>
      <c r="K75">
        <f>IF(COUNTIF($A$2:A75,A75)=1,1,0)</f>
        <v/>
      </c>
      <c r="L75">
        <f>IF(K75=1,IF(COUNTIFS($B$2:B75,B75,$I$2:I75,I75,$K$2:K75,1)=1,1,0),0)</f>
        <v/>
      </c>
      <c r="M75">
        <f>IF(Tree!$C$4="once per order",F75*K75,F75)</f>
        <v/>
      </c>
      <c r="N75">
        <f>IF(Tree!$C$4="once per order",K75,1)</f>
        <v/>
      </c>
      <c r="O75">
        <f>IF(Tree!$C$4="once per order",L75,1)</f>
        <v/>
      </c>
    </row>
    <row r="76">
      <c r="A76" t="inlineStr">
        <is>
          <t>KR-00045</t>
        </is>
      </c>
      <c r="B76" t="inlineStr">
        <is>
          <t>C-0306</t>
        </is>
      </c>
      <c r="C76" t="inlineStr">
        <is>
          <t>Business</t>
        </is>
      </c>
      <c r="D76" t="inlineStr">
        <is>
          <t>app</t>
        </is>
      </c>
      <c r="E76" s="7" t="n">
        <v>46180</v>
      </c>
      <c r="F76" t="n">
        <v>1645000</v>
      </c>
      <c r="G76" t="n">
        <v>658000</v>
      </c>
      <c r="H76" t="inlineStr">
        <is>
          <t>2026-06-09</t>
        </is>
      </c>
      <c r="I76">
        <f>IF(MONTH(E76)&lt;=6,"Q1","Q2")</f>
        <v/>
      </c>
      <c r="J76">
        <f>YEAR(E76)*100+MONTH(E76)</f>
        <v/>
      </c>
      <c r="K76">
        <f>IF(COUNTIF($A$2:A76,A76)=1,1,0)</f>
        <v/>
      </c>
      <c r="L76">
        <f>IF(K76=1,IF(COUNTIFS($B$2:B76,B76,$I$2:I76,I76,$K$2:K76,1)=1,1,0),0)</f>
        <v/>
      </c>
      <c r="M76">
        <f>IF(Tree!$C$4="once per order",F76*K76,F76)</f>
        <v/>
      </c>
      <c r="N76">
        <f>IF(Tree!$C$4="once per order",K76,1)</f>
        <v/>
      </c>
      <c r="O76">
        <f>IF(Tree!$C$4="once per order",L76,1)</f>
        <v/>
      </c>
    </row>
    <row r="77">
      <c r="A77" t="inlineStr">
        <is>
          <t>KR-00046</t>
        </is>
      </c>
      <c r="B77" t="inlineStr">
        <is>
          <t>C-0283</t>
        </is>
      </c>
      <c r="C77" t="inlineStr">
        <is>
          <t>Business</t>
        </is>
      </c>
      <c r="D77" t="inlineStr">
        <is>
          <t>app</t>
        </is>
      </c>
      <c r="E77" s="7" t="n">
        <v>46127</v>
      </c>
      <c r="F77" t="n">
        <v>1625000</v>
      </c>
      <c r="G77" t="n">
        <v>975000</v>
      </c>
      <c r="H77" t="inlineStr">
        <is>
          <t>2026-04-17</t>
        </is>
      </c>
      <c r="I77">
        <f>IF(MONTH(E77)&lt;=6,"Q1","Q2")</f>
        <v/>
      </c>
      <c r="J77">
        <f>YEAR(E77)*100+MONTH(E77)</f>
        <v/>
      </c>
      <c r="K77">
        <f>IF(COUNTIF($A$2:A77,A77)=1,1,0)</f>
        <v/>
      </c>
      <c r="L77">
        <f>IF(K77=1,IF(COUNTIFS($B$2:B77,B77,$I$2:I77,I77,$K$2:K77,1)=1,1,0),0)</f>
        <v/>
      </c>
      <c r="M77">
        <f>IF(Tree!$C$4="once per order",F77*K77,F77)</f>
        <v/>
      </c>
      <c r="N77">
        <f>IF(Tree!$C$4="once per order",K77,1)</f>
        <v/>
      </c>
      <c r="O77">
        <f>IF(Tree!$C$4="once per order",L77,1)</f>
        <v/>
      </c>
    </row>
    <row r="78">
      <c r="A78" t="inlineStr">
        <is>
          <t>KR-00046</t>
        </is>
      </c>
      <c r="B78" t="inlineStr">
        <is>
          <t>C-0283</t>
        </is>
      </c>
      <c r="C78" t="inlineStr">
        <is>
          <t>Business</t>
        </is>
      </c>
      <c r="D78" t="inlineStr">
        <is>
          <t>app</t>
        </is>
      </c>
      <c r="E78" s="7" t="n">
        <v>46127</v>
      </c>
      <c r="F78" t="n">
        <v>1625000</v>
      </c>
      <c r="G78" t="n">
        <v>650000</v>
      </c>
      <c r="H78" t="inlineStr">
        <is>
          <t>2026-04-17</t>
        </is>
      </c>
      <c r="I78">
        <f>IF(MONTH(E78)&lt;=6,"Q1","Q2")</f>
        <v/>
      </c>
      <c r="J78">
        <f>YEAR(E78)*100+MONTH(E78)</f>
        <v/>
      </c>
      <c r="K78">
        <f>IF(COUNTIF($A$2:A78,A78)=1,1,0)</f>
        <v/>
      </c>
      <c r="L78">
        <f>IF(K78=1,IF(COUNTIFS($B$2:B78,B78,$I$2:I78,I78,$K$2:K78,1)=1,1,0),0)</f>
        <v/>
      </c>
      <c r="M78">
        <f>IF(Tree!$C$4="once per order",F78*K78,F78)</f>
        <v/>
      </c>
      <c r="N78">
        <f>IF(Tree!$C$4="once per order",K78,1)</f>
        <v/>
      </c>
      <c r="O78">
        <f>IF(Tree!$C$4="once per order",L78,1)</f>
        <v/>
      </c>
    </row>
    <row r="79">
      <c r="A79" t="inlineStr">
        <is>
          <t>KR-00047</t>
        </is>
      </c>
      <c r="B79" t="inlineStr">
        <is>
          <t>C-0274</t>
        </is>
      </c>
      <c r="C79" t="inlineStr">
        <is>
          <t>Business</t>
        </is>
      </c>
      <c r="D79" t="inlineStr">
        <is>
          <t>store</t>
        </is>
      </c>
      <c r="E79" s="7" t="n">
        <v>46149</v>
      </c>
      <c r="F79" t="n">
        <v>363000</v>
      </c>
      <c r="G79" t="n">
        <v>217800</v>
      </c>
      <c r="H79" t="inlineStr">
        <is>
          <t>2026-05-09</t>
        </is>
      </c>
      <c r="I79">
        <f>IF(MONTH(E79)&lt;=6,"Q1","Q2")</f>
        <v/>
      </c>
      <c r="J79">
        <f>YEAR(E79)*100+MONTH(E79)</f>
        <v/>
      </c>
      <c r="K79">
        <f>IF(COUNTIF($A$2:A79,A79)=1,1,0)</f>
        <v/>
      </c>
      <c r="L79">
        <f>IF(K79=1,IF(COUNTIFS($B$2:B79,B79,$I$2:I79,I79,$K$2:K79,1)=1,1,0),0)</f>
        <v/>
      </c>
      <c r="M79">
        <f>IF(Tree!$C$4="once per order",F79*K79,F79)</f>
        <v/>
      </c>
      <c r="N79">
        <f>IF(Tree!$C$4="once per order",K79,1)</f>
        <v/>
      </c>
      <c r="O79">
        <f>IF(Tree!$C$4="once per order",L79,1)</f>
        <v/>
      </c>
    </row>
    <row r="80">
      <c r="A80" t="inlineStr">
        <is>
          <t>KR-00047</t>
        </is>
      </c>
      <c r="B80" t="inlineStr">
        <is>
          <t>C-0274</t>
        </is>
      </c>
      <c r="C80" t="inlineStr">
        <is>
          <t>Business</t>
        </is>
      </c>
      <c r="D80" t="inlineStr">
        <is>
          <t>store</t>
        </is>
      </c>
      <c r="E80" s="7" t="n">
        <v>46149</v>
      </c>
      <c r="F80" t="n">
        <v>363000</v>
      </c>
      <c r="G80" t="n">
        <v>145200</v>
      </c>
      <c r="H80" t="inlineStr">
        <is>
          <t>2026-05-09</t>
        </is>
      </c>
      <c r="I80">
        <f>IF(MONTH(E80)&lt;=6,"Q1","Q2")</f>
        <v/>
      </c>
      <c r="J80">
        <f>YEAR(E80)*100+MONTH(E80)</f>
        <v/>
      </c>
      <c r="K80">
        <f>IF(COUNTIF($A$2:A80,A80)=1,1,0)</f>
        <v/>
      </c>
      <c r="L80">
        <f>IF(K80=1,IF(COUNTIFS($B$2:B80,B80,$I$2:I80,I80,$K$2:K80,1)=1,1,0),0)</f>
        <v/>
      </c>
      <c r="M80">
        <f>IF(Tree!$C$4="once per order",F80*K80,F80)</f>
        <v/>
      </c>
      <c r="N80">
        <f>IF(Tree!$C$4="once per order",K80,1)</f>
        <v/>
      </c>
      <c r="O80">
        <f>IF(Tree!$C$4="once per order",L80,1)</f>
        <v/>
      </c>
    </row>
    <row r="81">
      <c r="A81" t="inlineStr">
        <is>
          <t>KR-00048</t>
        </is>
      </c>
      <c r="B81" t="inlineStr">
        <is>
          <t>C-0275</t>
        </is>
      </c>
      <c r="C81" t="inlineStr">
        <is>
          <t>Business</t>
        </is>
      </c>
      <c r="D81" t="inlineStr">
        <is>
          <t>web</t>
        </is>
      </c>
      <c r="E81" s="7" t="n">
        <v>46201</v>
      </c>
      <c r="F81" t="n">
        <v>214000</v>
      </c>
      <c r="G81" t="n">
        <v>128400</v>
      </c>
      <c r="H81" t="inlineStr">
        <is>
          <t>2026-06-28</t>
        </is>
      </c>
      <c r="I81">
        <f>IF(MONTH(E81)&lt;=6,"Q1","Q2")</f>
        <v/>
      </c>
      <c r="J81">
        <f>YEAR(E81)*100+MONTH(E81)</f>
        <v/>
      </c>
      <c r="K81">
        <f>IF(COUNTIF($A$2:A81,A81)=1,1,0)</f>
        <v/>
      </c>
      <c r="L81">
        <f>IF(K81=1,IF(COUNTIFS($B$2:B81,B81,$I$2:I81,I81,$K$2:K81,1)=1,1,0),0)</f>
        <v/>
      </c>
      <c r="M81">
        <f>IF(Tree!$C$4="once per order",F81*K81,F81)</f>
        <v/>
      </c>
      <c r="N81">
        <f>IF(Tree!$C$4="once per order",K81,1)</f>
        <v/>
      </c>
      <c r="O81">
        <f>IF(Tree!$C$4="once per order",L81,1)</f>
        <v/>
      </c>
    </row>
    <row r="82">
      <c r="A82" t="inlineStr">
        <is>
          <t>KR-00048</t>
        </is>
      </c>
      <c r="B82" t="inlineStr">
        <is>
          <t>C-0275</t>
        </is>
      </c>
      <c r="C82" t="inlineStr">
        <is>
          <t>Business</t>
        </is>
      </c>
      <c r="D82" t="inlineStr">
        <is>
          <t>web</t>
        </is>
      </c>
      <c r="E82" s="7" t="n">
        <v>46201</v>
      </c>
      <c r="F82" t="n">
        <v>214000</v>
      </c>
      <c r="G82" t="n">
        <v>85600</v>
      </c>
      <c r="H82" t="inlineStr">
        <is>
          <t>2026-06-28</t>
        </is>
      </c>
      <c r="I82">
        <f>IF(MONTH(E82)&lt;=6,"Q1","Q2")</f>
        <v/>
      </c>
      <c r="J82">
        <f>YEAR(E82)*100+MONTH(E82)</f>
        <v/>
      </c>
      <c r="K82">
        <f>IF(COUNTIF($A$2:A82,A82)=1,1,0)</f>
        <v/>
      </c>
      <c r="L82">
        <f>IF(K82=1,IF(COUNTIFS($B$2:B82,B82,$I$2:I82,I82,$K$2:K82,1)=1,1,0),0)</f>
        <v/>
      </c>
      <c r="M82">
        <f>IF(Tree!$C$4="once per order",F82*K82,F82)</f>
        <v/>
      </c>
      <c r="N82">
        <f>IF(Tree!$C$4="once per order",K82,1)</f>
        <v/>
      </c>
      <c r="O82">
        <f>IF(Tree!$C$4="once per order",L82,1)</f>
        <v/>
      </c>
    </row>
    <row r="83">
      <c r="A83" t="inlineStr">
        <is>
          <t>KR-00049</t>
        </is>
      </c>
      <c r="B83" t="inlineStr">
        <is>
          <t>C-0284</t>
        </is>
      </c>
      <c r="C83" t="inlineStr">
        <is>
          <t>Business</t>
        </is>
      </c>
      <c r="D83" t="inlineStr">
        <is>
          <t>store</t>
        </is>
      </c>
      <c r="E83" s="7" t="n">
        <v>46131</v>
      </c>
      <c r="F83" t="n">
        <v>1023000</v>
      </c>
      <c r="G83" t="n">
        <v>613800</v>
      </c>
      <c r="H83" t="inlineStr">
        <is>
          <t>2026-04-21</t>
        </is>
      </c>
      <c r="I83">
        <f>IF(MONTH(E83)&lt;=6,"Q1","Q2")</f>
        <v/>
      </c>
      <c r="J83">
        <f>YEAR(E83)*100+MONTH(E83)</f>
        <v/>
      </c>
      <c r="K83">
        <f>IF(COUNTIF($A$2:A83,A83)=1,1,0)</f>
        <v/>
      </c>
      <c r="L83">
        <f>IF(K83=1,IF(COUNTIFS($B$2:B83,B83,$I$2:I83,I83,$K$2:K83,1)=1,1,0),0)</f>
        <v/>
      </c>
      <c r="M83">
        <f>IF(Tree!$C$4="once per order",F83*K83,F83)</f>
        <v/>
      </c>
      <c r="N83">
        <f>IF(Tree!$C$4="once per order",K83,1)</f>
        <v/>
      </c>
      <c r="O83">
        <f>IF(Tree!$C$4="once per order",L83,1)</f>
        <v/>
      </c>
    </row>
    <row r="84">
      <c r="A84" t="inlineStr">
        <is>
          <t>KR-00049</t>
        </is>
      </c>
      <c r="B84" t="inlineStr">
        <is>
          <t>C-0284</t>
        </is>
      </c>
      <c r="C84" t="inlineStr">
        <is>
          <t>Business</t>
        </is>
      </c>
      <c r="D84" t="inlineStr">
        <is>
          <t>store</t>
        </is>
      </c>
      <c r="E84" s="7" t="n">
        <v>46131</v>
      </c>
      <c r="F84" t="n">
        <v>1023000</v>
      </c>
      <c r="G84" t="n">
        <v>409200</v>
      </c>
      <c r="H84" t="inlineStr">
        <is>
          <t>2026-04-21</t>
        </is>
      </c>
      <c r="I84">
        <f>IF(MONTH(E84)&lt;=6,"Q1","Q2")</f>
        <v/>
      </c>
      <c r="J84">
        <f>YEAR(E84)*100+MONTH(E84)</f>
        <v/>
      </c>
      <c r="K84">
        <f>IF(COUNTIF($A$2:A84,A84)=1,1,0)</f>
        <v/>
      </c>
      <c r="L84">
        <f>IF(K84=1,IF(COUNTIFS($B$2:B84,B84,$I$2:I84,I84,$K$2:K84,1)=1,1,0),0)</f>
        <v/>
      </c>
      <c r="M84">
        <f>IF(Tree!$C$4="once per order",F84*K84,F84)</f>
        <v/>
      </c>
      <c r="N84">
        <f>IF(Tree!$C$4="once per order",K84,1)</f>
        <v/>
      </c>
      <c r="O84">
        <f>IF(Tree!$C$4="once per order",L84,1)</f>
        <v/>
      </c>
    </row>
    <row r="85">
      <c r="A85" t="inlineStr">
        <is>
          <t>KR-00050</t>
        </is>
      </c>
      <c r="B85" t="inlineStr">
        <is>
          <t>C-0291</t>
        </is>
      </c>
      <c r="C85" t="inlineStr">
        <is>
          <t>Business</t>
        </is>
      </c>
      <c r="D85" t="inlineStr">
        <is>
          <t>web</t>
        </is>
      </c>
      <c r="E85" s="7" t="n">
        <v>46144</v>
      </c>
      <c r="F85" t="n">
        <v>1118000</v>
      </c>
      <c r="G85" t="n">
        <v>670800</v>
      </c>
      <c r="H85" t="inlineStr">
        <is>
          <t>2026-05-04</t>
        </is>
      </c>
      <c r="I85">
        <f>IF(MONTH(E85)&lt;=6,"Q1","Q2")</f>
        <v/>
      </c>
      <c r="J85">
        <f>YEAR(E85)*100+MONTH(E85)</f>
        <v/>
      </c>
      <c r="K85">
        <f>IF(COUNTIF($A$2:A85,A85)=1,1,0)</f>
        <v/>
      </c>
      <c r="L85">
        <f>IF(K85=1,IF(COUNTIFS($B$2:B85,B85,$I$2:I85,I85,$K$2:K85,1)=1,1,0),0)</f>
        <v/>
      </c>
      <c r="M85">
        <f>IF(Tree!$C$4="once per order",F85*K85,F85)</f>
        <v/>
      </c>
      <c r="N85">
        <f>IF(Tree!$C$4="once per order",K85,1)</f>
        <v/>
      </c>
      <c r="O85">
        <f>IF(Tree!$C$4="once per order",L85,1)</f>
        <v/>
      </c>
    </row>
    <row r="86">
      <c r="A86" t="inlineStr">
        <is>
          <t>KR-00050</t>
        </is>
      </c>
      <c r="B86" t="inlineStr">
        <is>
          <t>C-0291</t>
        </is>
      </c>
      <c r="C86" t="inlineStr">
        <is>
          <t>Business</t>
        </is>
      </c>
      <c r="D86" t="inlineStr">
        <is>
          <t>web</t>
        </is>
      </c>
      <c r="E86" s="7" t="n">
        <v>46144</v>
      </c>
      <c r="F86" t="n">
        <v>1118000</v>
      </c>
      <c r="G86" t="n">
        <v>447200</v>
      </c>
      <c r="H86" t="inlineStr">
        <is>
          <t>2026-05-04</t>
        </is>
      </c>
      <c r="I86">
        <f>IF(MONTH(E86)&lt;=6,"Q1","Q2")</f>
        <v/>
      </c>
      <c r="J86">
        <f>YEAR(E86)*100+MONTH(E86)</f>
        <v/>
      </c>
      <c r="K86">
        <f>IF(COUNTIF($A$2:A86,A86)=1,1,0)</f>
        <v/>
      </c>
      <c r="L86">
        <f>IF(K86=1,IF(COUNTIFS($B$2:B86,B86,$I$2:I86,I86,$K$2:K86,1)=1,1,0),0)</f>
        <v/>
      </c>
      <c r="M86">
        <f>IF(Tree!$C$4="once per order",F86*K86,F86)</f>
        <v/>
      </c>
      <c r="N86">
        <f>IF(Tree!$C$4="once per order",K86,1)</f>
        <v/>
      </c>
      <c r="O86">
        <f>IF(Tree!$C$4="once per order",L86,1)</f>
        <v/>
      </c>
    </row>
    <row r="87">
      <c r="A87" t="inlineStr">
        <is>
          <t>KR-00051</t>
        </is>
      </c>
      <c r="B87" t="inlineStr">
        <is>
          <t>C-0296</t>
        </is>
      </c>
      <c r="C87" t="inlineStr">
        <is>
          <t>Business</t>
        </is>
      </c>
      <c r="D87" t="inlineStr">
        <is>
          <t>web</t>
        </is>
      </c>
      <c r="E87" s="7" t="n">
        <v>46194</v>
      </c>
      <c r="F87" t="n">
        <v>1648000</v>
      </c>
      <c r="G87" t="n">
        <v>988800</v>
      </c>
      <c r="H87" t="inlineStr">
        <is>
          <t>2026-06-23</t>
        </is>
      </c>
      <c r="I87">
        <f>IF(MONTH(E87)&lt;=6,"Q1","Q2")</f>
        <v/>
      </c>
      <c r="J87">
        <f>YEAR(E87)*100+MONTH(E87)</f>
        <v/>
      </c>
      <c r="K87">
        <f>IF(COUNTIF($A$2:A87,A87)=1,1,0)</f>
        <v/>
      </c>
      <c r="L87">
        <f>IF(K87=1,IF(COUNTIFS($B$2:B87,B87,$I$2:I87,I87,$K$2:K87,1)=1,1,0),0)</f>
        <v/>
      </c>
      <c r="M87">
        <f>IF(Tree!$C$4="once per order",F87*K87,F87)</f>
        <v/>
      </c>
      <c r="N87">
        <f>IF(Tree!$C$4="once per order",K87,1)</f>
        <v/>
      </c>
      <c r="O87">
        <f>IF(Tree!$C$4="once per order",L87,1)</f>
        <v/>
      </c>
    </row>
    <row r="88">
      <c r="A88" t="inlineStr">
        <is>
          <t>KR-00051</t>
        </is>
      </c>
      <c r="B88" t="inlineStr">
        <is>
          <t>C-0296</t>
        </is>
      </c>
      <c r="C88" t="inlineStr">
        <is>
          <t>Business</t>
        </is>
      </c>
      <c r="D88" t="inlineStr">
        <is>
          <t>web</t>
        </is>
      </c>
      <c r="E88" s="7" t="n">
        <v>46194</v>
      </c>
      <c r="F88" t="n">
        <v>1648000</v>
      </c>
      <c r="G88" t="n">
        <v>659200</v>
      </c>
      <c r="H88" t="inlineStr">
        <is>
          <t>2026-06-23</t>
        </is>
      </c>
      <c r="I88">
        <f>IF(MONTH(E88)&lt;=6,"Q1","Q2")</f>
        <v/>
      </c>
      <c r="J88">
        <f>YEAR(E88)*100+MONTH(E88)</f>
        <v/>
      </c>
      <c r="K88">
        <f>IF(COUNTIF($A$2:A88,A88)=1,1,0)</f>
        <v/>
      </c>
      <c r="L88">
        <f>IF(K88=1,IF(COUNTIFS($B$2:B88,B88,$I$2:I88,I88,$K$2:K88,1)=1,1,0),0)</f>
        <v/>
      </c>
      <c r="M88">
        <f>IF(Tree!$C$4="once per order",F88*K88,F88)</f>
        <v/>
      </c>
      <c r="N88">
        <f>IF(Tree!$C$4="once per order",K88,1)</f>
        <v/>
      </c>
      <c r="O88">
        <f>IF(Tree!$C$4="once per order",L88,1)</f>
        <v/>
      </c>
    </row>
    <row r="89">
      <c r="A89" t="inlineStr">
        <is>
          <t>KR-00052</t>
        </is>
      </c>
      <c r="B89" t="inlineStr">
        <is>
          <t>C-0288</t>
        </is>
      </c>
      <c r="C89" t="inlineStr">
        <is>
          <t>Business</t>
        </is>
      </c>
      <c r="D89" t="inlineStr">
        <is>
          <t>store</t>
        </is>
      </c>
      <c r="E89" s="7" t="n">
        <v>46133</v>
      </c>
      <c r="F89" t="n">
        <v>1478000</v>
      </c>
      <c r="G89" t="n">
        <v>886800</v>
      </c>
      <c r="H89" t="inlineStr">
        <is>
          <t>2026-04-23</t>
        </is>
      </c>
      <c r="I89">
        <f>IF(MONTH(E89)&lt;=6,"Q1","Q2")</f>
        <v/>
      </c>
      <c r="J89">
        <f>YEAR(E89)*100+MONTH(E89)</f>
        <v/>
      </c>
      <c r="K89">
        <f>IF(COUNTIF($A$2:A89,A89)=1,1,0)</f>
        <v/>
      </c>
      <c r="L89">
        <f>IF(K89=1,IF(COUNTIFS($B$2:B89,B89,$I$2:I89,I89,$K$2:K89,1)=1,1,0),0)</f>
        <v/>
      </c>
      <c r="M89">
        <f>IF(Tree!$C$4="once per order",F89*K89,F89)</f>
        <v/>
      </c>
      <c r="N89">
        <f>IF(Tree!$C$4="once per order",K89,1)</f>
        <v/>
      </c>
      <c r="O89">
        <f>IF(Tree!$C$4="once per order",L89,1)</f>
        <v/>
      </c>
    </row>
    <row r="90">
      <c r="A90" t="inlineStr">
        <is>
          <t>KR-00052</t>
        </is>
      </c>
      <c r="B90" t="inlineStr">
        <is>
          <t>C-0288</t>
        </is>
      </c>
      <c r="C90" t="inlineStr">
        <is>
          <t>Business</t>
        </is>
      </c>
      <c r="D90" t="inlineStr">
        <is>
          <t>store</t>
        </is>
      </c>
      <c r="E90" s="7" t="n">
        <v>46133</v>
      </c>
      <c r="F90" t="n">
        <v>1478000</v>
      </c>
      <c r="G90" t="n">
        <v>591200</v>
      </c>
      <c r="H90" t="inlineStr">
        <is>
          <t>2026-04-23</t>
        </is>
      </c>
      <c r="I90">
        <f>IF(MONTH(E90)&lt;=6,"Q1","Q2")</f>
        <v/>
      </c>
      <c r="J90">
        <f>YEAR(E90)*100+MONTH(E90)</f>
        <v/>
      </c>
      <c r="K90">
        <f>IF(COUNTIF($A$2:A90,A90)=1,1,0)</f>
        <v/>
      </c>
      <c r="L90">
        <f>IF(K90=1,IF(COUNTIFS($B$2:B90,B90,$I$2:I90,I90,$K$2:K90,1)=1,1,0),0)</f>
        <v/>
      </c>
      <c r="M90">
        <f>IF(Tree!$C$4="once per order",F90*K90,F90)</f>
        <v/>
      </c>
      <c r="N90">
        <f>IF(Tree!$C$4="once per order",K90,1)</f>
        <v/>
      </c>
      <c r="O90">
        <f>IF(Tree!$C$4="once per order",L90,1)</f>
        <v/>
      </c>
    </row>
    <row r="91">
      <c r="A91" t="inlineStr">
        <is>
          <t>KR-00053</t>
        </is>
      </c>
      <c r="B91" t="inlineStr">
        <is>
          <t>C-0276</t>
        </is>
      </c>
      <c r="C91" t="inlineStr">
        <is>
          <t>Business</t>
        </is>
      </c>
      <c r="D91" t="inlineStr">
        <is>
          <t>web</t>
        </is>
      </c>
      <c r="E91" s="7" t="n">
        <v>46148</v>
      </c>
      <c r="F91" t="n">
        <v>715000</v>
      </c>
      <c r="G91" t="n">
        <v>429000</v>
      </c>
      <c r="H91" t="inlineStr">
        <is>
          <t>2026-05-08</t>
        </is>
      </c>
      <c r="I91">
        <f>IF(MONTH(E91)&lt;=6,"Q1","Q2")</f>
        <v/>
      </c>
      <c r="J91">
        <f>YEAR(E91)*100+MONTH(E91)</f>
        <v/>
      </c>
      <c r="K91">
        <f>IF(COUNTIF($A$2:A91,A91)=1,1,0)</f>
        <v/>
      </c>
      <c r="L91">
        <f>IF(K91=1,IF(COUNTIFS($B$2:B91,B91,$I$2:I91,I91,$K$2:K91,1)=1,1,0),0)</f>
        <v/>
      </c>
      <c r="M91">
        <f>IF(Tree!$C$4="once per order",F91*K91,F91)</f>
        <v/>
      </c>
      <c r="N91">
        <f>IF(Tree!$C$4="once per order",K91,1)</f>
        <v/>
      </c>
      <c r="O91">
        <f>IF(Tree!$C$4="once per order",L91,1)</f>
        <v/>
      </c>
    </row>
    <row r="92">
      <c r="A92" t="inlineStr">
        <is>
          <t>KR-00053</t>
        </is>
      </c>
      <c r="B92" t="inlineStr">
        <is>
          <t>C-0276</t>
        </is>
      </c>
      <c r="C92" t="inlineStr">
        <is>
          <t>Business</t>
        </is>
      </c>
      <c r="D92" t="inlineStr">
        <is>
          <t>web</t>
        </is>
      </c>
      <c r="E92" s="7" t="n">
        <v>46148</v>
      </c>
      <c r="F92" t="n">
        <v>715000</v>
      </c>
      <c r="G92" t="n">
        <v>286000</v>
      </c>
      <c r="H92" t="inlineStr">
        <is>
          <t>2026-05-08</t>
        </is>
      </c>
      <c r="I92">
        <f>IF(MONTH(E92)&lt;=6,"Q1","Q2")</f>
        <v/>
      </c>
      <c r="J92">
        <f>YEAR(E92)*100+MONTH(E92)</f>
        <v/>
      </c>
      <c r="K92">
        <f>IF(COUNTIF($A$2:A92,A92)=1,1,0)</f>
        <v/>
      </c>
      <c r="L92">
        <f>IF(K92=1,IF(COUNTIFS($B$2:B92,B92,$I$2:I92,I92,$K$2:K92,1)=1,1,0),0)</f>
        <v/>
      </c>
      <c r="M92">
        <f>IF(Tree!$C$4="once per order",F92*K92,F92)</f>
        <v/>
      </c>
      <c r="N92">
        <f>IF(Tree!$C$4="once per order",K92,1)</f>
        <v/>
      </c>
      <c r="O92">
        <f>IF(Tree!$C$4="once per order",L92,1)</f>
        <v/>
      </c>
    </row>
    <row r="93">
      <c r="A93" t="inlineStr">
        <is>
          <t>KR-00054</t>
        </is>
      </c>
      <c r="B93" t="inlineStr">
        <is>
          <t>C-0308</t>
        </is>
      </c>
      <c r="C93" t="inlineStr">
        <is>
          <t>Business</t>
        </is>
      </c>
      <c r="D93" t="inlineStr">
        <is>
          <t>store</t>
        </is>
      </c>
      <c r="E93" s="7" t="n">
        <v>46192</v>
      </c>
      <c r="F93" t="n">
        <v>1367000</v>
      </c>
      <c r="G93" t="n">
        <v>820200</v>
      </c>
      <c r="H93" t="inlineStr">
        <is>
          <t>2026-06-21</t>
        </is>
      </c>
      <c r="I93">
        <f>IF(MONTH(E93)&lt;=6,"Q1","Q2")</f>
        <v/>
      </c>
      <c r="J93">
        <f>YEAR(E93)*100+MONTH(E93)</f>
        <v/>
      </c>
      <c r="K93">
        <f>IF(COUNTIF($A$2:A93,A93)=1,1,0)</f>
        <v/>
      </c>
      <c r="L93">
        <f>IF(K93=1,IF(COUNTIFS($B$2:B93,B93,$I$2:I93,I93,$K$2:K93,1)=1,1,0),0)</f>
        <v/>
      </c>
      <c r="M93">
        <f>IF(Tree!$C$4="once per order",F93*K93,F93)</f>
        <v/>
      </c>
      <c r="N93">
        <f>IF(Tree!$C$4="once per order",K93,1)</f>
        <v/>
      </c>
      <c r="O93">
        <f>IF(Tree!$C$4="once per order",L93,1)</f>
        <v/>
      </c>
    </row>
    <row r="94">
      <c r="A94" t="inlineStr">
        <is>
          <t>KR-00054</t>
        </is>
      </c>
      <c r="B94" t="inlineStr">
        <is>
          <t>C-0308</t>
        </is>
      </c>
      <c r="C94" t="inlineStr">
        <is>
          <t>Business</t>
        </is>
      </c>
      <c r="D94" t="inlineStr">
        <is>
          <t>store</t>
        </is>
      </c>
      <c r="E94" s="7" t="n">
        <v>46192</v>
      </c>
      <c r="F94" t="n">
        <v>1367000</v>
      </c>
      <c r="G94" t="n">
        <v>546800</v>
      </c>
      <c r="H94" t="inlineStr">
        <is>
          <t>2026-06-21</t>
        </is>
      </c>
      <c r="I94">
        <f>IF(MONTH(E94)&lt;=6,"Q1","Q2")</f>
        <v/>
      </c>
      <c r="J94">
        <f>YEAR(E94)*100+MONTH(E94)</f>
        <v/>
      </c>
      <c r="K94">
        <f>IF(COUNTIF($A$2:A94,A94)=1,1,0)</f>
        <v/>
      </c>
      <c r="L94">
        <f>IF(K94=1,IF(COUNTIFS($B$2:B94,B94,$I$2:I94,I94,$K$2:K94,1)=1,1,0),0)</f>
        <v/>
      </c>
      <c r="M94">
        <f>IF(Tree!$C$4="once per order",F94*K94,F94)</f>
        <v/>
      </c>
      <c r="N94">
        <f>IF(Tree!$C$4="once per order",K94,1)</f>
        <v/>
      </c>
      <c r="O94">
        <f>IF(Tree!$C$4="once per order",L94,1)</f>
        <v/>
      </c>
    </row>
    <row r="95">
      <c r="A95" t="inlineStr">
        <is>
          <t>KR-00055</t>
        </is>
      </c>
      <c r="B95" t="inlineStr">
        <is>
          <t>C-0276</t>
        </is>
      </c>
      <c r="C95" t="inlineStr">
        <is>
          <t>Business</t>
        </is>
      </c>
      <c r="D95" t="inlineStr">
        <is>
          <t>store</t>
        </is>
      </c>
      <c r="E95" s="7" t="n">
        <v>46139</v>
      </c>
      <c r="F95" t="n">
        <v>1407000</v>
      </c>
      <c r="G95" t="n">
        <v>844200</v>
      </c>
      <c r="H95" t="inlineStr">
        <is>
          <t>2026-04-28</t>
        </is>
      </c>
      <c r="I95">
        <f>IF(MONTH(E95)&lt;=6,"Q1","Q2")</f>
        <v/>
      </c>
      <c r="J95">
        <f>YEAR(E95)*100+MONTH(E95)</f>
        <v/>
      </c>
      <c r="K95">
        <f>IF(COUNTIF($A$2:A95,A95)=1,1,0)</f>
        <v/>
      </c>
      <c r="L95">
        <f>IF(K95=1,IF(COUNTIFS($B$2:B95,B95,$I$2:I95,I95,$K$2:K95,1)=1,1,0),0)</f>
        <v/>
      </c>
      <c r="M95">
        <f>IF(Tree!$C$4="once per order",F95*K95,F95)</f>
        <v/>
      </c>
      <c r="N95">
        <f>IF(Tree!$C$4="once per order",K95,1)</f>
        <v/>
      </c>
      <c r="O95">
        <f>IF(Tree!$C$4="once per order",L95,1)</f>
        <v/>
      </c>
    </row>
    <row r="96">
      <c r="A96" t="inlineStr">
        <is>
          <t>KR-00055</t>
        </is>
      </c>
      <c r="B96" t="inlineStr">
        <is>
          <t>C-0276</t>
        </is>
      </c>
      <c r="C96" t="inlineStr">
        <is>
          <t>Business</t>
        </is>
      </c>
      <c r="D96" t="inlineStr">
        <is>
          <t>store</t>
        </is>
      </c>
      <c r="E96" s="7" t="n">
        <v>46139</v>
      </c>
      <c r="F96" t="n">
        <v>1407000</v>
      </c>
      <c r="G96" t="n">
        <v>562800</v>
      </c>
      <c r="H96" t="inlineStr">
        <is>
          <t>2026-04-28</t>
        </is>
      </c>
      <c r="I96">
        <f>IF(MONTH(E96)&lt;=6,"Q1","Q2")</f>
        <v/>
      </c>
      <c r="J96">
        <f>YEAR(E96)*100+MONTH(E96)</f>
        <v/>
      </c>
      <c r="K96">
        <f>IF(COUNTIF($A$2:A96,A96)=1,1,0)</f>
        <v/>
      </c>
      <c r="L96">
        <f>IF(K96=1,IF(COUNTIFS($B$2:B96,B96,$I$2:I96,I96,$K$2:K96,1)=1,1,0),0)</f>
        <v/>
      </c>
      <c r="M96">
        <f>IF(Tree!$C$4="once per order",F96*K96,F96)</f>
        <v/>
      </c>
      <c r="N96">
        <f>IF(Tree!$C$4="once per order",K96,1)</f>
        <v/>
      </c>
      <c r="O96">
        <f>IF(Tree!$C$4="once per order",L96,1)</f>
        <v/>
      </c>
    </row>
    <row r="97">
      <c r="A97" t="inlineStr">
        <is>
          <t>KR-00056</t>
        </is>
      </c>
      <c r="B97" t="inlineStr">
        <is>
          <t>C-0286</t>
        </is>
      </c>
      <c r="C97" t="inlineStr">
        <is>
          <t>Business</t>
        </is>
      </c>
      <c r="D97" t="inlineStr">
        <is>
          <t>web</t>
        </is>
      </c>
      <c r="E97" s="7" t="n">
        <v>46145</v>
      </c>
      <c r="F97" t="n">
        <v>678000</v>
      </c>
      <c r="G97" t="n">
        <v>406800</v>
      </c>
      <c r="H97" t="inlineStr">
        <is>
          <t>2026-05-05</t>
        </is>
      </c>
      <c r="I97">
        <f>IF(MONTH(E97)&lt;=6,"Q1","Q2")</f>
        <v/>
      </c>
      <c r="J97">
        <f>YEAR(E97)*100+MONTH(E97)</f>
        <v/>
      </c>
      <c r="K97">
        <f>IF(COUNTIF($A$2:A97,A97)=1,1,0)</f>
        <v/>
      </c>
      <c r="L97">
        <f>IF(K97=1,IF(COUNTIFS($B$2:B97,B97,$I$2:I97,I97,$K$2:K97,1)=1,1,0),0)</f>
        <v/>
      </c>
      <c r="M97">
        <f>IF(Tree!$C$4="once per order",F97*K97,F97)</f>
        <v/>
      </c>
      <c r="N97">
        <f>IF(Tree!$C$4="once per order",K97,1)</f>
        <v/>
      </c>
      <c r="O97">
        <f>IF(Tree!$C$4="once per order",L97,1)</f>
        <v/>
      </c>
    </row>
    <row r="98">
      <c r="A98" t="inlineStr">
        <is>
          <t>KR-00056</t>
        </is>
      </c>
      <c r="B98" t="inlineStr">
        <is>
          <t>C-0286</t>
        </is>
      </c>
      <c r="C98" t="inlineStr">
        <is>
          <t>Business</t>
        </is>
      </c>
      <c r="D98" t="inlineStr">
        <is>
          <t>web</t>
        </is>
      </c>
      <c r="E98" s="7" t="n">
        <v>46145</v>
      </c>
      <c r="F98" t="n">
        <v>678000</v>
      </c>
      <c r="G98" t="n">
        <v>271200</v>
      </c>
      <c r="H98" t="inlineStr">
        <is>
          <t>2026-05-05</t>
        </is>
      </c>
      <c r="I98">
        <f>IF(MONTH(E98)&lt;=6,"Q1","Q2")</f>
        <v/>
      </c>
      <c r="J98">
        <f>YEAR(E98)*100+MONTH(E98)</f>
        <v/>
      </c>
      <c r="K98">
        <f>IF(COUNTIF($A$2:A98,A98)=1,1,0)</f>
        <v/>
      </c>
      <c r="L98">
        <f>IF(K98=1,IF(COUNTIFS($B$2:B98,B98,$I$2:I98,I98,$K$2:K98,1)=1,1,0),0)</f>
        <v/>
      </c>
      <c r="M98">
        <f>IF(Tree!$C$4="once per order",F98*K98,F98)</f>
        <v/>
      </c>
      <c r="N98">
        <f>IF(Tree!$C$4="once per order",K98,1)</f>
        <v/>
      </c>
      <c r="O98">
        <f>IF(Tree!$C$4="once per order",L98,1)</f>
        <v/>
      </c>
    </row>
    <row r="99">
      <c r="A99" t="inlineStr">
        <is>
          <t>KR-00057</t>
        </is>
      </c>
      <c r="B99" t="inlineStr">
        <is>
          <t>C-0296</t>
        </is>
      </c>
      <c r="C99" t="inlineStr">
        <is>
          <t>Business</t>
        </is>
      </c>
      <c r="D99" t="inlineStr">
        <is>
          <t>app</t>
        </is>
      </c>
      <c r="E99" s="7" t="n">
        <v>46191</v>
      </c>
      <c r="F99" t="n">
        <v>247000</v>
      </c>
      <c r="G99" t="n">
        <v>148200</v>
      </c>
      <c r="H99" t="inlineStr">
        <is>
          <t>2026-06-20</t>
        </is>
      </c>
      <c r="I99">
        <f>IF(MONTH(E99)&lt;=6,"Q1","Q2")</f>
        <v/>
      </c>
      <c r="J99">
        <f>YEAR(E99)*100+MONTH(E99)</f>
        <v/>
      </c>
      <c r="K99">
        <f>IF(COUNTIF($A$2:A99,A99)=1,1,0)</f>
        <v/>
      </c>
      <c r="L99">
        <f>IF(K99=1,IF(COUNTIFS($B$2:B99,B99,$I$2:I99,I99,$K$2:K99,1)=1,1,0),0)</f>
        <v/>
      </c>
      <c r="M99">
        <f>IF(Tree!$C$4="once per order",F99*K99,F99)</f>
        <v/>
      </c>
      <c r="N99">
        <f>IF(Tree!$C$4="once per order",K99,1)</f>
        <v/>
      </c>
      <c r="O99">
        <f>IF(Tree!$C$4="once per order",L99,1)</f>
        <v/>
      </c>
    </row>
    <row r="100">
      <c r="A100" t="inlineStr">
        <is>
          <t>KR-00057</t>
        </is>
      </c>
      <c r="B100" t="inlineStr">
        <is>
          <t>C-0296</t>
        </is>
      </c>
      <c r="C100" t="inlineStr">
        <is>
          <t>Business</t>
        </is>
      </c>
      <c r="D100" t="inlineStr">
        <is>
          <t>app</t>
        </is>
      </c>
      <c r="E100" s="7" t="n">
        <v>46191</v>
      </c>
      <c r="F100" t="n">
        <v>247000</v>
      </c>
      <c r="G100" t="n">
        <v>98800</v>
      </c>
      <c r="H100" t="inlineStr">
        <is>
          <t>2026-06-20</t>
        </is>
      </c>
      <c r="I100">
        <f>IF(MONTH(E100)&lt;=6,"Q1","Q2")</f>
        <v/>
      </c>
      <c r="J100">
        <f>YEAR(E100)*100+MONTH(E100)</f>
        <v/>
      </c>
      <c r="K100">
        <f>IF(COUNTIF($A$2:A100,A100)=1,1,0)</f>
        <v/>
      </c>
      <c r="L100">
        <f>IF(K100=1,IF(COUNTIFS($B$2:B100,B100,$I$2:I100,I100,$K$2:K100,1)=1,1,0),0)</f>
        <v/>
      </c>
      <c r="M100">
        <f>IF(Tree!$C$4="once per order",F100*K100,F100)</f>
        <v/>
      </c>
      <c r="N100">
        <f>IF(Tree!$C$4="once per order",K100,1)</f>
        <v/>
      </c>
      <c r="O100">
        <f>IF(Tree!$C$4="once per order",L100,1)</f>
        <v/>
      </c>
    </row>
    <row r="101">
      <c r="A101" t="inlineStr">
        <is>
          <t>KR-00058</t>
        </is>
      </c>
      <c r="B101" t="inlineStr">
        <is>
          <t>C-0282</t>
        </is>
      </c>
      <c r="C101" t="inlineStr">
        <is>
          <t>Business</t>
        </is>
      </c>
      <c r="D101" t="inlineStr">
        <is>
          <t>app</t>
        </is>
      </c>
      <c r="E101" s="7" t="n">
        <v>46118</v>
      </c>
      <c r="F101" t="n">
        <v>522000</v>
      </c>
      <c r="G101" t="n">
        <v>313200</v>
      </c>
      <c r="H101" t="inlineStr">
        <is>
          <t>2026-04-08</t>
        </is>
      </c>
      <c r="I101">
        <f>IF(MONTH(E101)&lt;=6,"Q1","Q2")</f>
        <v/>
      </c>
      <c r="J101">
        <f>YEAR(E101)*100+MONTH(E101)</f>
        <v/>
      </c>
      <c r="K101">
        <f>IF(COUNTIF($A$2:A101,A101)=1,1,0)</f>
        <v/>
      </c>
      <c r="L101">
        <f>IF(K101=1,IF(COUNTIFS($B$2:B101,B101,$I$2:I101,I101,$K$2:K101,1)=1,1,0),0)</f>
        <v/>
      </c>
      <c r="M101">
        <f>IF(Tree!$C$4="once per order",F101*K101,F101)</f>
        <v/>
      </c>
      <c r="N101">
        <f>IF(Tree!$C$4="once per order",K101,1)</f>
        <v/>
      </c>
      <c r="O101">
        <f>IF(Tree!$C$4="once per order",L101,1)</f>
        <v/>
      </c>
    </row>
    <row r="102">
      <c r="A102" t="inlineStr">
        <is>
          <t>KR-00058</t>
        </is>
      </c>
      <c r="B102" t="inlineStr">
        <is>
          <t>C-0282</t>
        </is>
      </c>
      <c r="C102" t="inlineStr">
        <is>
          <t>Business</t>
        </is>
      </c>
      <c r="D102" t="inlineStr">
        <is>
          <t>app</t>
        </is>
      </c>
      <c r="E102" s="7" t="n">
        <v>46118</v>
      </c>
      <c r="F102" t="n">
        <v>522000</v>
      </c>
      <c r="G102" t="n">
        <v>208800</v>
      </c>
      <c r="H102" t="inlineStr">
        <is>
          <t>2026-04-08</t>
        </is>
      </c>
      <c r="I102">
        <f>IF(MONTH(E102)&lt;=6,"Q1","Q2")</f>
        <v/>
      </c>
      <c r="J102">
        <f>YEAR(E102)*100+MONTH(E102)</f>
        <v/>
      </c>
      <c r="K102">
        <f>IF(COUNTIF($A$2:A102,A102)=1,1,0)</f>
        <v/>
      </c>
      <c r="L102">
        <f>IF(K102=1,IF(COUNTIFS($B$2:B102,B102,$I$2:I102,I102,$K$2:K102,1)=1,1,0),0)</f>
        <v/>
      </c>
      <c r="M102">
        <f>IF(Tree!$C$4="once per order",F102*K102,F102)</f>
        <v/>
      </c>
      <c r="N102">
        <f>IF(Tree!$C$4="once per order",K102,1)</f>
        <v/>
      </c>
      <c r="O102">
        <f>IF(Tree!$C$4="once per order",L102,1)</f>
        <v/>
      </c>
    </row>
    <row r="103">
      <c r="A103" t="inlineStr">
        <is>
          <t>KR-00059</t>
        </is>
      </c>
      <c r="B103" t="inlineStr">
        <is>
          <t>C-0280</t>
        </is>
      </c>
      <c r="C103" t="inlineStr">
        <is>
          <t>Business</t>
        </is>
      </c>
      <c r="D103" t="inlineStr">
        <is>
          <t>app</t>
        </is>
      </c>
      <c r="E103" s="7" t="n">
        <v>46153</v>
      </c>
      <c r="F103" t="n">
        <v>1752000</v>
      </c>
      <c r="G103" t="n">
        <v>1051200</v>
      </c>
      <c r="H103" t="inlineStr">
        <is>
          <t>2026-05-13</t>
        </is>
      </c>
      <c r="I103">
        <f>IF(MONTH(E103)&lt;=6,"Q1","Q2")</f>
        <v/>
      </c>
      <c r="J103">
        <f>YEAR(E103)*100+MONTH(E103)</f>
        <v/>
      </c>
      <c r="K103">
        <f>IF(COUNTIF($A$2:A103,A103)=1,1,0)</f>
        <v/>
      </c>
      <c r="L103">
        <f>IF(K103=1,IF(COUNTIFS($B$2:B103,B103,$I$2:I103,I103,$K$2:K103,1)=1,1,0),0)</f>
        <v/>
      </c>
      <c r="M103">
        <f>IF(Tree!$C$4="once per order",F103*K103,F103)</f>
        <v/>
      </c>
      <c r="N103">
        <f>IF(Tree!$C$4="once per order",K103,1)</f>
        <v/>
      </c>
      <c r="O103">
        <f>IF(Tree!$C$4="once per order",L103,1)</f>
        <v/>
      </c>
    </row>
    <row r="104">
      <c r="A104" t="inlineStr">
        <is>
          <t>KR-00059</t>
        </is>
      </c>
      <c r="B104" t="inlineStr">
        <is>
          <t>C-0280</t>
        </is>
      </c>
      <c r="C104" t="inlineStr">
        <is>
          <t>Business</t>
        </is>
      </c>
      <c r="D104" t="inlineStr">
        <is>
          <t>app</t>
        </is>
      </c>
      <c r="E104" s="7" t="n">
        <v>46153</v>
      </c>
      <c r="F104" t="n">
        <v>1752000</v>
      </c>
      <c r="G104" t="n">
        <v>700800</v>
      </c>
      <c r="H104" t="inlineStr">
        <is>
          <t>2026-05-13</t>
        </is>
      </c>
      <c r="I104">
        <f>IF(MONTH(E104)&lt;=6,"Q1","Q2")</f>
        <v/>
      </c>
      <c r="J104">
        <f>YEAR(E104)*100+MONTH(E104)</f>
        <v/>
      </c>
      <c r="K104">
        <f>IF(COUNTIF($A$2:A104,A104)=1,1,0)</f>
        <v/>
      </c>
      <c r="L104">
        <f>IF(K104=1,IF(COUNTIFS($B$2:B104,B104,$I$2:I104,I104,$K$2:K104,1)=1,1,0),0)</f>
        <v/>
      </c>
      <c r="M104">
        <f>IF(Tree!$C$4="once per order",F104*K104,F104)</f>
        <v/>
      </c>
      <c r="N104">
        <f>IF(Tree!$C$4="once per order",K104,1)</f>
        <v/>
      </c>
      <c r="O104">
        <f>IF(Tree!$C$4="once per order",L104,1)</f>
        <v/>
      </c>
    </row>
    <row r="105">
      <c r="A105" t="inlineStr">
        <is>
          <t>KR-00060</t>
        </is>
      </c>
      <c r="B105" t="inlineStr">
        <is>
          <t>C-0307</t>
        </is>
      </c>
      <c r="C105" t="inlineStr">
        <is>
          <t>Business</t>
        </is>
      </c>
      <c r="D105" t="inlineStr">
        <is>
          <t>web</t>
        </is>
      </c>
      <c r="E105" s="7" t="n">
        <v>46178</v>
      </c>
      <c r="F105" t="n">
        <v>291000</v>
      </c>
      <c r="G105" t="n">
        <v>174600</v>
      </c>
      <c r="H105" t="inlineStr">
        <is>
          <t>2026-06-07</t>
        </is>
      </c>
      <c r="I105">
        <f>IF(MONTH(E105)&lt;=6,"Q1","Q2")</f>
        <v/>
      </c>
      <c r="J105">
        <f>YEAR(E105)*100+MONTH(E105)</f>
        <v/>
      </c>
      <c r="K105">
        <f>IF(COUNTIF($A$2:A105,A105)=1,1,0)</f>
        <v/>
      </c>
      <c r="L105">
        <f>IF(K105=1,IF(COUNTIFS($B$2:B105,B105,$I$2:I105,I105,$K$2:K105,1)=1,1,0),0)</f>
        <v/>
      </c>
      <c r="M105">
        <f>IF(Tree!$C$4="once per order",F105*K105,F105)</f>
        <v/>
      </c>
      <c r="N105">
        <f>IF(Tree!$C$4="once per order",K105,1)</f>
        <v/>
      </c>
      <c r="O105">
        <f>IF(Tree!$C$4="once per order",L105,1)</f>
        <v/>
      </c>
    </row>
    <row r="106">
      <c r="A106" t="inlineStr">
        <is>
          <t>KR-00060</t>
        </is>
      </c>
      <c r="B106" t="inlineStr">
        <is>
          <t>C-0307</t>
        </is>
      </c>
      <c r="C106" t="inlineStr">
        <is>
          <t>Business</t>
        </is>
      </c>
      <c r="D106" t="inlineStr">
        <is>
          <t>web</t>
        </is>
      </c>
      <c r="E106" s="7" t="n">
        <v>46178</v>
      </c>
      <c r="F106" t="n">
        <v>291000</v>
      </c>
      <c r="G106" t="n">
        <v>116400</v>
      </c>
      <c r="H106" t="inlineStr">
        <is>
          <t>2026-06-07</t>
        </is>
      </c>
      <c r="I106">
        <f>IF(MONTH(E106)&lt;=6,"Q1","Q2")</f>
        <v/>
      </c>
      <c r="J106">
        <f>YEAR(E106)*100+MONTH(E106)</f>
        <v/>
      </c>
      <c r="K106">
        <f>IF(COUNTIF($A$2:A106,A106)=1,1,0)</f>
        <v/>
      </c>
      <c r="L106">
        <f>IF(K106=1,IF(COUNTIFS($B$2:B106,B106,$I$2:I106,I106,$K$2:K106,1)=1,1,0),0)</f>
        <v/>
      </c>
      <c r="M106">
        <f>IF(Tree!$C$4="once per order",F106*K106,F106)</f>
        <v/>
      </c>
      <c r="N106">
        <f>IF(Tree!$C$4="once per order",K106,1)</f>
        <v/>
      </c>
      <c r="O106">
        <f>IF(Tree!$C$4="once per order",L106,1)</f>
        <v/>
      </c>
    </row>
    <row r="107">
      <c r="A107" t="inlineStr">
        <is>
          <t>KR-00061</t>
        </is>
      </c>
      <c r="B107" t="inlineStr">
        <is>
          <t>C-0273</t>
        </is>
      </c>
      <c r="C107" t="inlineStr">
        <is>
          <t>Business</t>
        </is>
      </c>
      <c r="D107" t="inlineStr">
        <is>
          <t>store</t>
        </is>
      </c>
      <c r="E107" s="7" t="n">
        <v>46140</v>
      </c>
      <c r="F107" t="n">
        <v>1090000</v>
      </c>
      <c r="G107" t="n">
        <v>654000</v>
      </c>
      <c r="H107" t="inlineStr">
        <is>
          <t>2026-04-28</t>
        </is>
      </c>
      <c r="I107">
        <f>IF(MONTH(E107)&lt;=6,"Q1","Q2")</f>
        <v/>
      </c>
      <c r="J107">
        <f>YEAR(E107)*100+MONTH(E107)</f>
        <v/>
      </c>
      <c r="K107">
        <f>IF(COUNTIF($A$2:A107,A107)=1,1,0)</f>
        <v/>
      </c>
      <c r="L107">
        <f>IF(K107=1,IF(COUNTIFS($B$2:B107,B107,$I$2:I107,I107,$K$2:K107,1)=1,1,0),0)</f>
        <v/>
      </c>
      <c r="M107">
        <f>IF(Tree!$C$4="once per order",F107*K107,F107)</f>
        <v/>
      </c>
      <c r="N107">
        <f>IF(Tree!$C$4="once per order",K107,1)</f>
        <v/>
      </c>
      <c r="O107">
        <f>IF(Tree!$C$4="once per order",L107,1)</f>
        <v/>
      </c>
    </row>
    <row r="108">
      <c r="A108" t="inlineStr">
        <is>
          <t>KR-00061</t>
        </is>
      </c>
      <c r="B108" t="inlineStr">
        <is>
          <t>C-0273</t>
        </is>
      </c>
      <c r="C108" t="inlineStr">
        <is>
          <t>Business</t>
        </is>
      </c>
      <c r="D108" t="inlineStr">
        <is>
          <t>store</t>
        </is>
      </c>
      <c r="E108" s="7" t="n">
        <v>46140</v>
      </c>
      <c r="F108" t="n">
        <v>1090000</v>
      </c>
      <c r="G108" t="n">
        <v>436000</v>
      </c>
      <c r="H108" t="inlineStr">
        <is>
          <t>2026-04-28</t>
        </is>
      </c>
      <c r="I108">
        <f>IF(MONTH(E108)&lt;=6,"Q1","Q2")</f>
        <v/>
      </c>
      <c r="J108">
        <f>YEAR(E108)*100+MONTH(E108)</f>
        <v/>
      </c>
      <c r="K108">
        <f>IF(COUNTIF($A$2:A108,A108)=1,1,0)</f>
        <v/>
      </c>
      <c r="L108">
        <f>IF(K108=1,IF(COUNTIFS($B$2:B108,B108,$I$2:I108,I108,$K$2:K108,1)=1,1,0),0)</f>
        <v/>
      </c>
      <c r="M108">
        <f>IF(Tree!$C$4="once per order",F108*K108,F108)</f>
        <v/>
      </c>
      <c r="N108">
        <f>IF(Tree!$C$4="once per order",K108,1)</f>
        <v/>
      </c>
      <c r="O108">
        <f>IF(Tree!$C$4="once per order",L108,1)</f>
        <v/>
      </c>
    </row>
    <row r="109">
      <c r="A109" t="inlineStr">
        <is>
          <t>KR-00062</t>
        </is>
      </c>
      <c r="B109" t="inlineStr">
        <is>
          <t>C-0285</t>
        </is>
      </c>
      <c r="C109" t="inlineStr">
        <is>
          <t>Business</t>
        </is>
      </c>
      <c r="D109" t="inlineStr">
        <is>
          <t>app</t>
        </is>
      </c>
      <c r="E109" s="7" t="n">
        <v>46149</v>
      </c>
      <c r="F109" t="n">
        <v>940000</v>
      </c>
      <c r="G109" t="n">
        <v>564000</v>
      </c>
      <c r="H109" t="inlineStr">
        <is>
          <t>2026-05-09</t>
        </is>
      </c>
      <c r="I109">
        <f>IF(MONTH(E109)&lt;=6,"Q1","Q2")</f>
        <v/>
      </c>
      <c r="J109">
        <f>YEAR(E109)*100+MONTH(E109)</f>
        <v/>
      </c>
      <c r="K109">
        <f>IF(COUNTIF($A$2:A109,A109)=1,1,0)</f>
        <v/>
      </c>
      <c r="L109">
        <f>IF(K109=1,IF(COUNTIFS($B$2:B109,B109,$I$2:I109,I109,$K$2:K109,1)=1,1,0),0)</f>
        <v/>
      </c>
      <c r="M109">
        <f>IF(Tree!$C$4="once per order",F109*K109,F109)</f>
        <v/>
      </c>
      <c r="N109">
        <f>IF(Tree!$C$4="once per order",K109,1)</f>
        <v/>
      </c>
      <c r="O109">
        <f>IF(Tree!$C$4="once per order",L109,1)</f>
        <v/>
      </c>
    </row>
    <row r="110">
      <c r="A110" t="inlineStr">
        <is>
          <t>KR-00062</t>
        </is>
      </c>
      <c r="B110" t="inlineStr">
        <is>
          <t>C-0285</t>
        </is>
      </c>
      <c r="C110" t="inlineStr">
        <is>
          <t>Business</t>
        </is>
      </c>
      <c r="D110" t="inlineStr">
        <is>
          <t>app</t>
        </is>
      </c>
      <c r="E110" s="7" t="n">
        <v>46149</v>
      </c>
      <c r="F110" t="n">
        <v>940000</v>
      </c>
      <c r="G110" t="n">
        <v>376000</v>
      </c>
      <c r="H110" t="inlineStr">
        <is>
          <t>2026-05-09</t>
        </is>
      </c>
      <c r="I110">
        <f>IF(MONTH(E110)&lt;=6,"Q1","Q2")</f>
        <v/>
      </c>
      <c r="J110">
        <f>YEAR(E110)*100+MONTH(E110)</f>
        <v/>
      </c>
      <c r="K110">
        <f>IF(COUNTIF($A$2:A110,A110)=1,1,0)</f>
        <v/>
      </c>
      <c r="L110">
        <f>IF(K110=1,IF(COUNTIFS($B$2:B110,B110,$I$2:I110,I110,$K$2:K110,1)=1,1,0),0)</f>
        <v/>
      </c>
      <c r="M110">
        <f>IF(Tree!$C$4="once per order",F110*K110,F110)</f>
        <v/>
      </c>
      <c r="N110">
        <f>IF(Tree!$C$4="once per order",K110,1)</f>
        <v/>
      </c>
      <c r="O110">
        <f>IF(Tree!$C$4="once per order",L110,1)</f>
        <v/>
      </c>
    </row>
    <row r="111">
      <c r="A111" t="inlineStr">
        <is>
          <t>KR-00063</t>
        </is>
      </c>
      <c r="B111" t="inlineStr">
        <is>
          <t>C-0290</t>
        </is>
      </c>
      <c r="C111" t="inlineStr">
        <is>
          <t>Business</t>
        </is>
      </c>
      <c r="D111" t="inlineStr">
        <is>
          <t>web</t>
        </is>
      </c>
      <c r="E111" s="7" t="n">
        <v>46189</v>
      </c>
      <c r="F111" t="n">
        <v>262000</v>
      </c>
      <c r="G111" t="n">
        <v>157200</v>
      </c>
      <c r="H111" t="inlineStr">
        <is>
          <t>2026-06-18</t>
        </is>
      </c>
      <c r="I111">
        <f>IF(MONTH(E111)&lt;=6,"Q1","Q2")</f>
        <v/>
      </c>
      <c r="J111">
        <f>YEAR(E111)*100+MONTH(E111)</f>
        <v/>
      </c>
      <c r="K111">
        <f>IF(COUNTIF($A$2:A111,A111)=1,1,0)</f>
        <v/>
      </c>
      <c r="L111">
        <f>IF(K111=1,IF(COUNTIFS($B$2:B111,B111,$I$2:I111,I111,$K$2:K111,1)=1,1,0),0)</f>
        <v/>
      </c>
      <c r="M111">
        <f>IF(Tree!$C$4="once per order",F111*K111,F111)</f>
        <v/>
      </c>
      <c r="N111">
        <f>IF(Tree!$C$4="once per order",K111,1)</f>
        <v/>
      </c>
      <c r="O111">
        <f>IF(Tree!$C$4="once per order",L111,1)</f>
        <v/>
      </c>
    </row>
    <row r="112">
      <c r="A112" t="inlineStr">
        <is>
          <t>KR-00063</t>
        </is>
      </c>
      <c r="B112" t="inlineStr">
        <is>
          <t>C-0290</t>
        </is>
      </c>
      <c r="C112" t="inlineStr">
        <is>
          <t>Business</t>
        </is>
      </c>
      <c r="D112" t="inlineStr">
        <is>
          <t>web</t>
        </is>
      </c>
      <c r="E112" s="7" t="n">
        <v>46189</v>
      </c>
      <c r="F112" t="n">
        <v>262000</v>
      </c>
      <c r="G112" t="n">
        <v>104800</v>
      </c>
      <c r="H112" t="inlineStr">
        <is>
          <t>2026-06-18</t>
        </is>
      </c>
      <c r="I112">
        <f>IF(MONTH(E112)&lt;=6,"Q1","Q2")</f>
        <v/>
      </c>
      <c r="J112">
        <f>YEAR(E112)*100+MONTH(E112)</f>
        <v/>
      </c>
      <c r="K112">
        <f>IF(COUNTIF($A$2:A112,A112)=1,1,0)</f>
        <v/>
      </c>
      <c r="L112">
        <f>IF(K112=1,IF(COUNTIFS($B$2:B112,B112,$I$2:I112,I112,$K$2:K112,1)=1,1,0),0)</f>
        <v/>
      </c>
      <c r="M112">
        <f>IF(Tree!$C$4="once per order",F112*K112,F112)</f>
        <v/>
      </c>
      <c r="N112">
        <f>IF(Tree!$C$4="once per order",K112,1)</f>
        <v/>
      </c>
      <c r="O112">
        <f>IF(Tree!$C$4="once per order",L112,1)</f>
        <v/>
      </c>
    </row>
    <row r="113">
      <c r="A113" t="inlineStr">
        <is>
          <t>KR-00064</t>
        </is>
      </c>
      <c r="B113" t="inlineStr">
        <is>
          <t>C-0290</t>
        </is>
      </c>
      <c r="C113" t="inlineStr">
        <is>
          <t>Business</t>
        </is>
      </c>
      <c r="D113" t="inlineStr">
        <is>
          <t>store</t>
        </is>
      </c>
      <c r="E113" s="7" t="n">
        <v>46117</v>
      </c>
      <c r="F113" t="n">
        <v>624000</v>
      </c>
      <c r="G113" t="n">
        <v>374400</v>
      </c>
      <c r="H113" t="inlineStr">
        <is>
          <t>2026-04-07</t>
        </is>
      </c>
      <c r="I113">
        <f>IF(MONTH(E113)&lt;=6,"Q1","Q2")</f>
        <v/>
      </c>
      <c r="J113">
        <f>YEAR(E113)*100+MONTH(E113)</f>
        <v/>
      </c>
      <c r="K113">
        <f>IF(COUNTIF($A$2:A113,A113)=1,1,0)</f>
        <v/>
      </c>
      <c r="L113">
        <f>IF(K113=1,IF(COUNTIFS($B$2:B113,B113,$I$2:I113,I113,$K$2:K113,1)=1,1,0),0)</f>
        <v/>
      </c>
      <c r="M113">
        <f>IF(Tree!$C$4="once per order",F113*K113,F113)</f>
        <v/>
      </c>
      <c r="N113">
        <f>IF(Tree!$C$4="once per order",K113,1)</f>
        <v/>
      </c>
      <c r="O113">
        <f>IF(Tree!$C$4="once per order",L113,1)</f>
        <v/>
      </c>
    </row>
    <row r="114">
      <c r="A114" t="inlineStr">
        <is>
          <t>KR-00064</t>
        </is>
      </c>
      <c r="B114" t="inlineStr">
        <is>
          <t>C-0290</t>
        </is>
      </c>
      <c r="C114" t="inlineStr">
        <is>
          <t>Business</t>
        </is>
      </c>
      <c r="D114" t="inlineStr">
        <is>
          <t>store</t>
        </is>
      </c>
      <c r="E114" s="7" t="n">
        <v>46117</v>
      </c>
      <c r="F114" t="n">
        <v>624000</v>
      </c>
      <c r="G114" t="n">
        <v>249600</v>
      </c>
      <c r="H114" t="inlineStr">
        <is>
          <t>2026-04-07</t>
        </is>
      </c>
      <c r="I114">
        <f>IF(MONTH(E114)&lt;=6,"Q1","Q2")</f>
        <v/>
      </c>
      <c r="J114">
        <f>YEAR(E114)*100+MONTH(E114)</f>
        <v/>
      </c>
      <c r="K114">
        <f>IF(COUNTIF($A$2:A114,A114)=1,1,0)</f>
        <v/>
      </c>
      <c r="L114">
        <f>IF(K114=1,IF(COUNTIFS($B$2:B114,B114,$I$2:I114,I114,$K$2:K114,1)=1,1,0),0)</f>
        <v/>
      </c>
      <c r="M114">
        <f>IF(Tree!$C$4="once per order",F114*K114,F114)</f>
        <v/>
      </c>
      <c r="N114">
        <f>IF(Tree!$C$4="once per order",K114,1)</f>
        <v/>
      </c>
      <c r="O114">
        <f>IF(Tree!$C$4="once per order",L114,1)</f>
        <v/>
      </c>
    </row>
    <row r="115">
      <c r="A115" t="inlineStr">
        <is>
          <t>KR-00065</t>
        </is>
      </c>
      <c r="B115" t="inlineStr">
        <is>
          <t>C-0280</t>
        </is>
      </c>
      <c r="C115" t="inlineStr">
        <is>
          <t>Business</t>
        </is>
      </c>
      <c r="D115" t="inlineStr">
        <is>
          <t>app</t>
        </is>
      </c>
      <c r="E115" s="7" t="n">
        <v>46164</v>
      </c>
      <c r="F115" t="n">
        <v>689000</v>
      </c>
      <c r="G115" t="n">
        <v>413400</v>
      </c>
      <c r="H115" t="inlineStr">
        <is>
          <t>2026-05-24</t>
        </is>
      </c>
      <c r="I115">
        <f>IF(MONTH(E115)&lt;=6,"Q1","Q2")</f>
        <v/>
      </c>
      <c r="J115">
        <f>YEAR(E115)*100+MONTH(E115)</f>
        <v/>
      </c>
      <c r="K115">
        <f>IF(COUNTIF($A$2:A115,A115)=1,1,0)</f>
        <v/>
      </c>
      <c r="L115">
        <f>IF(K115=1,IF(COUNTIFS($B$2:B115,B115,$I$2:I115,I115,$K$2:K115,1)=1,1,0),0)</f>
        <v/>
      </c>
      <c r="M115">
        <f>IF(Tree!$C$4="once per order",F115*K115,F115)</f>
        <v/>
      </c>
      <c r="N115">
        <f>IF(Tree!$C$4="once per order",K115,1)</f>
        <v/>
      </c>
      <c r="O115">
        <f>IF(Tree!$C$4="once per order",L115,1)</f>
        <v/>
      </c>
    </row>
    <row r="116">
      <c r="A116" t="inlineStr">
        <is>
          <t>KR-00065</t>
        </is>
      </c>
      <c r="B116" t="inlineStr">
        <is>
          <t>C-0280</t>
        </is>
      </c>
      <c r="C116" t="inlineStr">
        <is>
          <t>Business</t>
        </is>
      </c>
      <c r="D116" t="inlineStr">
        <is>
          <t>app</t>
        </is>
      </c>
      <c r="E116" s="7" t="n">
        <v>46164</v>
      </c>
      <c r="F116" t="n">
        <v>689000</v>
      </c>
      <c r="G116" t="n">
        <v>275600</v>
      </c>
      <c r="H116" t="inlineStr">
        <is>
          <t>2026-05-24</t>
        </is>
      </c>
      <c r="I116">
        <f>IF(MONTH(E116)&lt;=6,"Q1","Q2")</f>
        <v/>
      </c>
      <c r="J116">
        <f>YEAR(E116)*100+MONTH(E116)</f>
        <v/>
      </c>
      <c r="K116">
        <f>IF(COUNTIF($A$2:A116,A116)=1,1,0)</f>
        <v/>
      </c>
      <c r="L116">
        <f>IF(K116=1,IF(COUNTIFS($B$2:B116,B116,$I$2:I116,I116,$K$2:K116,1)=1,1,0),0)</f>
        <v/>
      </c>
      <c r="M116">
        <f>IF(Tree!$C$4="once per order",F116*K116,F116)</f>
        <v/>
      </c>
      <c r="N116">
        <f>IF(Tree!$C$4="once per order",K116,1)</f>
        <v/>
      </c>
      <c r="O116">
        <f>IF(Tree!$C$4="once per order",L116,1)</f>
        <v/>
      </c>
    </row>
    <row r="117">
      <c r="A117" t="inlineStr">
        <is>
          <t>KR-00066</t>
        </is>
      </c>
      <c r="B117" t="inlineStr">
        <is>
          <t>C-0295</t>
        </is>
      </c>
      <c r="C117" t="inlineStr">
        <is>
          <t>Business</t>
        </is>
      </c>
      <c r="D117" t="inlineStr">
        <is>
          <t>store</t>
        </is>
      </c>
      <c r="E117" s="7" t="n">
        <v>46179</v>
      </c>
      <c r="F117" t="n">
        <v>255000</v>
      </c>
      <c r="G117" t="n">
        <v>153000</v>
      </c>
      <c r="H117" t="inlineStr">
        <is>
          <t>2026-06-08</t>
        </is>
      </c>
      <c r="I117">
        <f>IF(MONTH(E117)&lt;=6,"Q1","Q2")</f>
        <v/>
      </c>
      <c r="J117">
        <f>YEAR(E117)*100+MONTH(E117)</f>
        <v/>
      </c>
      <c r="K117">
        <f>IF(COUNTIF($A$2:A117,A117)=1,1,0)</f>
        <v/>
      </c>
      <c r="L117">
        <f>IF(K117=1,IF(COUNTIFS($B$2:B117,B117,$I$2:I117,I117,$K$2:K117,1)=1,1,0),0)</f>
        <v/>
      </c>
      <c r="M117">
        <f>IF(Tree!$C$4="once per order",F117*K117,F117)</f>
        <v/>
      </c>
      <c r="N117">
        <f>IF(Tree!$C$4="once per order",K117,1)</f>
        <v/>
      </c>
      <c r="O117">
        <f>IF(Tree!$C$4="once per order",L117,1)</f>
        <v/>
      </c>
    </row>
    <row r="118">
      <c r="A118" t="inlineStr">
        <is>
          <t>KR-00066</t>
        </is>
      </c>
      <c r="B118" t="inlineStr">
        <is>
          <t>C-0295</t>
        </is>
      </c>
      <c r="C118" t="inlineStr">
        <is>
          <t>Business</t>
        </is>
      </c>
      <c r="D118" t="inlineStr">
        <is>
          <t>store</t>
        </is>
      </c>
      <c r="E118" s="7" t="n">
        <v>46179</v>
      </c>
      <c r="F118" t="n">
        <v>255000</v>
      </c>
      <c r="G118" t="n">
        <v>102000</v>
      </c>
      <c r="H118" t="inlineStr">
        <is>
          <t>2026-06-08</t>
        </is>
      </c>
      <c r="I118">
        <f>IF(MONTH(E118)&lt;=6,"Q1","Q2")</f>
        <v/>
      </c>
      <c r="J118">
        <f>YEAR(E118)*100+MONTH(E118)</f>
        <v/>
      </c>
      <c r="K118">
        <f>IF(COUNTIF($A$2:A118,A118)=1,1,0)</f>
        <v/>
      </c>
      <c r="L118">
        <f>IF(K118=1,IF(COUNTIFS($B$2:B118,B118,$I$2:I118,I118,$K$2:K118,1)=1,1,0),0)</f>
        <v/>
      </c>
      <c r="M118">
        <f>IF(Tree!$C$4="once per order",F118*K118,F118)</f>
        <v/>
      </c>
      <c r="N118">
        <f>IF(Tree!$C$4="once per order",K118,1)</f>
        <v/>
      </c>
      <c r="O118">
        <f>IF(Tree!$C$4="once per order",L118,1)</f>
        <v/>
      </c>
    </row>
    <row r="119">
      <c r="A119" t="inlineStr">
        <is>
          <t>KR-00067</t>
        </is>
      </c>
      <c r="B119" t="inlineStr">
        <is>
          <t>C-0274</t>
        </is>
      </c>
      <c r="C119" t="inlineStr">
        <is>
          <t>Business</t>
        </is>
      </c>
      <c r="D119" t="inlineStr">
        <is>
          <t>store</t>
        </is>
      </c>
      <c r="E119" s="7" t="n">
        <v>46121</v>
      </c>
      <c r="F119" t="n">
        <v>436000</v>
      </c>
      <c r="G119" t="n">
        <v>261600</v>
      </c>
      <c r="H119" t="inlineStr">
        <is>
          <t>2026-04-11</t>
        </is>
      </c>
      <c r="I119">
        <f>IF(MONTH(E119)&lt;=6,"Q1","Q2")</f>
        <v/>
      </c>
      <c r="J119">
        <f>YEAR(E119)*100+MONTH(E119)</f>
        <v/>
      </c>
      <c r="K119">
        <f>IF(COUNTIF($A$2:A119,A119)=1,1,0)</f>
        <v/>
      </c>
      <c r="L119">
        <f>IF(K119=1,IF(COUNTIFS($B$2:B119,B119,$I$2:I119,I119,$K$2:K119,1)=1,1,0),0)</f>
        <v/>
      </c>
      <c r="M119">
        <f>IF(Tree!$C$4="once per order",F119*K119,F119)</f>
        <v/>
      </c>
      <c r="N119">
        <f>IF(Tree!$C$4="once per order",K119,1)</f>
        <v/>
      </c>
      <c r="O119">
        <f>IF(Tree!$C$4="once per order",L119,1)</f>
        <v/>
      </c>
    </row>
    <row r="120">
      <c r="A120" t="inlineStr">
        <is>
          <t>KR-00067</t>
        </is>
      </c>
      <c r="B120" t="inlineStr">
        <is>
          <t>C-0274</t>
        </is>
      </c>
      <c r="C120" t="inlineStr">
        <is>
          <t>Business</t>
        </is>
      </c>
      <c r="D120" t="inlineStr">
        <is>
          <t>store</t>
        </is>
      </c>
      <c r="E120" s="7" t="n">
        <v>46121</v>
      </c>
      <c r="F120" t="n">
        <v>436000</v>
      </c>
      <c r="G120" t="n">
        <v>174400</v>
      </c>
      <c r="H120" t="inlineStr">
        <is>
          <t>2026-04-11</t>
        </is>
      </c>
      <c r="I120">
        <f>IF(MONTH(E120)&lt;=6,"Q1","Q2")</f>
        <v/>
      </c>
      <c r="J120">
        <f>YEAR(E120)*100+MONTH(E120)</f>
        <v/>
      </c>
      <c r="K120">
        <f>IF(COUNTIF($A$2:A120,A120)=1,1,0)</f>
        <v/>
      </c>
      <c r="L120">
        <f>IF(K120=1,IF(COUNTIFS($B$2:B120,B120,$I$2:I120,I120,$K$2:K120,1)=1,1,0),0)</f>
        <v/>
      </c>
      <c r="M120">
        <f>IF(Tree!$C$4="once per order",F120*K120,F120)</f>
        <v/>
      </c>
      <c r="N120">
        <f>IF(Tree!$C$4="once per order",K120,1)</f>
        <v/>
      </c>
      <c r="O120">
        <f>IF(Tree!$C$4="once per order",L120,1)</f>
        <v/>
      </c>
    </row>
    <row r="121">
      <c r="A121" t="inlineStr">
        <is>
          <t>KR-00068</t>
        </is>
      </c>
      <c r="B121" t="inlineStr">
        <is>
          <t>C-0273</t>
        </is>
      </c>
      <c r="C121" t="inlineStr">
        <is>
          <t>Business</t>
        </is>
      </c>
      <c r="D121" t="inlineStr">
        <is>
          <t>app</t>
        </is>
      </c>
      <c r="E121" s="7" t="n">
        <v>46162</v>
      </c>
      <c r="F121" t="n">
        <v>644000</v>
      </c>
      <c r="G121" t="n">
        <v>386400</v>
      </c>
      <c r="H121" t="inlineStr">
        <is>
          <t>2026-05-22</t>
        </is>
      </c>
      <c r="I121">
        <f>IF(MONTH(E121)&lt;=6,"Q1","Q2")</f>
        <v/>
      </c>
      <c r="J121">
        <f>YEAR(E121)*100+MONTH(E121)</f>
        <v/>
      </c>
      <c r="K121">
        <f>IF(COUNTIF($A$2:A121,A121)=1,1,0)</f>
        <v/>
      </c>
      <c r="L121">
        <f>IF(K121=1,IF(COUNTIFS($B$2:B121,B121,$I$2:I121,I121,$K$2:K121,1)=1,1,0),0)</f>
        <v/>
      </c>
      <c r="M121">
        <f>IF(Tree!$C$4="once per order",F121*K121,F121)</f>
        <v/>
      </c>
      <c r="N121">
        <f>IF(Tree!$C$4="once per order",K121,1)</f>
        <v/>
      </c>
      <c r="O121">
        <f>IF(Tree!$C$4="once per order",L121,1)</f>
        <v/>
      </c>
    </row>
    <row r="122">
      <c r="A122" t="inlineStr">
        <is>
          <t>KR-00068</t>
        </is>
      </c>
      <c r="B122" t="inlineStr">
        <is>
          <t>C-0273</t>
        </is>
      </c>
      <c r="C122" t="inlineStr">
        <is>
          <t>Business</t>
        </is>
      </c>
      <c r="D122" t="inlineStr">
        <is>
          <t>app</t>
        </is>
      </c>
      <c r="E122" s="7" t="n">
        <v>46162</v>
      </c>
      <c r="F122" t="n">
        <v>644000</v>
      </c>
      <c r="G122" t="n">
        <v>257600</v>
      </c>
      <c r="H122" t="inlineStr">
        <is>
          <t>2026-05-22</t>
        </is>
      </c>
      <c r="I122">
        <f>IF(MONTH(E122)&lt;=6,"Q1","Q2")</f>
        <v/>
      </c>
      <c r="J122">
        <f>YEAR(E122)*100+MONTH(E122)</f>
        <v/>
      </c>
      <c r="K122">
        <f>IF(COUNTIF($A$2:A122,A122)=1,1,0)</f>
        <v/>
      </c>
      <c r="L122">
        <f>IF(K122=1,IF(COUNTIFS($B$2:B122,B122,$I$2:I122,I122,$K$2:K122,1)=1,1,0),0)</f>
        <v/>
      </c>
      <c r="M122">
        <f>IF(Tree!$C$4="once per order",F122*K122,F122)</f>
        <v/>
      </c>
      <c r="N122">
        <f>IF(Tree!$C$4="once per order",K122,1)</f>
        <v/>
      </c>
      <c r="O122">
        <f>IF(Tree!$C$4="once per order",L122,1)</f>
        <v/>
      </c>
    </row>
    <row r="123">
      <c r="A123" t="inlineStr">
        <is>
          <t>KR-00069</t>
        </is>
      </c>
      <c r="B123" t="inlineStr">
        <is>
          <t>C-0302</t>
        </is>
      </c>
      <c r="C123" t="inlineStr">
        <is>
          <t>Business</t>
        </is>
      </c>
      <c r="D123" t="inlineStr">
        <is>
          <t>store</t>
        </is>
      </c>
      <c r="E123" s="7" t="n">
        <v>46185</v>
      </c>
      <c r="F123" t="n">
        <v>1182000</v>
      </c>
      <c r="G123" t="n">
        <v>709200</v>
      </c>
      <c r="H123" t="inlineStr">
        <is>
          <t>2026-06-14</t>
        </is>
      </c>
      <c r="I123">
        <f>IF(MONTH(E123)&lt;=6,"Q1","Q2")</f>
        <v/>
      </c>
      <c r="J123">
        <f>YEAR(E123)*100+MONTH(E123)</f>
        <v/>
      </c>
      <c r="K123">
        <f>IF(COUNTIF($A$2:A123,A123)=1,1,0)</f>
        <v/>
      </c>
      <c r="L123">
        <f>IF(K123=1,IF(COUNTIFS($B$2:B123,B123,$I$2:I123,I123,$K$2:K123,1)=1,1,0),0)</f>
        <v/>
      </c>
      <c r="M123">
        <f>IF(Tree!$C$4="once per order",F123*K123,F123)</f>
        <v/>
      </c>
      <c r="N123">
        <f>IF(Tree!$C$4="once per order",K123,1)</f>
        <v/>
      </c>
      <c r="O123">
        <f>IF(Tree!$C$4="once per order",L123,1)</f>
        <v/>
      </c>
    </row>
    <row r="124">
      <c r="A124" t="inlineStr">
        <is>
          <t>KR-00069</t>
        </is>
      </c>
      <c r="B124" t="inlineStr">
        <is>
          <t>C-0302</t>
        </is>
      </c>
      <c r="C124" t="inlineStr">
        <is>
          <t>Business</t>
        </is>
      </c>
      <c r="D124" t="inlineStr">
        <is>
          <t>store</t>
        </is>
      </c>
      <c r="E124" s="7" t="n">
        <v>46185</v>
      </c>
      <c r="F124" t="n">
        <v>1182000</v>
      </c>
      <c r="G124" t="n">
        <v>472800</v>
      </c>
      <c r="H124" t="inlineStr">
        <is>
          <t>2026-06-14</t>
        </is>
      </c>
      <c r="I124">
        <f>IF(MONTH(E124)&lt;=6,"Q1","Q2")</f>
        <v/>
      </c>
      <c r="J124">
        <f>YEAR(E124)*100+MONTH(E124)</f>
        <v/>
      </c>
      <c r="K124">
        <f>IF(COUNTIF($A$2:A124,A124)=1,1,0)</f>
        <v/>
      </c>
      <c r="L124">
        <f>IF(K124=1,IF(COUNTIFS($B$2:B124,B124,$I$2:I124,I124,$K$2:K124,1)=1,1,0),0)</f>
        <v/>
      </c>
      <c r="M124">
        <f>IF(Tree!$C$4="once per order",F124*K124,F124)</f>
        <v/>
      </c>
      <c r="N124">
        <f>IF(Tree!$C$4="once per order",K124,1)</f>
        <v/>
      </c>
      <c r="O124">
        <f>IF(Tree!$C$4="once per order",L124,1)</f>
        <v/>
      </c>
    </row>
    <row r="125">
      <c r="A125" t="inlineStr">
        <is>
          <t>KR-00070</t>
        </is>
      </c>
      <c r="B125" t="inlineStr">
        <is>
          <t>C-0307</t>
        </is>
      </c>
      <c r="C125" t="inlineStr">
        <is>
          <t>Business</t>
        </is>
      </c>
      <c r="D125" t="inlineStr">
        <is>
          <t>store</t>
        </is>
      </c>
      <c r="E125" s="7" t="n">
        <v>46126</v>
      </c>
      <c r="F125" t="n">
        <v>209000</v>
      </c>
      <c r="G125" t="n">
        <v>125400</v>
      </c>
      <c r="H125" t="inlineStr">
        <is>
          <t>2026-04-16</t>
        </is>
      </c>
      <c r="I125">
        <f>IF(MONTH(E125)&lt;=6,"Q1","Q2")</f>
        <v/>
      </c>
      <c r="J125">
        <f>YEAR(E125)*100+MONTH(E125)</f>
        <v/>
      </c>
      <c r="K125">
        <f>IF(COUNTIF($A$2:A125,A125)=1,1,0)</f>
        <v/>
      </c>
      <c r="L125">
        <f>IF(K125=1,IF(COUNTIFS($B$2:B125,B125,$I$2:I125,I125,$K$2:K125,1)=1,1,0),0)</f>
        <v/>
      </c>
      <c r="M125">
        <f>IF(Tree!$C$4="once per order",F125*K125,F125)</f>
        <v/>
      </c>
      <c r="N125">
        <f>IF(Tree!$C$4="once per order",K125,1)</f>
        <v/>
      </c>
      <c r="O125">
        <f>IF(Tree!$C$4="once per order",L125,1)</f>
        <v/>
      </c>
    </row>
    <row r="126">
      <c r="A126" t="inlineStr">
        <is>
          <t>KR-00070</t>
        </is>
      </c>
      <c r="B126" t="inlineStr">
        <is>
          <t>C-0307</t>
        </is>
      </c>
      <c r="C126" t="inlineStr">
        <is>
          <t>Business</t>
        </is>
      </c>
      <c r="D126" t="inlineStr">
        <is>
          <t>store</t>
        </is>
      </c>
      <c r="E126" s="7" t="n">
        <v>46126</v>
      </c>
      <c r="F126" t="n">
        <v>209000</v>
      </c>
      <c r="G126" t="n">
        <v>83600</v>
      </c>
      <c r="H126" t="inlineStr">
        <is>
          <t>2026-04-16</t>
        </is>
      </c>
      <c r="I126">
        <f>IF(MONTH(E126)&lt;=6,"Q1","Q2")</f>
        <v/>
      </c>
      <c r="J126">
        <f>YEAR(E126)*100+MONTH(E126)</f>
        <v/>
      </c>
      <c r="K126">
        <f>IF(COUNTIF($A$2:A126,A126)=1,1,0)</f>
        <v/>
      </c>
      <c r="L126">
        <f>IF(K126=1,IF(COUNTIFS($B$2:B126,B126,$I$2:I126,I126,$K$2:K126,1)=1,1,0),0)</f>
        <v/>
      </c>
      <c r="M126">
        <f>IF(Tree!$C$4="once per order",F126*K126,F126)</f>
        <v/>
      </c>
      <c r="N126">
        <f>IF(Tree!$C$4="once per order",K126,1)</f>
        <v/>
      </c>
      <c r="O126">
        <f>IF(Tree!$C$4="once per order",L126,1)</f>
        <v/>
      </c>
    </row>
    <row r="127">
      <c r="A127" t="inlineStr">
        <is>
          <t>KR-00071</t>
        </is>
      </c>
      <c r="B127" t="inlineStr">
        <is>
          <t>C-0275</t>
        </is>
      </c>
      <c r="C127" t="inlineStr">
        <is>
          <t>Business</t>
        </is>
      </c>
      <c r="D127" t="inlineStr">
        <is>
          <t>store</t>
        </is>
      </c>
      <c r="E127" s="7" t="n">
        <v>46165</v>
      </c>
      <c r="F127" t="n">
        <v>1609000</v>
      </c>
      <c r="G127" t="n">
        <v>965400</v>
      </c>
      <c r="H127" t="inlineStr">
        <is>
          <t>2026-05-25</t>
        </is>
      </c>
      <c r="I127">
        <f>IF(MONTH(E127)&lt;=6,"Q1","Q2")</f>
        <v/>
      </c>
      <c r="J127">
        <f>YEAR(E127)*100+MONTH(E127)</f>
        <v/>
      </c>
      <c r="K127">
        <f>IF(COUNTIF($A$2:A127,A127)=1,1,0)</f>
        <v/>
      </c>
      <c r="L127">
        <f>IF(K127=1,IF(COUNTIFS($B$2:B127,B127,$I$2:I127,I127,$K$2:K127,1)=1,1,0),0)</f>
        <v/>
      </c>
      <c r="M127">
        <f>IF(Tree!$C$4="once per order",F127*K127,F127)</f>
        <v/>
      </c>
      <c r="N127">
        <f>IF(Tree!$C$4="once per order",K127,1)</f>
        <v/>
      </c>
      <c r="O127">
        <f>IF(Tree!$C$4="once per order",L127,1)</f>
        <v/>
      </c>
    </row>
    <row r="128">
      <c r="A128" t="inlineStr">
        <is>
          <t>KR-00071</t>
        </is>
      </c>
      <c r="B128" t="inlineStr">
        <is>
          <t>C-0275</t>
        </is>
      </c>
      <c r="C128" t="inlineStr">
        <is>
          <t>Business</t>
        </is>
      </c>
      <c r="D128" t="inlineStr">
        <is>
          <t>store</t>
        </is>
      </c>
      <c r="E128" s="7" t="n">
        <v>46165</v>
      </c>
      <c r="F128" t="n">
        <v>1609000</v>
      </c>
      <c r="G128" t="n">
        <v>643600</v>
      </c>
      <c r="H128" t="inlineStr">
        <is>
          <t>2026-05-25</t>
        </is>
      </c>
      <c r="I128">
        <f>IF(MONTH(E128)&lt;=6,"Q1","Q2")</f>
        <v/>
      </c>
      <c r="J128">
        <f>YEAR(E128)*100+MONTH(E128)</f>
        <v/>
      </c>
      <c r="K128">
        <f>IF(COUNTIF($A$2:A128,A128)=1,1,0)</f>
        <v/>
      </c>
      <c r="L128">
        <f>IF(K128=1,IF(COUNTIFS($B$2:B128,B128,$I$2:I128,I128,$K$2:K128,1)=1,1,0),0)</f>
        <v/>
      </c>
      <c r="M128">
        <f>IF(Tree!$C$4="once per order",F128*K128,F128)</f>
        <v/>
      </c>
      <c r="N128">
        <f>IF(Tree!$C$4="once per order",K128,1)</f>
        <v/>
      </c>
      <c r="O128">
        <f>IF(Tree!$C$4="once per order",L128,1)</f>
        <v/>
      </c>
    </row>
    <row r="129">
      <c r="A129" t="inlineStr">
        <is>
          <t>KR-00072</t>
        </is>
      </c>
      <c r="B129" t="inlineStr">
        <is>
          <t>C-0283</t>
        </is>
      </c>
      <c r="C129" t="inlineStr">
        <is>
          <t>Business</t>
        </is>
      </c>
      <c r="D129" t="inlineStr">
        <is>
          <t>web</t>
        </is>
      </c>
      <c r="E129" s="7" t="n">
        <v>46186</v>
      </c>
      <c r="F129" t="n">
        <v>1408000</v>
      </c>
      <c r="G129" t="n">
        <v>844800</v>
      </c>
      <c r="H129" t="inlineStr">
        <is>
          <t>2026-06-15</t>
        </is>
      </c>
      <c r="I129">
        <f>IF(MONTH(E129)&lt;=6,"Q1","Q2")</f>
        <v/>
      </c>
      <c r="J129">
        <f>YEAR(E129)*100+MONTH(E129)</f>
        <v/>
      </c>
      <c r="K129">
        <f>IF(COUNTIF($A$2:A129,A129)=1,1,0)</f>
        <v/>
      </c>
      <c r="L129">
        <f>IF(K129=1,IF(COUNTIFS($B$2:B129,B129,$I$2:I129,I129,$K$2:K129,1)=1,1,0),0)</f>
        <v/>
      </c>
      <c r="M129">
        <f>IF(Tree!$C$4="once per order",F129*K129,F129)</f>
        <v/>
      </c>
      <c r="N129">
        <f>IF(Tree!$C$4="once per order",K129,1)</f>
        <v/>
      </c>
      <c r="O129">
        <f>IF(Tree!$C$4="once per order",L129,1)</f>
        <v/>
      </c>
    </row>
    <row r="130">
      <c r="A130" t="inlineStr">
        <is>
          <t>KR-00072</t>
        </is>
      </c>
      <c r="B130" t="inlineStr">
        <is>
          <t>C-0283</t>
        </is>
      </c>
      <c r="C130" t="inlineStr">
        <is>
          <t>Business</t>
        </is>
      </c>
      <c r="D130" t="inlineStr">
        <is>
          <t>web</t>
        </is>
      </c>
      <c r="E130" s="7" t="n">
        <v>46186</v>
      </c>
      <c r="F130" t="n">
        <v>1408000</v>
      </c>
      <c r="G130" t="n">
        <v>563200</v>
      </c>
      <c r="H130" t="inlineStr">
        <is>
          <t>2026-06-15</t>
        </is>
      </c>
      <c r="I130">
        <f>IF(MONTH(E130)&lt;=6,"Q1","Q2")</f>
        <v/>
      </c>
      <c r="J130">
        <f>YEAR(E130)*100+MONTH(E130)</f>
        <v/>
      </c>
      <c r="K130">
        <f>IF(COUNTIF($A$2:A130,A130)=1,1,0)</f>
        <v/>
      </c>
      <c r="L130">
        <f>IF(K130=1,IF(COUNTIFS($B$2:B130,B130,$I$2:I130,I130,$K$2:K130,1)=1,1,0),0)</f>
        <v/>
      </c>
      <c r="M130">
        <f>IF(Tree!$C$4="once per order",F130*K130,F130)</f>
        <v/>
      </c>
      <c r="N130">
        <f>IF(Tree!$C$4="once per order",K130,1)</f>
        <v/>
      </c>
      <c r="O130">
        <f>IF(Tree!$C$4="once per order",L130,1)</f>
        <v/>
      </c>
    </row>
    <row r="131">
      <c r="A131" t="inlineStr">
        <is>
          <t>KR-00073</t>
        </is>
      </c>
      <c r="B131" t="inlineStr">
        <is>
          <t>C-0276</t>
        </is>
      </c>
      <c r="C131" t="inlineStr">
        <is>
          <t>Business</t>
        </is>
      </c>
      <c r="D131" t="inlineStr">
        <is>
          <t>web</t>
        </is>
      </c>
      <c r="E131" s="7" t="n">
        <v>46127</v>
      </c>
      <c r="F131" t="n">
        <v>1442000</v>
      </c>
      <c r="G131" t="n">
        <v>865200</v>
      </c>
      <c r="H131" t="inlineStr">
        <is>
          <t>2026-04-17</t>
        </is>
      </c>
      <c r="I131">
        <f>IF(MONTH(E131)&lt;=6,"Q1","Q2")</f>
        <v/>
      </c>
      <c r="J131">
        <f>YEAR(E131)*100+MONTH(E131)</f>
        <v/>
      </c>
      <c r="K131">
        <f>IF(COUNTIF($A$2:A131,A131)=1,1,0)</f>
        <v/>
      </c>
      <c r="L131">
        <f>IF(K131=1,IF(COUNTIFS($B$2:B131,B131,$I$2:I131,I131,$K$2:K131,1)=1,1,0),0)</f>
        <v/>
      </c>
      <c r="M131">
        <f>IF(Tree!$C$4="once per order",F131*K131,F131)</f>
        <v/>
      </c>
      <c r="N131">
        <f>IF(Tree!$C$4="once per order",K131,1)</f>
        <v/>
      </c>
      <c r="O131">
        <f>IF(Tree!$C$4="once per order",L131,1)</f>
        <v/>
      </c>
    </row>
    <row r="132">
      <c r="A132" t="inlineStr">
        <is>
          <t>KR-00073</t>
        </is>
      </c>
      <c r="B132" t="inlineStr">
        <is>
          <t>C-0276</t>
        </is>
      </c>
      <c r="C132" t="inlineStr">
        <is>
          <t>Business</t>
        </is>
      </c>
      <c r="D132" t="inlineStr">
        <is>
          <t>web</t>
        </is>
      </c>
      <c r="E132" s="7" t="n">
        <v>46127</v>
      </c>
      <c r="F132" t="n">
        <v>1442000</v>
      </c>
      <c r="G132" t="n">
        <v>576800</v>
      </c>
      <c r="H132" t="inlineStr">
        <is>
          <t>2026-04-17</t>
        </is>
      </c>
      <c r="I132">
        <f>IF(MONTH(E132)&lt;=6,"Q1","Q2")</f>
        <v/>
      </c>
      <c r="J132">
        <f>YEAR(E132)*100+MONTH(E132)</f>
        <v/>
      </c>
      <c r="K132">
        <f>IF(COUNTIF($A$2:A132,A132)=1,1,0)</f>
        <v/>
      </c>
      <c r="L132">
        <f>IF(K132=1,IF(COUNTIFS($B$2:B132,B132,$I$2:I132,I132,$K$2:K132,1)=1,1,0),0)</f>
        <v/>
      </c>
      <c r="M132">
        <f>IF(Tree!$C$4="once per order",F132*K132,F132)</f>
        <v/>
      </c>
      <c r="N132">
        <f>IF(Tree!$C$4="once per order",K132,1)</f>
        <v/>
      </c>
      <c r="O132">
        <f>IF(Tree!$C$4="once per order",L132,1)</f>
        <v/>
      </c>
    </row>
    <row r="133">
      <c r="A133" t="inlineStr">
        <is>
          <t>KR-00074</t>
        </is>
      </c>
      <c r="B133" t="inlineStr">
        <is>
          <t>C-0281</t>
        </is>
      </c>
      <c r="C133" t="inlineStr">
        <is>
          <t>Business</t>
        </is>
      </c>
      <c r="D133" t="inlineStr">
        <is>
          <t>web</t>
        </is>
      </c>
      <c r="E133" s="7" t="n">
        <v>46155</v>
      </c>
      <c r="F133" t="n">
        <v>1000000</v>
      </c>
      <c r="G133" t="n">
        <v>600000</v>
      </c>
      <c r="H133" t="inlineStr">
        <is>
          <t>2026-05-15</t>
        </is>
      </c>
      <c r="I133">
        <f>IF(MONTH(E133)&lt;=6,"Q1","Q2")</f>
        <v/>
      </c>
      <c r="J133">
        <f>YEAR(E133)*100+MONTH(E133)</f>
        <v/>
      </c>
      <c r="K133">
        <f>IF(COUNTIF($A$2:A133,A133)=1,1,0)</f>
        <v/>
      </c>
      <c r="L133">
        <f>IF(K133=1,IF(COUNTIFS($B$2:B133,B133,$I$2:I133,I133,$K$2:K133,1)=1,1,0),0)</f>
        <v/>
      </c>
      <c r="M133">
        <f>IF(Tree!$C$4="once per order",F133*K133,F133)</f>
        <v/>
      </c>
      <c r="N133">
        <f>IF(Tree!$C$4="once per order",K133,1)</f>
        <v/>
      </c>
      <c r="O133">
        <f>IF(Tree!$C$4="once per order",L133,1)</f>
        <v/>
      </c>
    </row>
    <row r="134">
      <c r="A134" t="inlineStr">
        <is>
          <t>KR-00074</t>
        </is>
      </c>
      <c r="B134" t="inlineStr">
        <is>
          <t>C-0281</t>
        </is>
      </c>
      <c r="C134" t="inlineStr">
        <is>
          <t>Business</t>
        </is>
      </c>
      <c r="D134" t="inlineStr">
        <is>
          <t>web</t>
        </is>
      </c>
      <c r="E134" s="7" t="n">
        <v>46155</v>
      </c>
      <c r="F134" t="n">
        <v>1000000</v>
      </c>
      <c r="G134" t="n">
        <v>400000</v>
      </c>
      <c r="H134" t="inlineStr">
        <is>
          <t>2026-05-15</t>
        </is>
      </c>
      <c r="I134">
        <f>IF(MONTH(E134)&lt;=6,"Q1","Q2")</f>
        <v/>
      </c>
      <c r="J134">
        <f>YEAR(E134)*100+MONTH(E134)</f>
        <v/>
      </c>
      <c r="K134">
        <f>IF(COUNTIF($A$2:A134,A134)=1,1,0)</f>
        <v/>
      </c>
      <c r="L134">
        <f>IF(K134=1,IF(COUNTIFS($B$2:B134,B134,$I$2:I134,I134,$K$2:K134,1)=1,1,0),0)</f>
        <v/>
      </c>
      <c r="M134">
        <f>IF(Tree!$C$4="once per order",F134*K134,F134)</f>
        <v/>
      </c>
      <c r="N134">
        <f>IF(Tree!$C$4="once per order",K134,1)</f>
        <v/>
      </c>
      <c r="O134">
        <f>IF(Tree!$C$4="once per order",L134,1)</f>
        <v/>
      </c>
    </row>
    <row r="135">
      <c r="A135" t="inlineStr">
        <is>
          <t>KR-00075</t>
        </is>
      </c>
      <c r="B135" t="inlineStr">
        <is>
          <t>C-0281</t>
        </is>
      </c>
      <c r="C135" t="inlineStr">
        <is>
          <t>Business</t>
        </is>
      </c>
      <c r="D135" t="inlineStr">
        <is>
          <t>web</t>
        </is>
      </c>
      <c r="E135" s="7" t="n">
        <v>46183</v>
      </c>
      <c r="F135" t="n">
        <v>692000</v>
      </c>
      <c r="G135" t="n">
        <v>415200</v>
      </c>
      <c r="H135" t="inlineStr">
        <is>
          <t>2026-06-12</t>
        </is>
      </c>
      <c r="I135">
        <f>IF(MONTH(E135)&lt;=6,"Q1","Q2")</f>
        <v/>
      </c>
      <c r="J135">
        <f>YEAR(E135)*100+MONTH(E135)</f>
        <v/>
      </c>
      <c r="K135">
        <f>IF(COUNTIF($A$2:A135,A135)=1,1,0)</f>
        <v/>
      </c>
      <c r="L135">
        <f>IF(K135=1,IF(COUNTIFS($B$2:B135,B135,$I$2:I135,I135,$K$2:K135,1)=1,1,0),0)</f>
        <v/>
      </c>
      <c r="M135">
        <f>IF(Tree!$C$4="once per order",F135*K135,F135)</f>
        <v/>
      </c>
      <c r="N135">
        <f>IF(Tree!$C$4="once per order",K135,1)</f>
        <v/>
      </c>
      <c r="O135">
        <f>IF(Tree!$C$4="once per order",L135,1)</f>
        <v/>
      </c>
    </row>
    <row r="136">
      <c r="A136" t="inlineStr">
        <is>
          <t>KR-00075</t>
        </is>
      </c>
      <c r="B136" t="inlineStr">
        <is>
          <t>C-0281</t>
        </is>
      </c>
      <c r="C136" t="inlineStr">
        <is>
          <t>Business</t>
        </is>
      </c>
      <c r="D136" t="inlineStr">
        <is>
          <t>web</t>
        </is>
      </c>
      <c r="E136" s="7" t="n">
        <v>46183</v>
      </c>
      <c r="F136" t="n">
        <v>692000</v>
      </c>
      <c r="G136" t="n">
        <v>276800</v>
      </c>
      <c r="H136" t="inlineStr">
        <is>
          <t>2026-06-12</t>
        </is>
      </c>
      <c r="I136">
        <f>IF(MONTH(E136)&lt;=6,"Q1","Q2")</f>
        <v/>
      </c>
      <c r="J136">
        <f>YEAR(E136)*100+MONTH(E136)</f>
        <v/>
      </c>
      <c r="K136">
        <f>IF(COUNTIF($A$2:A136,A136)=1,1,0)</f>
        <v/>
      </c>
      <c r="L136">
        <f>IF(K136=1,IF(COUNTIFS($B$2:B136,B136,$I$2:I136,I136,$K$2:K136,1)=1,1,0),0)</f>
        <v/>
      </c>
      <c r="M136">
        <f>IF(Tree!$C$4="once per order",F136*K136,F136)</f>
        <v/>
      </c>
      <c r="N136">
        <f>IF(Tree!$C$4="once per order",K136,1)</f>
        <v/>
      </c>
      <c r="O136">
        <f>IF(Tree!$C$4="once per order",L136,1)</f>
        <v/>
      </c>
    </row>
    <row r="137">
      <c r="A137" t="inlineStr">
        <is>
          <t>KR-00076</t>
        </is>
      </c>
      <c r="B137" t="inlineStr">
        <is>
          <t>C-0272</t>
        </is>
      </c>
      <c r="C137" t="inlineStr">
        <is>
          <t>Business</t>
        </is>
      </c>
      <c r="D137" t="inlineStr">
        <is>
          <t>store</t>
        </is>
      </c>
      <c r="E137" s="7" t="n">
        <v>46132</v>
      </c>
      <c r="F137" t="n">
        <v>1149000</v>
      </c>
      <c r="G137" t="n">
        <v>689400</v>
      </c>
      <c r="H137" t="inlineStr">
        <is>
          <t>2026-04-22</t>
        </is>
      </c>
      <c r="I137">
        <f>IF(MONTH(E137)&lt;=6,"Q1","Q2")</f>
        <v/>
      </c>
      <c r="J137">
        <f>YEAR(E137)*100+MONTH(E137)</f>
        <v/>
      </c>
      <c r="K137">
        <f>IF(COUNTIF($A$2:A137,A137)=1,1,0)</f>
        <v/>
      </c>
      <c r="L137">
        <f>IF(K137=1,IF(COUNTIFS($B$2:B137,B137,$I$2:I137,I137,$K$2:K137,1)=1,1,0),0)</f>
        <v/>
      </c>
      <c r="M137">
        <f>IF(Tree!$C$4="once per order",F137*K137,F137)</f>
        <v/>
      </c>
      <c r="N137">
        <f>IF(Tree!$C$4="once per order",K137,1)</f>
        <v/>
      </c>
      <c r="O137">
        <f>IF(Tree!$C$4="once per order",L137,1)</f>
        <v/>
      </c>
    </row>
    <row r="138">
      <c r="A138" t="inlineStr">
        <is>
          <t>KR-00076</t>
        </is>
      </c>
      <c r="B138" t="inlineStr">
        <is>
          <t>C-0272</t>
        </is>
      </c>
      <c r="C138" t="inlineStr">
        <is>
          <t>Business</t>
        </is>
      </c>
      <c r="D138" t="inlineStr">
        <is>
          <t>store</t>
        </is>
      </c>
      <c r="E138" s="7" t="n">
        <v>46132</v>
      </c>
      <c r="F138" t="n">
        <v>1149000</v>
      </c>
      <c r="G138" t="n">
        <v>459600</v>
      </c>
      <c r="H138" t="inlineStr">
        <is>
          <t>2026-04-22</t>
        </is>
      </c>
      <c r="I138">
        <f>IF(MONTH(E138)&lt;=6,"Q1","Q2")</f>
        <v/>
      </c>
      <c r="J138">
        <f>YEAR(E138)*100+MONTH(E138)</f>
        <v/>
      </c>
      <c r="K138">
        <f>IF(COUNTIF($A$2:A138,A138)=1,1,0)</f>
        <v/>
      </c>
      <c r="L138">
        <f>IF(K138=1,IF(COUNTIFS($B$2:B138,B138,$I$2:I138,I138,$K$2:K138,1)=1,1,0),0)</f>
        <v/>
      </c>
      <c r="M138">
        <f>IF(Tree!$C$4="once per order",F138*K138,F138)</f>
        <v/>
      </c>
      <c r="N138">
        <f>IF(Tree!$C$4="once per order",K138,1)</f>
        <v/>
      </c>
      <c r="O138">
        <f>IF(Tree!$C$4="once per order",L138,1)</f>
        <v/>
      </c>
    </row>
    <row r="139">
      <c r="A139" t="inlineStr">
        <is>
          <t>KR-00077</t>
        </is>
      </c>
      <c r="B139" t="inlineStr">
        <is>
          <t>C-0279</t>
        </is>
      </c>
      <c r="C139" t="inlineStr">
        <is>
          <t>Business</t>
        </is>
      </c>
      <c r="D139" t="inlineStr">
        <is>
          <t>app</t>
        </is>
      </c>
      <c r="E139" s="7" t="n">
        <v>46150</v>
      </c>
      <c r="F139" t="n">
        <v>536000</v>
      </c>
      <c r="G139" t="n">
        <v>321600</v>
      </c>
      <c r="H139" t="inlineStr">
        <is>
          <t>2026-05-10</t>
        </is>
      </c>
      <c r="I139">
        <f>IF(MONTH(E139)&lt;=6,"Q1","Q2")</f>
        <v/>
      </c>
      <c r="J139">
        <f>YEAR(E139)*100+MONTH(E139)</f>
        <v/>
      </c>
      <c r="K139">
        <f>IF(COUNTIF($A$2:A139,A139)=1,1,0)</f>
        <v/>
      </c>
      <c r="L139">
        <f>IF(K139=1,IF(COUNTIFS($B$2:B139,B139,$I$2:I139,I139,$K$2:K139,1)=1,1,0),0)</f>
        <v/>
      </c>
      <c r="M139">
        <f>IF(Tree!$C$4="once per order",F139*K139,F139)</f>
        <v/>
      </c>
      <c r="N139">
        <f>IF(Tree!$C$4="once per order",K139,1)</f>
        <v/>
      </c>
      <c r="O139">
        <f>IF(Tree!$C$4="once per order",L139,1)</f>
        <v/>
      </c>
    </row>
    <row r="140">
      <c r="A140" t="inlineStr">
        <is>
          <t>KR-00077</t>
        </is>
      </c>
      <c r="B140" t="inlineStr">
        <is>
          <t>C-0279</t>
        </is>
      </c>
      <c r="C140" t="inlineStr">
        <is>
          <t>Business</t>
        </is>
      </c>
      <c r="D140" t="inlineStr">
        <is>
          <t>app</t>
        </is>
      </c>
      <c r="E140" s="7" t="n">
        <v>46150</v>
      </c>
      <c r="F140" t="n">
        <v>536000</v>
      </c>
      <c r="G140" t="n">
        <v>214400</v>
      </c>
      <c r="H140" t="inlineStr">
        <is>
          <t>2026-05-10</t>
        </is>
      </c>
      <c r="I140">
        <f>IF(MONTH(E140)&lt;=6,"Q1","Q2")</f>
        <v/>
      </c>
      <c r="J140">
        <f>YEAR(E140)*100+MONTH(E140)</f>
        <v/>
      </c>
      <c r="K140">
        <f>IF(COUNTIF($A$2:A140,A140)=1,1,0)</f>
        <v/>
      </c>
      <c r="L140">
        <f>IF(K140=1,IF(COUNTIFS($B$2:B140,B140,$I$2:I140,I140,$K$2:K140,1)=1,1,0),0)</f>
        <v/>
      </c>
      <c r="M140">
        <f>IF(Tree!$C$4="once per order",F140*K140,F140)</f>
        <v/>
      </c>
      <c r="N140">
        <f>IF(Tree!$C$4="once per order",K140,1)</f>
        <v/>
      </c>
      <c r="O140">
        <f>IF(Tree!$C$4="once per order",L140,1)</f>
        <v/>
      </c>
    </row>
    <row r="141">
      <c r="A141" t="inlineStr">
        <is>
          <t>KR-00078</t>
        </is>
      </c>
      <c r="B141" t="inlineStr">
        <is>
          <t>C-0294</t>
        </is>
      </c>
      <c r="C141" t="inlineStr">
        <is>
          <t>Business</t>
        </is>
      </c>
      <c r="D141" t="inlineStr">
        <is>
          <t>web</t>
        </is>
      </c>
      <c r="E141" s="7" t="n">
        <v>46186</v>
      </c>
      <c r="F141" t="n">
        <v>1068000</v>
      </c>
      <c r="G141" t="n">
        <v>640800</v>
      </c>
      <c r="H141" t="inlineStr">
        <is>
          <t>2026-06-15</t>
        </is>
      </c>
      <c r="I141">
        <f>IF(MONTH(E141)&lt;=6,"Q1","Q2")</f>
        <v/>
      </c>
      <c r="J141">
        <f>YEAR(E141)*100+MONTH(E141)</f>
        <v/>
      </c>
      <c r="K141">
        <f>IF(COUNTIF($A$2:A141,A141)=1,1,0)</f>
        <v/>
      </c>
      <c r="L141">
        <f>IF(K141=1,IF(COUNTIFS($B$2:B141,B141,$I$2:I141,I141,$K$2:K141,1)=1,1,0),0)</f>
        <v/>
      </c>
      <c r="M141">
        <f>IF(Tree!$C$4="once per order",F141*K141,F141)</f>
        <v/>
      </c>
      <c r="N141">
        <f>IF(Tree!$C$4="once per order",K141,1)</f>
        <v/>
      </c>
      <c r="O141">
        <f>IF(Tree!$C$4="once per order",L141,1)</f>
        <v/>
      </c>
    </row>
    <row r="142">
      <c r="A142" t="inlineStr">
        <is>
          <t>KR-00078</t>
        </is>
      </c>
      <c r="B142" t="inlineStr">
        <is>
          <t>C-0294</t>
        </is>
      </c>
      <c r="C142" t="inlineStr">
        <is>
          <t>Business</t>
        </is>
      </c>
      <c r="D142" t="inlineStr">
        <is>
          <t>web</t>
        </is>
      </c>
      <c r="E142" s="7" t="n">
        <v>46186</v>
      </c>
      <c r="F142" t="n">
        <v>1068000</v>
      </c>
      <c r="G142" t="n">
        <v>427200</v>
      </c>
      <c r="H142" t="inlineStr">
        <is>
          <t>2026-06-15</t>
        </is>
      </c>
      <c r="I142">
        <f>IF(MONTH(E142)&lt;=6,"Q1","Q2")</f>
        <v/>
      </c>
      <c r="J142">
        <f>YEAR(E142)*100+MONTH(E142)</f>
        <v/>
      </c>
      <c r="K142">
        <f>IF(COUNTIF($A$2:A142,A142)=1,1,0)</f>
        <v/>
      </c>
      <c r="L142">
        <f>IF(K142=1,IF(COUNTIFS($B$2:B142,B142,$I$2:I142,I142,$K$2:K142,1)=1,1,0),0)</f>
        <v/>
      </c>
      <c r="M142">
        <f>IF(Tree!$C$4="once per order",F142*K142,F142)</f>
        <v/>
      </c>
      <c r="N142">
        <f>IF(Tree!$C$4="once per order",K142,1)</f>
        <v/>
      </c>
      <c r="O142">
        <f>IF(Tree!$C$4="once per order",L142,1)</f>
        <v/>
      </c>
    </row>
    <row r="143">
      <c r="A143" t="inlineStr">
        <is>
          <t>KR-00079</t>
        </is>
      </c>
      <c r="B143" t="inlineStr">
        <is>
          <t>C-0277</t>
        </is>
      </c>
      <c r="C143" t="inlineStr">
        <is>
          <t>Business</t>
        </is>
      </c>
      <c r="D143" t="inlineStr">
        <is>
          <t>app</t>
        </is>
      </c>
      <c r="E143" s="7" t="n">
        <v>46120</v>
      </c>
      <c r="F143" t="n">
        <v>983000</v>
      </c>
      <c r="G143" t="n">
        <v>589800</v>
      </c>
      <c r="H143" t="inlineStr">
        <is>
          <t>2026-04-10</t>
        </is>
      </c>
      <c r="I143">
        <f>IF(MONTH(E143)&lt;=6,"Q1","Q2")</f>
        <v/>
      </c>
      <c r="J143">
        <f>YEAR(E143)*100+MONTH(E143)</f>
        <v/>
      </c>
      <c r="K143">
        <f>IF(COUNTIF($A$2:A143,A143)=1,1,0)</f>
        <v/>
      </c>
      <c r="L143">
        <f>IF(K143=1,IF(COUNTIFS($B$2:B143,B143,$I$2:I143,I143,$K$2:K143,1)=1,1,0),0)</f>
        <v/>
      </c>
      <c r="M143">
        <f>IF(Tree!$C$4="once per order",F143*K143,F143)</f>
        <v/>
      </c>
      <c r="N143">
        <f>IF(Tree!$C$4="once per order",K143,1)</f>
        <v/>
      </c>
      <c r="O143">
        <f>IF(Tree!$C$4="once per order",L143,1)</f>
        <v/>
      </c>
    </row>
    <row r="144">
      <c r="A144" t="inlineStr">
        <is>
          <t>KR-00079</t>
        </is>
      </c>
      <c r="B144" t="inlineStr">
        <is>
          <t>C-0277</t>
        </is>
      </c>
      <c r="C144" t="inlineStr">
        <is>
          <t>Business</t>
        </is>
      </c>
      <c r="D144" t="inlineStr">
        <is>
          <t>app</t>
        </is>
      </c>
      <c r="E144" s="7" t="n">
        <v>46120</v>
      </c>
      <c r="F144" t="n">
        <v>983000</v>
      </c>
      <c r="G144" t="n">
        <v>393200</v>
      </c>
      <c r="H144" t="inlineStr">
        <is>
          <t>2026-04-10</t>
        </is>
      </c>
      <c r="I144">
        <f>IF(MONTH(E144)&lt;=6,"Q1","Q2")</f>
        <v/>
      </c>
      <c r="J144">
        <f>YEAR(E144)*100+MONTH(E144)</f>
        <v/>
      </c>
      <c r="K144">
        <f>IF(COUNTIF($A$2:A144,A144)=1,1,0)</f>
        <v/>
      </c>
      <c r="L144">
        <f>IF(K144=1,IF(COUNTIFS($B$2:B144,B144,$I$2:I144,I144,$K$2:K144,1)=1,1,0),0)</f>
        <v/>
      </c>
      <c r="M144">
        <f>IF(Tree!$C$4="once per order",F144*K144,F144)</f>
        <v/>
      </c>
      <c r="N144">
        <f>IF(Tree!$C$4="once per order",K144,1)</f>
        <v/>
      </c>
      <c r="O144">
        <f>IF(Tree!$C$4="once per order",L144,1)</f>
        <v/>
      </c>
    </row>
    <row r="145">
      <c r="A145" t="inlineStr">
        <is>
          <t>KR-00080</t>
        </is>
      </c>
      <c r="B145" t="inlineStr">
        <is>
          <t>C-0307</t>
        </is>
      </c>
      <c r="C145" t="inlineStr">
        <is>
          <t>Business</t>
        </is>
      </c>
      <c r="D145" t="inlineStr">
        <is>
          <t>web</t>
        </is>
      </c>
      <c r="E145" s="7" t="n">
        <v>46164</v>
      </c>
      <c r="F145" t="n">
        <v>518000</v>
      </c>
      <c r="G145" t="n">
        <v>310800</v>
      </c>
      <c r="H145" t="inlineStr">
        <is>
          <t>2026-05-24</t>
        </is>
      </c>
      <c r="I145">
        <f>IF(MONTH(E145)&lt;=6,"Q1","Q2")</f>
        <v/>
      </c>
      <c r="J145">
        <f>YEAR(E145)*100+MONTH(E145)</f>
        <v/>
      </c>
      <c r="K145">
        <f>IF(COUNTIF($A$2:A145,A145)=1,1,0)</f>
        <v/>
      </c>
      <c r="L145">
        <f>IF(K145=1,IF(COUNTIFS($B$2:B145,B145,$I$2:I145,I145,$K$2:K145,1)=1,1,0),0)</f>
        <v/>
      </c>
      <c r="M145">
        <f>IF(Tree!$C$4="once per order",F145*K145,F145)</f>
        <v/>
      </c>
      <c r="N145">
        <f>IF(Tree!$C$4="once per order",K145,1)</f>
        <v/>
      </c>
      <c r="O145">
        <f>IF(Tree!$C$4="once per order",L145,1)</f>
        <v/>
      </c>
    </row>
    <row r="146">
      <c r="A146" t="inlineStr">
        <is>
          <t>KR-00080</t>
        </is>
      </c>
      <c r="B146" t="inlineStr">
        <is>
          <t>C-0307</t>
        </is>
      </c>
      <c r="C146" t="inlineStr">
        <is>
          <t>Business</t>
        </is>
      </c>
      <c r="D146" t="inlineStr">
        <is>
          <t>web</t>
        </is>
      </c>
      <c r="E146" s="7" t="n">
        <v>46164</v>
      </c>
      <c r="F146" t="n">
        <v>518000</v>
      </c>
      <c r="G146" t="n">
        <v>207200</v>
      </c>
      <c r="H146" t="inlineStr">
        <is>
          <t>2026-05-24</t>
        </is>
      </c>
      <c r="I146">
        <f>IF(MONTH(E146)&lt;=6,"Q1","Q2")</f>
        <v/>
      </c>
      <c r="J146">
        <f>YEAR(E146)*100+MONTH(E146)</f>
        <v/>
      </c>
      <c r="K146">
        <f>IF(COUNTIF($A$2:A146,A146)=1,1,0)</f>
        <v/>
      </c>
      <c r="L146">
        <f>IF(K146=1,IF(COUNTIFS($B$2:B146,B146,$I$2:I146,I146,$K$2:K146,1)=1,1,0),0)</f>
        <v/>
      </c>
      <c r="M146">
        <f>IF(Tree!$C$4="once per order",F146*K146,F146)</f>
        <v/>
      </c>
      <c r="N146">
        <f>IF(Tree!$C$4="once per order",K146,1)</f>
        <v/>
      </c>
      <c r="O146">
        <f>IF(Tree!$C$4="once per order",L146,1)</f>
        <v/>
      </c>
    </row>
    <row r="147">
      <c r="A147" t="inlineStr">
        <is>
          <t>KR-00081</t>
        </is>
      </c>
      <c r="B147" t="inlineStr">
        <is>
          <t>C-0281</t>
        </is>
      </c>
      <c r="C147" t="inlineStr">
        <is>
          <t>Business</t>
        </is>
      </c>
      <c r="D147" t="inlineStr">
        <is>
          <t>web</t>
        </is>
      </c>
      <c r="E147" s="7" t="n">
        <v>46181</v>
      </c>
      <c r="F147" t="n">
        <v>804000</v>
      </c>
      <c r="G147" t="n">
        <v>482400</v>
      </c>
      <c r="H147" t="inlineStr">
        <is>
          <t>2026-06-10</t>
        </is>
      </c>
      <c r="I147">
        <f>IF(MONTH(E147)&lt;=6,"Q1","Q2")</f>
        <v/>
      </c>
      <c r="J147">
        <f>YEAR(E147)*100+MONTH(E147)</f>
        <v/>
      </c>
      <c r="K147">
        <f>IF(COUNTIF($A$2:A147,A147)=1,1,0)</f>
        <v/>
      </c>
      <c r="L147">
        <f>IF(K147=1,IF(COUNTIFS($B$2:B147,B147,$I$2:I147,I147,$K$2:K147,1)=1,1,0),0)</f>
        <v/>
      </c>
      <c r="M147">
        <f>IF(Tree!$C$4="once per order",F147*K147,F147)</f>
        <v/>
      </c>
      <c r="N147">
        <f>IF(Tree!$C$4="once per order",K147,1)</f>
        <v/>
      </c>
      <c r="O147">
        <f>IF(Tree!$C$4="once per order",L147,1)</f>
        <v/>
      </c>
    </row>
    <row r="148">
      <c r="A148" t="inlineStr">
        <is>
          <t>KR-00081</t>
        </is>
      </c>
      <c r="B148" t="inlineStr">
        <is>
          <t>C-0281</t>
        </is>
      </c>
      <c r="C148" t="inlineStr">
        <is>
          <t>Business</t>
        </is>
      </c>
      <c r="D148" t="inlineStr">
        <is>
          <t>web</t>
        </is>
      </c>
      <c r="E148" s="7" t="n">
        <v>46181</v>
      </c>
      <c r="F148" t="n">
        <v>804000</v>
      </c>
      <c r="G148" t="n">
        <v>321600</v>
      </c>
      <c r="H148" t="inlineStr">
        <is>
          <t>2026-06-10</t>
        </is>
      </c>
      <c r="I148">
        <f>IF(MONTH(E148)&lt;=6,"Q1","Q2")</f>
        <v/>
      </c>
      <c r="J148">
        <f>YEAR(E148)*100+MONTH(E148)</f>
        <v/>
      </c>
      <c r="K148">
        <f>IF(COUNTIF($A$2:A148,A148)=1,1,0)</f>
        <v/>
      </c>
      <c r="L148">
        <f>IF(K148=1,IF(COUNTIFS($B$2:B148,B148,$I$2:I148,I148,$K$2:K148,1)=1,1,0),0)</f>
        <v/>
      </c>
      <c r="M148">
        <f>IF(Tree!$C$4="once per order",F148*K148,F148)</f>
        <v/>
      </c>
      <c r="N148">
        <f>IF(Tree!$C$4="once per order",K148,1)</f>
        <v/>
      </c>
      <c r="O148">
        <f>IF(Tree!$C$4="once per order",L148,1)</f>
        <v/>
      </c>
    </row>
    <row r="149">
      <c r="A149" t="inlineStr">
        <is>
          <t>KR-00082</t>
        </is>
      </c>
      <c r="B149" t="inlineStr">
        <is>
          <t>C-0292</t>
        </is>
      </c>
      <c r="C149" t="inlineStr">
        <is>
          <t>Business</t>
        </is>
      </c>
      <c r="D149" t="inlineStr">
        <is>
          <t>store</t>
        </is>
      </c>
      <c r="E149" s="7" t="n">
        <v>46139</v>
      </c>
      <c r="F149" t="n">
        <v>316000</v>
      </c>
      <c r="G149" t="n">
        <v>189600</v>
      </c>
      <c r="H149" t="inlineStr">
        <is>
          <t>2026-04-28</t>
        </is>
      </c>
      <c r="I149">
        <f>IF(MONTH(E149)&lt;=6,"Q1","Q2")</f>
        <v/>
      </c>
      <c r="J149">
        <f>YEAR(E149)*100+MONTH(E149)</f>
        <v/>
      </c>
      <c r="K149">
        <f>IF(COUNTIF($A$2:A149,A149)=1,1,0)</f>
        <v/>
      </c>
      <c r="L149">
        <f>IF(K149=1,IF(COUNTIFS($B$2:B149,B149,$I$2:I149,I149,$K$2:K149,1)=1,1,0),0)</f>
        <v/>
      </c>
      <c r="M149">
        <f>IF(Tree!$C$4="once per order",F149*K149,F149)</f>
        <v/>
      </c>
      <c r="N149">
        <f>IF(Tree!$C$4="once per order",K149,1)</f>
        <v/>
      </c>
      <c r="O149">
        <f>IF(Tree!$C$4="once per order",L149,1)</f>
        <v/>
      </c>
    </row>
    <row r="150">
      <c r="A150" t="inlineStr">
        <is>
          <t>KR-00082</t>
        </is>
      </c>
      <c r="B150" t="inlineStr">
        <is>
          <t>C-0292</t>
        </is>
      </c>
      <c r="C150" t="inlineStr">
        <is>
          <t>Business</t>
        </is>
      </c>
      <c r="D150" t="inlineStr">
        <is>
          <t>store</t>
        </is>
      </c>
      <c r="E150" s="7" t="n">
        <v>46139</v>
      </c>
      <c r="F150" t="n">
        <v>316000</v>
      </c>
      <c r="G150" t="n">
        <v>126400</v>
      </c>
      <c r="H150" t="inlineStr">
        <is>
          <t>2026-04-28</t>
        </is>
      </c>
      <c r="I150">
        <f>IF(MONTH(E150)&lt;=6,"Q1","Q2")</f>
        <v/>
      </c>
      <c r="J150">
        <f>YEAR(E150)*100+MONTH(E150)</f>
        <v/>
      </c>
      <c r="K150">
        <f>IF(COUNTIF($A$2:A150,A150)=1,1,0)</f>
        <v/>
      </c>
      <c r="L150">
        <f>IF(K150=1,IF(COUNTIFS($B$2:B150,B150,$I$2:I150,I150,$K$2:K150,1)=1,1,0),0)</f>
        <v/>
      </c>
      <c r="M150">
        <f>IF(Tree!$C$4="once per order",F150*K150,F150)</f>
        <v/>
      </c>
      <c r="N150">
        <f>IF(Tree!$C$4="once per order",K150,1)</f>
        <v/>
      </c>
      <c r="O150">
        <f>IF(Tree!$C$4="once per order",L150,1)</f>
        <v/>
      </c>
    </row>
    <row r="151">
      <c r="A151" t="inlineStr">
        <is>
          <t>KR-00083</t>
        </is>
      </c>
      <c r="B151" t="inlineStr">
        <is>
          <t>C-0282</t>
        </is>
      </c>
      <c r="C151" t="inlineStr">
        <is>
          <t>Business</t>
        </is>
      </c>
      <c r="D151" t="inlineStr">
        <is>
          <t>web</t>
        </is>
      </c>
      <c r="E151" s="7" t="n">
        <v>46148</v>
      </c>
      <c r="F151" t="n">
        <v>691000</v>
      </c>
      <c r="G151" t="n">
        <v>414600</v>
      </c>
      <c r="H151" t="inlineStr">
        <is>
          <t>2026-05-08</t>
        </is>
      </c>
      <c r="I151">
        <f>IF(MONTH(E151)&lt;=6,"Q1","Q2")</f>
        <v/>
      </c>
      <c r="J151">
        <f>YEAR(E151)*100+MONTH(E151)</f>
        <v/>
      </c>
      <c r="K151">
        <f>IF(COUNTIF($A$2:A151,A151)=1,1,0)</f>
        <v/>
      </c>
      <c r="L151">
        <f>IF(K151=1,IF(COUNTIFS($B$2:B151,B151,$I$2:I151,I151,$K$2:K151,1)=1,1,0),0)</f>
        <v/>
      </c>
      <c r="M151">
        <f>IF(Tree!$C$4="once per order",F151*K151,F151)</f>
        <v/>
      </c>
      <c r="N151">
        <f>IF(Tree!$C$4="once per order",K151,1)</f>
        <v/>
      </c>
      <c r="O151">
        <f>IF(Tree!$C$4="once per order",L151,1)</f>
        <v/>
      </c>
    </row>
    <row r="152">
      <c r="A152" t="inlineStr">
        <is>
          <t>KR-00083</t>
        </is>
      </c>
      <c r="B152" t="inlineStr">
        <is>
          <t>C-0282</t>
        </is>
      </c>
      <c r="C152" t="inlineStr">
        <is>
          <t>Business</t>
        </is>
      </c>
      <c r="D152" t="inlineStr">
        <is>
          <t>web</t>
        </is>
      </c>
      <c r="E152" s="7" t="n">
        <v>46148</v>
      </c>
      <c r="F152" t="n">
        <v>691000</v>
      </c>
      <c r="G152" t="n">
        <v>276400</v>
      </c>
      <c r="H152" t="inlineStr">
        <is>
          <t>2026-05-08</t>
        </is>
      </c>
      <c r="I152">
        <f>IF(MONTH(E152)&lt;=6,"Q1","Q2")</f>
        <v/>
      </c>
      <c r="J152">
        <f>YEAR(E152)*100+MONTH(E152)</f>
        <v/>
      </c>
      <c r="K152">
        <f>IF(COUNTIF($A$2:A152,A152)=1,1,0)</f>
        <v/>
      </c>
      <c r="L152">
        <f>IF(K152=1,IF(COUNTIFS($B$2:B152,B152,$I$2:I152,I152,$K$2:K152,1)=1,1,0),0)</f>
        <v/>
      </c>
      <c r="M152">
        <f>IF(Tree!$C$4="once per order",F152*K152,F152)</f>
        <v/>
      </c>
      <c r="N152">
        <f>IF(Tree!$C$4="once per order",K152,1)</f>
        <v/>
      </c>
      <c r="O152">
        <f>IF(Tree!$C$4="once per order",L152,1)</f>
        <v/>
      </c>
    </row>
    <row r="153">
      <c r="A153" t="inlineStr">
        <is>
          <t>KR-00084</t>
        </is>
      </c>
      <c r="B153" t="inlineStr">
        <is>
          <t>C-0272</t>
        </is>
      </c>
      <c r="C153" t="inlineStr">
        <is>
          <t>Business</t>
        </is>
      </c>
      <c r="D153" t="inlineStr">
        <is>
          <t>web</t>
        </is>
      </c>
      <c r="E153" s="7" t="n">
        <v>46190</v>
      </c>
      <c r="F153" t="n">
        <v>1615000</v>
      </c>
      <c r="G153" t="n">
        <v>969000</v>
      </c>
      <c r="H153" t="inlineStr">
        <is>
          <t>2026-06-19</t>
        </is>
      </c>
      <c r="I153">
        <f>IF(MONTH(E153)&lt;=6,"Q1","Q2")</f>
        <v/>
      </c>
      <c r="J153">
        <f>YEAR(E153)*100+MONTH(E153)</f>
        <v/>
      </c>
      <c r="K153">
        <f>IF(COUNTIF($A$2:A153,A153)=1,1,0)</f>
        <v/>
      </c>
      <c r="L153">
        <f>IF(K153=1,IF(COUNTIFS($B$2:B153,B153,$I$2:I153,I153,$K$2:K153,1)=1,1,0),0)</f>
        <v/>
      </c>
      <c r="M153">
        <f>IF(Tree!$C$4="once per order",F153*K153,F153)</f>
        <v/>
      </c>
      <c r="N153">
        <f>IF(Tree!$C$4="once per order",K153,1)</f>
        <v/>
      </c>
      <c r="O153">
        <f>IF(Tree!$C$4="once per order",L153,1)</f>
        <v/>
      </c>
    </row>
    <row r="154">
      <c r="A154" t="inlineStr">
        <is>
          <t>KR-00084</t>
        </is>
      </c>
      <c r="B154" t="inlineStr">
        <is>
          <t>C-0272</t>
        </is>
      </c>
      <c r="C154" t="inlineStr">
        <is>
          <t>Business</t>
        </is>
      </c>
      <c r="D154" t="inlineStr">
        <is>
          <t>web</t>
        </is>
      </c>
      <c r="E154" s="7" t="n">
        <v>46190</v>
      </c>
      <c r="F154" t="n">
        <v>1615000</v>
      </c>
      <c r="G154" t="n">
        <v>646000</v>
      </c>
      <c r="H154" t="inlineStr">
        <is>
          <t>2026-06-19</t>
        </is>
      </c>
      <c r="I154">
        <f>IF(MONTH(E154)&lt;=6,"Q1","Q2")</f>
        <v/>
      </c>
      <c r="J154">
        <f>YEAR(E154)*100+MONTH(E154)</f>
        <v/>
      </c>
      <c r="K154">
        <f>IF(COUNTIF($A$2:A154,A154)=1,1,0)</f>
        <v/>
      </c>
      <c r="L154">
        <f>IF(K154=1,IF(COUNTIFS($B$2:B154,B154,$I$2:I154,I154,$K$2:K154,1)=1,1,0),0)</f>
        <v/>
      </c>
      <c r="M154">
        <f>IF(Tree!$C$4="once per order",F154*K154,F154)</f>
        <v/>
      </c>
      <c r="N154">
        <f>IF(Tree!$C$4="once per order",K154,1)</f>
        <v/>
      </c>
      <c r="O154">
        <f>IF(Tree!$C$4="once per order",L154,1)</f>
        <v/>
      </c>
    </row>
    <row r="155">
      <c r="A155" t="inlineStr">
        <is>
          <t>KR-00085</t>
        </is>
      </c>
      <c r="B155" t="inlineStr">
        <is>
          <t>C-0305</t>
        </is>
      </c>
      <c r="C155" t="inlineStr">
        <is>
          <t>Business</t>
        </is>
      </c>
      <c r="D155" t="inlineStr">
        <is>
          <t>web</t>
        </is>
      </c>
      <c r="E155" s="7" t="n">
        <v>46119</v>
      </c>
      <c r="F155" t="n">
        <v>209000</v>
      </c>
      <c r="G155" t="n">
        <v>125400</v>
      </c>
      <c r="H155" t="inlineStr">
        <is>
          <t>2026-04-09</t>
        </is>
      </c>
      <c r="I155">
        <f>IF(MONTH(E155)&lt;=6,"Q1","Q2")</f>
        <v/>
      </c>
      <c r="J155">
        <f>YEAR(E155)*100+MONTH(E155)</f>
        <v/>
      </c>
      <c r="K155">
        <f>IF(COUNTIF($A$2:A155,A155)=1,1,0)</f>
        <v/>
      </c>
      <c r="L155">
        <f>IF(K155=1,IF(COUNTIFS($B$2:B155,B155,$I$2:I155,I155,$K$2:K155,1)=1,1,0),0)</f>
        <v/>
      </c>
      <c r="M155">
        <f>IF(Tree!$C$4="once per order",F155*K155,F155)</f>
        <v/>
      </c>
      <c r="N155">
        <f>IF(Tree!$C$4="once per order",K155,1)</f>
        <v/>
      </c>
      <c r="O155">
        <f>IF(Tree!$C$4="once per order",L155,1)</f>
        <v/>
      </c>
    </row>
    <row r="156">
      <c r="A156" t="inlineStr">
        <is>
          <t>KR-00085</t>
        </is>
      </c>
      <c r="B156" t="inlineStr">
        <is>
          <t>C-0305</t>
        </is>
      </c>
      <c r="C156" t="inlineStr">
        <is>
          <t>Business</t>
        </is>
      </c>
      <c r="D156" t="inlineStr">
        <is>
          <t>web</t>
        </is>
      </c>
      <c r="E156" s="7" t="n">
        <v>46119</v>
      </c>
      <c r="F156" t="n">
        <v>209000</v>
      </c>
      <c r="G156" t="n">
        <v>83600</v>
      </c>
      <c r="H156" t="inlineStr">
        <is>
          <t>2026-04-09</t>
        </is>
      </c>
      <c r="I156">
        <f>IF(MONTH(E156)&lt;=6,"Q1","Q2")</f>
        <v/>
      </c>
      <c r="J156">
        <f>YEAR(E156)*100+MONTH(E156)</f>
        <v/>
      </c>
      <c r="K156">
        <f>IF(COUNTIF($A$2:A156,A156)=1,1,0)</f>
        <v/>
      </c>
      <c r="L156">
        <f>IF(K156=1,IF(COUNTIFS($B$2:B156,B156,$I$2:I156,I156,$K$2:K156,1)=1,1,0),0)</f>
        <v/>
      </c>
      <c r="M156">
        <f>IF(Tree!$C$4="once per order",F156*K156,F156)</f>
        <v/>
      </c>
      <c r="N156">
        <f>IF(Tree!$C$4="once per order",K156,1)</f>
        <v/>
      </c>
      <c r="O156">
        <f>IF(Tree!$C$4="once per order",L156,1)</f>
        <v/>
      </c>
    </row>
    <row r="157">
      <c r="A157" t="inlineStr">
        <is>
          <t>KR-00086</t>
        </is>
      </c>
      <c r="B157" t="inlineStr">
        <is>
          <t>C-0276</t>
        </is>
      </c>
      <c r="C157" t="inlineStr">
        <is>
          <t>Business</t>
        </is>
      </c>
      <c r="D157" t="inlineStr">
        <is>
          <t>app</t>
        </is>
      </c>
      <c r="E157" s="7" t="n">
        <v>46153</v>
      </c>
      <c r="F157" t="n">
        <v>356000</v>
      </c>
      <c r="G157" t="n">
        <v>213600</v>
      </c>
      <c r="H157" t="inlineStr">
        <is>
          <t>2026-05-13</t>
        </is>
      </c>
      <c r="I157">
        <f>IF(MONTH(E157)&lt;=6,"Q1","Q2")</f>
        <v/>
      </c>
      <c r="J157">
        <f>YEAR(E157)*100+MONTH(E157)</f>
        <v/>
      </c>
      <c r="K157">
        <f>IF(COUNTIF($A$2:A157,A157)=1,1,0)</f>
        <v/>
      </c>
      <c r="L157">
        <f>IF(K157=1,IF(COUNTIFS($B$2:B157,B157,$I$2:I157,I157,$K$2:K157,1)=1,1,0),0)</f>
        <v/>
      </c>
      <c r="M157">
        <f>IF(Tree!$C$4="once per order",F157*K157,F157)</f>
        <v/>
      </c>
      <c r="N157">
        <f>IF(Tree!$C$4="once per order",K157,1)</f>
        <v/>
      </c>
      <c r="O157">
        <f>IF(Tree!$C$4="once per order",L157,1)</f>
        <v/>
      </c>
    </row>
    <row r="158">
      <c r="A158" t="inlineStr">
        <is>
          <t>KR-00086</t>
        </is>
      </c>
      <c r="B158" t="inlineStr">
        <is>
          <t>C-0276</t>
        </is>
      </c>
      <c r="C158" t="inlineStr">
        <is>
          <t>Business</t>
        </is>
      </c>
      <c r="D158" t="inlineStr">
        <is>
          <t>app</t>
        </is>
      </c>
      <c r="E158" s="7" t="n">
        <v>46153</v>
      </c>
      <c r="F158" t="n">
        <v>356000</v>
      </c>
      <c r="G158" t="n">
        <v>142400</v>
      </c>
      <c r="H158" t="inlineStr">
        <is>
          <t>2026-05-13</t>
        </is>
      </c>
      <c r="I158">
        <f>IF(MONTH(E158)&lt;=6,"Q1","Q2")</f>
        <v/>
      </c>
      <c r="J158">
        <f>YEAR(E158)*100+MONTH(E158)</f>
        <v/>
      </c>
      <c r="K158">
        <f>IF(COUNTIF($A$2:A158,A158)=1,1,0)</f>
        <v/>
      </c>
      <c r="L158">
        <f>IF(K158=1,IF(COUNTIFS($B$2:B158,B158,$I$2:I158,I158,$K$2:K158,1)=1,1,0),0)</f>
        <v/>
      </c>
      <c r="M158">
        <f>IF(Tree!$C$4="once per order",F158*K158,F158)</f>
        <v/>
      </c>
      <c r="N158">
        <f>IF(Tree!$C$4="once per order",K158,1)</f>
        <v/>
      </c>
      <c r="O158">
        <f>IF(Tree!$C$4="once per order",L158,1)</f>
        <v/>
      </c>
    </row>
    <row r="159">
      <c r="A159" t="inlineStr">
        <is>
          <t>KR-00087</t>
        </is>
      </c>
      <c r="B159" t="inlineStr">
        <is>
          <t>C-0290</t>
        </is>
      </c>
      <c r="C159" t="inlineStr">
        <is>
          <t>Business</t>
        </is>
      </c>
      <c r="D159" t="inlineStr">
        <is>
          <t>web</t>
        </is>
      </c>
      <c r="E159" s="7" t="n">
        <v>46182</v>
      </c>
      <c r="F159" t="n">
        <v>1565000</v>
      </c>
      <c r="G159" t="n">
        <v>939000</v>
      </c>
      <c r="H159" t="inlineStr">
        <is>
          <t>2026-06-11</t>
        </is>
      </c>
      <c r="I159">
        <f>IF(MONTH(E159)&lt;=6,"Q1","Q2")</f>
        <v/>
      </c>
      <c r="J159">
        <f>YEAR(E159)*100+MONTH(E159)</f>
        <v/>
      </c>
      <c r="K159">
        <f>IF(COUNTIF($A$2:A159,A159)=1,1,0)</f>
        <v/>
      </c>
      <c r="L159">
        <f>IF(K159=1,IF(COUNTIFS($B$2:B159,B159,$I$2:I159,I159,$K$2:K159,1)=1,1,0),0)</f>
        <v/>
      </c>
      <c r="M159">
        <f>IF(Tree!$C$4="once per order",F159*K159,F159)</f>
        <v/>
      </c>
      <c r="N159">
        <f>IF(Tree!$C$4="once per order",K159,1)</f>
        <v/>
      </c>
      <c r="O159">
        <f>IF(Tree!$C$4="once per order",L159,1)</f>
        <v/>
      </c>
    </row>
    <row r="160">
      <c r="A160" t="inlineStr">
        <is>
          <t>KR-00087</t>
        </is>
      </c>
      <c r="B160" t="inlineStr">
        <is>
          <t>C-0290</t>
        </is>
      </c>
      <c r="C160" t="inlineStr">
        <is>
          <t>Business</t>
        </is>
      </c>
      <c r="D160" t="inlineStr">
        <is>
          <t>web</t>
        </is>
      </c>
      <c r="E160" s="7" t="n">
        <v>46182</v>
      </c>
      <c r="F160" t="n">
        <v>1565000</v>
      </c>
      <c r="G160" t="n">
        <v>626000</v>
      </c>
      <c r="H160" t="inlineStr">
        <is>
          <t>2026-06-11</t>
        </is>
      </c>
      <c r="I160">
        <f>IF(MONTH(E160)&lt;=6,"Q1","Q2")</f>
        <v/>
      </c>
      <c r="J160">
        <f>YEAR(E160)*100+MONTH(E160)</f>
        <v/>
      </c>
      <c r="K160">
        <f>IF(COUNTIF($A$2:A160,A160)=1,1,0)</f>
        <v/>
      </c>
      <c r="L160">
        <f>IF(K160=1,IF(COUNTIFS($B$2:B160,B160,$I$2:I160,I160,$K$2:K160,1)=1,1,0),0)</f>
        <v/>
      </c>
      <c r="M160">
        <f>IF(Tree!$C$4="once per order",F160*K160,F160)</f>
        <v/>
      </c>
      <c r="N160">
        <f>IF(Tree!$C$4="once per order",K160,1)</f>
        <v/>
      </c>
      <c r="O160">
        <f>IF(Tree!$C$4="once per order",L160,1)</f>
        <v/>
      </c>
    </row>
    <row r="161">
      <c r="A161" t="inlineStr">
        <is>
          <t>KR-00088</t>
        </is>
      </c>
      <c r="B161" t="inlineStr">
        <is>
          <t>C-0283</t>
        </is>
      </c>
      <c r="C161" t="inlineStr">
        <is>
          <t>Business</t>
        </is>
      </c>
      <c r="D161" t="inlineStr">
        <is>
          <t>web</t>
        </is>
      </c>
      <c r="E161" s="7" t="n">
        <v>46122</v>
      </c>
      <c r="F161" t="n">
        <v>700000</v>
      </c>
      <c r="G161" t="n">
        <v>420000</v>
      </c>
      <c r="H161" t="inlineStr">
        <is>
          <t>2026-04-12</t>
        </is>
      </c>
      <c r="I161">
        <f>IF(MONTH(E161)&lt;=6,"Q1","Q2")</f>
        <v/>
      </c>
      <c r="J161">
        <f>YEAR(E161)*100+MONTH(E161)</f>
        <v/>
      </c>
      <c r="K161">
        <f>IF(COUNTIF($A$2:A161,A161)=1,1,0)</f>
        <v/>
      </c>
      <c r="L161">
        <f>IF(K161=1,IF(COUNTIFS($B$2:B161,B161,$I$2:I161,I161,$K$2:K161,1)=1,1,0),0)</f>
        <v/>
      </c>
      <c r="M161">
        <f>IF(Tree!$C$4="once per order",F161*K161,F161)</f>
        <v/>
      </c>
      <c r="N161">
        <f>IF(Tree!$C$4="once per order",K161,1)</f>
        <v/>
      </c>
      <c r="O161">
        <f>IF(Tree!$C$4="once per order",L161,1)</f>
        <v/>
      </c>
    </row>
    <row r="162">
      <c r="A162" t="inlineStr">
        <is>
          <t>KR-00088</t>
        </is>
      </c>
      <c r="B162" t="inlineStr">
        <is>
          <t>C-0283</t>
        </is>
      </c>
      <c r="C162" t="inlineStr">
        <is>
          <t>Business</t>
        </is>
      </c>
      <c r="D162" t="inlineStr">
        <is>
          <t>web</t>
        </is>
      </c>
      <c r="E162" s="7" t="n">
        <v>46122</v>
      </c>
      <c r="F162" t="n">
        <v>700000</v>
      </c>
      <c r="G162" t="n">
        <v>280000</v>
      </c>
      <c r="H162" t="inlineStr">
        <is>
          <t>2026-04-12</t>
        </is>
      </c>
      <c r="I162">
        <f>IF(MONTH(E162)&lt;=6,"Q1","Q2")</f>
        <v/>
      </c>
      <c r="J162">
        <f>YEAR(E162)*100+MONTH(E162)</f>
        <v/>
      </c>
      <c r="K162">
        <f>IF(COUNTIF($A$2:A162,A162)=1,1,0)</f>
        <v/>
      </c>
      <c r="L162">
        <f>IF(K162=1,IF(COUNTIFS($B$2:B162,B162,$I$2:I162,I162,$K$2:K162,1)=1,1,0),0)</f>
        <v/>
      </c>
      <c r="M162">
        <f>IF(Tree!$C$4="once per order",F162*K162,F162)</f>
        <v/>
      </c>
      <c r="N162">
        <f>IF(Tree!$C$4="once per order",K162,1)</f>
        <v/>
      </c>
      <c r="O162">
        <f>IF(Tree!$C$4="once per order",L162,1)</f>
        <v/>
      </c>
    </row>
    <row r="163">
      <c r="A163" t="inlineStr">
        <is>
          <t>KR-00089</t>
        </is>
      </c>
      <c r="B163" t="inlineStr">
        <is>
          <t>C-0283</t>
        </is>
      </c>
      <c r="C163" t="inlineStr">
        <is>
          <t>Business</t>
        </is>
      </c>
      <c r="D163" t="inlineStr">
        <is>
          <t>app</t>
        </is>
      </c>
      <c r="E163" s="7" t="n">
        <v>46157</v>
      </c>
      <c r="F163" t="n">
        <v>1029000</v>
      </c>
      <c r="G163" t="n">
        <v>617400</v>
      </c>
      <c r="H163" t="inlineStr">
        <is>
          <t>2026-05-17</t>
        </is>
      </c>
      <c r="I163">
        <f>IF(MONTH(E163)&lt;=6,"Q1","Q2")</f>
        <v/>
      </c>
      <c r="J163">
        <f>YEAR(E163)*100+MONTH(E163)</f>
        <v/>
      </c>
      <c r="K163">
        <f>IF(COUNTIF($A$2:A163,A163)=1,1,0)</f>
        <v/>
      </c>
      <c r="L163">
        <f>IF(K163=1,IF(COUNTIFS($B$2:B163,B163,$I$2:I163,I163,$K$2:K163,1)=1,1,0),0)</f>
        <v/>
      </c>
      <c r="M163">
        <f>IF(Tree!$C$4="once per order",F163*K163,F163)</f>
        <v/>
      </c>
      <c r="N163">
        <f>IF(Tree!$C$4="once per order",K163,1)</f>
        <v/>
      </c>
      <c r="O163">
        <f>IF(Tree!$C$4="once per order",L163,1)</f>
        <v/>
      </c>
    </row>
    <row r="164">
      <c r="A164" t="inlineStr">
        <is>
          <t>KR-00089</t>
        </is>
      </c>
      <c r="B164" t="inlineStr">
        <is>
          <t>C-0283</t>
        </is>
      </c>
      <c r="C164" t="inlineStr">
        <is>
          <t>Business</t>
        </is>
      </c>
      <c r="D164" t="inlineStr">
        <is>
          <t>app</t>
        </is>
      </c>
      <c r="E164" s="7" t="n">
        <v>46157</v>
      </c>
      <c r="F164" t="n">
        <v>1029000</v>
      </c>
      <c r="G164" t="n">
        <v>411600</v>
      </c>
      <c r="H164" t="inlineStr">
        <is>
          <t>2026-05-17</t>
        </is>
      </c>
      <c r="I164">
        <f>IF(MONTH(E164)&lt;=6,"Q1","Q2")</f>
        <v/>
      </c>
      <c r="J164">
        <f>YEAR(E164)*100+MONTH(E164)</f>
        <v/>
      </c>
      <c r="K164">
        <f>IF(COUNTIF($A$2:A164,A164)=1,1,0)</f>
        <v/>
      </c>
      <c r="L164">
        <f>IF(K164=1,IF(COUNTIFS($B$2:B164,B164,$I$2:I164,I164,$K$2:K164,1)=1,1,0),0)</f>
        <v/>
      </c>
      <c r="M164">
        <f>IF(Tree!$C$4="once per order",F164*K164,F164)</f>
        <v/>
      </c>
      <c r="N164">
        <f>IF(Tree!$C$4="once per order",K164,1)</f>
        <v/>
      </c>
      <c r="O164">
        <f>IF(Tree!$C$4="once per order",L164,1)</f>
        <v/>
      </c>
    </row>
    <row r="165">
      <c r="A165" t="inlineStr">
        <is>
          <t>KR-00090</t>
        </is>
      </c>
      <c r="B165" t="inlineStr">
        <is>
          <t>C-0294</t>
        </is>
      </c>
      <c r="C165" t="inlineStr">
        <is>
          <t>Business</t>
        </is>
      </c>
      <c r="D165" t="inlineStr">
        <is>
          <t>web</t>
        </is>
      </c>
      <c r="E165" s="7" t="n">
        <v>46176</v>
      </c>
      <c r="F165" t="n">
        <v>380000</v>
      </c>
      <c r="G165" t="n">
        <v>228000</v>
      </c>
      <c r="H165" t="inlineStr">
        <is>
          <t>2026-06-05</t>
        </is>
      </c>
      <c r="I165">
        <f>IF(MONTH(E165)&lt;=6,"Q1","Q2")</f>
        <v/>
      </c>
      <c r="J165">
        <f>YEAR(E165)*100+MONTH(E165)</f>
        <v/>
      </c>
      <c r="K165">
        <f>IF(COUNTIF($A$2:A165,A165)=1,1,0)</f>
        <v/>
      </c>
      <c r="L165">
        <f>IF(K165=1,IF(COUNTIFS($B$2:B165,B165,$I$2:I165,I165,$K$2:K165,1)=1,1,0),0)</f>
        <v/>
      </c>
      <c r="M165">
        <f>IF(Tree!$C$4="once per order",F165*K165,F165)</f>
        <v/>
      </c>
      <c r="N165">
        <f>IF(Tree!$C$4="once per order",K165,1)</f>
        <v/>
      </c>
      <c r="O165">
        <f>IF(Tree!$C$4="once per order",L165,1)</f>
        <v/>
      </c>
    </row>
    <row r="166">
      <c r="A166" t="inlineStr">
        <is>
          <t>KR-00090</t>
        </is>
      </c>
      <c r="B166" t="inlineStr">
        <is>
          <t>C-0294</t>
        </is>
      </c>
      <c r="C166" t="inlineStr">
        <is>
          <t>Business</t>
        </is>
      </c>
      <c r="D166" t="inlineStr">
        <is>
          <t>web</t>
        </is>
      </c>
      <c r="E166" s="7" t="n">
        <v>46176</v>
      </c>
      <c r="F166" t="n">
        <v>380000</v>
      </c>
      <c r="G166" t="n">
        <v>152000</v>
      </c>
      <c r="H166" t="inlineStr">
        <is>
          <t>2026-06-05</t>
        </is>
      </c>
      <c r="I166">
        <f>IF(MONTH(E166)&lt;=6,"Q1","Q2")</f>
        <v/>
      </c>
      <c r="J166">
        <f>YEAR(E166)*100+MONTH(E166)</f>
        <v/>
      </c>
      <c r="K166">
        <f>IF(COUNTIF($A$2:A166,A166)=1,1,0)</f>
        <v/>
      </c>
      <c r="L166">
        <f>IF(K166=1,IF(COUNTIFS($B$2:B166,B166,$I$2:I166,I166,$K$2:K166,1)=1,1,0),0)</f>
        <v/>
      </c>
      <c r="M166">
        <f>IF(Tree!$C$4="once per order",F166*K166,F166)</f>
        <v/>
      </c>
      <c r="N166">
        <f>IF(Tree!$C$4="once per order",K166,1)</f>
        <v/>
      </c>
      <c r="O166">
        <f>IF(Tree!$C$4="once per order",L166,1)</f>
        <v/>
      </c>
    </row>
    <row r="167">
      <c r="A167" t="inlineStr">
        <is>
          <t>KR-00091</t>
        </is>
      </c>
      <c r="B167" t="inlineStr">
        <is>
          <t>C-0296</t>
        </is>
      </c>
      <c r="C167" t="inlineStr">
        <is>
          <t>Business</t>
        </is>
      </c>
      <c r="D167" t="inlineStr">
        <is>
          <t>web</t>
        </is>
      </c>
      <c r="E167" s="7" t="n">
        <v>46119</v>
      </c>
      <c r="F167" t="n">
        <v>425000</v>
      </c>
      <c r="G167" t="n">
        <v>255000</v>
      </c>
      <c r="H167" t="inlineStr">
        <is>
          <t>2026-04-09</t>
        </is>
      </c>
      <c r="I167">
        <f>IF(MONTH(E167)&lt;=6,"Q1","Q2")</f>
        <v/>
      </c>
      <c r="J167">
        <f>YEAR(E167)*100+MONTH(E167)</f>
        <v/>
      </c>
      <c r="K167">
        <f>IF(COUNTIF($A$2:A167,A167)=1,1,0)</f>
        <v/>
      </c>
      <c r="L167">
        <f>IF(K167=1,IF(COUNTIFS($B$2:B167,B167,$I$2:I167,I167,$K$2:K167,1)=1,1,0),0)</f>
        <v/>
      </c>
      <c r="M167">
        <f>IF(Tree!$C$4="once per order",F167*K167,F167)</f>
        <v/>
      </c>
      <c r="N167">
        <f>IF(Tree!$C$4="once per order",K167,1)</f>
        <v/>
      </c>
      <c r="O167">
        <f>IF(Tree!$C$4="once per order",L167,1)</f>
        <v/>
      </c>
    </row>
    <row r="168">
      <c r="A168" t="inlineStr">
        <is>
          <t>KR-00091</t>
        </is>
      </c>
      <c r="B168" t="inlineStr">
        <is>
          <t>C-0296</t>
        </is>
      </c>
      <c r="C168" t="inlineStr">
        <is>
          <t>Business</t>
        </is>
      </c>
      <c r="D168" t="inlineStr">
        <is>
          <t>web</t>
        </is>
      </c>
      <c r="E168" s="7" t="n">
        <v>46119</v>
      </c>
      <c r="F168" t="n">
        <v>425000</v>
      </c>
      <c r="G168" t="n">
        <v>170000</v>
      </c>
      <c r="H168" t="inlineStr">
        <is>
          <t>2026-04-09</t>
        </is>
      </c>
      <c r="I168">
        <f>IF(MONTH(E168)&lt;=6,"Q1","Q2")</f>
        <v/>
      </c>
      <c r="J168">
        <f>YEAR(E168)*100+MONTH(E168)</f>
        <v/>
      </c>
      <c r="K168">
        <f>IF(COUNTIF($A$2:A168,A168)=1,1,0)</f>
        <v/>
      </c>
      <c r="L168">
        <f>IF(K168=1,IF(COUNTIFS($B$2:B168,B168,$I$2:I168,I168,$K$2:K168,1)=1,1,0),0)</f>
        <v/>
      </c>
      <c r="M168">
        <f>IF(Tree!$C$4="once per order",F168*K168,F168)</f>
        <v/>
      </c>
      <c r="N168">
        <f>IF(Tree!$C$4="once per order",K168,1)</f>
        <v/>
      </c>
      <c r="O168">
        <f>IF(Tree!$C$4="once per order",L168,1)</f>
        <v/>
      </c>
    </row>
    <row r="169">
      <c r="A169" t="inlineStr">
        <is>
          <t>KR-00092</t>
        </is>
      </c>
      <c r="B169" t="inlineStr">
        <is>
          <t>C-0294</t>
        </is>
      </c>
      <c r="C169" t="inlineStr">
        <is>
          <t>Business</t>
        </is>
      </c>
      <c r="D169" t="inlineStr">
        <is>
          <t>app</t>
        </is>
      </c>
      <c r="E169" s="7" t="n">
        <v>46155</v>
      </c>
      <c r="F169" t="n">
        <v>490000</v>
      </c>
      <c r="G169" t="n">
        <v>294000</v>
      </c>
      <c r="H169" t="inlineStr">
        <is>
          <t>2026-05-15</t>
        </is>
      </c>
      <c r="I169">
        <f>IF(MONTH(E169)&lt;=6,"Q1","Q2")</f>
        <v/>
      </c>
      <c r="J169">
        <f>YEAR(E169)*100+MONTH(E169)</f>
        <v/>
      </c>
      <c r="K169">
        <f>IF(COUNTIF($A$2:A169,A169)=1,1,0)</f>
        <v/>
      </c>
      <c r="L169">
        <f>IF(K169=1,IF(COUNTIFS($B$2:B169,B169,$I$2:I169,I169,$K$2:K169,1)=1,1,0),0)</f>
        <v/>
      </c>
      <c r="M169">
        <f>IF(Tree!$C$4="once per order",F169*K169,F169)</f>
        <v/>
      </c>
      <c r="N169">
        <f>IF(Tree!$C$4="once per order",K169,1)</f>
        <v/>
      </c>
      <c r="O169">
        <f>IF(Tree!$C$4="once per order",L169,1)</f>
        <v/>
      </c>
    </row>
    <row r="170">
      <c r="A170" t="inlineStr">
        <is>
          <t>KR-00092</t>
        </is>
      </c>
      <c r="B170" t="inlineStr">
        <is>
          <t>C-0294</t>
        </is>
      </c>
      <c r="C170" t="inlineStr">
        <is>
          <t>Business</t>
        </is>
      </c>
      <c r="D170" t="inlineStr">
        <is>
          <t>app</t>
        </is>
      </c>
      <c r="E170" s="7" t="n">
        <v>46155</v>
      </c>
      <c r="F170" t="n">
        <v>490000</v>
      </c>
      <c r="G170" t="n">
        <v>196000</v>
      </c>
      <c r="H170" t="inlineStr">
        <is>
          <t>2026-05-15</t>
        </is>
      </c>
      <c r="I170">
        <f>IF(MONTH(E170)&lt;=6,"Q1","Q2")</f>
        <v/>
      </c>
      <c r="J170">
        <f>YEAR(E170)*100+MONTH(E170)</f>
        <v/>
      </c>
      <c r="K170">
        <f>IF(COUNTIF($A$2:A170,A170)=1,1,0)</f>
        <v/>
      </c>
      <c r="L170">
        <f>IF(K170=1,IF(COUNTIFS($B$2:B170,B170,$I$2:I170,I170,$K$2:K170,1)=1,1,0),0)</f>
        <v/>
      </c>
      <c r="M170">
        <f>IF(Tree!$C$4="once per order",F170*K170,F170)</f>
        <v/>
      </c>
      <c r="N170">
        <f>IF(Tree!$C$4="once per order",K170,1)</f>
        <v/>
      </c>
      <c r="O170">
        <f>IF(Tree!$C$4="once per order",L170,1)</f>
        <v/>
      </c>
    </row>
    <row r="171">
      <c r="A171" t="inlineStr">
        <is>
          <t>KR-00093</t>
        </is>
      </c>
      <c r="B171" t="inlineStr">
        <is>
          <t>C-0271</t>
        </is>
      </c>
      <c r="C171" t="inlineStr">
        <is>
          <t>Business</t>
        </is>
      </c>
      <c r="D171" t="inlineStr">
        <is>
          <t>web</t>
        </is>
      </c>
      <c r="E171" s="7" t="n">
        <v>46181</v>
      </c>
      <c r="F171" t="n">
        <v>1671000</v>
      </c>
      <c r="G171" t="n">
        <v>1002600</v>
      </c>
      <c r="H171" t="inlineStr">
        <is>
          <t>2026-06-10</t>
        </is>
      </c>
      <c r="I171">
        <f>IF(MONTH(E171)&lt;=6,"Q1","Q2")</f>
        <v/>
      </c>
      <c r="J171">
        <f>YEAR(E171)*100+MONTH(E171)</f>
        <v/>
      </c>
      <c r="K171">
        <f>IF(COUNTIF($A$2:A171,A171)=1,1,0)</f>
        <v/>
      </c>
      <c r="L171">
        <f>IF(K171=1,IF(COUNTIFS($B$2:B171,B171,$I$2:I171,I171,$K$2:K171,1)=1,1,0),0)</f>
        <v/>
      </c>
      <c r="M171">
        <f>IF(Tree!$C$4="once per order",F171*K171,F171)</f>
        <v/>
      </c>
      <c r="N171">
        <f>IF(Tree!$C$4="once per order",K171,1)</f>
        <v/>
      </c>
      <c r="O171">
        <f>IF(Tree!$C$4="once per order",L171,1)</f>
        <v/>
      </c>
    </row>
    <row r="172">
      <c r="A172" t="inlineStr">
        <is>
          <t>KR-00093</t>
        </is>
      </c>
      <c r="B172" t="inlineStr">
        <is>
          <t>C-0271</t>
        </is>
      </c>
      <c r="C172" t="inlineStr">
        <is>
          <t>Business</t>
        </is>
      </c>
      <c r="D172" t="inlineStr">
        <is>
          <t>web</t>
        </is>
      </c>
      <c r="E172" s="7" t="n">
        <v>46181</v>
      </c>
      <c r="F172" t="n">
        <v>1671000</v>
      </c>
      <c r="G172" t="n">
        <v>668400</v>
      </c>
      <c r="H172" t="inlineStr">
        <is>
          <t>2026-06-10</t>
        </is>
      </c>
      <c r="I172">
        <f>IF(MONTH(E172)&lt;=6,"Q1","Q2")</f>
        <v/>
      </c>
      <c r="J172">
        <f>YEAR(E172)*100+MONTH(E172)</f>
        <v/>
      </c>
      <c r="K172">
        <f>IF(COUNTIF($A$2:A172,A172)=1,1,0)</f>
        <v/>
      </c>
      <c r="L172">
        <f>IF(K172=1,IF(COUNTIFS($B$2:B172,B172,$I$2:I172,I172,$K$2:K172,1)=1,1,0),0)</f>
        <v/>
      </c>
      <c r="M172">
        <f>IF(Tree!$C$4="once per order",F172*K172,F172)</f>
        <v/>
      </c>
      <c r="N172">
        <f>IF(Tree!$C$4="once per order",K172,1)</f>
        <v/>
      </c>
      <c r="O172">
        <f>IF(Tree!$C$4="once per order",L172,1)</f>
        <v/>
      </c>
    </row>
    <row r="173">
      <c r="A173" t="inlineStr">
        <is>
          <t>KR-00094</t>
        </is>
      </c>
      <c r="B173" t="inlineStr">
        <is>
          <t>C-0273</t>
        </is>
      </c>
      <c r="C173" t="inlineStr">
        <is>
          <t>Business</t>
        </is>
      </c>
      <c r="D173" t="inlineStr">
        <is>
          <t>app</t>
        </is>
      </c>
      <c r="E173" s="7" t="n">
        <v>46124</v>
      </c>
      <c r="F173" t="n">
        <v>1696000</v>
      </c>
      <c r="G173" t="n">
        <v>1017600</v>
      </c>
      <c r="H173" t="inlineStr">
        <is>
          <t>2026-04-14</t>
        </is>
      </c>
      <c r="I173">
        <f>IF(MONTH(E173)&lt;=6,"Q1","Q2")</f>
        <v/>
      </c>
      <c r="J173">
        <f>YEAR(E173)*100+MONTH(E173)</f>
        <v/>
      </c>
      <c r="K173">
        <f>IF(COUNTIF($A$2:A173,A173)=1,1,0)</f>
        <v/>
      </c>
      <c r="L173">
        <f>IF(K173=1,IF(COUNTIFS($B$2:B173,B173,$I$2:I173,I173,$K$2:K173,1)=1,1,0),0)</f>
        <v/>
      </c>
      <c r="M173">
        <f>IF(Tree!$C$4="once per order",F173*K173,F173)</f>
        <v/>
      </c>
      <c r="N173">
        <f>IF(Tree!$C$4="once per order",K173,1)</f>
        <v/>
      </c>
      <c r="O173">
        <f>IF(Tree!$C$4="once per order",L173,1)</f>
        <v/>
      </c>
    </row>
    <row r="174">
      <c r="A174" t="inlineStr">
        <is>
          <t>KR-00094</t>
        </is>
      </c>
      <c r="B174" t="inlineStr">
        <is>
          <t>C-0273</t>
        </is>
      </c>
      <c r="C174" t="inlineStr">
        <is>
          <t>Business</t>
        </is>
      </c>
      <c r="D174" t="inlineStr">
        <is>
          <t>app</t>
        </is>
      </c>
      <c r="E174" s="7" t="n">
        <v>46124</v>
      </c>
      <c r="F174" t="n">
        <v>1696000</v>
      </c>
      <c r="G174" t="n">
        <v>678400</v>
      </c>
      <c r="H174" t="inlineStr">
        <is>
          <t>2026-04-14</t>
        </is>
      </c>
      <c r="I174">
        <f>IF(MONTH(E174)&lt;=6,"Q1","Q2")</f>
        <v/>
      </c>
      <c r="J174">
        <f>YEAR(E174)*100+MONTH(E174)</f>
        <v/>
      </c>
      <c r="K174">
        <f>IF(COUNTIF($A$2:A174,A174)=1,1,0)</f>
        <v/>
      </c>
      <c r="L174">
        <f>IF(K174=1,IF(COUNTIFS($B$2:B174,B174,$I$2:I174,I174,$K$2:K174,1)=1,1,0),0)</f>
        <v/>
      </c>
      <c r="M174">
        <f>IF(Tree!$C$4="once per order",F174*K174,F174)</f>
        <v/>
      </c>
      <c r="N174">
        <f>IF(Tree!$C$4="once per order",K174,1)</f>
        <v/>
      </c>
      <c r="O174">
        <f>IF(Tree!$C$4="once per order",L174,1)</f>
        <v/>
      </c>
    </row>
    <row r="175">
      <c r="A175" t="inlineStr">
        <is>
          <t>KR-00095</t>
        </is>
      </c>
      <c r="B175" t="inlineStr">
        <is>
          <t>C-0306</t>
        </is>
      </c>
      <c r="C175" t="inlineStr">
        <is>
          <t>Business</t>
        </is>
      </c>
      <c r="D175" t="inlineStr">
        <is>
          <t>store</t>
        </is>
      </c>
      <c r="E175" s="7" t="n">
        <v>46157</v>
      </c>
      <c r="F175" t="n">
        <v>484000</v>
      </c>
      <c r="G175" t="n">
        <v>290400</v>
      </c>
      <c r="H175" t="inlineStr">
        <is>
          <t>2026-05-17</t>
        </is>
      </c>
      <c r="I175">
        <f>IF(MONTH(E175)&lt;=6,"Q1","Q2")</f>
        <v/>
      </c>
      <c r="J175">
        <f>YEAR(E175)*100+MONTH(E175)</f>
        <v/>
      </c>
      <c r="K175">
        <f>IF(COUNTIF($A$2:A175,A175)=1,1,0)</f>
        <v/>
      </c>
      <c r="L175">
        <f>IF(K175=1,IF(COUNTIFS($B$2:B175,B175,$I$2:I175,I175,$K$2:K175,1)=1,1,0),0)</f>
        <v/>
      </c>
      <c r="M175">
        <f>IF(Tree!$C$4="once per order",F175*K175,F175)</f>
        <v/>
      </c>
      <c r="N175">
        <f>IF(Tree!$C$4="once per order",K175,1)</f>
        <v/>
      </c>
      <c r="O175">
        <f>IF(Tree!$C$4="once per order",L175,1)</f>
        <v/>
      </c>
    </row>
    <row r="176">
      <c r="A176" t="inlineStr">
        <is>
          <t>KR-00095</t>
        </is>
      </c>
      <c r="B176" t="inlineStr">
        <is>
          <t>C-0306</t>
        </is>
      </c>
      <c r="C176" t="inlineStr">
        <is>
          <t>Business</t>
        </is>
      </c>
      <c r="D176" t="inlineStr">
        <is>
          <t>store</t>
        </is>
      </c>
      <c r="E176" s="7" t="n">
        <v>46157</v>
      </c>
      <c r="F176" t="n">
        <v>484000</v>
      </c>
      <c r="G176" t="n">
        <v>193600</v>
      </c>
      <c r="H176" t="inlineStr">
        <is>
          <t>2026-05-17</t>
        </is>
      </c>
      <c r="I176">
        <f>IF(MONTH(E176)&lt;=6,"Q1","Q2")</f>
        <v/>
      </c>
      <c r="J176">
        <f>YEAR(E176)*100+MONTH(E176)</f>
        <v/>
      </c>
      <c r="K176">
        <f>IF(COUNTIF($A$2:A176,A176)=1,1,0)</f>
        <v/>
      </c>
      <c r="L176">
        <f>IF(K176=1,IF(COUNTIFS($B$2:B176,B176,$I$2:I176,I176,$K$2:K176,1)=1,1,0),0)</f>
        <v/>
      </c>
      <c r="M176">
        <f>IF(Tree!$C$4="once per order",F176*K176,F176)</f>
        <v/>
      </c>
      <c r="N176">
        <f>IF(Tree!$C$4="once per order",K176,1)</f>
        <v/>
      </c>
      <c r="O176">
        <f>IF(Tree!$C$4="once per order",L176,1)</f>
        <v/>
      </c>
    </row>
    <row r="177">
      <c r="A177" t="inlineStr">
        <is>
          <t>KR-00096</t>
        </is>
      </c>
      <c r="B177" t="inlineStr">
        <is>
          <t>C-0285</t>
        </is>
      </c>
      <c r="C177" t="inlineStr">
        <is>
          <t>Business</t>
        </is>
      </c>
      <c r="D177" t="inlineStr">
        <is>
          <t>web</t>
        </is>
      </c>
      <c r="E177" s="7" t="n">
        <v>46198</v>
      </c>
      <c r="F177" t="n">
        <v>1481000</v>
      </c>
      <c r="G177" t="n">
        <v>888600</v>
      </c>
      <c r="H177" t="inlineStr">
        <is>
          <t>2026-06-27</t>
        </is>
      </c>
      <c r="I177">
        <f>IF(MONTH(E177)&lt;=6,"Q1","Q2")</f>
        <v/>
      </c>
      <c r="J177">
        <f>YEAR(E177)*100+MONTH(E177)</f>
        <v/>
      </c>
      <c r="K177">
        <f>IF(COUNTIF($A$2:A177,A177)=1,1,0)</f>
        <v/>
      </c>
      <c r="L177">
        <f>IF(K177=1,IF(COUNTIFS($B$2:B177,B177,$I$2:I177,I177,$K$2:K177,1)=1,1,0),0)</f>
        <v/>
      </c>
      <c r="M177">
        <f>IF(Tree!$C$4="once per order",F177*K177,F177)</f>
        <v/>
      </c>
      <c r="N177">
        <f>IF(Tree!$C$4="once per order",K177,1)</f>
        <v/>
      </c>
      <c r="O177">
        <f>IF(Tree!$C$4="once per order",L177,1)</f>
        <v/>
      </c>
    </row>
    <row r="178">
      <c r="A178" t="inlineStr">
        <is>
          <t>KR-00096</t>
        </is>
      </c>
      <c r="B178" t="inlineStr">
        <is>
          <t>C-0285</t>
        </is>
      </c>
      <c r="C178" t="inlineStr">
        <is>
          <t>Business</t>
        </is>
      </c>
      <c r="D178" t="inlineStr">
        <is>
          <t>web</t>
        </is>
      </c>
      <c r="E178" s="7" t="n">
        <v>46198</v>
      </c>
      <c r="F178" t="n">
        <v>1481000</v>
      </c>
      <c r="G178" t="n">
        <v>592400</v>
      </c>
      <c r="H178" t="inlineStr">
        <is>
          <t>2026-06-27</t>
        </is>
      </c>
      <c r="I178">
        <f>IF(MONTH(E178)&lt;=6,"Q1","Q2")</f>
        <v/>
      </c>
      <c r="J178">
        <f>YEAR(E178)*100+MONTH(E178)</f>
        <v/>
      </c>
      <c r="K178">
        <f>IF(COUNTIF($A$2:A178,A178)=1,1,0)</f>
        <v/>
      </c>
      <c r="L178">
        <f>IF(K178=1,IF(COUNTIFS($B$2:B178,B178,$I$2:I178,I178,$K$2:K178,1)=1,1,0),0)</f>
        <v/>
      </c>
      <c r="M178">
        <f>IF(Tree!$C$4="once per order",F178*K178,F178)</f>
        <v/>
      </c>
      <c r="N178">
        <f>IF(Tree!$C$4="once per order",K178,1)</f>
        <v/>
      </c>
      <c r="O178">
        <f>IF(Tree!$C$4="once per order",L178,1)</f>
        <v/>
      </c>
    </row>
    <row r="179">
      <c r="A179" t="inlineStr">
        <is>
          <t>KR-00097</t>
        </is>
      </c>
      <c r="B179" t="inlineStr">
        <is>
          <t>C-0308</t>
        </is>
      </c>
      <c r="C179" t="inlineStr">
        <is>
          <t>Business</t>
        </is>
      </c>
      <c r="D179" t="inlineStr">
        <is>
          <t>app</t>
        </is>
      </c>
      <c r="E179" s="7" t="n">
        <v>46116</v>
      </c>
      <c r="F179" t="n">
        <v>438000</v>
      </c>
      <c r="G179" t="n">
        <v>262800</v>
      </c>
      <c r="H179" t="inlineStr">
        <is>
          <t>2026-04-06</t>
        </is>
      </c>
      <c r="I179">
        <f>IF(MONTH(E179)&lt;=6,"Q1","Q2")</f>
        <v/>
      </c>
      <c r="J179">
        <f>YEAR(E179)*100+MONTH(E179)</f>
        <v/>
      </c>
      <c r="K179">
        <f>IF(COUNTIF($A$2:A179,A179)=1,1,0)</f>
        <v/>
      </c>
      <c r="L179">
        <f>IF(K179=1,IF(COUNTIFS($B$2:B179,B179,$I$2:I179,I179,$K$2:K179,1)=1,1,0),0)</f>
        <v/>
      </c>
      <c r="M179">
        <f>IF(Tree!$C$4="once per order",F179*K179,F179)</f>
        <v/>
      </c>
      <c r="N179">
        <f>IF(Tree!$C$4="once per order",K179,1)</f>
        <v/>
      </c>
      <c r="O179">
        <f>IF(Tree!$C$4="once per order",L179,1)</f>
        <v/>
      </c>
    </row>
    <row r="180">
      <c r="A180" t="inlineStr">
        <is>
          <t>KR-00097</t>
        </is>
      </c>
      <c r="B180" t="inlineStr">
        <is>
          <t>C-0308</t>
        </is>
      </c>
      <c r="C180" t="inlineStr">
        <is>
          <t>Business</t>
        </is>
      </c>
      <c r="D180" t="inlineStr">
        <is>
          <t>app</t>
        </is>
      </c>
      <c r="E180" s="7" t="n">
        <v>46116</v>
      </c>
      <c r="F180" t="n">
        <v>438000</v>
      </c>
      <c r="G180" t="n">
        <v>175200</v>
      </c>
      <c r="H180" t="inlineStr">
        <is>
          <t>2026-04-06</t>
        </is>
      </c>
      <c r="I180">
        <f>IF(MONTH(E180)&lt;=6,"Q1","Q2")</f>
        <v/>
      </c>
      <c r="J180">
        <f>YEAR(E180)*100+MONTH(E180)</f>
        <v/>
      </c>
      <c r="K180">
        <f>IF(COUNTIF($A$2:A180,A180)=1,1,0)</f>
        <v/>
      </c>
      <c r="L180">
        <f>IF(K180=1,IF(COUNTIFS($B$2:B180,B180,$I$2:I180,I180,$K$2:K180,1)=1,1,0),0)</f>
        <v/>
      </c>
      <c r="M180">
        <f>IF(Tree!$C$4="once per order",F180*K180,F180)</f>
        <v/>
      </c>
      <c r="N180">
        <f>IF(Tree!$C$4="once per order",K180,1)</f>
        <v/>
      </c>
      <c r="O180">
        <f>IF(Tree!$C$4="once per order",L180,1)</f>
        <v/>
      </c>
    </row>
    <row r="181">
      <c r="A181" t="inlineStr">
        <is>
          <t>KR-00098</t>
        </is>
      </c>
      <c r="B181" t="inlineStr">
        <is>
          <t>C-0283</t>
        </is>
      </c>
      <c r="C181" t="inlineStr">
        <is>
          <t>Business</t>
        </is>
      </c>
      <c r="D181" t="inlineStr">
        <is>
          <t>web</t>
        </is>
      </c>
      <c r="E181" s="7" t="n">
        <v>46151</v>
      </c>
      <c r="F181" t="n">
        <v>360000</v>
      </c>
      <c r="G181" t="n">
        <v>216000</v>
      </c>
      <c r="H181" t="inlineStr">
        <is>
          <t>2026-05-11</t>
        </is>
      </c>
      <c r="I181">
        <f>IF(MONTH(E181)&lt;=6,"Q1","Q2")</f>
        <v/>
      </c>
      <c r="J181">
        <f>YEAR(E181)*100+MONTH(E181)</f>
        <v/>
      </c>
      <c r="K181">
        <f>IF(COUNTIF($A$2:A181,A181)=1,1,0)</f>
        <v/>
      </c>
      <c r="L181">
        <f>IF(K181=1,IF(COUNTIFS($B$2:B181,B181,$I$2:I181,I181,$K$2:K181,1)=1,1,0),0)</f>
        <v/>
      </c>
      <c r="M181">
        <f>IF(Tree!$C$4="once per order",F181*K181,F181)</f>
        <v/>
      </c>
      <c r="N181">
        <f>IF(Tree!$C$4="once per order",K181,1)</f>
        <v/>
      </c>
      <c r="O181">
        <f>IF(Tree!$C$4="once per order",L181,1)</f>
        <v/>
      </c>
    </row>
    <row r="182">
      <c r="A182" t="inlineStr">
        <is>
          <t>KR-00098</t>
        </is>
      </c>
      <c r="B182" t="inlineStr">
        <is>
          <t>C-0283</t>
        </is>
      </c>
      <c r="C182" t="inlineStr">
        <is>
          <t>Business</t>
        </is>
      </c>
      <c r="D182" t="inlineStr">
        <is>
          <t>web</t>
        </is>
      </c>
      <c r="E182" s="7" t="n">
        <v>46151</v>
      </c>
      <c r="F182" t="n">
        <v>360000</v>
      </c>
      <c r="G182" t="n">
        <v>144000</v>
      </c>
      <c r="H182" t="inlineStr">
        <is>
          <t>2026-05-11</t>
        </is>
      </c>
      <c r="I182">
        <f>IF(MONTH(E182)&lt;=6,"Q1","Q2")</f>
        <v/>
      </c>
      <c r="J182">
        <f>YEAR(E182)*100+MONTH(E182)</f>
        <v/>
      </c>
      <c r="K182">
        <f>IF(COUNTIF($A$2:A182,A182)=1,1,0)</f>
        <v/>
      </c>
      <c r="L182">
        <f>IF(K182=1,IF(COUNTIFS($B$2:B182,B182,$I$2:I182,I182,$K$2:K182,1)=1,1,0),0)</f>
        <v/>
      </c>
      <c r="M182">
        <f>IF(Tree!$C$4="once per order",F182*K182,F182)</f>
        <v/>
      </c>
      <c r="N182">
        <f>IF(Tree!$C$4="once per order",K182,1)</f>
        <v/>
      </c>
      <c r="O182">
        <f>IF(Tree!$C$4="once per order",L182,1)</f>
        <v/>
      </c>
    </row>
    <row r="183">
      <c r="A183" t="inlineStr">
        <is>
          <t>KR-00099</t>
        </is>
      </c>
      <c r="B183" t="inlineStr">
        <is>
          <t>C-0302</t>
        </is>
      </c>
      <c r="C183" t="inlineStr">
        <is>
          <t>Business</t>
        </is>
      </c>
      <c r="D183" t="inlineStr">
        <is>
          <t>web</t>
        </is>
      </c>
      <c r="E183" s="7" t="n">
        <v>46196</v>
      </c>
      <c r="F183" t="n">
        <v>567000</v>
      </c>
      <c r="G183" t="n">
        <v>340200</v>
      </c>
      <c r="H183" t="inlineStr">
        <is>
          <t>2026-06-25</t>
        </is>
      </c>
      <c r="I183">
        <f>IF(MONTH(E183)&lt;=6,"Q1","Q2")</f>
        <v/>
      </c>
      <c r="J183">
        <f>YEAR(E183)*100+MONTH(E183)</f>
        <v/>
      </c>
      <c r="K183">
        <f>IF(COUNTIF($A$2:A183,A183)=1,1,0)</f>
        <v/>
      </c>
      <c r="L183">
        <f>IF(K183=1,IF(COUNTIFS($B$2:B183,B183,$I$2:I183,I183,$K$2:K183,1)=1,1,0),0)</f>
        <v/>
      </c>
      <c r="M183">
        <f>IF(Tree!$C$4="once per order",F183*K183,F183)</f>
        <v/>
      </c>
      <c r="N183">
        <f>IF(Tree!$C$4="once per order",K183,1)</f>
        <v/>
      </c>
      <c r="O183">
        <f>IF(Tree!$C$4="once per order",L183,1)</f>
        <v/>
      </c>
    </row>
    <row r="184">
      <c r="A184" t="inlineStr">
        <is>
          <t>KR-00099</t>
        </is>
      </c>
      <c r="B184" t="inlineStr">
        <is>
          <t>C-0302</t>
        </is>
      </c>
      <c r="C184" t="inlineStr">
        <is>
          <t>Business</t>
        </is>
      </c>
      <c r="D184" t="inlineStr">
        <is>
          <t>web</t>
        </is>
      </c>
      <c r="E184" s="7" t="n">
        <v>46196</v>
      </c>
      <c r="F184" t="n">
        <v>567000</v>
      </c>
      <c r="G184" t="n">
        <v>226800</v>
      </c>
      <c r="H184" t="inlineStr">
        <is>
          <t>2026-06-25</t>
        </is>
      </c>
      <c r="I184">
        <f>IF(MONTH(E184)&lt;=6,"Q1","Q2")</f>
        <v/>
      </c>
      <c r="J184">
        <f>YEAR(E184)*100+MONTH(E184)</f>
        <v/>
      </c>
      <c r="K184">
        <f>IF(COUNTIF($A$2:A184,A184)=1,1,0)</f>
        <v/>
      </c>
      <c r="L184">
        <f>IF(K184=1,IF(COUNTIFS($B$2:B184,B184,$I$2:I184,I184,$K$2:K184,1)=1,1,0),0)</f>
        <v/>
      </c>
      <c r="M184">
        <f>IF(Tree!$C$4="once per order",F184*K184,F184)</f>
        <v/>
      </c>
      <c r="N184">
        <f>IF(Tree!$C$4="once per order",K184,1)</f>
        <v/>
      </c>
      <c r="O184">
        <f>IF(Tree!$C$4="once per order",L184,1)</f>
        <v/>
      </c>
    </row>
    <row r="185">
      <c r="A185" t="inlineStr">
        <is>
          <t>KR-00100</t>
        </is>
      </c>
      <c r="B185" t="inlineStr">
        <is>
          <t>C-0282</t>
        </is>
      </c>
      <c r="C185" t="inlineStr">
        <is>
          <t>Business</t>
        </is>
      </c>
      <c r="D185" t="inlineStr">
        <is>
          <t>web</t>
        </is>
      </c>
      <c r="E185" s="7" t="n">
        <v>46124</v>
      </c>
      <c r="F185" t="n">
        <v>400000</v>
      </c>
      <c r="G185" t="n">
        <v>240000</v>
      </c>
      <c r="H185" t="inlineStr">
        <is>
          <t>2026-04-14</t>
        </is>
      </c>
      <c r="I185">
        <f>IF(MONTH(E185)&lt;=6,"Q1","Q2")</f>
        <v/>
      </c>
      <c r="J185">
        <f>YEAR(E185)*100+MONTH(E185)</f>
        <v/>
      </c>
      <c r="K185">
        <f>IF(COUNTIF($A$2:A185,A185)=1,1,0)</f>
        <v/>
      </c>
      <c r="L185">
        <f>IF(K185=1,IF(COUNTIFS($B$2:B185,B185,$I$2:I185,I185,$K$2:K185,1)=1,1,0),0)</f>
        <v/>
      </c>
      <c r="M185">
        <f>IF(Tree!$C$4="once per order",F185*K185,F185)</f>
        <v/>
      </c>
      <c r="N185">
        <f>IF(Tree!$C$4="once per order",K185,1)</f>
        <v/>
      </c>
      <c r="O185">
        <f>IF(Tree!$C$4="once per order",L185,1)</f>
        <v/>
      </c>
    </row>
    <row r="186">
      <c r="A186" t="inlineStr">
        <is>
          <t>KR-00100</t>
        </is>
      </c>
      <c r="B186" t="inlineStr">
        <is>
          <t>C-0282</t>
        </is>
      </c>
      <c r="C186" t="inlineStr">
        <is>
          <t>Business</t>
        </is>
      </c>
      <c r="D186" t="inlineStr">
        <is>
          <t>web</t>
        </is>
      </c>
      <c r="E186" s="7" t="n">
        <v>46124</v>
      </c>
      <c r="F186" t="n">
        <v>400000</v>
      </c>
      <c r="G186" t="n">
        <v>160000</v>
      </c>
      <c r="H186" t="inlineStr">
        <is>
          <t>2026-04-14</t>
        </is>
      </c>
      <c r="I186">
        <f>IF(MONTH(E186)&lt;=6,"Q1","Q2")</f>
        <v/>
      </c>
      <c r="J186">
        <f>YEAR(E186)*100+MONTH(E186)</f>
        <v/>
      </c>
      <c r="K186">
        <f>IF(COUNTIF($A$2:A186,A186)=1,1,0)</f>
        <v/>
      </c>
      <c r="L186">
        <f>IF(K186=1,IF(COUNTIFS($B$2:B186,B186,$I$2:I186,I186,$K$2:K186,1)=1,1,0),0)</f>
        <v/>
      </c>
      <c r="M186">
        <f>IF(Tree!$C$4="once per order",F186*K186,F186)</f>
        <v/>
      </c>
      <c r="N186">
        <f>IF(Tree!$C$4="once per order",K186,1)</f>
        <v/>
      </c>
      <c r="O186">
        <f>IF(Tree!$C$4="once per order",L186,1)</f>
        <v/>
      </c>
    </row>
    <row r="187">
      <c r="A187" t="inlineStr">
        <is>
          <t>KR-00101</t>
        </is>
      </c>
      <c r="B187" t="inlineStr">
        <is>
          <t>C-0276</t>
        </is>
      </c>
      <c r="C187" t="inlineStr">
        <is>
          <t>Business</t>
        </is>
      </c>
      <c r="D187" t="inlineStr">
        <is>
          <t>store</t>
        </is>
      </c>
      <c r="E187" s="7" t="n">
        <v>46159</v>
      </c>
      <c r="F187" t="n">
        <v>283000</v>
      </c>
      <c r="G187" t="n">
        <v>169800</v>
      </c>
      <c r="H187" t="inlineStr">
        <is>
          <t>2026-05-19</t>
        </is>
      </c>
      <c r="I187">
        <f>IF(MONTH(E187)&lt;=6,"Q1","Q2")</f>
        <v/>
      </c>
      <c r="J187">
        <f>YEAR(E187)*100+MONTH(E187)</f>
        <v/>
      </c>
      <c r="K187">
        <f>IF(COUNTIF($A$2:A187,A187)=1,1,0)</f>
        <v/>
      </c>
      <c r="L187">
        <f>IF(K187=1,IF(COUNTIFS($B$2:B187,B187,$I$2:I187,I187,$K$2:K187,1)=1,1,0),0)</f>
        <v/>
      </c>
      <c r="M187">
        <f>IF(Tree!$C$4="once per order",F187*K187,F187)</f>
        <v/>
      </c>
      <c r="N187">
        <f>IF(Tree!$C$4="once per order",K187,1)</f>
        <v/>
      </c>
      <c r="O187">
        <f>IF(Tree!$C$4="once per order",L187,1)</f>
        <v/>
      </c>
    </row>
    <row r="188">
      <c r="A188" t="inlineStr">
        <is>
          <t>KR-00101</t>
        </is>
      </c>
      <c r="B188" t="inlineStr">
        <is>
          <t>C-0276</t>
        </is>
      </c>
      <c r="C188" t="inlineStr">
        <is>
          <t>Business</t>
        </is>
      </c>
      <c r="D188" t="inlineStr">
        <is>
          <t>store</t>
        </is>
      </c>
      <c r="E188" s="7" t="n">
        <v>46159</v>
      </c>
      <c r="F188" t="n">
        <v>283000</v>
      </c>
      <c r="G188" t="n">
        <v>113200</v>
      </c>
      <c r="H188" t="inlineStr">
        <is>
          <t>2026-05-19</t>
        </is>
      </c>
      <c r="I188">
        <f>IF(MONTH(E188)&lt;=6,"Q1","Q2")</f>
        <v/>
      </c>
      <c r="J188">
        <f>YEAR(E188)*100+MONTH(E188)</f>
        <v/>
      </c>
      <c r="K188">
        <f>IF(COUNTIF($A$2:A188,A188)=1,1,0)</f>
        <v/>
      </c>
      <c r="L188">
        <f>IF(K188=1,IF(COUNTIFS($B$2:B188,B188,$I$2:I188,I188,$K$2:K188,1)=1,1,0),0)</f>
        <v/>
      </c>
      <c r="M188">
        <f>IF(Tree!$C$4="once per order",F188*K188,F188)</f>
        <v/>
      </c>
      <c r="N188">
        <f>IF(Tree!$C$4="once per order",K188,1)</f>
        <v/>
      </c>
      <c r="O188">
        <f>IF(Tree!$C$4="once per order",L188,1)</f>
        <v/>
      </c>
    </row>
    <row r="189">
      <c r="A189" t="inlineStr">
        <is>
          <t>KR-00102</t>
        </is>
      </c>
      <c r="B189" t="inlineStr">
        <is>
          <t>C-0279</t>
        </is>
      </c>
      <c r="C189" t="inlineStr">
        <is>
          <t>Business</t>
        </is>
      </c>
      <c r="D189" t="inlineStr">
        <is>
          <t>store</t>
        </is>
      </c>
      <c r="E189" s="7" t="n">
        <v>46174</v>
      </c>
      <c r="F189" t="n">
        <v>553000</v>
      </c>
      <c r="G189" t="n">
        <v>331800</v>
      </c>
      <c r="H189" t="inlineStr">
        <is>
          <t>2026-06-03</t>
        </is>
      </c>
      <c r="I189">
        <f>IF(MONTH(E189)&lt;=6,"Q1","Q2")</f>
        <v/>
      </c>
      <c r="J189">
        <f>YEAR(E189)*100+MONTH(E189)</f>
        <v/>
      </c>
      <c r="K189">
        <f>IF(COUNTIF($A$2:A189,A189)=1,1,0)</f>
        <v/>
      </c>
      <c r="L189">
        <f>IF(K189=1,IF(COUNTIFS($B$2:B189,B189,$I$2:I189,I189,$K$2:K189,1)=1,1,0),0)</f>
        <v/>
      </c>
      <c r="M189">
        <f>IF(Tree!$C$4="once per order",F189*K189,F189)</f>
        <v/>
      </c>
      <c r="N189">
        <f>IF(Tree!$C$4="once per order",K189,1)</f>
        <v/>
      </c>
      <c r="O189">
        <f>IF(Tree!$C$4="once per order",L189,1)</f>
        <v/>
      </c>
    </row>
    <row r="190">
      <c r="A190" t="inlineStr">
        <is>
          <t>KR-00102</t>
        </is>
      </c>
      <c r="B190" t="inlineStr">
        <is>
          <t>C-0279</t>
        </is>
      </c>
      <c r="C190" t="inlineStr">
        <is>
          <t>Business</t>
        </is>
      </c>
      <c r="D190" t="inlineStr">
        <is>
          <t>store</t>
        </is>
      </c>
      <c r="E190" s="7" t="n">
        <v>46174</v>
      </c>
      <c r="F190" t="n">
        <v>553000</v>
      </c>
      <c r="G190" t="n">
        <v>221200</v>
      </c>
      <c r="H190" t="inlineStr">
        <is>
          <t>2026-06-03</t>
        </is>
      </c>
      <c r="I190">
        <f>IF(MONTH(E190)&lt;=6,"Q1","Q2")</f>
        <v/>
      </c>
      <c r="J190">
        <f>YEAR(E190)*100+MONTH(E190)</f>
        <v/>
      </c>
      <c r="K190">
        <f>IF(COUNTIF($A$2:A190,A190)=1,1,0)</f>
        <v/>
      </c>
      <c r="L190">
        <f>IF(K190=1,IF(COUNTIFS($B$2:B190,B190,$I$2:I190,I190,$K$2:K190,1)=1,1,0),0)</f>
        <v/>
      </c>
      <c r="M190">
        <f>IF(Tree!$C$4="once per order",F190*K190,F190)</f>
        <v/>
      </c>
      <c r="N190">
        <f>IF(Tree!$C$4="once per order",K190,1)</f>
        <v/>
      </c>
      <c r="O190">
        <f>IF(Tree!$C$4="once per order",L190,1)</f>
        <v/>
      </c>
    </row>
    <row r="191">
      <c r="A191" t="inlineStr">
        <is>
          <t>KR-00103</t>
        </is>
      </c>
      <c r="B191" t="inlineStr">
        <is>
          <t>C-0298</t>
        </is>
      </c>
      <c r="C191" t="inlineStr">
        <is>
          <t>Business</t>
        </is>
      </c>
      <c r="D191" t="inlineStr">
        <is>
          <t>store</t>
        </is>
      </c>
      <c r="E191" s="7" t="n">
        <v>46113</v>
      </c>
      <c r="F191" t="n">
        <v>880000</v>
      </c>
      <c r="G191" t="n">
        <v>528000</v>
      </c>
      <c r="H191" t="inlineStr">
        <is>
          <t>2026-04-03</t>
        </is>
      </c>
      <c r="I191">
        <f>IF(MONTH(E191)&lt;=6,"Q1","Q2")</f>
        <v/>
      </c>
      <c r="J191">
        <f>YEAR(E191)*100+MONTH(E191)</f>
        <v/>
      </c>
      <c r="K191">
        <f>IF(COUNTIF($A$2:A191,A191)=1,1,0)</f>
        <v/>
      </c>
      <c r="L191">
        <f>IF(K191=1,IF(COUNTIFS($B$2:B191,B191,$I$2:I191,I191,$K$2:K191,1)=1,1,0),0)</f>
        <v/>
      </c>
      <c r="M191">
        <f>IF(Tree!$C$4="once per order",F191*K191,F191)</f>
        <v/>
      </c>
      <c r="N191">
        <f>IF(Tree!$C$4="once per order",K191,1)</f>
        <v/>
      </c>
      <c r="O191">
        <f>IF(Tree!$C$4="once per order",L191,1)</f>
        <v/>
      </c>
    </row>
    <row r="192">
      <c r="A192" t="inlineStr">
        <is>
          <t>KR-00103</t>
        </is>
      </c>
      <c r="B192" t="inlineStr">
        <is>
          <t>C-0298</t>
        </is>
      </c>
      <c r="C192" t="inlineStr">
        <is>
          <t>Business</t>
        </is>
      </c>
      <c r="D192" t="inlineStr">
        <is>
          <t>store</t>
        </is>
      </c>
      <c r="E192" s="7" t="n">
        <v>46113</v>
      </c>
      <c r="F192" t="n">
        <v>880000</v>
      </c>
      <c r="G192" t="n">
        <v>352000</v>
      </c>
      <c r="H192" t="inlineStr">
        <is>
          <t>2026-04-03</t>
        </is>
      </c>
      <c r="I192">
        <f>IF(MONTH(E192)&lt;=6,"Q1","Q2")</f>
        <v/>
      </c>
      <c r="J192">
        <f>YEAR(E192)*100+MONTH(E192)</f>
        <v/>
      </c>
      <c r="K192">
        <f>IF(COUNTIF($A$2:A192,A192)=1,1,0)</f>
        <v/>
      </c>
      <c r="L192">
        <f>IF(K192=1,IF(COUNTIFS($B$2:B192,B192,$I$2:I192,I192,$K$2:K192,1)=1,1,0),0)</f>
        <v/>
      </c>
      <c r="M192">
        <f>IF(Tree!$C$4="once per order",F192*K192,F192)</f>
        <v/>
      </c>
      <c r="N192">
        <f>IF(Tree!$C$4="once per order",K192,1)</f>
        <v/>
      </c>
      <c r="O192">
        <f>IF(Tree!$C$4="once per order",L192,1)</f>
        <v/>
      </c>
    </row>
    <row r="193">
      <c r="A193" t="inlineStr">
        <is>
          <t>KR-00104</t>
        </is>
      </c>
      <c r="B193" t="inlineStr">
        <is>
          <t>C-0279</t>
        </is>
      </c>
      <c r="C193" t="inlineStr">
        <is>
          <t>Business</t>
        </is>
      </c>
      <c r="D193" t="inlineStr">
        <is>
          <t>web</t>
        </is>
      </c>
      <c r="E193" s="7" t="n">
        <v>46164</v>
      </c>
      <c r="F193" t="n">
        <v>1127000</v>
      </c>
      <c r="G193" t="n">
        <v>676200</v>
      </c>
      <c r="H193" t="inlineStr">
        <is>
          <t>2026-05-24</t>
        </is>
      </c>
      <c r="I193">
        <f>IF(MONTH(E193)&lt;=6,"Q1","Q2")</f>
        <v/>
      </c>
      <c r="J193">
        <f>YEAR(E193)*100+MONTH(E193)</f>
        <v/>
      </c>
      <c r="K193">
        <f>IF(COUNTIF($A$2:A193,A193)=1,1,0)</f>
        <v/>
      </c>
      <c r="L193">
        <f>IF(K193=1,IF(COUNTIFS($B$2:B193,B193,$I$2:I193,I193,$K$2:K193,1)=1,1,0),0)</f>
        <v/>
      </c>
      <c r="M193">
        <f>IF(Tree!$C$4="once per order",F193*K193,F193)</f>
        <v/>
      </c>
      <c r="N193">
        <f>IF(Tree!$C$4="once per order",K193,1)</f>
        <v/>
      </c>
      <c r="O193">
        <f>IF(Tree!$C$4="once per order",L193,1)</f>
        <v/>
      </c>
    </row>
    <row r="194">
      <c r="A194" t="inlineStr">
        <is>
          <t>KR-00104</t>
        </is>
      </c>
      <c r="B194" t="inlineStr">
        <is>
          <t>C-0279</t>
        </is>
      </c>
      <c r="C194" t="inlineStr">
        <is>
          <t>Business</t>
        </is>
      </c>
      <c r="D194" t="inlineStr">
        <is>
          <t>web</t>
        </is>
      </c>
      <c r="E194" s="7" t="n">
        <v>46164</v>
      </c>
      <c r="F194" t="n">
        <v>1127000</v>
      </c>
      <c r="G194" t="n">
        <v>450800</v>
      </c>
      <c r="H194" t="inlineStr">
        <is>
          <t>2026-05-24</t>
        </is>
      </c>
      <c r="I194">
        <f>IF(MONTH(E194)&lt;=6,"Q1","Q2")</f>
        <v/>
      </c>
      <c r="J194">
        <f>YEAR(E194)*100+MONTH(E194)</f>
        <v/>
      </c>
      <c r="K194">
        <f>IF(COUNTIF($A$2:A194,A194)=1,1,0)</f>
        <v/>
      </c>
      <c r="L194">
        <f>IF(K194=1,IF(COUNTIFS($B$2:B194,B194,$I$2:I194,I194,$K$2:K194,1)=1,1,0),0)</f>
        <v/>
      </c>
      <c r="M194">
        <f>IF(Tree!$C$4="once per order",F194*K194,F194)</f>
        <v/>
      </c>
      <c r="N194">
        <f>IF(Tree!$C$4="once per order",K194,1)</f>
        <v/>
      </c>
      <c r="O194">
        <f>IF(Tree!$C$4="once per order",L194,1)</f>
        <v/>
      </c>
    </row>
    <row r="195">
      <c r="A195" t="inlineStr">
        <is>
          <t>KR-00105</t>
        </is>
      </c>
      <c r="B195" t="inlineStr">
        <is>
          <t>C-0300</t>
        </is>
      </c>
      <c r="C195" t="inlineStr">
        <is>
          <t>Business</t>
        </is>
      </c>
      <c r="D195" t="inlineStr">
        <is>
          <t>app</t>
        </is>
      </c>
      <c r="E195" s="7" t="n">
        <v>46175</v>
      </c>
      <c r="F195" t="n">
        <v>1720000</v>
      </c>
      <c r="G195" t="n">
        <v>1032000</v>
      </c>
      <c r="H195" t="inlineStr">
        <is>
          <t>2026-06-04</t>
        </is>
      </c>
      <c r="I195">
        <f>IF(MONTH(E195)&lt;=6,"Q1","Q2")</f>
        <v/>
      </c>
      <c r="J195">
        <f>YEAR(E195)*100+MONTH(E195)</f>
        <v/>
      </c>
      <c r="K195">
        <f>IF(COUNTIF($A$2:A195,A195)=1,1,0)</f>
        <v/>
      </c>
      <c r="L195">
        <f>IF(K195=1,IF(COUNTIFS($B$2:B195,B195,$I$2:I195,I195,$K$2:K195,1)=1,1,0),0)</f>
        <v/>
      </c>
      <c r="M195">
        <f>IF(Tree!$C$4="once per order",F195*K195,F195)</f>
        <v/>
      </c>
      <c r="N195">
        <f>IF(Tree!$C$4="once per order",K195,1)</f>
        <v/>
      </c>
      <c r="O195">
        <f>IF(Tree!$C$4="once per order",L195,1)</f>
        <v/>
      </c>
    </row>
    <row r="196">
      <c r="A196" t="inlineStr">
        <is>
          <t>KR-00105</t>
        </is>
      </c>
      <c r="B196" t="inlineStr">
        <is>
          <t>C-0300</t>
        </is>
      </c>
      <c r="C196" t="inlineStr">
        <is>
          <t>Business</t>
        </is>
      </c>
      <c r="D196" t="inlineStr">
        <is>
          <t>app</t>
        </is>
      </c>
      <c r="E196" s="7" t="n">
        <v>46175</v>
      </c>
      <c r="F196" t="n">
        <v>1720000</v>
      </c>
      <c r="G196" t="n">
        <v>688000</v>
      </c>
      <c r="H196" t="inlineStr">
        <is>
          <t>2026-06-04</t>
        </is>
      </c>
      <c r="I196">
        <f>IF(MONTH(E196)&lt;=6,"Q1","Q2")</f>
        <v/>
      </c>
      <c r="J196">
        <f>YEAR(E196)*100+MONTH(E196)</f>
        <v/>
      </c>
      <c r="K196">
        <f>IF(COUNTIF($A$2:A196,A196)=1,1,0)</f>
        <v/>
      </c>
      <c r="L196">
        <f>IF(K196=1,IF(COUNTIFS($B$2:B196,B196,$I$2:I196,I196,$K$2:K196,1)=1,1,0),0)</f>
        <v/>
      </c>
      <c r="M196">
        <f>IF(Tree!$C$4="once per order",F196*K196,F196)</f>
        <v/>
      </c>
      <c r="N196">
        <f>IF(Tree!$C$4="once per order",K196,1)</f>
        <v/>
      </c>
      <c r="O196">
        <f>IF(Tree!$C$4="once per order",L196,1)</f>
        <v/>
      </c>
    </row>
    <row r="197">
      <c r="A197" t="inlineStr">
        <is>
          <t>KR-00106</t>
        </is>
      </c>
      <c r="B197" t="inlineStr">
        <is>
          <t>C-0282</t>
        </is>
      </c>
      <c r="C197" t="inlineStr">
        <is>
          <t>Business</t>
        </is>
      </c>
      <c r="D197" t="inlineStr">
        <is>
          <t>store</t>
        </is>
      </c>
      <c r="E197" s="7" t="n">
        <v>46117</v>
      </c>
      <c r="F197" t="n">
        <v>323000</v>
      </c>
      <c r="G197" t="n">
        <v>193800</v>
      </c>
      <c r="H197" t="inlineStr">
        <is>
          <t>2026-04-07</t>
        </is>
      </c>
      <c r="I197">
        <f>IF(MONTH(E197)&lt;=6,"Q1","Q2")</f>
        <v/>
      </c>
      <c r="J197">
        <f>YEAR(E197)*100+MONTH(E197)</f>
        <v/>
      </c>
      <c r="K197">
        <f>IF(COUNTIF($A$2:A197,A197)=1,1,0)</f>
        <v/>
      </c>
      <c r="L197">
        <f>IF(K197=1,IF(COUNTIFS($B$2:B197,B197,$I$2:I197,I197,$K$2:K197,1)=1,1,0),0)</f>
        <v/>
      </c>
      <c r="M197">
        <f>IF(Tree!$C$4="once per order",F197*K197,F197)</f>
        <v/>
      </c>
      <c r="N197">
        <f>IF(Tree!$C$4="once per order",K197,1)</f>
        <v/>
      </c>
      <c r="O197">
        <f>IF(Tree!$C$4="once per order",L197,1)</f>
        <v/>
      </c>
    </row>
    <row r="198">
      <c r="A198" t="inlineStr">
        <is>
          <t>KR-00106</t>
        </is>
      </c>
      <c r="B198" t="inlineStr">
        <is>
          <t>C-0282</t>
        </is>
      </c>
      <c r="C198" t="inlineStr">
        <is>
          <t>Business</t>
        </is>
      </c>
      <c r="D198" t="inlineStr">
        <is>
          <t>store</t>
        </is>
      </c>
      <c r="E198" s="7" t="n">
        <v>46117</v>
      </c>
      <c r="F198" t="n">
        <v>323000</v>
      </c>
      <c r="G198" t="n">
        <v>129200</v>
      </c>
      <c r="H198" t="inlineStr">
        <is>
          <t>2026-04-07</t>
        </is>
      </c>
      <c r="I198">
        <f>IF(MONTH(E198)&lt;=6,"Q1","Q2")</f>
        <v/>
      </c>
      <c r="J198">
        <f>YEAR(E198)*100+MONTH(E198)</f>
        <v/>
      </c>
      <c r="K198">
        <f>IF(COUNTIF($A$2:A198,A198)=1,1,0)</f>
        <v/>
      </c>
      <c r="L198">
        <f>IF(K198=1,IF(COUNTIFS($B$2:B198,B198,$I$2:I198,I198,$K$2:K198,1)=1,1,0),0)</f>
        <v/>
      </c>
      <c r="M198">
        <f>IF(Tree!$C$4="once per order",F198*K198,F198)</f>
        <v/>
      </c>
      <c r="N198">
        <f>IF(Tree!$C$4="once per order",K198,1)</f>
        <v/>
      </c>
      <c r="O198">
        <f>IF(Tree!$C$4="once per order",L198,1)</f>
        <v/>
      </c>
    </row>
    <row r="199">
      <c r="A199" t="inlineStr">
        <is>
          <t>KR-00107</t>
        </is>
      </c>
      <c r="B199" t="inlineStr">
        <is>
          <t>C-0296</t>
        </is>
      </c>
      <c r="C199" t="inlineStr">
        <is>
          <t>Business</t>
        </is>
      </c>
      <c r="D199" t="inlineStr">
        <is>
          <t>web</t>
        </is>
      </c>
      <c r="E199" s="7" t="n">
        <v>46158</v>
      </c>
      <c r="F199" t="n">
        <v>1526000</v>
      </c>
      <c r="G199" t="n">
        <v>915600</v>
      </c>
      <c r="H199" t="inlineStr">
        <is>
          <t>2026-05-18</t>
        </is>
      </c>
      <c r="I199">
        <f>IF(MONTH(E199)&lt;=6,"Q1","Q2")</f>
        <v/>
      </c>
      <c r="J199">
        <f>YEAR(E199)*100+MONTH(E199)</f>
        <v/>
      </c>
      <c r="K199">
        <f>IF(COUNTIF($A$2:A199,A199)=1,1,0)</f>
        <v/>
      </c>
      <c r="L199">
        <f>IF(K199=1,IF(COUNTIFS($B$2:B199,B199,$I$2:I199,I199,$K$2:K199,1)=1,1,0),0)</f>
        <v/>
      </c>
      <c r="M199">
        <f>IF(Tree!$C$4="once per order",F199*K199,F199)</f>
        <v/>
      </c>
      <c r="N199">
        <f>IF(Tree!$C$4="once per order",K199,1)</f>
        <v/>
      </c>
      <c r="O199">
        <f>IF(Tree!$C$4="once per order",L199,1)</f>
        <v/>
      </c>
    </row>
    <row r="200">
      <c r="A200" t="inlineStr">
        <is>
          <t>KR-00107</t>
        </is>
      </c>
      <c r="B200" t="inlineStr">
        <is>
          <t>C-0296</t>
        </is>
      </c>
      <c r="C200" t="inlineStr">
        <is>
          <t>Business</t>
        </is>
      </c>
      <c r="D200" t="inlineStr">
        <is>
          <t>web</t>
        </is>
      </c>
      <c r="E200" s="7" t="n">
        <v>46158</v>
      </c>
      <c r="F200" t="n">
        <v>1526000</v>
      </c>
      <c r="G200" t="n">
        <v>610400</v>
      </c>
      <c r="H200" t="inlineStr">
        <is>
          <t>2026-05-18</t>
        </is>
      </c>
      <c r="I200">
        <f>IF(MONTH(E200)&lt;=6,"Q1","Q2")</f>
        <v/>
      </c>
      <c r="J200">
        <f>YEAR(E200)*100+MONTH(E200)</f>
        <v/>
      </c>
      <c r="K200">
        <f>IF(COUNTIF($A$2:A200,A200)=1,1,0)</f>
        <v/>
      </c>
      <c r="L200">
        <f>IF(K200=1,IF(COUNTIFS($B$2:B200,B200,$I$2:I200,I200,$K$2:K200,1)=1,1,0),0)</f>
        <v/>
      </c>
      <c r="M200">
        <f>IF(Tree!$C$4="once per order",F200*K200,F200)</f>
        <v/>
      </c>
      <c r="N200">
        <f>IF(Tree!$C$4="once per order",K200,1)</f>
        <v/>
      </c>
      <c r="O200">
        <f>IF(Tree!$C$4="once per order",L200,1)</f>
        <v/>
      </c>
    </row>
    <row r="201">
      <c r="A201" t="inlineStr">
        <is>
          <t>KR-00108</t>
        </is>
      </c>
      <c r="B201" t="inlineStr">
        <is>
          <t>C-0275</t>
        </is>
      </c>
      <c r="C201" t="inlineStr">
        <is>
          <t>Business</t>
        </is>
      </c>
      <c r="D201" t="inlineStr">
        <is>
          <t>store</t>
        </is>
      </c>
      <c r="E201" s="7" t="n">
        <v>46186</v>
      </c>
      <c r="F201" t="n">
        <v>1622000</v>
      </c>
      <c r="G201" t="n">
        <v>973200</v>
      </c>
      <c r="H201" t="inlineStr">
        <is>
          <t>2026-06-15</t>
        </is>
      </c>
      <c r="I201">
        <f>IF(MONTH(E201)&lt;=6,"Q1","Q2")</f>
        <v/>
      </c>
      <c r="J201">
        <f>YEAR(E201)*100+MONTH(E201)</f>
        <v/>
      </c>
      <c r="K201">
        <f>IF(COUNTIF($A$2:A201,A201)=1,1,0)</f>
        <v/>
      </c>
      <c r="L201">
        <f>IF(K201=1,IF(COUNTIFS($B$2:B201,B201,$I$2:I201,I201,$K$2:K201,1)=1,1,0),0)</f>
        <v/>
      </c>
      <c r="M201">
        <f>IF(Tree!$C$4="once per order",F201*K201,F201)</f>
        <v/>
      </c>
      <c r="N201">
        <f>IF(Tree!$C$4="once per order",K201,1)</f>
        <v/>
      </c>
      <c r="O201">
        <f>IF(Tree!$C$4="once per order",L201,1)</f>
        <v/>
      </c>
    </row>
    <row r="202">
      <c r="A202" t="inlineStr">
        <is>
          <t>KR-00108</t>
        </is>
      </c>
      <c r="B202" t="inlineStr">
        <is>
          <t>C-0275</t>
        </is>
      </c>
      <c r="C202" t="inlineStr">
        <is>
          <t>Business</t>
        </is>
      </c>
      <c r="D202" t="inlineStr">
        <is>
          <t>store</t>
        </is>
      </c>
      <c r="E202" s="7" t="n">
        <v>46186</v>
      </c>
      <c r="F202" t="n">
        <v>1622000</v>
      </c>
      <c r="G202" t="n">
        <v>648800</v>
      </c>
      <c r="H202" t="inlineStr">
        <is>
          <t>2026-06-15</t>
        </is>
      </c>
      <c r="I202">
        <f>IF(MONTH(E202)&lt;=6,"Q1","Q2")</f>
        <v/>
      </c>
      <c r="J202">
        <f>YEAR(E202)*100+MONTH(E202)</f>
        <v/>
      </c>
      <c r="K202">
        <f>IF(COUNTIF($A$2:A202,A202)=1,1,0)</f>
        <v/>
      </c>
      <c r="L202">
        <f>IF(K202=1,IF(COUNTIFS($B$2:B202,B202,$I$2:I202,I202,$K$2:K202,1)=1,1,0),0)</f>
        <v/>
      </c>
      <c r="M202">
        <f>IF(Tree!$C$4="once per order",F202*K202,F202)</f>
        <v/>
      </c>
      <c r="N202">
        <f>IF(Tree!$C$4="once per order",K202,1)</f>
        <v/>
      </c>
      <c r="O202">
        <f>IF(Tree!$C$4="once per order",L202,1)</f>
        <v/>
      </c>
    </row>
    <row r="203">
      <c r="A203" t="inlineStr">
        <is>
          <t>KR-00109</t>
        </is>
      </c>
      <c r="B203" t="inlineStr">
        <is>
          <t>C-0271</t>
        </is>
      </c>
      <c r="C203" t="inlineStr">
        <is>
          <t>Business</t>
        </is>
      </c>
      <c r="D203" t="inlineStr">
        <is>
          <t>web</t>
        </is>
      </c>
      <c r="E203" s="7" t="n">
        <v>46136</v>
      </c>
      <c r="F203" t="n">
        <v>636000</v>
      </c>
      <c r="G203" t="n">
        <v>381600</v>
      </c>
      <c r="H203" t="inlineStr">
        <is>
          <t>2026-04-26</t>
        </is>
      </c>
      <c r="I203">
        <f>IF(MONTH(E203)&lt;=6,"Q1","Q2")</f>
        <v/>
      </c>
      <c r="J203">
        <f>YEAR(E203)*100+MONTH(E203)</f>
        <v/>
      </c>
      <c r="K203">
        <f>IF(COUNTIF($A$2:A203,A203)=1,1,0)</f>
        <v/>
      </c>
      <c r="L203">
        <f>IF(K203=1,IF(COUNTIFS($B$2:B203,B203,$I$2:I203,I203,$K$2:K203,1)=1,1,0),0)</f>
        <v/>
      </c>
      <c r="M203">
        <f>IF(Tree!$C$4="once per order",F203*K203,F203)</f>
        <v/>
      </c>
      <c r="N203">
        <f>IF(Tree!$C$4="once per order",K203,1)</f>
        <v/>
      </c>
      <c r="O203">
        <f>IF(Tree!$C$4="once per order",L203,1)</f>
        <v/>
      </c>
    </row>
    <row r="204">
      <c r="A204" t="inlineStr">
        <is>
          <t>KR-00109</t>
        </is>
      </c>
      <c r="B204" t="inlineStr">
        <is>
          <t>C-0271</t>
        </is>
      </c>
      <c r="C204" t="inlineStr">
        <is>
          <t>Business</t>
        </is>
      </c>
      <c r="D204" t="inlineStr">
        <is>
          <t>web</t>
        </is>
      </c>
      <c r="E204" s="7" t="n">
        <v>46136</v>
      </c>
      <c r="F204" t="n">
        <v>636000</v>
      </c>
      <c r="G204" t="n">
        <v>254400</v>
      </c>
      <c r="H204" t="inlineStr">
        <is>
          <t>2026-04-26</t>
        </is>
      </c>
      <c r="I204">
        <f>IF(MONTH(E204)&lt;=6,"Q1","Q2")</f>
        <v/>
      </c>
      <c r="J204">
        <f>YEAR(E204)*100+MONTH(E204)</f>
        <v/>
      </c>
      <c r="K204">
        <f>IF(COUNTIF($A$2:A204,A204)=1,1,0)</f>
        <v/>
      </c>
      <c r="L204">
        <f>IF(K204=1,IF(COUNTIFS($B$2:B204,B204,$I$2:I204,I204,$K$2:K204,1)=1,1,0),0)</f>
        <v/>
      </c>
      <c r="M204">
        <f>IF(Tree!$C$4="once per order",F204*K204,F204)</f>
        <v/>
      </c>
      <c r="N204">
        <f>IF(Tree!$C$4="once per order",K204,1)</f>
        <v/>
      </c>
      <c r="O204">
        <f>IF(Tree!$C$4="once per order",L204,1)</f>
        <v/>
      </c>
    </row>
    <row r="205">
      <c r="A205" t="inlineStr">
        <is>
          <t>KR-00110</t>
        </is>
      </c>
      <c r="B205" t="inlineStr">
        <is>
          <t>C-0283</t>
        </is>
      </c>
      <c r="C205" t="inlineStr">
        <is>
          <t>Business</t>
        </is>
      </c>
      <c r="D205" t="inlineStr">
        <is>
          <t>web</t>
        </is>
      </c>
      <c r="E205" s="7" t="n">
        <v>46158</v>
      </c>
      <c r="F205" t="n">
        <v>366000</v>
      </c>
      <c r="G205" t="n">
        <v>219600</v>
      </c>
      <c r="H205" t="inlineStr">
        <is>
          <t>2026-05-18</t>
        </is>
      </c>
      <c r="I205">
        <f>IF(MONTH(E205)&lt;=6,"Q1","Q2")</f>
        <v/>
      </c>
      <c r="J205">
        <f>YEAR(E205)*100+MONTH(E205)</f>
        <v/>
      </c>
      <c r="K205">
        <f>IF(COUNTIF($A$2:A205,A205)=1,1,0)</f>
        <v/>
      </c>
      <c r="L205">
        <f>IF(K205=1,IF(COUNTIFS($B$2:B205,B205,$I$2:I205,I205,$K$2:K205,1)=1,1,0),0)</f>
        <v/>
      </c>
      <c r="M205">
        <f>IF(Tree!$C$4="once per order",F205*K205,F205)</f>
        <v/>
      </c>
      <c r="N205">
        <f>IF(Tree!$C$4="once per order",K205,1)</f>
        <v/>
      </c>
      <c r="O205">
        <f>IF(Tree!$C$4="once per order",L205,1)</f>
        <v/>
      </c>
    </row>
    <row r="206">
      <c r="A206" t="inlineStr">
        <is>
          <t>KR-00110</t>
        </is>
      </c>
      <c r="B206" t="inlineStr">
        <is>
          <t>C-0283</t>
        </is>
      </c>
      <c r="C206" t="inlineStr">
        <is>
          <t>Business</t>
        </is>
      </c>
      <c r="D206" t="inlineStr">
        <is>
          <t>web</t>
        </is>
      </c>
      <c r="E206" s="7" t="n">
        <v>46158</v>
      </c>
      <c r="F206" t="n">
        <v>366000</v>
      </c>
      <c r="G206" t="n">
        <v>146400</v>
      </c>
      <c r="H206" t="inlineStr">
        <is>
          <t>2026-05-18</t>
        </is>
      </c>
      <c r="I206">
        <f>IF(MONTH(E206)&lt;=6,"Q1","Q2")</f>
        <v/>
      </c>
      <c r="J206">
        <f>YEAR(E206)*100+MONTH(E206)</f>
        <v/>
      </c>
      <c r="K206">
        <f>IF(COUNTIF($A$2:A206,A206)=1,1,0)</f>
        <v/>
      </c>
      <c r="L206">
        <f>IF(K206=1,IF(COUNTIFS($B$2:B206,B206,$I$2:I206,I206,$K$2:K206,1)=1,1,0),0)</f>
        <v/>
      </c>
      <c r="M206">
        <f>IF(Tree!$C$4="once per order",F206*K206,F206)</f>
        <v/>
      </c>
      <c r="N206">
        <f>IF(Tree!$C$4="once per order",K206,1)</f>
        <v/>
      </c>
      <c r="O206">
        <f>IF(Tree!$C$4="once per order",L206,1)</f>
        <v/>
      </c>
    </row>
    <row r="207">
      <c r="A207" t="inlineStr">
        <is>
          <t>KR-00111</t>
        </is>
      </c>
      <c r="B207" t="inlineStr">
        <is>
          <t>C-0276</t>
        </is>
      </c>
      <c r="C207" t="inlineStr">
        <is>
          <t>Business</t>
        </is>
      </c>
      <c r="D207" t="inlineStr">
        <is>
          <t>app</t>
        </is>
      </c>
      <c r="E207" s="7" t="n">
        <v>46180</v>
      </c>
      <c r="F207" t="n">
        <v>1011000</v>
      </c>
      <c r="G207" t="n">
        <v>606600</v>
      </c>
      <c r="H207" t="inlineStr">
        <is>
          <t>2026-06-09</t>
        </is>
      </c>
      <c r="I207">
        <f>IF(MONTH(E207)&lt;=6,"Q1","Q2")</f>
        <v/>
      </c>
      <c r="J207">
        <f>YEAR(E207)*100+MONTH(E207)</f>
        <v/>
      </c>
      <c r="K207">
        <f>IF(COUNTIF($A$2:A207,A207)=1,1,0)</f>
        <v/>
      </c>
      <c r="L207">
        <f>IF(K207=1,IF(COUNTIFS($B$2:B207,B207,$I$2:I207,I207,$K$2:K207,1)=1,1,0),0)</f>
        <v/>
      </c>
      <c r="M207">
        <f>IF(Tree!$C$4="once per order",F207*K207,F207)</f>
        <v/>
      </c>
      <c r="N207">
        <f>IF(Tree!$C$4="once per order",K207,1)</f>
        <v/>
      </c>
      <c r="O207">
        <f>IF(Tree!$C$4="once per order",L207,1)</f>
        <v/>
      </c>
    </row>
    <row r="208">
      <c r="A208" t="inlineStr">
        <is>
          <t>KR-00111</t>
        </is>
      </c>
      <c r="B208" t="inlineStr">
        <is>
          <t>C-0276</t>
        </is>
      </c>
      <c r="C208" t="inlineStr">
        <is>
          <t>Business</t>
        </is>
      </c>
      <c r="D208" t="inlineStr">
        <is>
          <t>app</t>
        </is>
      </c>
      <c r="E208" s="7" t="n">
        <v>46180</v>
      </c>
      <c r="F208" t="n">
        <v>1011000</v>
      </c>
      <c r="G208" t="n">
        <v>404400</v>
      </c>
      <c r="H208" t="inlineStr">
        <is>
          <t>2026-06-09</t>
        </is>
      </c>
      <c r="I208">
        <f>IF(MONTH(E208)&lt;=6,"Q1","Q2")</f>
        <v/>
      </c>
      <c r="J208">
        <f>YEAR(E208)*100+MONTH(E208)</f>
        <v/>
      </c>
      <c r="K208">
        <f>IF(COUNTIF($A$2:A208,A208)=1,1,0)</f>
        <v/>
      </c>
      <c r="L208">
        <f>IF(K208=1,IF(COUNTIFS($B$2:B208,B208,$I$2:I208,I208,$K$2:K208,1)=1,1,0),0)</f>
        <v/>
      </c>
      <c r="M208">
        <f>IF(Tree!$C$4="once per order",F208*K208,F208)</f>
        <v/>
      </c>
      <c r="N208">
        <f>IF(Tree!$C$4="once per order",K208,1)</f>
        <v/>
      </c>
      <c r="O208">
        <f>IF(Tree!$C$4="once per order",L208,1)</f>
        <v/>
      </c>
    </row>
    <row r="209">
      <c r="A209" t="inlineStr">
        <is>
          <t>KR-00112</t>
        </is>
      </c>
      <c r="B209" t="inlineStr">
        <is>
          <t>C-0282</t>
        </is>
      </c>
      <c r="C209" t="inlineStr">
        <is>
          <t>Business</t>
        </is>
      </c>
      <c r="D209" t="inlineStr">
        <is>
          <t>web</t>
        </is>
      </c>
      <c r="E209" s="7" t="n">
        <v>46116</v>
      </c>
      <c r="F209" t="n">
        <v>320000</v>
      </c>
      <c r="G209" t="n">
        <v>192000</v>
      </c>
      <c r="H209" t="inlineStr">
        <is>
          <t>2026-04-06</t>
        </is>
      </c>
      <c r="I209">
        <f>IF(MONTH(E209)&lt;=6,"Q1","Q2")</f>
        <v/>
      </c>
      <c r="J209">
        <f>YEAR(E209)*100+MONTH(E209)</f>
        <v/>
      </c>
      <c r="K209">
        <f>IF(COUNTIF($A$2:A209,A209)=1,1,0)</f>
        <v/>
      </c>
      <c r="L209">
        <f>IF(K209=1,IF(COUNTIFS($B$2:B209,B209,$I$2:I209,I209,$K$2:K209,1)=1,1,0),0)</f>
        <v/>
      </c>
      <c r="M209">
        <f>IF(Tree!$C$4="once per order",F209*K209,F209)</f>
        <v/>
      </c>
      <c r="N209">
        <f>IF(Tree!$C$4="once per order",K209,1)</f>
        <v/>
      </c>
      <c r="O209">
        <f>IF(Tree!$C$4="once per order",L209,1)</f>
        <v/>
      </c>
    </row>
    <row r="210">
      <c r="A210" t="inlineStr">
        <is>
          <t>KR-00112</t>
        </is>
      </c>
      <c r="B210" t="inlineStr">
        <is>
          <t>C-0282</t>
        </is>
      </c>
      <c r="C210" t="inlineStr">
        <is>
          <t>Business</t>
        </is>
      </c>
      <c r="D210" t="inlineStr">
        <is>
          <t>web</t>
        </is>
      </c>
      <c r="E210" s="7" t="n">
        <v>46116</v>
      </c>
      <c r="F210" t="n">
        <v>320000</v>
      </c>
      <c r="G210" t="n">
        <v>128000</v>
      </c>
      <c r="H210" t="inlineStr">
        <is>
          <t>2026-04-06</t>
        </is>
      </c>
      <c r="I210">
        <f>IF(MONTH(E210)&lt;=6,"Q1","Q2")</f>
        <v/>
      </c>
      <c r="J210">
        <f>YEAR(E210)*100+MONTH(E210)</f>
        <v/>
      </c>
      <c r="K210">
        <f>IF(COUNTIF($A$2:A210,A210)=1,1,0)</f>
        <v/>
      </c>
      <c r="L210">
        <f>IF(K210=1,IF(COUNTIFS($B$2:B210,B210,$I$2:I210,I210,$K$2:K210,1)=1,1,0),0)</f>
        <v/>
      </c>
      <c r="M210">
        <f>IF(Tree!$C$4="once per order",F210*K210,F210)</f>
        <v/>
      </c>
      <c r="N210">
        <f>IF(Tree!$C$4="once per order",K210,1)</f>
        <v/>
      </c>
      <c r="O210">
        <f>IF(Tree!$C$4="once per order",L210,1)</f>
        <v/>
      </c>
    </row>
    <row r="211">
      <c r="A211" t="inlineStr">
        <is>
          <t>KR-00113</t>
        </is>
      </c>
      <c r="B211" t="inlineStr">
        <is>
          <t>C-0295</t>
        </is>
      </c>
      <c r="C211" t="inlineStr">
        <is>
          <t>Business</t>
        </is>
      </c>
      <c r="D211" t="inlineStr">
        <is>
          <t>web</t>
        </is>
      </c>
      <c r="E211" s="7" t="n">
        <v>46151</v>
      </c>
      <c r="F211" t="n">
        <v>1485000</v>
      </c>
      <c r="G211" t="n">
        <v>891000</v>
      </c>
      <c r="H211" t="inlineStr">
        <is>
          <t>2026-05-11</t>
        </is>
      </c>
      <c r="I211">
        <f>IF(MONTH(E211)&lt;=6,"Q1","Q2")</f>
        <v/>
      </c>
      <c r="J211">
        <f>YEAR(E211)*100+MONTH(E211)</f>
        <v/>
      </c>
      <c r="K211">
        <f>IF(COUNTIF($A$2:A211,A211)=1,1,0)</f>
        <v/>
      </c>
      <c r="L211">
        <f>IF(K211=1,IF(COUNTIFS($B$2:B211,B211,$I$2:I211,I211,$K$2:K211,1)=1,1,0),0)</f>
        <v/>
      </c>
      <c r="M211">
        <f>IF(Tree!$C$4="once per order",F211*K211,F211)</f>
        <v/>
      </c>
      <c r="N211">
        <f>IF(Tree!$C$4="once per order",K211,1)</f>
        <v/>
      </c>
      <c r="O211">
        <f>IF(Tree!$C$4="once per order",L211,1)</f>
        <v/>
      </c>
    </row>
    <row r="212">
      <c r="A212" t="inlineStr">
        <is>
          <t>KR-00113</t>
        </is>
      </c>
      <c r="B212" t="inlineStr">
        <is>
          <t>C-0295</t>
        </is>
      </c>
      <c r="C212" t="inlineStr">
        <is>
          <t>Business</t>
        </is>
      </c>
      <c r="D212" t="inlineStr">
        <is>
          <t>web</t>
        </is>
      </c>
      <c r="E212" s="7" t="n">
        <v>46151</v>
      </c>
      <c r="F212" t="n">
        <v>1485000</v>
      </c>
      <c r="G212" t="n">
        <v>594000</v>
      </c>
      <c r="H212" t="inlineStr">
        <is>
          <t>2026-05-11</t>
        </is>
      </c>
      <c r="I212">
        <f>IF(MONTH(E212)&lt;=6,"Q1","Q2")</f>
        <v/>
      </c>
      <c r="J212">
        <f>YEAR(E212)*100+MONTH(E212)</f>
        <v/>
      </c>
      <c r="K212">
        <f>IF(COUNTIF($A$2:A212,A212)=1,1,0)</f>
        <v/>
      </c>
      <c r="L212">
        <f>IF(K212=1,IF(COUNTIFS($B$2:B212,B212,$I$2:I212,I212,$K$2:K212,1)=1,1,0),0)</f>
        <v/>
      </c>
      <c r="M212">
        <f>IF(Tree!$C$4="once per order",F212*K212,F212)</f>
        <v/>
      </c>
      <c r="N212">
        <f>IF(Tree!$C$4="once per order",K212,1)</f>
        <v/>
      </c>
      <c r="O212">
        <f>IF(Tree!$C$4="once per order",L212,1)</f>
        <v/>
      </c>
    </row>
    <row r="213">
      <c r="A213" t="inlineStr">
        <is>
          <t>KR-00114</t>
        </is>
      </c>
      <c r="B213" t="inlineStr">
        <is>
          <t>C-0289</t>
        </is>
      </c>
      <c r="C213" t="inlineStr">
        <is>
          <t>Business</t>
        </is>
      </c>
      <c r="D213" t="inlineStr">
        <is>
          <t>app</t>
        </is>
      </c>
      <c r="E213" s="7" t="n">
        <v>46183</v>
      </c>
      <c r="F213" t="n">
        <v>1174000</v>
      </c>
      <c r="G213" t="n">
        <v>704400</v>
      </c>
      <c r="H213" t="inlineStr">
        <is>
          <t>2026-06-12</t>
        </is>
      </c>
      <c r="I213">
        <f>IF(MONTH(E213)&lt;=6,"Q1","Q2")</f>
        <v/>
      </c>
      <c r="J213">
        <f>YEAR(E213)*100+MONTH(E213)</f>
        <v/>
      </c>
      <c r="K213">
        <f>IF(COUNTIF($A$2:A213,A213)=1,1,0)</f>
        <v/>
      </c>
      <c r="L213">
        <f>IF(K213=1,IF(COUNTIFS($B$2:B213,B213,$I$2:I213,I213,$K$2:K213,1)=1,1,0),0)</f>
        <v/>
      </c>
      <c r="M213">
        <f>IF(Tree!$C$4="once per order",F213*K213,F213)</f>
        <v/>
      </c>
      <c r="N213">
        <f>IF(Tree!$C$4="once per order",K213,1)</f>
        <v/>
      </c>
      <c r="O213">
        <f>IF(Tree!$C$4="once per order",L213,1)</f>
        <v/>
      </c>
    </row>
    <row r="214">
      <c r="A214" t="inlineStr">
        <is>
          <t>KR-00114</t>
        </is>
      </c>
      <c r="B214" t="inlineStr">
        <is>
          <t>C-0289</t>
        </is>
      </c>
      <c r="C214" t="inlineStr">
        <is>
          <t>Business</t>
        </is>
      </c>
      <c r="D214" t="inlineStr">
        <is>
          <t>app</t>
        </is>
      </c>
      <c r="E214" s="7" t="n">
        <v>46183</v>
      </c>
      <c r="F214" t="n">
        <v>1174000</v>
      </c>
      <c r="G214" t="n">
        <v>469600</v>
      </c>
      <c r="H214" t="inlineStr">
        <is>
          <t>2026-06-12</t>
        </is>
      </c>
      <c r="I214">
        <f>IF(MONTH(E214)&lt;=6,"Q1","Q2")</f>
        <v/>
      </c>
      <c r="J214">
        <f>YEAR(E214)*100+MONTH(E214)</f>
        <v/>
      </c>
      <c r="K214">
        <f>IF(COUNTIF($A$2:A214,A214)=1,1,0)</f>
        <v/>
      </c>
      <c r="L214">
        <f>IF(K214=1,IF(COUNTIFS($B$2:B214,B214,$I$2:I214,I214,$K$2:K214,1)=1,1,0),0)</f>
        <v/>
      </c>
      <c r="M214">
        <f>IF(Tree!$C$4="once per order",F214*K214,F214)</f>
        <v/>
      </c>
      <c r="N214">
        <f>IF(Tree!$C$4="once per order",K214,1)</f>
        <v/>
      </c>
      <c r="O214">
        <f>IF(Tree!$C$4="once per order",L214,1)</f>
        <v/>
      </c>
    </row>
    <row r="215">
      <c r="A215" t="inlineStr">
        <is>
          <t>KR-00115</t>
        </is>
      </c>
      <c r="B215" t="inlineStr">
        <is>
          <t>C-0286</t>
        </is>
      </c>
      <c r="C215" t="inlineStr">
        <is>
          <t>Business</t>
        </is>
      </c>
      <c r="D215" t="inlineStr">
        <is>
          <t>app</t>
        </is>
      </c>
      <c r="E215" s="7" t="n">
        <v>46118</v>
      </c>
      <c r="F215" t="n">
        <v>768000</v>
      </c>
      <c r="G215" t="n">
        <v>460800</v>
      </c>
      <c r="H215" t="inlineStr">
        <is>
          <t>2026-04-08</t>
        </is>
      </c>
      <c r="I215">
        <f>IF(MONTH(E215)&lt;=6,"Q1","Q2")</f>
        <v/>
      </c>
      <c r="J215">
        <f>YEAR(E215)*100+MONTH(E215)</f>
        <v/>
      </c>
      <c r="K215">
        <f>IF(COUNTIF($A$2:A215,A215)=1,1,0)</f>
        <v/>
      </c>
      <c r="L215">
        <f>IF(K215=1,IF(COUNTIFS($B$2:B215,B215,$I$2:I215,I215,$K$2:K215,1)=1,1,0),0)</f>
        <v/>
      </c>
      <c r="M215">
        <f>IF(Tree!$C$4="once per order",F215*K215,F215)</f>
        <v/>
      </c>
      <c r="N215">
        <f>IF(Tree!$C$4="once per order",K215,1)</f>
        <v/>
      </c>
      <c r="O215">
        <f>IF(Tree!$C$4="once per order",L215,1)</f>
        <v/>
      </c>
    </row>
    <row r="216">
      <c r="A216" t="inlineStr">
        <is>
          <t>KR-00115</t>
        </is>
      </c>
      <c r="B216" t="inlineStr">
        <is>
          <t>C-0286</t>
        </is>
      </c>
      <c r="C216" t="inlineStr">
        <is>
          <t>Business</t>
        </is>
      </c>
      <c r="D216" t="inlineStr">
        <is>
          <t>app</t>
        </is>
      </c>
      <c r="E216" s="7" t="n">
        <v>46118</v>
      </c>
      <c r="F216" t="n">
        <v>768000</v>
      </c>
      <c r="G216" t="n">
        <v>307200</v>
      </c>
      <c r="H216" t="inlineStr">
        <is>
          <t>2026-04-08</t>
        </is>
      </c>
      <c r="I216">
        <f>IF(MONTH(E216)&lt;=6,"Q1","Q2")</f>
        <v/>
      </c>
      <c r="J216">
        <f>YEAR(E216)*100+MONTH(E216)</f>
        <v/>
      </c>
      <c r="K216">
        <f>IF(COUNTIF($A$2:A216,A216)=1,1,0)</f>
        <v/>
      </c>
      <c r="L216">
        <f>IF(K216=1,IF(COUNTIFS($B$2:B216,B216,$I$2:I216,I216,$K$2:K216,1)=1,1,0),0)</f>
        <v/>
      </c>
      <c r="M216">
        <f>IF(Tree!$C$4="once per order",F216*K216,F216)</f>
        <v/>
      </c>
      <c r="N216">
        <f>IF(Tree!$C$4="once per order",K216,1)</f>
        <v/>
      </c>
      <c r="O216">
        <f>IF(Tree!$C$4="once per order",L216,1)</f>
        <v/>
      </c>
    </row>
    <row r="217">
      <c r="A217" t="inlineStr">
        <is>
          <t>KR-00116</t>
        </is>
      </c>
      <c r="B217" t="inlineStr">
        <is>
          <t>C-0280</t>
        </is>
      </c>
      <c r="C217" t="inlineStr">
        <is>
          <t>Business</t>
        </is>
      </c>
      <c r="D217" t="inlineStr">
        <is>
          <t>web</t>
        </is>
      </c>
      <c r="E217" s="7" t="n">
        <v>46147</v>
      </c>
      <c r="F217" t="n">
        <v>634000</v>
      </c>
      <c r="G217" t="n">
        <v>380400</v>
      </c>
      <c r="H217" t="inlineStr">
        <is>
          <t>2026-05-07</t>
        </is>
      </c>
      <c r="I217">
        <f>IF(MONTH(E217)&lt;=6,"Q1","Q2")</f>
        <v/>
      </c>
      <c r="J217">
        <f>YEAR(E217)*100+MONTH(E217)</f>
        <v/>
      </c>
      <c r="K217">
        <f>IF(COUNTIF($A$2:A217,A217)=1,1,0)</f>
        <v/>
      </c>
      <c r="L217">
        <f>IF(K217=1,IF(COUNTIFS($B$2:B217,B217,$I$2:I217,I217,$K$2:K217,1)=1,1,0),0)</f>
        <v/>
      </c>
      <c r="M217">
        <f>IF(Tree!$C$4="once per order",F217*K217,F217)</f>
        <v/>
      </c>
      <c r="N217">
        <f>IF(Tree!$C$4="once per order",K217,1)</f>
        <v/>
      </c>
      <c r="O217">
        <f>IF(Tree!$C$4="once per order",L217,1)</f>
        <v/>
      </c>
    </row>
    <row r="218">
      <c r="A218" t="inlineStr">
        <is>
          <t>KR-00116</t>
        </is>
      </c>
      <c r="B218" t="inlineStr">
        <is>
          <t>C-0280</t>
        </is>
      </c>
      <c r="C218" t="inlineStr">
        <is>
          <t>Business</t>
        </is>
      </c>
      <c r="D218" t="inlineStr">
        <is>
          <t>web</t>
        </is>
      </c>
      <c r="E218" s="7" t="n">
        <v>46147</v>
      </c>
      <c r="F218" t="n">
        <v>634000</v>
      </c>
      <c r="G218" t="n">
        <v>253600</v>
      </c>
      <c r="H218" t="inlineStr">
        <is>
          <t>2026-05-07</t>
        </is>
      </c>
      <c r="I218">
        <f>IF(MONTH(E218)&lt;=6,"Q1","Q2")</f>
        <v/>
      </c>
      <c r="J218">
        <f>YEAR(E218)*100+MONTH(E218)</f>
        <v/>
      </c>
      <c r="K218">
        <f>IF(COUNTIF($A$2:A218,A218)=1,1,0)</f>
        <v/>
      </c>
      <c r="L218">
        <f>IF(K218=1,IF(COUNTIFS($B$2:B218,B218,$I$2:I218,I218,$K$2:K218,1)=1,1,0),0)</f>
        <v/>
      </c>
      <c r="M218">
        <f>IF(Tree!$C$4="once per order",F218*K218,F218)</f>
        <v/>
      </c>
      <c r="N218">
        <f>IF(Tree!$C$4="once per order",K218,1)</f>
        <v/>
      </c>
      <c r="O218">
        <f>IF(Tree!$C$4="once per order",L218,1)</f>
        <v/>
      </c>
    </row>
    <row r="219">
      <c r="A219" t="inlineStr">
        <is>
          <t>KR-00117</t>
        </is>
      </c>
      <c r="B219" t="inlineStr">
        <is>
          <t>C-0287</t>
        </is>
      </c>
      <c r="C219" t="inlineStr">
        <is>
          <t>Business</t>
        </is>
      </c>
      <c r="D219" t="inlineStr">
        <is>
          <t>web</t>
        </is>
      </c>
      <c r="E219" s="7" t="n">
        <v>46180</v>
      </c>
      <c r="F219" t="n">
        <v>494000</v>
      </c>
      <c r="G219" t="n">
        <v>296400</v>
      </c>
      <c r="H219" t="inlineStr">
        <is>
          <t>2026-06-09</t>
        </is>
      </c>
      <c r="I219">
        <f>IF(MONTH(E219)&lt;=6,"Q1","Q2")</f>
        <v/>
      </c>
      <c r="J219">
        <f>YEAR(E219)*100+MONTH(E219)</f>
        <v/>
      </c>
      <c r="K219">
        <f>IF(COUNTIF($A$2:A219,A219)=1,1,0)</f>
        <v/>
      </c>
      <c r="L219">
        <f>IF(K219=1,IF(COUNTIFS($B$2:B219,B219,$I$2:I219,I219,$K$2:K219,1)=1,1,0),0)</f>
        <v/>
      </c>
      <c r="M219">
        <f>IF(Tree!$C$4="once per order",F219*K219,F219)</f>
        <v/>
      </c>
      <c r="N219">
        <f>IF(Tree!$C$4="once per order",K219,1)</f>
        <v/>
      </c>
      <c r="O219">
        <f>IF(Tree!$C$4="once per order",L219,1)</f>
        <v/>
      </c>
    </row>
    <row r="220">
      <c r="A220" t="inlineStr">
        <is>
          <t>KR-00117</t>
        </is>
      </c>
      <c r="B220" t="inlineStr">
        <is>
          <t>C-0287</t>
        </is>
      </c>
      <c r="C220" t="inlineStr">
        <is>
          <t>Business</t>
        </is>
      </c>
      <c r="D220" t="inlineStr">
        <is>
          <t>web</t>
        </is>
      </c>
      <c r="E220" s="7" t="n">
        <v>46180</v>
      </c>
      <c r="F220" t="n">
        <v>494000</v>
      </c>
      <c r="G220" t="n">
        <v>197600</v>
      </c>
      <c r="H220" t="inlineStr">
        <is>
          <t>2026-06-09</t>
        </is>
      </c>
      <c r="I220">
        <f>IF(MONTH(E220)&lt;=6,"Q1","Q2")</f>
        <v/>
      </c>
      <c r="J220">
        <f>YEAR(E220)*100+MONTH(E220)</f>
        <v/>
      </c>
      <c r="K220">
        <f>IF(COUNTIF($A$2:A220,A220)=1,1,0)</f>
        <v/>
      </c>
      <c r="L220">
        <f>IF(K220=1,IF(COUNTIFS($B$2:B220,B220,$I$2:I220,I220,$K$2:K220,1)=1,1,0),0)</f>
        <v/>
      </c>
      <c r="M220">
        <f>IF(Tree!$C$4="once per order",F220*K220,F220)</f>
        <v/>
      </c>
      <c r="N220">
        <f>IF(Tree!$C$4="once per order",K220,1)</f>
        <v/>
      </c>
      <c r="O220">
        <f>IF(Tree!$C$4="once per order",L220,1)</f>
        <v/>
      </c>
    </row>
    <row r="221">
      <c r="A221" t="inlineStr">
        <is>
          <t>KR-00118</t>
        </is>
      </c>
      <c r="B221" t="inlineStr">
        <is>
          <t>C-0299</t>
        </is>
      </c>
      <c r="C221" t="inlineStr">
        <is>
          <t>Business</t>
        </is>
      </c>
      <c r="D221" t="inlineStr">
        <is>
          <t>web</t>
        </is>
      </c>
      <c r="E221" s="7" t="n">
        <v>46116</v>
      </c>
      <c r="F221" t="n">
        <v>1367000</v>
      </c>
      <c r="G221" t="n">
        <v>820200</v>
      </c>
      <c r="H221" t="inlineStr">
        <is>
          <t>2026-04-06</t>
        </is>
      </c>
      <c r="I221">
        <f>IF(MONTH(E221)&lt;=6,"Q1","Q2")</f>
        <v/>
      </c>
      <c r="J221">
        <f>YEAR(E221)*100+MONTH(E221)</f>
        <v/>
      </c>
      <c r="K221">
        <f>IF(COUNTIF($A$2:A221,A221)=1,1,0)</f>
        <v/>
      </c>
      <c r="L221">
        <f>IF(K221=1,IF(COUNTIFS($B$2:B221,B221,$I$2:I221,I221,$K$2:K221,1)=1,1,0),0)</f>
        <v/>
      </c>
      <c r="M221">
        <f>IF(Tree!$C$4="once per order",F221*K221,F221)</f>
        <v/>
      </c>
      <c r="N221">
        <f>IF(Tree!$C$4="once per order",K221,1)</f>
        <v/>
      </c>
      <c r="O221">
        <f>IF(Tree!$C$4="once per order",L221,1)</f>
        <v/>
      </c>
    </row>
    <row r="222">
      <c r="A222" t="inlineStr">
        <is>
          <t>KR-00118</t>
        </is>
      </c>
      <c r="B222" t="inlineStr">
        <is>
          <t>C-0299</t>
        </is>
      </c>
      <c r="C222" t="inlineStr">
        <is>
          <t>Business</t>
        </is>
      </c>
      <c r="D222" t="inlineStr">
        <is>
          <t>web</t>
        </is>
      </c>
      <c r="E222" s="7" t="n">
        <v>46116</v>
      </c>
      <c r="F222" t="n">
        <v>1367000</v>
      </c>
      <c r="G222" t="n">
        <v>546800</v>
      </c>
      <c r="H222" t="inlineStr">
        <is>
          <t>2026-04-06</t>
        </is>
      </c>
      <c r="I222">
        <f>IF(MONTH(E222)&lt;=6,"Q1","Q2")</f>
        <v/>
      </c>
      <c r="J222">
        <f>YEAR(E222)*100+MONTH(E222)</f>
        <v/>
      </c>
      <c r="K222">
        <f>IF(COUNTIF($A$2:A222,A222)=1,1,0)</f>
        <v/>
      </c>
      <c r="L222">
        <f>IF(K222=1,IF(COUNTIFS($B$2:B222,B222,$I$2:I222,I222,$K$2:K222,1)=1,1,0),0)</f>
        <v/>
      </c>
      <c r="M222">
        <f>IF(Tree!$C$4="once per order",F222*K222,F222)</f>
        <v/>
      </c>
      <c r="N222">
        <f>IF(Tree!$C$4="once per order",K222,1)</f>
        <v/>
      </c>
      <c r="O222">
        <f>IF(Tree!$C$4="once per order",L222,1)</f>
        <v/>
      </c>
    </row>
    <row r="223">
      <c r="A223" t="inlineStr">
        <is>
          <t>KR-00119</t>
        </is>
      </c>
      <c r="B223" t="inlineStr">
        <is>
          <t>C-0282</t>
        </is>
      </c>
      <c r="C223" t="inlineStr">
        <is>
          <t>Business</t>
        </is>
      </c>
      <c r="D223" t="inlineStr">
        <is>
          <t>store</t>
        </is>
      </c>
      <c r="E223" s="7" t="n">
        <v>46163</v>
      </c>
      <c r="F223" t="n">
        <v>346000</v>
      </c>
      <c r="G223" t="n">
        <v>207600</v>
      </c>
      <c r="H223" t="inlineStr">
        <is>
          <t>2026-05-23</t>
        </is>
      </c>
      <c r="I223">
        <f>IF(MONTH(E223)&lt;=6,"Q1","Q2")</f>
        <v/>
      </c>
      <c r="J223">
        <f>YEAR(E223)*100+MONTH(E223)</f>
        <v/>
      </c>
      <c r="K223">
        <f>IF(COUNTIF($A$2:A223,A223)=1,1,0)</f>
        <v/>
      </c>
      <c r="L223">
        <f>IF(K223=1,IF(COUNTIFS($B$2:B223,B223,$I$2:I223,I223,$K$2:K223,1)=1,1,0),0)</f>
        <v/>
      </c>
      <c r="M223">
        <f>IF(Tree!$C$4="once per order",F223*K223,F223)</f>
        <v/>
      </c>
      <c r="N223">
        <f>IF(Tree!$C$4="once per order",K223,1)</f>
        <v/>
      </c>
      <c r="O223">
        <f>IF(Tree!$C$4="once per order",L223,1)</f>
        <v/>
      </c>
    </row>
    <row r="224">
      <c r="A224" t="inlineStr">
        <is>
          <t>KR-00119</t>
        </is>
      </c>
      <c r="B224" t="inlineStr">
        <is>
          <t>C-0282</t>
        </is>
      </c>
      <c r="C224" t="inlineStr">
        <is>
          <t>Business</t>
        </is>
      </c>
      <c r="D224" t="inlineStr">
        <is>
          <t>store</t>
        </is>
      </c>
      <c r="E224" s="7" t="n">
        <v>46163</v>
      </c>
      <c r="F224" t="n">
        <v>346000</v>
      </c>
      <c r="G224" t="n">
        <v>138400</v>
      </c>
      <c r="H224" t="inlineStr">
        <is>
          <t>2026-05-23</t>
        </is>
      </c>
      <c r="I224">
        <f>IF(MONTH(E224)&lt;=6,"Q1","Q2")</f>
        <v/>
      </c>
      <c r="J224">
        <f>YEAR(E224)*100+MONTH(E224)</f>
        <v/>
      </c>
      <c r="K224">
        <f>IF(COUNTIF($A$2:A224,A224)=1,1,0)</f>
        <v/>
      </c>
      <c r="L224">
        <f>IF(K224=1,IF(COUNTIFS($B$2:B224,B224,$I$2:I224,I224,$K$2:K224,1)=1,1,0),0)</f>
        <v/>
      </c>
      <c r="M224">
        <f>IF(Tree!$C$4="once per order",F224*K224,F224)</f>
        <v/>
      </c>
      <c r="N224">
        <f>IF(Tree!$C$4="once per order",K224,1)</f>
        <v/>
      </c>
      <c r="O224">
        <f>IF(Tree!$C$4="once per order",L224,1)</f>
        <v/>
      </c>
    </row>
    <row r="225">
      <c r="A225" t="inlineStr">
        <is>
          <t>KR-00120</t>
        </is>
      </c>
      <c r="B225" t="inlineStr">
        <is>
          <t>C-0282</t>
        </is>
      </c>
      <c r="C225" t="inlineStr">
        <is>
          <t>Business</t>
        </is>
      </c>
      <c r="D225" t="inlineStr">
        <is>
          <t>app</t>
        </is>
      </c>
      <c r="E225" s="7" t="n">
        <v>46201</v>
      </c>
      <c r="F225" t="n">
        <v>518000</v>
      </c>
      <c r="G225" t="n">
        <v>310800</v>
      </c>
      <c r="H225" t="inlineStr">
        <is>
          <t>2026-06-28</t>
        </is>
      </c>
      <c r="I225">
        <f>IF(MONTH(E225)&lt;=6,"Q1","Q2")</f>
        <v/>
      </c>
      <c r="J225">
        <f>YEAR(E225)*100+MONTH(E225)</f>
        <v/>
      </c>
      <c r="K225">
        <f>IF(COUNTIF($A$2:A225,A225)=1,1,0)</f>
        <v/>
      </c>
      <c r="L225">
        <f>IF(K225=1,IF(COUNTIFS($B$2:B225,B225,$I$2:I225,I225,$K$2:K225,1)=1,1,0),0)</f>
        <v/>
      </c>
      <c r="M225">
        <f>IF(Tree!$C$4="once per order",F225*K225,F225)</f>
        <v/>
      </c>
      <c r="N225">
        <f>IF(Tree!$C$4="once per order",K225,1)</f>
        <v/>
      </c>
      <c r="O225">
        <f>IF(Tree!$C$4="once per order",L225,1)</f>
        <v/>
      </c>
    </row>
    <row r="226">
      <c r="A226" t="inlineStr">
        <is>
          <t>KR-00120</t>
        </is>
      </c>
      <c r="B226" t="inlineStr">
        <is>
          <t>C-0282</t>
        </is>
      </c>
      <c r="C226" t="inlineStr">
        <is>
          <t>Business</t>
        </is>
      </c>
      <c r="D226" t="inlineStr">
        <is>
          <t>app</t>
        </is>
      </c>
      <c r="E226" s="7" t="n">
        <v>46201</v>
      </c>
      <c r="F226" t="n">
        <v>518000</v>
      </c>
      <c r="G226" t="n">
        <v>207200</v>
      </c>
      <c r="H226" t="inlineStr">
        <is>
          <t>2026-06-28</t>
        </is>
      </c>
      <c r="I226">
        <f>IF(MONTH(E226)&lt;=6,"Q1","Q2")</f>
        <v/>
      </c>
      <c r="J226">
        <f>YEAR(E226)*100+MONTH(E226)</f>
        <v/>
      </c>
      <c r="K226">
        <f>IF(COUNTIF($A$2:A226,A226)=1,1,0)</f>
        <v/>
      </c>
      <c r="L226">
        <f>IF(K226=1,IF(COUNTIFS($B$2:B226,B226,$I$2:I226,I226,$K$2:K226,1)=1,1,0),0)</f>
        <v/>
      </c>
      <c r="M226">
        <f>IF(Tree!$C$4="once per order",F226*K226,F226)</f>
        <v/>
      </c>
      <c r="N226">
        <f>IF(Tree!$C$4="once per order",K226,1)</f>
        <v/>
      </c>
      <c r="O226">
        <f>IF(Tree!$C$4="once per order",L226,1)</f>
        <v/>
      </c>
    </row>
    <row r="227">
      <c r="A227" t="inlineStr">
        <is>
          <t>KR-00121</t>
        </is>
      </c>
      <c r="B227" t="inlineStr">
        <is>
          <t>C-0273</t>
        </is>
      </c>
      <c r="C227" t="inlineStr">
        <is>
          <t>Business</t>
        </is>
      </c>
      <c r="D227" t="inlineStr">
        <is>
          <t>web</t>
        </is>
      </c>
      <c r="E227" s="7" t="n">
        <v>46135</v>
      </c>
      <c r="F227" t="n">
        <v>1799000</v>
      </c>
      <c r="G227" t="n">
        <v>1079400</v>
      </c>
      <c r="H227" t="inlineStr">
        <is>
          <t>2026-04-25</t>
        </is>
      </c>
      <c r="I227">
        <f>IF(MONTH(E227)&lt;=6,"Q1","Q2")</f>
        <v/>
      </c>
      <c r="J227">
        <f>YEAR(E227)*100+MONTH(E227)</f>
        <v/>
      </c>
      <c r="K227">
        <f>IF(COUNTIF($A$2:A227,A227)=1,1,0)</f>
        <v/>
      </c>
      <c r="L227">
        <f>IF(K227=1,IF(COUNTIFS($B$2:B227,B227,$I$2:I227,I227,$K$2:K227,1)=1,1,0),0)</f>
        <v/>
      </c>
      <c r="M227">
        <f>IF(Tree!$C$4="once per order",F227*K227,F227)</f>
        <v/>
      </c>
      <c r="N227">
        <f>IF(Tree!$C$4="once per order",K227,1)</f>
        <v/>
      </c>
      <c r="O227">
        <f>IF(Tree!$C$4="once per order",L227,1)</f>
        <v/>
      </c>
    </row>
    <row r="228">
      <c r="A228" t="inlineStr">
        <is>
          <t>KR-00121</t>
        </is>
      </c>
      <c r="B228" t="inlineStr">
        <is>
          <t>C-0273</t>
        </is>
      </c>
      <c r="C228" t="inlineStr">
        <is>
          <t>Business</t>
        </is>
      </c>
      <c r="D228" t="inlineStr">
        <is>
          <t>web</t>
        </is>
      </c>
      <c r="E228" s="7" t="n">
        <v>46135</v>
      </c>
      <c r="F228" t="n">
        <v>1799000</v>
      </c>
      <c r="G228" t="n">
        <v>719600</v>
      </c>
      <c r="H228" t="inlineStr">
        <is>
          <t>2026-04-25</t>
        </is>
      </c>
      <c r="I228">
        <f>IF(MONTH(E228)&lt;=6,"Q1","Q2")</f>
        <v/>
      </c>
      <c r="J228">
        <f>YEAR(E228)*100+MONTH(E228)</f>
        <v/>
      </c>
      <c r="K228">
        <f>IF(COUNTIF($A$2:A228,A228)=1,1,0)</f>
        <v/>
      </c>
      <c r="L228">
        <f>IF(K228=1,IF(COUNTIFS($B$2:B228,B228,$I$2:I228,I228,$K$2:K228,1)=1,1,0),0)</f>
        <v/>
      </c>
      <c r="M228">
        <f>IF(Tree!$C$4="once per order",F228*K228,F228)</f>
        <v/>
      </c>
      <c r="N228">
        <f>IF(Tree!$C$4="once per order",K228,1)</f>
        <v/>
      </c>
      <c r="O228">
        <f>IF(Tree!$C$4="once per order",L228,1)</f>
        <v/>
      </c>
    </row>
    <row r="229">
      <c r="A229" t="inlineStr">
        <is>
          <t>KR-00122</t>
        </is>
      </c>
      <c r="B229" t="inlineStr">
        <is>
          <t>C-0274</t>
        </is>
      </c>
      <c r="C229" t="inlineStr">
        <is>
          <t>Business</t>
        </is>
      </c>
      <c r="D229" t="inlineStr">
        <is>
          <t>web</t>
        </is>
      </c>
      <c r="E229" s="7" t="n">
        <v>46144</v>
      </c>
      <c r="F229" t="n">
        <v>1023000</v>
      </c>
      <c r="G229" t="n">
        <v>613800</v>
      </c>
      <c r="H229" t="inlineStr">
        <is>
          <t>2026-05-04</t>
        </is>
      </c>
      <c r="I229">
        <f>IF(MONTH(E229)&lt;=6,"Q1","Q2")</f>
        <v/>
      </c>
      <c r="J229">
        <f>YEAR(E229)*100+MONTH(E229)</f>
        <v/>
      </c>
      <c r="K229">
        <f>IF(COUNTIF($A$2:A229,A229)=1,1,0)</f>
        <v/>
      </c>
      <c r="L229">
        <f>IF(K229=1,IF(COUNTIFS($B$2:B229,B229,$I$2:I229,I229,$K$2:K229,1)=1,1,0),0)</f>
        <v/>
      </c>
      <c r="M229">
        <f>IF(Tree!$C$4="once per order",F229*K229,F229)</f>
        <v/>
      </c>
      <c r="N229">
        <f>IF(Tree!$C$4="once per order",K229,1)</f>
        <v/>
      </c>
      <c r="O229">
        <f>IF(Tree!$C$4="once per order",L229,1)</f>
        <v/>
      </c>
    </row>
    <row r="230">
      <c r="A230" t="inlineStr">
        <is>
          <t>KR-00122</t>
        </is>
      </c>
      <c r="B230" t="inlineStr">
        <is>
          <t>C-0274</t>
        </is>
      </c>
      <c r="C230" t="inlineStr">
        <is>
          <t>Business</t>
        </is>
      </c>
      <c r="D230" t="inlineStr">
        <is>
          <t>web</t>
        </is>
      </c>
      <c r="E230" s="7" t="n">
        <v>46144</v>
      </c>
      <c r="F230" t="n">
        <v>1023000</v>
      </c>
      <c r="G230" t="n">
        <v>409200</v>
      </c>
      <c r="H230" t="inlineStr">
        <is>
          <t>2026-05-04</t>
        </is>
      </c>
      <c r="I230">
        <f>IF(MONTH(E230)&lt;=6,"Q1","Q2")</f>
        <v/>
      </c>
      <c r="J230">
        <f>YEAR(E230)*100+MONTH(E230)</f>
        <v/>
      </c>
      <c r="K230">
        <f>IF(COUNTIF($A$2:A230,A230)=1,1,0)</f>
        <v/>
      </c>
      <c r="L230">
        <f>IF(K230=1,IF(COUNTIFS($B$2:B230,B230,$I$2:I230,I230,$K$2:K230,1)=1,1,0),0)</f>
        <v/>
      </c>
      <c r="M230">
        <f>IF(Tree!$C$4="once per order",F230*K230,F230)</f>
        <v/>
      </c>
      <c r="N230">
        <f>IF(Tree!$C$4="once per order",K230,1)</f>
        <v/>
      </c>
      <c r="O230">
        <f>IF(Tree!$C$4="once per order",L230,1)</f>
        <v/>
      </c>
    </row>
    <row r="231">
      <c r="A231" t="inlineStr">
        <is>
          <t>KR-00123</t>
        </is>
      </c>
      <c r="B231" t="inlineStr">
        <is>
          <t>C-0271</t>
        </is>
      </c>
      <c r="C231" t="inlineStr">
        <is>
          <t>Business</t>
        </is>
      </c>
      <c r="D231" t="inlineStr">
        <is>
          <t>app</t>
        </is>
      </c>
      <c r="E231" s="7" t="n">
        <v>46185</v>
      </c>
      <c r="F231" t="n">
        <v>799000</v>
      </c>
      <c r="G231" t="n">
        <v>479400</v>
      </c>
      <c r="H231" t="inlineStr">
        <is>
          <t>2026-06-14</t>
        </is>
      </c>
      <c r="I231">
        <f>IF(MONTH(E231)&lt;=6,"Q1","Q2")</f>
        <v/>
      </c>
      <c r="J231">
        <f>YEAR(E231)*100+MONTH(E231)</f>
        <v/>
      </c>
      <c r="K231">
        <f>IF(COUNTIF($A$2:A231,A231)=1,1,0)</f>
        <v/>
      </c>
      <c r="L231">
        <f>IF(K231=1,IF(COUNTIFS($B$2:B231,B231,$I$2:I231,I231,$K$2:K231,1)=1,1,0),0)</f>
        <v/>
      </c>
      <c r="M231">
        <f>IF(Tree!$C$4="once per order",F231*K231,F231)</f>
        <v/>
      </c>
      <c r="N231">
        <f>IF(Tree!$C$4="once per order",K231,1)</f>
        <v/>
      </c>
      <c r="O231">
        <f>IF(Tree!$C$4="once per order",L231,1)</f>
        <v/>
      </c>
    </row>
    <row r="232">
      <c r="A232" t="inlineStr">
        <is>
          <t>KR-00123</t>
        </is>
      </c>
      <c r="B232" t="inlineStr">
        <is>
          <t>C-0271</t>
        </is>
      </c>
      <c r="C232" t="inlineStr">
        <is>
          <t>Business</t>
        </is>
      </c>
      <c r="D232" t="inlineStr">
        <is>
          <t>app</t>
        </is>
      </c>
      <c r="E232" s="7" t="n">
        <v>46185</v>
      </c>
      <c r="F232" t="n">
        <v>799000</v>
      </c>
      <c r="G232" t="n">
        <v>319600</v>
      </c>
      <c r="H232" t="inlineStr">
        <is>
          <t>2026-06-14</t>
        </is>
      </c>
      <c r="I232">
        <f>IF(MONTH(E232)&lt;=6,"Q1","Q2")</f>
        <v/>
      </c>
      <c r="J232">
        <f>YEAR(E232)*100+MONTH(E232)</f>
        <v/>
      </c>
      <c r="K232">
        <f>IF(COUNTIF($A$2:A232,A232)=1,1,0)</f>
        <v/>
      </c>
      <c r="L232">
        <f>IF(K232=1,IF(COUNTIFS($B$2:B232,B232,$I$2:I232,I232,$K$2:K232,1)=1,1,0),0)</f>
        <v/>
      </c>
      <c r="M232">
        <f>IF(Tree!$C$4="once per order",F232*K232,F232)</f>
        <v/>
      </c>
      <c r="N232">
        <f>IF(Tree!$C$4="once per order",K232,1)</f>
        <v/>
      </c>
      <c r="O232">
        <f>IF(Tree!$C$4="once per order",L232,1)</f>
        <v/>
      </c>
    </row>
    <row r="233">
      <c r="A233" t="inlineStr">
        <is>
          <t>KR-00124</t>
        </is>
      </c>
      <c r="B233" t="inlineStr">
        <is>
          <t>C-0291</t>
        </is>
      </c>
      <c r="C233" t="inlineStr">
        <is>
          <t>Business</t>
        </is>
      </c>
      <c r="D233" t="inlineStr">
        <is>
          <t>app</t>
        </is>
      </c>
      <c r="E233" s="7" t="n">
        <v>46140</v>
      </c>
      <c r="F233" t="n">
        <v>12277440</v>
      </c>
      <c r="G233" t="n">
        <v>7366464</v>
      </c>
      <c r="H233" t="inlineStr">
        <is>
          <t>2026-04-28</t>
        </is>
      </c>
      <c r="I233">
        <f>IF(MONTH(E233)&lt;=6,"Q1","Q2")</f>
        <v/>
      </c>
      <c r="J233">
        <f>YEAR(E233)*100+MONTH(E233)</f>
        <v/>
      </c>
      <c r="K233">
        <f>IF(COUNTIF($A$2:A233,A233)=1,1,0)</f>
        <v/>
      </c>
      <c r="L233">
        <f>IF(K233=1,IF(COUNTIFS($B$2:B233,B233,$I$2:I233,I233,$K$2:K233,1)=1,1,0),0)</f>
        <v/>
      </c>
      <c r="M233">
        <f>IF(Tree!$C$4="once per order",F233*K233,F233)</f>
        <v/>
      </c>
      <c r="N233">
        <f>IF(Tree!$C$4="once per order",K233,1)</f>
        <v/>
      </c>
      <c r="O233">
        <f>IF(Tree!$C$4="once per order",L233,1)</f>
        <v/>
      </c>
    </row>
    <row r="234">
      <c r="A234" t="inlineStr">
        <is>
          <t>KR-00124</t>
        </is>
      </c>
      <c r="B234" t="inlineStr">
        <is>
          <t>C-0291</t>
        </is>
      </c>
      <c r="C234" t="inlineStr">
        <is>
          <t>Business</t>
        </is>
      </c>
      <c r="D234" t="inlineStr">
        <is>
          <t>app</t>
        </is>
      </c>
      <c r="E234" s="7" t="n">
        <v>46140</v>
      </c>
      <c r="F234" t="n">
        <v>12277440</v>
      </c>
      <c r="G234" t="n">
        <v>4910976</v>
      </c>
      <c r="H234" t="inlineStr">
        <is>
          <t>2026-04-28</t>
        </is>
      </c>
      <c r="I234">
        <f>IF(MONTH(E234)&lt;=6,"Q1","Q2")</f>
        <v/>
      </c>
      <c r="J234">
        <f>YEAR(E234)*100+MONTH(E234)</f>
        <v/>
      </c>
      <c r="K234">
        <f>IF(COUNTIF($A$2:A234,A234)=1,1,0)</f>
        <v/>
      </c>
      <c r="L234">
        <f>IF(K234=1,IF(COUNTIFS($B$2:B234,B234,$I$2:I234,I234,$K$2:K234,1)=1,1,0),0)</f>
        <v/>
      </c>
      <c r="M234">
        <f>IF(Tree!$C$4="once per order",F234*K234,F234)</f>
        <v/>
      </c>
      <c r="N234">
        <f>IF(Tree!$C$4="once per order",K234,1)</f>
        <v/>
      </c>
      <c r="O234">
        <f>IF(Tree!$C$4="once per order",L234,1)</f>
        <v/>
      </c>
    </row>
    <row r="235">
      <c r="A235" t="inlineStr">
        <is>
          <t>KR-00125</t>
        </is>
      </c>
      <c r="B235" t="inlineStr">
        <is>
          <t>C-0161</t>
        </is>
      </c>
      <c r="C235" t="inlineStr">
        <is>
          <t>Retail-Plus</t>
        </is>
      </c>
      <c r="D235" t="inlineStr">
        <is>
          <t>store</t>
        </is>
      </c>
      <c r="E235" s="7" t="n">
        <v>46124</v>
      </c>
      <c r="F235" t="n">
        <v>3520</v>
      </c>
      <c r="G235" t="n">
        <v>2112</v>
      </c>
      <c r="H235" t="inlineStr">
        <is>
          <t>2026-04-14</t>
        </is>
      </c>
      <c r="I235">
        <f>IF(MONTH(E235)&lt;=6,"Q1","Q2")</f>
        <v/>
      </c>
      <c r="J235">
        <f>YEAR(E235)*100+MONTH(E235)</f>
        <v/>
      </c>
      <c r="K235">
        <f>IF(COUNTIF($A$2:A235,A235)=1,1,0)</f>
        <v/>
      </c>
      <c r="L235">
        <f>IF(K235=1,IF(COUNTIFS($B$2:B235,B235,$I$2:I235,I235,$K$2:K235,1)=1,1,0),0)</f>
        <v/>
      </c>
      <c r="M235">
        <f>IF(Tree!$C$4="once per order",F235*K235,F235)</f>
        <v/>
      </c>
      <c r="N235">
        <f>IF(Tree!$C$4="once per order",K235,1)</f>
        <v/>
      </c>
      <c r="O235">
        <f>IF(Tree!$C$4="once per order",L235,1)</f>
        <v/>
      </c>
    </row>
    <row r="236">
      <c r="A236" t="inlineStr">
        <is>
          <t>KR-00125</t>
        </is>
      </c>
      <c r="B236" t="inlineStr">
        <is>
          <t>C-0161</t>
        </is>
      </c>
      <c r="C236" t="inlineStr">
        <is>
          <t>Retail-Plus</t>
        </is>
      </c>
      <c r="D236" t="inlineStr">
        <is>
          <t>store</t>
        </is>
      </c>
      <c r="E236" s="7" t="n">
        <v>46124</v>
      </c>
      <c r="F236" t="n">
        <v>3520</v>
      </c>
      <c r="G236" t="n">
        <v>1408</v>
      </c>
      <c r="H236" t="inlineStr">
        <is>
          <t>2026-04-14</t>
        </is>
      </c>
      <c r="I236">
        <f>IF(MONTH(E236)&lt;=6,"Q1","Q2")</f>
        <v/>
      </c>
      <c r="J236">
        <f>YEAR(E236)*100+MONTH(E236)</f>
        <v/>
      </c>
      <c r="K236">
        <f>IF(COUNTIF($A$2:A236,A236)=1,1,0)</f>
        <v/>
      </c>
      <c r="L236">
        <f>IF(K236=1,IF(COUNTIFS($B$2:B236,B236,$I$2:I236,I236,$K$2:K236,1)=1,1,0),0)</f>
        <v/>
      </c>
      <c r="M236">
        <f>IF(Tree!$C$4="once per order",F236*K236,F236)</f>
        <v/>
      </c>
      <c r="N236">
        <f>IF(Tree!$C$4="once per order",K236,1)</f>
        <v/>
      </c>
      <c r="O236">
        <f>IF(Tree!$C$4="once per order",L236,1)</f>
        <v/>
      </c>
    </row>
    <row r="237">
      <c r="A237" t="inlineStr">
        <is>
          <t>KR-00126</t>
        </is>
      </c>
      <c r="B237" t="inlineStr">
        <is>
          <t>C-0237</t>
        </is>
      </c>
      <c r="C237" t="inlineStr">
        <is>
          <t>Retail-Plus</t>
        </is>
      </c>
      <c r="D237" t="inlineStr">
        <is>
          <t>store</t>
        </is>
      </c>
      <c r="E237" s="7" t="n">
        <v>46149</v>
      </c>
      <c r="F237" t="n">
        <v>1860</v>
      </c>
      <c r="G237" t="n">
        <v>1860</v>
      </c>
      <c r="H237" t="inlineStr">
        <is>
          <t>2026-05-09</t>
        </is>
      </c>
      <c r="I237">
        <f>IF(MONTH(E237)&lt;=6,"Q1","Q2")</f>
        <v/>
      </c>
      <c r="J237">
        <f>YEAR(E237)*100+MONTH(E237)</f>
        <v/>
      </c>
      <c r="K237">
        <f>IF(COUNTIF($A$2:A237,A237)=1,1,0)</f>
        <v/>
      </c>
      <c r="L237">
        <f>IF(K237=1,IF(COUNTIFS($B$2:B237,B237,$I$2:I237,I237,$K$2:K237,1)=1,1,0),0)</f>
        <v/>
      </c>
      <c r="M237">
        <f>IF(Tree!$C$4="once per order",F237*K237,F237)</f>
        <v/>
      </c>
      <c r="N237">
        <f>IF(Tree!$C$4="once per order",K237,1)</f>
        <v/>
      </c>
      <c r="O237">
        <f>IF(Tree!$C$4="once per order",L237,1)</f>
        <v/>
      </c>
    </row>
    <row r="238">
      <c r="A238" t="inlineStr">
        <is>
          <t>KR-00127</t>
        </is>
      </c>
      <c r="B238" t="inlineStr">
        <is>
          <t>C-0166</t>
        </is>
      </c>
      <c r="C238" t="inlineStr">
        <is>
          <t>Retail-Plus</t>
        </is>
      </c>
      <c r="D238" t="inlineStr">
        <is>
          <t>store</t>
        </is>
      </c>
      <c r="E238" s="7" t="n">
        <v>46185</v>
      </c>
      <c r="F238" t="n">
        <v>1520</v>
      </c>
      <c r="G238" t="n">
        <v>1520</v>
      </c>
      <c r="H238" t="inlineStr">
        <is>
          <t>2026-06-14</t>
        </is>
      </c>
      <c r="I238">
        <f>IF(MONTH(E238)&lt;=6,"Q1","Q2")</f>
        <v/>
      </c>
      <c r="J238">
        <f>YEAR(E238)*100+MONTH(E238)</f>
        <v/>
      </c>
      <c r="K238">
        <f>IF(COUNTIF($A$2:A238,A238)=1,1,0)</f>
        <v/>
      </c>
      <c r="L238">
        <f>IF(K238=1,IF(COUNTIFS($B$2:B238,B238,$I$2:I238,I238,$K$2:K238,1)=1,1,0),0)</f>
        <v/>
      </c>
      <c r="M238">
        <f>IF(Tree!$C$4="once per order",F238*K238,F238)</f>
        <v/>
      </c>
      <c r="N238">
        <f>IF(Tree!$C$4="once per order",K238,1)</f>
        <v/>
      </c>
      <c r="O238">
        <f>IF(Tree!$C$4="once per order",L238,1)</f>
        <v/>
      </c>
    </row>
    <row r="239">
      <c r="A239" t="inlineStr">
        <is>
          <t>KR-00128</t>
        </is>
      </c>
      <c r="B239" t="inlineStr">
        <is>
          <t>C-0247</t>
        </is>
      </c>
      <c r="C239" t="inlineStr">
        <is>
          <t>Retail-Plus</t>
        </is>
      </c>
      <c r="D239" t="inlineStr">
        <is>
          <t>store</t>
        </is>
      </c>
      <c r="E239" s="7" t="n">
        <v>46133</v>
      </c>
      <c r="F239" t="n">
        <v>2600</v>
      </c>
      <c r="G239" t="n">
        <v>2600</v>
      </c>
      <c r="H239" t="inlineStr">
        <is>
          <t>2026-04-23</t>
        </is>
      </c>
      <c r="I239">
        <f>IF(MONTH(E239)&lt;=6,"Q1","Q2")</f>
        <v/>
      </c>
      <c r="J239">
        <f>YEAR(E239)*100+MONTH(E239)</f>
        <v/>
      </c>
      <c r="K239">
        <f>IF(COUNTIF($A$2:A239,A239)=1,1,0)</f>
        <v/>
      </c>
      <c r="L239">
        <f>IF(K239=1,IF(COUNTIFS($B$2:B239,B239,$I$2:I239,I239,$K$2:K239,1)=1,1,0),0)</f>
        <v/>
      </c>
      <c r="M239">
        <f>IF(Tree!$C$4="once per order",F239*K239,F239)</f>
        <v/>
      </c>
      <c r="N239">
        <f>IF(Tree!$C$4="once per order",K239,1)</f>
        <v/>
      </c>
      <c r="O239">
        <f>IF(Tree!$C$4="once per order",L239,1)</f>
        <v/>
      </c>
    </row>
    <row r="240">
      <c r="A240" t="inlineStr">
        <is>
          <t>KR-00129</t>
        </is>
      </c>
      <c r="B240" t="inlineStr">
        <is>
          <t>C-0164</t>
        </is>
      </c>
      <c r="C240" t="inlineStr">
        <is>
          <t>Retail-Plus</t>
        </is>
      </c>
      <c r="D240" t="inlineStr">
        <is>
          <t>web</t>
        </is>
      </c>
      <c r="E240" s="7" t="n">
        <v>46158</v>
      </c>
      <c r="F240" t="n">
        <v>3920</v>
      </c>
      <c r="G240" t="n">
        <v>2352</v>
      </c>
      <c r="H240" t="inlineStr">
        <is>
          <t>2026-05-18</t>
        </is>
      </c>
      <c r="I240">
        <f>IF(MONTH(E240)&lt;=6,"Q1","Q2")</f>
        <v/>
      </c>
      <c r="J240">
        <f>YEAR(E240)*100+MONTH(E240)</f>
        <v/>
      </c>
      <c r="K240">
        <f>IF(COUNTIF($A$2:A240,A240)=1,1,0)</f>
        <v/>
      </c>
      <c r="L240">
        <f>IF(K240=1,IF(COUNTIFS($B$2:B240,B240,$I$2:I240,I240,$K$2:K240,1)=1,1,0),0)</f>
        <v/>
      </c>
      <c r="M240">
        <f>IF(Tree!$C$4="once per order",F240*K240,F240)</f>
        <v/>
      </c>
      <c r="N240">
        <f>IF(Tree!$C$4="once per order",K240,1)</f>
        <v/>
      </c>
      <c r="O240">
        <f>IF(Tree!$C$4="once per order",L240,1)</f>
        <v/>
      </c>
    </row>
    <row r="241">
      <c r="A241" t="inlineStr">
        <is>
          <t>KR-00129</t>
        </is>
      </c>
      <c r="B241" t="inlineStr">
        <is>
          <t>C-0164</t>
        </is>
      </c>
      <c r="C241" t="inlineStr">
        <is>
          <t>Retail-Plus</t>
        </is>
      </c>
      <c r="D241" t="inlineStr">
        <is>
          <t>web</t>
        </is>
      </c>
      <c r="E241" s="7" t="n">
        <v>46158</v>
      </c>
      <c r="F241" t="n">
        <v>3920</v>
      </c>
      <c r="G241" t="n">
        <v>1568</v>
      </c>
      <c r="H241" t="inlineStr">
        <is>
          <t>2026-05-18</t>
        </is>
      </c>
      <c r="I241">
        <f>IF(MONTH(E241)&lt;=6,"Q1","Q2")</f>
        <v/>
      </c>
      <c r="J241">
        <f>YEAR(E241)*100+MONTH(E241)</f>
        <v/>
      </c>
      <c r="K241">
        <f>IF(COUNTIF($A$2:A241,A241)=1,1,0)</f>
        <v/>
      </c>
      <c r="L241">
        <f>IF(K241=1,IF(COUNTIFS($B$2:B241,B241,$I$2:I241,I241,$K$2:K241,1)=1,1,0),0)</f>
        <v/>
      </c>
      <c r="M241">
        <f>IF(Tree!$C$4="once per order",F241*K241,F241)</f>
        <v/>
      </c>
      <c r="N241">
        <f>IF(Tree!$C$4="once per order",K241,1)</f>
        <v/>
      </c>
      <c r="O241">
        <f>IF(Tree!$C$4="once per order",L241,1)</f>
        <v/>
      </c>
    </row>
    <row r="242">
      <c r="A242" t="inlineStr">
        <is>
          <t>KR-00130</t>
        </is>
      </c>
      <c r="B242" t="inlineStr">
        <is>
          <t>C-0151</t>
        </is>
      </c>
      <c r="C242" t="inlineStr">
        <is>
          <t>Retail-Plus</t>
        </is>
      </c>
      <c r="D242" t="inlineStr">
        <is>
          <t>app</t>
        </is>
      </c>
      <c r="E242" s="7" t="n">
        <v>46182</v>
      </c>
      <c r="F242" t="n">
        <v>2200</v>
      </c>
      <c r="G242" t="n">
        <v>2200</v>
      </c>
      <c r="H242" t="inlineStr">
        <is>
          <t>2026-06-11</t>
        </is>
      </c>
      <c r="I242">
        <f>IF(MONTH(E242)&lt;=6,"Q1","Q2")</f>
        <v/>
      </c>
      <c r="J242">
        <f>YEAR(E242)*100+MONTH(E242)</f>
        <v/>
      </c>
      <c r="K242">
        <f>IF(COUNTIF($A$2:A242,A242)=1,1,0)</f>
        <v/>
      </c>
      <c r="L242">
        <f>IF(K242=1,IF(COUNTIFS($B$2:B242,B242,$I$2:I242,I242,$K$2:K242,1)=1,1,0),0)</f>
        <v/>
      </c>
      <c r="M242">
        <f>IF(Tree!$C$4="once per order",F242*K242,F242)</f>
        <v/>
      </c>
      <c r="N242">
        <f>IF(Tree!$C$4="once per order",K242,1)</f>
        <v/>
      </c>
      <c r="O242">
        <f>IF(Tree!$C$4="once per order",L242,1)</f>
        <v/>
      </c>
    </row>
    <row r="243">
      <c r="A243" t="inlineStr">
        <is>
          <t>KR-00131</t>
        </is>
      </c>
      <c r="B243" t="inlineStr">
        <is>
          <t>C-0260</t>
        </is>
      </c>
      <c r="C243" t="inlineStr">
        <is>
          <t>Retail-Plus</t>
        </is>
      </c>
      <c r="D243" t="inlineStr">
        <is>
          <t>app</t>
        </is>
      </c>
      <c r="E243" s="7" t="n">
        <v>46133</v>
      </c>
      <c r="F243" t="n">
        <v>4450</v>
      </c>
      <c r="G243" t="n">
        <v>2670</v>
      </c>
      <c r="H243" t="inlineStr">
        <is>
          <t>2026-04-23</t>
        </is>
      </c>
      <c r="I243">
        <f>IF(MONTH(E243)&lt;=6,"Q1","Q2")</f>
        <v/>
      </c>
      <c r="J243">
        <f>YEAR(E243)*100+MONTH(E243)</f>
        <v/>
      </c>
      <c r="K243">
        <f>IF(COUNTIF($A$2:A243,A243)=1,1,0)</f>
        <v/>
      </c>
      <c r="L243">
        <f>IF(K243=1,IF(COUNTIFS($B$2:B243,B243,$I$2:I243,I243,$K$2:K243,1)=1,1,0),0)</f>
        <v/>
      </c>
      <c r="M243">
        <f>IF(Tree!$C$4="once per order",F243*K243,F243)</f>
        <v/>
      </c>
      <c r="N243">
        <f>IF(Tree!$C$4="once per order",K243,1)</f>
        <v/>
      </c>
      <c r="O243">
        <f>IF(Tree!$C$4="once per order",L243,1)</f>
        <v/>
      </c>
    </row>
    <row r="244">
      <c r="A244" t="inlineStr">
        <is>
          <t>KR-00131</t>
        </is>
      </c>
      <c r="B244" t="inlineStr">
        <is>
          <t>C-0260</t>
        </is>
      </c>
      <c r="C244" t="inlineStr">
        <is>
          <t>Retail-Plus</t>
        </is>
      </c>
      <c r="D244" t="inlineStr">
        <is>
          <t>app</t>
        </is>
      </c>
      <c r="E244" s="7" t="n">
        <v>46133</v>
      </c>
      <c r="F244" t="n">
        <v>4450</v>
      </c>
      <c r="G244" t="n">
        <v>1780</v>
      </c>
      <c r="H244" t="inlineStr">
        <is>
          <t>2026-04-23</t>
        </is>
      </c>
      <c r="I244">
        <f>IF(MONTH(E244)&lt;=6,"Q1","Q2")</f>
        <v/>
      </c>
      <c r="J244">
        <f>YEAR(E244)*100+MONTH(E244)</f>
        <v/>
      </c>
      <c r="K244">
        <f>IF(COUNTIF($A$2:A244,A244)=1,1,0)</f>
        <v/>
      </c>
      <c r="L244">
        <f>IF(K244=1,IF(COUNTIFS($B$2:B244,B244,$I$2:I244,I244,$K$2:K244,1)=1,1,0),0)</f>
        <v/>
      </c>
      <c r="M244">
        <f>IF(Tree!$C$4="once per order",F244*K244,F244)</f>
        <v/>
      </c>
      <c r="N244">
        <f>IF(Tree!$C$4="once per order",K244,1)</f>
        <v/>
      </c>
      <c r="O244">
        <f>IF(Tree!$C$4="once per order",L244,1)</f>
        <v/>
      </c>
    </row>
    <row r="245">
      <c r="A245" t="inlineStr">
        <is>
          <t>KR-00132</t>
        </is>
      </c>
      <c r="B245" t="inlineStr">
        <is>
          <t>C-0185</t>
        </is>
      </c>
      <c r="C245" t="inlineStr">
        <is>
          <t>Retail-Plus</t>
        </is>
      </c>
      <c r="D245" t="inlineStr">
        <is>
          <t>store</t>
        </is>
      </c>
      <c r="E245" s="7" t="n">
        <v>46153</v>
      </c>
      <c r="F245" t="n">
        <v>3040</v>
      </c>
      <c r="G245" t="n">
        <v>1824</v>
      </c>
      <c r="H245" t="inlineStr">
        <is>
          <t>2026-05-13</t>
        </is>
      </c>
      <c r="I245">
        <f>IF(MONTH(E245)&lt;=6,"Q1","Q2")</f>
        <v/>
      </c>
      <c r="J245">
        <f>YEAR(E245)*100+MONTH(E245)</f>
        <v/>
      </c>
      <c r="K245">
        <f>IF(COUNTIF($A$2:A245,A245)=1,1,0)</f>
        <v/>
      </c>
      <c r="L245">
        <f>IF(K245=1,IF(COUNTIFS($B$2:B245,B245,$I$2:I245,I245,$K$2:K245,1)=1,1,0),0)</f>
        <v/>
      </c>
      <c r="M245">
        <f>IF(Tree!$C$4="once per order",F245*K245,F245)</f>
        <v/>
      </c>
      <c r="N245">
        <f>IF(Tree!$C$4="once per order",K245,1)</f>
        <v/>
      </c>
      <c r="O245">
        <f>IF(Tree!$C$4="once per order",L245,1)</f>
        <v/>
      </c>
    </row>
    <row r="246">
      <c r="A246" t="inlineStr">
        <is>
          <t>KR-00132</t>
        </is>
      </c>
      <c r="B246" t="inlineStr">
        <is>
          <t>C-0185</t>
        </is>
      </c>
      <c r="C246" t="inlineStr">
        <is>
          <t>Retail-Plus</t>
        </is>
      </c>
      <c r="D246" t="inlineStr">
        <is>
          <t>store</t>
        </is>
      </c>
      <c r="E246" s="7" t="n">
        <v>46153</v>
      </c>
      <c r="F246" t="n">
        <v>3040</v>
      </c>
      <c r="G246" t="n">
        <v>1216</v>
      </c>
      <c r="H246" t="inlineStr">
        <is>
          <t>2026-05-13</t>
        </is>
      </c>
      <c r="I246">
        <f>IF(MONTH(E246)&lt;=6,"Q1","Q2")</f>
        <v/>
      </c>
      <c r="J246">
        <f>YEAR(E246)*100+MONTH(E246)</f>
        <v/>
      </c>
      <c r="K246">
        <f>IF(COUNTIF($A$2:A246,A246)=1,1,0)</f>
        <v/>
      </c>
      <c r="L246">
        <f>IF(K246=1,IF(COUNTIFS($B$2:B246,B246,$I$2:I246,I246,$K$2:K246,1)=1,1,0),0)</f>
        <v/>
      </c>
      <c r="M246">
        <f>IF(Tree!$C$4="once per order",F246*K246,F246)</f>
        <v/>
      </c>
      <c r="N246">
        <f>IF(Tree!$C$4="once per order",K246,1)</f>
        <v/>
      </c>
      <c r="O246">
        <f>IF(Tree!$C$4="once per order",L246,1)</f>
        <v/>
      </c>
    </row>
    <row r="247">
      <c r="A247" t="inlineStr">
        <is>
          <t>KR-00133</t>
        </is>
      </c>
      <c r="B247" t="inlineStr">
        <is>
          <t>C-0190</t>
        </is>
      </c>
      <c r="C247" t="inlineStr">
        <is>
          <t>Retail-Plus</t>
        </is>
      </c>
      <c r="D247" t="inlineStr">
        <is>
          <t>app</t>
        </is>
      </c>
      <c r="E247" s="7" t="n">
        <v>46200</v>
      </c>
      <c r="F247" t="n">
        <v>2840</v>
      </c>
      <c r="G247" t="n">
        <v>1704</v>
      </c>
      <c r="H247" t="inlineStr">
        <is>
          <t>2026-06-28</t>
        </is>
      </c>
      <c r="I247">
        <f>IF(MONTH(E247)&lt;=6,"Q1","Q2")</f>
        <v/>
      </c>
      <c r="J247">
        <f>YEAR(E247)*100+MONTH(E247)</f>
        <v/>
      </c>
      <c r="K247">
        <f>IF(COUNTIF($A$2:A247,A247)=1,1,0)</f>
        <v/>
      </c>
      <c r="L247">
        <f>IF(K247=1,IF(COUNTIFS($B$2:B247,B247,$I$2:I247,I247,$K$2:K247,1)=1,1,0),0)</f>
        <v/>
      </c>
      <c r="M247">
        <f>IF(Tree!$C$4="once per order",F247*K247,F247)</f>
        <v/>
      </c>
      <c r="N247">
        <f>IF(Tree!$C$4="once per order",K247,1)</f>
        <v/>
      </c>
      <c r="O247">
        <f>IF(Tree!$C$4="once per order",L247,1)</f>
        <v/>
      </c>
    </row>
    <row r="248">
      <c r="A248" t="inlineStr">
        <is>
          <t>KR-00133</t>
        </is>
      </c>
      <c r="B248" t="inlineStr">
        <is>
          <t>C-0190</t>
        </is>
      </c>
      <c r="C248" t="inlineStr">
        <is>
          <t>Retail-Plus</t>
        </is>
      </c>
      <c r="D248" t="inlineStr">
        <is>
          <t>app</t>
        </is>
      </c>
      <c r="E248" s="7" t="n">
        <v>46200</v>
      </c>
      <c r="F248" t="n">
        <v>2840</v>
      </c>
      <c r="G248" t="n">
        <v>1136</v>
      </c>
      <c r="H248" t="inlineStr">
        <is>
          <t>2026-06-28</t>
        </is>
      </c>
      <c r="I248">
        <f>IF(MONTH(E248)&lt;=6,"Q1","Q2")</f>
        <v/>
      </c>
      <c r="J248">
        <f>YEAR(E248)*100+MONTH(E248)</f>
        <v/>
      </c>
      <c r="K248">
        <f>IF(COUNTIF($A$2:A248,A248)=1,1,0)</f>
        <v/>
      </c>
      <c r="L248">
        <f>IF(K248=1,IF(COUNTIFS($B$2:B248,B248,$I$2:I248,I248,$K$2:K248,1)=1,1,0),0)</f>
        <v/>
      </c>
      <c r="M248">
        <f>IF(Tree!$C$4="once per order",F248*K248,F248)</f>
        <v/>
      </c>
      <c r="N248">
        <f>IF(Tree!$C$4="once per order",K248,1)</f>
        <v/>
      </c>
      <c r="O248">
        <f>IF(Tree!$C$4="once per order",L248,1)</f>
        <v/>
      </c>
    </row>
    <row r="249">
      <c r="A249" t="inlineStr">
        <is>
          <t>KR-00134</t>
        </is>
      </c>
      <c r="B249" t="inlineStr">
        <is>
          <t>C-0188</t>
        </is>
      </c>
      <c r="C249" t="inlineStr">
        <is>
          <t>Retail-Plus</t>
        </is>
      </c>
      <c r="D249" t="inlineStr">
        <is>
          <t>store</t>
        </is>
      </c>
      <c r="E249" s="7" t="n">
        <v>46114</v>
      </c>
      <c r="F249" t="n">
        <v>3980</v>
      </c>
      <c r="G249" t="n">
        <v>2388</v>
      </c>
      <c r="H249" t="inlineStr">
        <is>
          <t>2026-04-04</t>
        </is>
      </c>
      <c r="I249">
        <f>IF(MONTH(E249)&lt;=6,"Q1","Q2")</f>
        <v/>
      </c>
      <c r="J249">
        <f>YEAR(E249)*100+MONTH(E249)</f>
        <v/>
      </c>
      <c r="K249">
        <f>IF(COUNTIF($A$2:A249,A249)=1,1,0)</f>
        <v/>
      </c>
      <c r="L249">
        <f>IF(K249=1,IF(COUNTIFS($B$2:B249,B249,$I$2:I249,I249,$K$2:K249,1)=1,1,0),0)</f>
        <v/>
      </c>
      <c r="M249">
        <f>IF(Tree!$C$4="once per order",F249*K249,F249)</f>
        <v/>
      </c>
      <c r="N249">
        <f>IF(Tree!$C$4="once per order",K249,1)</f>
        <v/>
      </c>
      <c r="O249">
        <f>IF(Tree!$C$4="once per order",L249,1)</f>
        <v/>
      </c>
    </row>
    <row r="250">
      <c r="A250" t="inlineStr">
        <is>
          <t>KR-00134</t>
        </is>
      </c>
      <c r="B250" t="inlineStr">
        <is>
          <t>C-0188</t>
        </is>
      </c>
      <c r="C250" t="inlineStr">
        <is>
          <t>Retail-Plus</t>
        </is>
      </c>
      <c r="D250" t="inlineStr">
        <is>
          <t>store</t>
        </is>
      </c>
      <c r="E250" s="7" t="n">
        <v>46114</v>
      </c>
      <c r="F250" t="n">
        <v>3980</v>
      </c>
      <c r="G250" t="n">
        <v>1592</v>
      </c>
      <c r="H250" t="inlineStr">
        <is>
          <t>2026-04-04</t>
        </is>
      </c>
      <c r="I250">
        <f>IF(MONTH(E250)&lt;=6,"Q1","Q2")</f>
        <v/>
      </c>
      <c r="J250">
        <f>YEAR(E250)*100+MONTH(E250)</f>
        <v/>
      </c>
      <c r="K250">
        <f>IF(COUNTIF($A$2:A250,A250)=1,1,0)</f>
        <v/>
      </c>
      <c r="L250">
        <f>IF(K250=1,IF(COUNTIFS($B$2:B250,B250,$I$2:I250,I250,$K$2:K250,1)=1,1,0),0)</f>
        <v/>
      </c>
      <c r="M250">
        <f>IF(Tree!$C$4="once per order",F250*K250,F250)</f>
        <v/>
      </c>
      <c r="N250">
        <f>IF(Tree!$C$4="once per order",K250,1)</f>
        <v/>
      </c>
      <c r="O250">
        <f>IF(Tree!$C$4="once per order",L250,1)</f>
        <v/>
      </c>
    </row>
    <row r="251">
      <c r="A251" t="inlineStr">
        <is>
          <t>KR-00135</t>
        </is>
      </c>
      <c r="B251" t="inlineStr">
        <is>
          <t>C-0171</t>
        </is>
      </c>
      <c r="C251" t="inlineStr">
        <is>
          <t>Retail-Plus</t>
        </is>
      </c>
      <c r="D251" t="inlineStr">
        <is>
          <t>app</t>
        </is>
      </c>
      <c r="E251" s="7" t="n">
        <v>46166</v>
      </c>
      <c r="F251" t="n">
        <v>2210</v>
      </c>
      <c r="G251" t="n">
        <v>2210</v>
      </c>
      <c r="H251" t="inlineStr">
        <is>
          <t>2026-05-26</t>
        </is>
      </c>
      <c r="I251">
        <f>IF(MONTH(E251)&lt;=6,"Q1","Q2")</f>
        <v/>
      </c>
      <c r="J251">
        <f>YEAR(E251)*100+MONTH(E251)</f>
        <v/>
      </c>
      <c r="K251">
        <f>IF(COUNTIF($A$2:A251,A251)=1,1,0)</f>
        <v/>
      </c>
      <c r="L251">
        <f>IF(K251=1,IF(COUNTIFS($B$2:B251,B251,$I$2:I251,I251,$K$2:K251,1)=1,1,0),0)</f>
        <v/>
      </c>
      <c r="M251">
        <f>IF(Tree!$C$4="once per order",F251*K251,F251)</f>
        <v/>
      </c>
      <c r="N251">
        <f>IF(Tree!$C$4="once per order",K251,1)</f>
        <v/>
      </c>
      <c r="O251">
        <f>IF(Tree!$C$4="once per order",L251,1)</f>
        <v/>
      </c>
    </row>
    <row r="252">
      <c r="A252" t="inlineStr">
        <is>
          <t>KR-00136</t>
        </is>
      </c>
      <c r="B252" t="inlineStr">
        <is>
          <t>C-0265</t>
        </is>
      </c>
      <c r="C252" t="inlineStr">
        <is>
          <t>Retail-Plus</t>
        </is>
      </c>
      <c r="D252" t="inlineStr">
        <is>
          <t>app</t>
        </is>
      </c>
      <c r="E252" s="7" t="n">
        <v>46179</v>
      </c>
      <c r="F252" t="n">
        <v>3110</v>
      </c>
      <c r="G252" t="n">
        <v>1866</v>
      </c>
      <c r="H252" t="inlineStr">
        <is>
          <t>2026-06-08</t>
        </is>
      </c>
      <c r="I252">
        <f>IF(MONTH(E252)&lt;=6,"Q1","Q2")</f>
        <v/>
      </c>
      <c r="J252">
        <f>YEAR(E252)*100+MONTH(E252)</f>
        <v/>
      </c>
      <c r="K252">
        <f>IF(COUNTIF($A$2:A252,A252)=1,1,0)</f>
        <v/>
      </c>
      <c r="L252">
        <f>IF(K252=1,IF(COUNTIFS($B$2:B252,B252,$I$2:I252,I252,$K$2:K252,1)=1,1,0),0)</f>
        <v/>
      </c>
      <c r="M252">
        <f>IF(Tree!$C$4="once per order",F252*K252,F252)</f>
        <v/>
      </c>
      <c r="N252">
        <f>IF(Tree!$C$4="once per order",K252,1)</f>
        <v/>
      </c>
      <c r="O252">
        <f>IF(Tree!$C$4="once per order",L252,1)</f>
        <v/>
      </c>
    </row>
    <row r="253">
      <c r="A253" t="inlineStr">
        <is>
          <t>KR-00136</t>
        </is>
      </c>
      <c r="B253" t="inlineStr">
        <is>
          <t>C-0265</t>
        </is>
      </c>
      <c r="C253" t="inlineStr">
        <is>
          <t>Retail-Plus</t>
        </is>
      </c>
      <c r="D253" t="inlineStr">
        <is>
          <t>app</t>
        </is>
      </c>
      <c r="E253" s="7" t="n">
        <v>46179</v>
      </c>
      <c r="F253" t="n">
        <v>3110</v>
      </c>
      <c r="G253" t="n">
        <v>1244</v>
      </c>
      <c r="H253" t="inlineStr">
        <is>
          <t>2026-06-08</t>
        </is>
      </c>
      <c r="I253">
        <f>IF(MONTH(E253)&lt;=6,"Q1","Q2")</f>
        <v/>
      </c>
      <c r="J253">
        <f>YEAR(E253)*100+MONTH(E253)</f>
        <v/>
      </c>
      <c r="K253">
        <f>IF(COUNTIF($A$2:A253,A253)=1,1,0)</f>
        <v/>
      </c>
      <c r="L253">
        <f>IF(K253=1,IF(COUNTIFS($B$2:B253,B253,$I$2:I253,I253,$K$2:K253,1)=1,1,0),0)</f>
        <v/>
      </c>
      <c r="M253">
        <f>IF(Tree!$C$4="once per order",F253*K253,F253)</f>
        <v/>
      </c>
      <c r="N253">
        <f>IF(Tree!$C$4="once per order",K253,1)</f>
        <v/>
      </c>
      <c r="O253">
        <f>IF(Tree!$C$4="once per order",L253,1)</f>
        <v/>
      </c>
    </row>
    <row r="254">
      <c r="A254" t="inlineStr">
        <is>
          <t>KR-00137</t>
        </is>
      </c>
      <c r="B254" t="inlineStr">
        <is>
          <t>C-0158</t>
        </is>
      </c>
      <c r="C254" t="inlineStr">
        <is>
          <t>Retail-Plus</t>
        </is>
      </c>
      <c r="D254" t="inlineStr">
        <is>
          <t>store</t>
        </is>
      </c>
      <c r="E254" s="7" t="n">
        <v>46133</v>
      </c>
      <c r="F254" t="n">
        <v>1610</v>
      </c>
      <c r="G254" t="n">
        <v>1610</v>
      </c>
      <c r="H254" t="inlineStr">
        <is>
          <t>2026-04-23</t>
        </is>
      </c>
      <c r="I254">
        <f>IF(MONTH(E254)&lt;=6,"Q1","Q2")</f>
        <v/>
      </c>
      <c r="J254">
        <f>YEAR(E254)*100+MONTH(E254)</f>
        <v/>
      </c>
      <c r="K254">
        <f>IF(COUNTIF($A$2:A254,A254)=1,1,0)</f>
        <v/>
      </c>
      <c r="L254">
        <f>IF(K254=1,IF(COUNTIFS($B$2:B254,B254,$I$2:I254,I254,$K$2:K254,1)=1,1,0),0)</f>
        <v/>
      </c>
      <c r="M254">
        <f>IF(Tree!$C$4="once per order",F254*K254,F254)</f>
        <v/>
      </c>
      <c r="N254">
        <f>IF(Tree!$C$4="once per order",K254,1)</f>
        <v/>
      </c>
      <c r="O254">
        <f>IF(Tree!$C$4="once per order",L254,1)</f>
        <v/>
      </c>
    </row>
    <row r="255">
      <c r="A255" t="inlineStr">
        <is>
          <t>KR-00138</t>
        </is>
      </c>
      <c r="B255" t="inlineStr">
        <is>
          <t>C-0173</t>
        </is>
      </c>
      <c r="C255" t="inlineStr">
        <is>
          <t>Retail-Plus</t>
        </is>
      </c>
      <c r="D255" t="inlineStr">
        <is>
          <t>web</t>
        </is>
      </c>
      <c r="E255" s="7" t="n">
        <v>46152</v>
      </c>
      <c r="F255" t="n">
        <v>3410</v>
      </c>
      <c r="G255" t="n">
        <v>2046</v>
      </c>
      <c r="H255" t="inlineStr">
        <is>
          <t>2026-05-12</t>
        </is>
      </c>
      <c r="I255">
        <f>IF(MONTH(E255)&lt;=6,"Q1","Q2")</f>
        <v/>
      </c>
      <c r="J255">
        <f>YEAR(E255)*100+MONTH(E255)</f>
        <v/>
      </c>
      <c r="K255">
        <f>IF(COUNTIF($A$2:A255,A255)=1,1,0)</f>
        <v/>
      </c>
      <c r="L255">
        <f>IF(K255=1,IF(COUNTIFS($B$2:B255,B255,$I$2:I255,I255,$K$2:K255,1)=1,1,0),0)</f>
        <v/>
      </c>
      <c r="M255">
        <f>IF(Tree!$C$4="once per order",F255*K255,F255)</f>
        <v/>
      </c>
      <c r="N255">
        <f>IF(Tree!$C$4="once per order",K255,1)</f>
        <v/>
      </c>
      <c r="O255">
        <f>IF(Tree!$C$4="once per order",L255,1)</f>
        <v/>
      </c>
    </row>
    <row r="256">
      <c r="A256" t="inlineStr">
        <is>
          <t>KR-00138</t>
        </is>
      </c>
      <c r="B256" t="inlineStr">
        <is>
          <t>C-0173</t>
        </is>
      </c>
      <c r="C256" t="inlineStr">
        <is>
          <t>Retail-Plus</t>
        </is>
      </c>
      <c r="D256" t="inlineStr">
        <is>
          <t>web</t>
        </is>
      </c>
      <c r="E256" s="7" t="n">
        <v>46152</v>
      </c>
      <c r="F256" t="n">
        <v>3410</v>
      </c>
      <c r="G256" t="n">
        <v>1364</v>
      </c>
      <c r="H256" t="inlineStr">
        <is>
          <t>2026-05-12</t>
        </is>
      </c>
      <c r="I256">
        <f>IF(MONTH(E256)&lt;=6,"Q1","Q2")</f>
        <v/>
      </c>
      <c r="J256">
        <f>YEAR(E256)*100+MONTH(E256)</f>
        <v/>
      </c>
      <c r="K256">
        <f>IF(COUNTIF($A$2:A256,A256)=1,1,0)</f>
        <v/>
      </c>
      <c r="L256">
        <f>IF(K256=1,IF(COUNTIFS($B$2:B256,B256,$I$2:I256,I256,$K$2:K256,1)=1,1,0),0)</f>
        <v/>
      </c>
      <c r="M256">
        <f>IF(Tree!$C$4="once per order",F256*K256,F256)</f>
        <v/>
      </c>
      <c r="N256">
        <f>IF(Tree!$C$4="once per order",K256,1)</f>
        <v/>
      </c>
      <c r="O256">
        <f>IF(Tree!$C$4="once per order",L256,1)</f>
        <v/>
      </c>
    </row>
    <row r="257">
      <c r="A257" t="inlineStr">
        <is>
          <t>KR-00139</t>
        </is>
      </c>
      <c r="B257" t="inlineStr">
        <is>
          <t>C-0260</t>
        </is>
      </c>
      <c r="C257" t="inlineStr">
        <is>
          <t>Retail-Plus</t>
        </is>
      </c>
      <c r="D257" t="inlineStr">
        <is>
          <t>store</t>
        </is>
      </c>
      <c r="E257" s="7" t="n">
        <v>46200</v>
      </c>
      <c r="F257" t="n">
        <v>3870</v>
      </c>
      <c r="G257" t="n">
        <v>2322</v>
      </c>
      <c r="H257" t="inlineStr">
        <is>
          <t>2026-06-28</t>
        </is>
      </c>
      <c r="I257">
        <f>IF(MONTH(E257)&lt;=6,"Q1","Q2")</f>
        <v/>
      </c>
      <c r="J257">
        <f>YEAR(E257)*100+MONTH(E257)</f>
        <v/>
      </c>
      <c r="K257">
        <f>IF(COUNTIF($A$2:A257,A257)=1,1,0)</f>
        <v/>
      </c>
      <c r="L257">
        <f>IF(K257=1,IF(COUNTIFS($B$2:B257,B257,$I$2:I257,I257,$K$2:K257,1)=1,1,0),0)</f>
        <v/>
      </c>
      <c r="M257">
        <f>IF(Tree!$C$4="once per order",F257*K257,F257)</f>
        <v/>
      </c>
      <c r="N257">
        <f>IF(Tree!$C$4="once per order",K257,1)</f>
        <v/>
      </c>
      <c r="O257">
        <f>IF(Tree!$C$4="once per order",L257,1)</f>
        <v/>
      </c>
    </row>
    <row r="258">
      <c r="A258" t="inlineStr">
        <is>
          <t>KR-00139</t>
        </is>
      </c>
      <c r="B258" t="inlineStr">
        <is>
          <t>C-0260</t>
        </is>
      </c>
      <c r="C258" t="inlineStr">
        <is>
          <t>Retail-Plus</t>
        </is>
      </c>
      <c r="D258" t="inlineStr">
        <is>
          <t>store</t>
        </is>
      </c>
      <c r="E258" s="7" t="n">
        <v>46200</v>
      </c>
      <c r="F258" t="n">
        <v>3870</v>
      </c>
      <c r="G258" t="n">
        <v>1548</v>
      </c>
      <c r="H258" t="inlineStr">
        <is>
          <t>2026-06-28</t>
        </is>
      </c>
      <c r="I258">
        <f>IF(MONTH(E258)&lt;=6,"Q1","Q2")</f>
        <v/>
      </c>
      <c r="J258">
        <f>YEAR(E258)*100+MONTH(E258)</f>
        <v/>
      </c>
      <c r="K258">
        <f>IF(COUNTIF($A$2:A258,A258)=1,1,0)</f>
        <v/>
      </c>
      <c r="L258">
        <f>IF(K258=1,IF(COUNTIFS($B$2:B258,B258,$I$2:I258,I258,$K$2:K258,1)=1,1,0),0)</f>
        <v/>
      </c>
      <c r="M258">
        <f>IF(Tree!$C$4="once per order",F258*K258,F258)</f>
        <v/>
      </c>
      <c r="N258">
        <f>IF(Tree!$C$4="once per order",K258,1)</f>
        <v/>
      </c>
      <c r="O258">
        <f>IF(Tree!$C$4="once per order",L258,1)</f>
        <v/>
      </c>
    </row>
    <row r="259">
      <c r="A259" t="inlineStr">
        <is>
          <t>KR-00140</t>
        </is>
      </c>
      <c r="B259" t="inlineStr">
        <is>
          <t>C-0154</t>
        </is>
      </c>
      <c r="C259" t="inlineStr">
        <is>
          <t>Retail-Plus</t>
        </is>
      </c>
      <c r="D259" t="inlineStr">
        <is>
          <t>app</t>
        </is>
      </c>
      <c r="E259" s="7" t="n">
        <v>46134</v>
      </c>
      <c r="F259" t="n">
        <v>3130</v>
      </c>
      <c r="G259" t="n">
        <v>1878</v>
      </c>
      <c r="H259" t="inlineStr">
        <is>
          <t>2026-04-24</t>
        </is>
      </c>
      <c r="I259">
        <f>IF(MONTH(E259)&lt;=6,"Q1","Q2")</f>
        <v/>
      </c>
      <c r="J259">
        <f>YEAR(E259)*100+MONTH(E259)</f>
        <v/>
      </c>
      <c r="K259">
        <f>IF(COUNTIF($A$2:A259,A259)=1,1,0)</f>
        <v/>
      </c>
      <c r="L259">
        <f>IF(K259=1,IF(COUNTIFS($B$2:B259,B259,$I$2:I259,I259,$K$2:K259,1)=1,1,0),0)</f>
        <v/>
      </c>
      <c r="M259">
        <f>IF(Tree!$C$4="once per order",F259*K259,F259)</f>
        <v/>
      </c>
      <c r="N259">
        <f>IF(Tree!$C$4="once per order",K259,1)</f>
        <v/>
      </c>
      <c r="O259">
        <f>IF(Tree!$C$4="once per order",L259,1)</f>
        <v/>
      </c>
    </row>
    <row r="260">
      <c r="A260" t="inlineStr">
        <is>
          <t>KR-00140</t>
        </is>
      </c>
      <c r="B260" t="inlineStr">
        <is>
          <t>C-0154</t>
        </is>
      </c>
      <c r="C260" t="inlineStr">
        <is>
          <t>Retail-Plus</t>
        </is>
      </c>
      <c r="D260" t="inlineStr">
        <is>
          <t>app</t>
        </is>
      </c>
      <c r="E260" s="7" t="n">
        <v>46134</v>
      </c>
      <c r="F260" t="n">
        <v>3130</v>
      </c>
      <c r="G260" t="n">
        <v>1252</v>
      </c>
      <c r="H260" t="inlineStr">
        <is>
          <t>2026-04-24</t>
        </is>
      </c>
      <c r="I260">
        <f>IF(MONTH(E260)&lt;=6,"Q1","Q2")</f>
        <v/>
      </c>
      <c r="J260">
        <f>YEAR(E260)*100+MONTH(E260)</f>
        <v/>
      </c>
      <c r="K260">
        <f>IF(COUNTIF($A$2:A260,A260)=1,1,0)</f>
        <v/>
      </c>
      <c r="L260">
        <f>IF(K260=1,IF(COUNTIFS($B$2:B260,B260,$I$2:I260,I260,$K$2:K260,1)=1,1,0),0)</f>
        <v/>
      </c>
      <c r="M260">
        <f>IF(Tree!$C$4="once per order",F260*K260,F260)</f>
        <v/>
      </c>
      <c r="N260">
        <f>IF(Tree!$C$4="once per order",K260,1)</f>
        <v/>
      </c>
      <c r="O260">
        <f>IF(Tree!$C$4="once per order",L260,1)</f>
        <v/>
      </c>
    </row>
    <row r="261">
      <c r="A261" t="inlineStr">
        <is>
          <t>KR-00141</t>
        </is>
      </c>
      <c r="B261" t="inlineStr">
        <is>
          <t>C-0265</t>
        </is>
      </c>
      <c r="C261" t="inlineStr">
        <is>
          <t>Retail-Plus</t>
        </is>
      </c>
      <c r="D261" t="inlineStr">
        <is>
          <t>store</t>
        </is>
      </c>
      <c r="E261" s="7" t="n">
        <v>46164</v>
      </c>
      <c r="F261" t="n">
        <v>2540</v>
      </c>
      <c r="G261" t="n">
        <v>2540</v>
      </c>
      <c r="H261" t="inlineStr">
        <is>
          <t>2026-05-24</t>
        </is>
      </c>
      <c r="I261">
        <f>IF(MONTH(E261)&lt;=6,"Q1","Q2")</f>
        <v/>
      </c>
      <c r="J261">
        <f>YEAR(E261)*100+MONTH(E261)</f>
        <v/>
      </c>
      <c r="K261">
        <f>IF(COUNTIF($A$2:A261,A261)=1,1,0)</f>
        <v/>
      </c>
      <c r="L261">
        <f>IF(K261=1,IF(COUNTIFS($B$2:B261,B261,$I$2:I261,I261,$K$2:K261,1)=1,1,0),0)</f>
        <v/>
      </c>
      <c r="M261">
        <f>IF(Tree!$C$4="once per order",F261*K261,F261)</f>
        <v/>
      </c>
      <c r="N261">
        <f>IF(Tree!$C$4="once per order",K261,1)</f>
        <v/>
      </c>
      <c r="O261">
        <f>IF(Tree!$C$4="once per order",L261,1)</f>
        <v/>
      </c>
    </row>
    <row r="262">
      <c r="A262" t="inlineStr">
        <is>
          <t>KR-00142</t>
        </is>
      </c>
      <c r="B262" t="inlineStr">
        <is>
          <t>C-0234</t>
        </is>
      </c>
      <c r="C262" t="inlineStr">
        <is>
          <t>Retail-Plus</t>
        </is>
      </c>
      <c r="D262" t="inlineStr">
        <is>
          <t>store</t>
        </is>
      </c>
      <c r="E262" s="7" t="n">
        <v>46196</v>
      </c>
      <c r="F262" t="n">
        <v>3280</v>
      </c>
      <c r="G262" t="n">
        <v>1968</v>
      </c>
      <c r="H262" t="inlineStr">
        <is>
          <t>2026-06-25</t>
        </is>
      </c>
      <c r="I262">
        <f>IF(MONTH(E262)&lt;=6,"Q1","Q2")</f>
        <v/>
      </c>
      <c r="J262">
        <f>YEAR(E262)*100+MONTH(E262)</f>
        <v/>
      </c>
      <c r="K262">
        <f>IF(COUNTIF($A$2:A262,A262)=1,1,0)</f>
        <v/>
      </c>
      <c r="L262">
        <f>IF(K262=1,IF(COUNTIFS($B$2:B262,B262,$I$2:I262,I262,$K$2:K262,1)=1,1,0),0)</f>
        <v/>
      </c>
      <c r="M262">
        <f>IF(Tree!$C$4="once per order",F262*K262,F262)</f>
        <v/>
      </c>
      <c r="N262">
        <f>IF(Tree!$C$4="once per order",K262,1)</f>
        <v/>
      </c>
      <c r="O262">
        <f>IF(Tree!$C$4="once per order",L262,1)</f>
        <v/>
      </c>
    </row>
    <row r="263">
      <c r="A263" t="inlineStr">
        <is>
          <t>KR-00142</t>
        </is>
      </c>
      <c r="B263" t="inlineStr">
        <is>
          <t>C-0234</t>
        </is>
      </c>
      <c r="C263" t="inlineStr">
        <is>
          <t>Retail-Plus</t>
        </is>
      </c>
      <c r="D263" t="inlineStr">
        <is>
          <t>store</t>
        </is>
      </c>
      <c r="E263" s="7" t="n">
        <v>46196</v>
      </c>
      <c r="F263" t="n">
        <v>3280</v>
      </c>
      <c r="G263" t="n">
        <v>1312</v>
      </c>
      <c r="H263" t="inlineStr">
        <is>
          <t>2026-06-25</t>
        </is>
      </c>
      <c r="I263">
        <f>IF(MONTH(E263)&lt;=6,"Q1","Q2")</f>
        <v/>
      </c>
      <c r="J263">
        <f>YEAR(E263)*100+MONTH(E263)</f>
        <v/>
      </c>
      <c r="K263">
        <f>IF(COUNTIF($A$2:A263,A263)=1,1,0)</f>
        <v/>
      </c>
      <c r="L263">
        <f>IF(K263=1,IF(COUNTIFS($B$2:B263,B263,$I$2:I263,I263,$K$2:K263,1)=1,1,0),0)</f>
        <v/>
      </c>
      <c r="M263">
        <f>IF(Tree!$C$4="once per order",F263*K263,F263)</f>
        <v/>
      </c>
      <c r="N263">
        <f>IF(Tree!$C$4="once per order",K263,1)</f>
        <v/>
      </c>
      <c r="O263">
        <f>IF(Tree!$C$4="once per order",L263,1)</f>
        <v/>
      </c>
    </row>
    <row r="264">
      <c r="A264" t="inlineStr">
        <is>
          <t>KR-00143</t>
        </is>
      </c>
      <c r="B264" t="inlineStr">
        <is>
          <t>C-0261</t>
        </is>
      </c>
      <c r="C264" t="inlineStr">
        <is>
          <t>Retail-Plus</t>
        </is>
      </c>
      <c r="D264" t="inlineStr">
        <is>
          <t>app</t>
        </is>
      </c>
      <c r="E264" s="7" t="n">
        <v>46137</v>
      </c>
      <c r="F264" t="n">
        <v>1720</v>
      </c>
      <c r="G264" t="n">
        <v>1720</v>
      </c>
      <c r="H264" t="inlineStr">
        <is>
          <t>2026-04-27</t>
        </is>
      </c>
      <c r="I264">
        <f>IF(MONTH(E264)&lt;=6,"Q1","Q2")</f>
        <v/>
      </c>
      <c r="J264">
        <f>YEAR(E264)*100+MONTH(E264)</f>
        <v/>
      </c>
      <c r="K264">
        <f>IF(COUNTIF($A$2:A264,A264)=1,1,0)</f>
        <v/>
      </c>
      <c r="L264">
        <f>IF(K264=1,IF(COUNTIFS($B$2:B264,B264,$I$2:I264,I264,$K$2:K264,1)=1,1,0),0)</f>
        <v/>
      </c>
      <c r="M264">
        <f>IF(Tree!$C$4="once per order",F264*K264,F264)</f>
        <v/>
      </c>
      <c r="N264">
        <f>IF(Tree!$C$4="once per order",K264,1)</f>
        <v/>
      </c>
      <c r="O264">
        <f>IF(Tree!$C$4="once per order",L264,1)</f>
        <v/>
      </c>
    </row>
    <row r="265">
      <c r="A265" t="inlineStr">
        <is>
          <t>KR-00144</t>
        </is>
      </c>
      <c r="B265" t="inlineStr">
        <is>
          <t>C-0176</t>
        </is>
      </c>
      <c r="C265" t="inlineStr">
        <is>
          <t>Retail-Plus</t>
        </is>
      </c>
      <c r="D265" t="inlineStr">
        <is>
          <t>app</t>
        </is>
      </c>
      <c r="E265" s="7" t="n">
        <v>46167</v>
      </c>
      <c r="F265" t="n">
        <v>1310</v>
      </c>
      <c r="G265" t="n">
        <v>1310</v>
      </c>
      <c r="H265" t="inlineStr">
        <is>
          <t>2026-05-27</t>
        </is>
      </c>
      <c r="I265">
        <f>IF(MONTH(E265)&lt;=6,"Q1","Q2")</f>
        <v/>
      </c>
      <c r="J265">
        <f>YEAR(E265)*100+MONTH(E265)</f>
        <v/>
      </c>
      <c r="K265">
        <f>IF(COUNTIF($A$2:A265,A265)=1,1,0)</f>
        <v/>
      </c>
      <c r="L265">
        <f>IF(K265=1,IF(COUNTIFS($B$2:B265,B265,$I$2:I265,I265,$K$2:K265,1)=1,1,0),0)</f>
        <v/>
      </c>
      <c r="M265">
        <f>IF(Tree!$C$4="once per order",F265*K265,F265)</f>
        <v/>
      </c>
      <c r="N265">
        <f>IF(Tree!$C$4="once per order",K265,1)</f>
        <v/>
      </c>
      <c r="O265">
        <f>IF(Tree!$C$4="once per order",L265,1)</f>
        <v/>
      </c>
    </row>
    <row r="266">
      <c r="A266" t="inlineStr">
        <is>
          <t>KR-00145</t>
        </is>
      </c>
      <c r="B266" t="inlineStr">
        <is>
          <t>C-0167</t>
        </is>
      </c>
      <c r="C266" t="inlineStr">
        <is>
          <t>Retail-Plus</t>
        </is>
      </c>
      <c r="D266" t="inlineStr">
        <is>
          <t>web</t>
        </is>
      </c>
      <c r="E266" s="7" t="n">
        <v>46192</v>
      </c>
      <c r="F266" t="n">
        <v>2220</v>
      </c>
      <c r="G266" t="n">
        <v>2220</v>
      </c>
      <c r="H266" t="inlineStr">
        <is>
          <t>2026-06-21</t>
        </is>
      </c>
      <c r="I266">
        <f>IF(MONTH(E266)&lt;=6,"Q1","Q2")</f>
        <v/>
      </c>
      <c r="J266">
        <f>YEAR(E266)*100+MONTH(E266)</f>
        <v/>
      </c>
      <c r="K266">
        <f>IF(COUNTIF($A$2:A266,A266)=1,1,0)</f>
        <v/>
      </c>
      <c r="L266">
        <f>IF(K266=1,IF(COUNTIFS($B$2:B266,B266,$I$2:I266,I266,$K$2:K266,1)=1,1,0),0)</f>
        <v/>
      </c>
      <c r="M266">
        <f>IF(Tree!$C$4="once per order",F266*K266,F266)</f>
        <v/>
      </c>
      <c r="N266">
        <f>IF(Tree!$C$4="once per order",K266,1)</f>
        <v/>
      </c>
      <c r="O266">
        <f>IF(Tree!$C$4="once per order",L266,1)</f>
        <v/>
      </c>
    </row>
    <row r="267">
      <c r="A267" t="inlineStr">
        <is>
          <t>KR-00146</t>
        </is>
      </c>
      <c r="B267" t="inlineStr">
        <is>
          <t>C-0204</t>
        </is>
      </c>
      <c r="C267" t="inlineStr">
        <is>
          <t>Retail-Plus</t>
        </is>
      </c>
      <c r="D267" t="inlineStr">
        <is>
          <t>app</t>
        </is>
      </c>
      <c r="E267" s="7" t="n">
        <v>46132</v>
      </c>
      <c r="F267" t="n">
        <v>1430</v>
      </c>
      <c r="G267" t="n">
        <v>1430</v>
      </c>
      <c r="H267" t="inlineStr">
        <is>
          <t>2026-04-22</t>
        </is>
      </c>
      <c r="I267">
        <f>IF(MONTH(E267)&lt;=6,"Q1","Q2")</f>
        <v/>
      </c>
      <c r="J267">
        <f>YEAR(E267)*100+MONTH(E267)</f>
        <v/>
      </c>
      <c r="K267">
        <f>IF(COUNTIF($A$2:A267,A267)=1,1,0)</f>
        <v/>
      </c>
      <c r="L267">
        <f>IF(K267=1,IF(COUNTIFS($B$2:B267,B267,$I$2:I267,I267,$K$2:K267,1)=1,1,0),0)</f>
        <v/>
      </c>
      <c r="M267">
        <f>IF(Tree!$C$4="once per order",F267*K267,F267)</f>
        <v/>
      </c>
      <c r="N267">
        <f>IF(Tree!$C$4="once per order",K267,1)</f>
        <v/>
      </c>
      <c r="O267">
        <f>IF(Tree!$C$4="once per order",L267,1)</f>
        <v/>
      </c>
    </row>
    <row r="268">
      <c r="A268" t="inlineStr">
        <is>
          <t>KR-00147</t>
        </is>
      </c>
      <c r="B268" t="inlineStr">
        <is>
          <t>C-0173</t>
        </is>
      </c>
      <c r="C268" t="inlineStr">
        <is>
          <t>Retail-Plus</t>
        </is>
      </c>
      <c r="D268" t="inlineStr">
        <is>
          <t>web</t>
        </is>
      </c>
      <c r="E268" s="7" t="n">
        <v>46150</v>
      </c>
      <c r="F268" t="n">
        <v>3520</v>
      </c>
      <c r="G268" t="n">
        <v>2112</v>
      </c>
      <c r="H268" t="inlineStr">
        <is>
          <t>2026-05-10</t>
        </is>
      </c>
      <c r="I268">
        <f>IF(MONTH(E268)&lt;=6,"Q1","Q2")</f>
        <v/>
      </c>
      <c r="J268">
        <f>YEAR(E268)*100+MONTH(E268)</f>
        <v/>
      </c>
      <c r="K268">
        <f>IF(COUNTIF($A$2:A268,A268)=1,1,0)</f>
        <v/>
      </c>
      <c r="L268">
        <f>IF(K268=1,IF(COUNTIFS($B$2:B268,B268,$I$2:I268,I268,$K$2:K268,1)=1,1,0),0)</f>
        <v/>
      </c>
      <c r="M268">
        <f>IF(Tree!$C$4="once per order",F268*K268,F268)</f>
        <v/>
      </c>
      <c r="N268">
        <f>IF(Tree!$C$4="once per order",K268,1)</f>
        <v/>
      </c>
      <c r="O268">
        <f>IF(Tree!$C$4="once per order",L268,1)</f>
        <v/>
      </c>
    </row>
    <row r="269">
      <c r="A269" t="inlineStr">
        <is>
          <t>KR-00147</t>
        </is>
      </c>
      <c r="B269" t="inlineStr">
        <is>
          <t>C-0173</t>
        </is>
      </c>
      <c r="C269" t="inlineStr">
        <is>
          <t>Retail-Plus</t>
        </is>
      </c>
      <c r="D269" t="inlineStr">
        <is>
          <t>web</t>
        </is>
      </c>
      <c r="E269" s="7" t="n">
        <v>46150</v>
      </c>
      <c r="F269" t="n">
        <v>3520</v>
      </c>
      <c r="G269" t="n">
        <v>1408</v>
      </c>
      <c r="H269" t="inlineStr">
        <is>
          <t>2026-05-10</t>
        </is>
      </c>
      <c r="I269">
        <f>IF(MONTH(E269)&lt;=6,"Q1","Q2")</f>
        <v/>
      </c>
      <c r="J269">
        <f>YEAR(E269)*100+MONTH(E269)</f>
        <v/>
      </c>
      <c r="K269">
        <f>IF(COUNTIF($A$2:A269,A269)=1,1,0)</f>
        <v/>
      </c>
      <c r="L269">
        <f>IF(K269=1,IF(COUNTIFS($B$2:B269,B269,$I$2:I269,I269,$K$2:K269,1)=1,1,0),0)</f>
        <v/>
      </c>
      <c r="M269">
        <f>IF(Tree!$C$4="once per order",F269*K269,F269)</f>
        <v/>
      </c>
      <c r="N269">
        <f>IF(Tree!$C$4="once per order",K269,1)</f>
        <v/>
      </c>
      <c r="O269">
        <f>IF(Tree!$C$4="once per order",L269,1)</f>
        <v/>
      </c>
    </row>
    <row r="270">
      <c r="A270" t="inlineStr">
        <is>
          <t>KR-00148</t>
        </is>
      </c>
      <c r="B270" t="inlineStr">
        <is>
          <t>C-0176</t>
        </is>
      </c>
      <c r="C270" t="inlineStr">
        <is>
          <t>Retail-Plus</t>
        </is>
      </c>
      <c r="D270" t="inlineStr">
        <is>
          <t>store</t>
        </is>
      </c>
      <c r="E270" s="7" t="n">
        <v>46187</v>
      </c>
      <c r="F270" t="n">
        <v>1420</v>
      </c>
      <c r="G270" t="n">
        <v>1420</v>
      </c>
      <c r="H270" t="inlineStr">
        <is>
          <t>2026-06-16</t>
        </is>
      </c>
      <c r="I270">
        <f>IF(MONTH(E270)&lt;=6,"Q1","Q2")</f>
        <v/>
      </c>
      <c r="J270">
        <f>YEAR(E270)*100+MONTH(E270)</f>
        <v/>
      </c>
      <c r="K270">
        <f>IF(COUNTIF($A$2:A270,A270)=1,1,0)</f>
        <v/>
      </c>
      <c r="L270">
        <f>IF(K270=1,IF(COUNTIFS($B$2:B270,B270,$I$2:I270,I270,$K$2:K270,1)=1,1,0),0)</f>
        <v/>
      </c>
      <c r="M270">
        <f>IF(Tree!$C$4="once per order",F270*K270,F270)</f>
        <v/>
      </c>
      <c r="N270">
        <f>IF(Tree!$C$4="once per order",K270,1)</f>
        <v/>
      </c>
      <c r="O270">
        <f>IF(Tree!$C$4="once per order",L270,1)</f>
        <v/>
      </c>
    </row>
    <row r="271">
      <c r="A271" t="inlineStr">
        <is>
          <t>KR-00149</t>
        </is>
      </c>
      <c r="B271" t="inlineStr">
        <is>
          <t>C-0229</t>
        </is>
      </c>
      <c r="C271" t="inlineStr">
        <is>
          <t>Retail-Plus</t>
        </is>
      </c>
      <c r="D271" t="inlineStr">
        <is>
          <t>store</t>
        </is>
      </c>
      <c r="E271" s="7" t="n">
        <v>46113</v>
      </c>
      <c r="F271" t="n">
        <v>3680</v>
      </c>
      <c r="G271" t="n">
        <v>2208</v>
      </c>
      <c r="H271" t="inlineStr">
        <is>
          <t>2026-04-03</t>
        </is>
      </c>
      <c r="I271">
        <f>IF(MONTH(E271)&lt;=6,"Q1","Q2")</f>
        <v/>
      </c>
      <c r="J271">
        <f>YEAR(E271)*100+MONTH(E271)</f>
        <v/>
      </c>
      <c r="K271">
        <f>IF(COUNTIF($A$2:A271,A271)=1,1,0)</f>
        <v/>
      </c>
      <c r="L271">
        <f>IF(K271=1,IF(COUNTIFS($B$2:B271,B271,$I$2:I271,I271,$K$2:K271,1)=1,1,0),0)</f>
        <v/>
      </c>
      <c r="M271">
        <f>IF(Tree!$C$4="once per order",F271*K271,F271)</f>
        <v/>
      </c>
      <c r="N271">
        <f>IF(Tree!$C$4="once per order",K271,1)</f>
        <v/>
      </c>
      <c r="O271">
        <f>IF(Tree!$C$4="once per order",L271,1)</f>
        <v/>
      </c>
    </row>
    <row r="272">
      <c r="A272" t="inlineStr">
        <is>
          <t>KR-00149</t>
        </is>
      </c>
      <c r="B272" t="inlineStr">
        <is>
          <t>C-0229</t>
        </is>
      </c>
      <c r="C272" t="inlineStr">
        <is>
          <t>Retail-Plus</t>
        </is>
      </c>
      <c r="D272" t="inlineStr">
        <is>
          <t>store</t>
        </is>
      </c>
      <c r="E272" s="7" t="n">
        <v>46113</v>
      </c>
      <c r="F272" t="n">
        <v>3680</v>
      </c>
      <c r="G272" t="n">
        <v>1472</v>
      </c>
      <c r="H272" t="inlineStr">
        <is>
          <t>2026-04-03</t>
        </is>
      </c>
      <c r="I272">
        <f>IF(MONTH(E272)&lt;=6,"Q1","Q2")</f>
        <v/>
      </c>
      <c r="J272">
        <f>YEAR(E272)*100+MONTH(E272)</f>
        <v/>
      </c>
      <c r="K272">
        <f>IF(COUNTIF($A$2:A272,A272)=1,1,0)</f>
        <v/>
      </c>
      <c r="L272">
        <f>IF(K272=1,IF(COUNTIFS($B$2:B272,B272,$I$2:I272,I272,$K$2:K272,1)=1,1,0),0)</f>
        <v/>
      </c>
      <c r="M272">
        <f>IF(Tree!$C$4="once per order",F272*K272,F272)</f>
        <v/>
      </c>
      <c r="N272">
        <f>IF(Tree!$C$4="once per order",K272,1)</f>
        <v/>
      </c>
      <c r="O272">
        <f>IF(Tree!$C$4="once per order",L272,1)</f>
        <v/>
      </c>
    </row>
    <row r="273">
      <c r="A273" t="inlineStr">
        <is>
          <t>KR-00150</t>
        </is>
      </c>
      <c r="B273" t="inlineStr">
        <is>
          <t>C-0247</t>
        </is>
      </c>
      <c r="C273" t="inlineStr">
        <is>
          <t>Retail-Plus</t>
        </is>
      </c>
      <c r="D273" t="inlineStr">
        <is>
          <t>store</t>
        </is>
      </c>
      <c r="E273" s="7" t="n">
        <v>46166</v>
      </c>
      <c r="F273" t="n">
        <v>3840</v>
      </c>
      <c r="G273" t="n">
        <v>2304</v>
      </c>
      <c r="H273" t="inlineStr">
        <is>
          <t>2026-05-26</t>
        </is>
      </c>
      <c r="I273">
        <f>IF(MONTH(E273)&lt;=6,"Q1","Q2")</f>
        <v/>
      </c>
      <c r="J273">
        <f>YEAR(E273)*100+MONTH(E273)</f>
        <v/>
      </c>
      <c r="K273">
        <f>IF(COUNTIF($A$2:A273,A273)=1,1,0)</f>
        <v/>
      </c>
      <c r="L273">
        <f>IF(K273=1,IF(COUNTIFS($B$2:B273,B273,$I$2:I273,I273,$K$2:K273,1)=1,1,0),0)</f>
        <v/>
      </c>
      <c r="M273">
        <f>IF(Tree!$C$4="once per order",F273*K273,F273)</f>
        <v/>
      </c>
      <c r="N273">
        <f>IF(Tree!$C$4="once per order",K273,1)</f>
        <v/>
      </c>
      <c r="O273">
        <f>IF(Tree!$C$4="once per order",L273,1)</f>
        <v/>
      </c>
    </row>
    <row r="274">
      <c r="A274" t="inlineStr">
        <is>
          <t>KR-00150</t>
        </is>
      </c>
      <c r="B274" t="inlineStr">
        <is>
          <t>C-0247</t>
        </is>
      </c>
      <c r="C274" t="inlineStr">
        <is>
          <t>Retail-Plus</t>
        </is>
      </c>
      <c r="D274" t="inlineStr">
        <is>
          <t>store</t>
        </is>
      </c>
      <c r="E274" s="7" t="n">
        <v>46166</v>
      </c>
      <c r="F274" t="n">
        <v>3840</v>
      </c>
      <c r="G274" t="n">
        <v>1536</v>
      </c>
      <c r="H274" t="inlineStr">
        <is>
          <t>2026-05-26</t>
        </is>
      </c>
      <c r="I274">
        <f>IF(MONTH(E274)&lt;=6,"Q1","Q2")</f>
        <v/>
      </c>
      <c r="J274">
        <f>YEAR(E274)*100+MONTH(E274)</f>
        <v/>
      </c>
      <c r="K274">
        <f>IF(COUNTIF($A$2:A274,A274)=1,1,0)</f>
        <v/>
      </c>
      <c r="L274">
        <f>IF(K274=1,IF(COUNTIFS($B$2:B274,B274,$I$2:I274,I274,$K$2:K274,1)=1,1,0),0)</f>
        <v/>
      </c>
      <c r="M274">
        <f>IF(Tree!$C$4="once per order",F274*K274,F274)</f>
        <v/>
      </c>
      <c r="N274">
        <f>IF(Tree!$C$4="once per order",K274,1)</f>
        <v/>
      </c>
      <c r="O274">
        <f>IF(Tree!$C$4="once per order",L274,1)</f>
        <v/>
      </c>
    </row>
    <row r="275">
      <c r="A275" t="inlineStr">
        <is>
          <t>KR-00151</t>
        </is>
      </c>
      <c r="B275" t="inlineStr">
        <is>
          <t>C-0185</t>
        </is>
      </c>
      <c r="C275" t="inlineStr">
        <is>
          <t>Retail-Plus</t>
        </is>
      </c>
      <c r="D275" t="inlineStr">
        <is>
          <t>app</t>
        </is>
      </c>
      <c r="E275" s="7" t="n">
        <v>46183</v>
      </c>
      <c r="F275" t="n">
        <v>2690</v>
      </c>
      <c r="G275" t="n">
        <v>2690</v>
      </c>
      <c r="H275" t="inlineStr">
        <is>
          <t>2026-06-12</t>
        </is>
      </c>
      <c r="I275">
        <f>IF(MONTH(E275)&lt;=6,"Q1","Q2")</f>
        <v/>
      </c>
      <c r="J275">
        <f>YEAR(E275)*100+MONTH(E275)</f>
        <v/>
      </c>
      <c r="K275">
        <f>IF(COUNTIF($A$2:A275,A275)=1,1,0)</f>
        <v/>
      </c>
      <c r="L275">
        <f>IF(K275=1,IF(COUNTIFS($B$2:B275,B275,$I$2:I275,I275,$K$2:K275,1)=1,1,0),0)</f>
        <v/>
      </c>
      <c r="M275">
        <f>IF(Tree!$C$4="once per order",F275*K275,F275)</f>
        <v/>
      </c>
      <c r="N275">
        <f>IF(Tree!$C$4="once per order",K275,1)</f>
        <v/>
      </c>
      <c r="O275">
        <f>IF(Tree!$C$4="once per order",L275,1)</f>
        <v/>
      </c>
    </row>
    <row r="276">
      <c r="A276" t="inlineStr">
        <is>
          <t>KR-00152</t>
        </is>
      </c>
      <c r="B276" t="inlineStr">
        <is>
          <t>C-0187</t>
        </is>
      </c>
      <c r="C276" t="inlineStr">
        <is>
          <t>Retail-Plus</t>
        </is>
      </c>
      <c r="D276" t="inlineStr">
        <is>
          <t>app</t>
        </is>
      </c>
      <c r="E276" s="7" t="n">
        <v>46138</v>
      </c>
      <c r="F276" t="n">
        <v>2230</v>
      </c>
      <c r="G276" t="n">
        <v>2230</v>
      </c>
      <c r="H276" t="inlineStr">
        <is>
          <t>2026-04-28</t>
        </is>
      </c>
      <c r="I276">
        <f>IF(MONTH(E276)&lt;=6,"Q1","Q2")</f>
        <v/>
      </c>
      <c r="J276">
        <f>YEAR(E276)*100+MONTH(E276)</f>
        <v/>
      </c>
      <c r="K276">
        <f>IF(COUNTIF($A$2:A276,A276)=1,1,0)</f>
        <v/>
      </c>
      <c r="L276">
        <f>IF(K276=1,IF(COUNTIFS($B$2:B276,B276,$I$2:I276,I276,$K$2:K276,1)=1,1,0),0)</f>
        <v/>
      </c>
      <c r="M276">
        <f>IF(Tree!$C$4="once per order",F276*K276,F276)</f>
        <v/>
      </c>
      <c r="N276">
        <f>IF(Tree!$C$4="once per order",K276,1)</f>
        <v/>
      </c>
      <c r="O276">
        <f>IF(Tree!$C$4="once per order",L276,1)</f>
        <v/>
      </c>
    </row>
    <row r="277">
      <c r="A277" t="inlineStr">
        <is>
          <t>KR-00153</t>
        </is>
      </c>
      <c r="B277" t="inlineStr">
        <is>
          <t>C-0201</t>
        </is>
      </c>
      <c r="C277" t="inlineStr">
        <is>
          <t>Retail-Plus</t>
        </is>
      </c>
      <c r="D277" t="inlineStr">
        <is>
          <t>store</t>
        </is>
      </c>
      <c r="E277" s="7" t="n">
        <v>46145</v>
      </c>
      <c r="F277" t="n">
        <v>3840</v>
      </c>
      <c r="G277" t="n">
        <v>2304</v>
      </c>
      <c r="H277" t="inlineStr">
        <is>
          <t>2026-05-05</t>
        </is>
      </c>
      <c r="I277">
        <f>IF(MONTH(E277)&lt;=6,"Q1","Q2")</f>
        <v/>
      </c>
      <c r="J277">
        <f>YEAR(E277)*100+MONTH(E277)</f>
        <v/>
      </c>
      <c r="K277">
        <f>IF(COUNTIF($A$2:A277,A277)=1,1,0)</f>
        <v/>
      </c>
      <c r="L277">
        <f>IF(K277=1,IF(COUNTIFS($B$2:B277,B277,$I$2:I277,I277,$K$2:K277,1)=1,1,0),0)</f>
        <v/>
      </c>
      <c r="M277">
        <f>IF(Tree!$C$4="once per order",F277*K277,F277)</f>
        <v/>
      </c>
      <c r="N277">
        <f>IF(Tree!$C$4="once per order",K277,1)</f>
        <v/>
      </c>
      <c r="O277">
        <f>IF(Tree!$C$4="once per order",L277,1)</f>
        <v/>
      </c>
    </row>
    <row r="278">
      <c r="A278" t="inlineStr">
        <is>
          <t>KR-00153</t>
        </is>
      </c>
      <c r="B278" t="inlineStr">
        <is>
          <t>C-0201</t>
        </is>
      </c>
      <c r="C278" t="inlineStr">
        <is>
          <t>Retail-Plus</t>
        </is>
      </c>
      <c r="D278" t="inlineStr">
        <is>
          <t>store</t>
        </is>
      </c>
      <c r="E278" s="7" t="n">
        <v>46145</v>
      </c>
      <c r="F278" t="n">
        <v>3840</v>
      </c>
      <c r="G278" t="n">
        <v>1536</v>
      </c>
      <c r="H278" t="inlineStr">
        <is>
          <t>2026-05-05</t>
        </is>
      </c>
      <c r="I278">
        <f>IF(MONTH(E278)&lt;=6,"Q1","Q2")</f>
        <v/>
      </c>
      <c r="J278">
        <f>YEAR(E278)*100+MONTH(E278)</f>
        <v/>
      </c>
      <c r="K278">
        <f>IF(COUNTIF($A$2:A278,A278)=1,1,0)</f>
        <v/>
      </c>
      <c r="L278">
        <f>IF(K278=1,IF(COUNTIFS($B$2:B278,B278,$I$2:I278,I278,$K$2:K278,1)=1,1,0),0)</f>
        <v/>
      </c>
      <c r="M278">
        <f>IF(Tree!$C$4="once per order",F278*K278,F278)</f>
        <v/>
      </c>
      <c r="N278">
        <f>IF(Tree!$C$4="once per order",K278,1)</f>
        <v/>
      </c>
      <c r="O278">
        <f>IF(Tree!$C$4="once per order",L278,1)</f>
        <v/>
      </c>
    </row>
    <row r="279">
      <c r="A279" t="inlineStr">
        <is>
          <t>KR-00154</t>
        </is>
      </c>
      <c r="B279" t="inlineStr">
        <is>
          <t>C-0250</t>
        </is>
      </c>
      <c r="C279" t="inlineStr">
        <is>
          <t>Retail-Plus</t>
        </is>
      </c>
      <c r="D279" t="inlineStr">
        <is>
          <t>web</t>
        </is>
      </c>
      <c r="E279" s="7" t="n">
        <v>46175</v>
      </c>
      <c r="F279" t="n">
        <v>2560</v>
      </c>
      <c r="G279" t="n">
        <v>2560</v>
      </c>
      <c r="H279" t="inlineStr">
        <is>
          <t>2026-06-04</t>
        </is>
      </c>
      <c r="I279">
        <f>IF(MONTH(E279)&lt;=6,"Q1","Q2")</f>
        <v/>
      </c>
      <c r="J279">
        <f>YEAR(E279)*100+MONTH(E279)</f>
        <v/>
      </c>
      <c r="K279">
        <f>IF(COUNTIF($A$2:A279,A279)=1,1,0)</f>
        <v/>
      </c>
      <c r="L279">
        <f>IF(K279=1,IF(COUNTIFS($B$2:B279,B279,$I$2:I279,I279,$K$2:K279,1)=1,1,0),0)</f>
        <v/>
      </c>
      <c r="M279">
        <f>IF(Tree!$C$4="once per order",F279*K279,F279)</f>
        <v/>
      </c>
      <c r="N279">
        <f>IF(Tree!$C$4="once per order",K279,1)</f>
        <v/>
      </c>
      <c r="O279">
        <f>IF(Tree!$C$4="once per order",L279,1)</f>
        <v/>
      </c>
    </row>
    <row r="280">
      <c r="A280" t="inlineStr">
        <is>
          <t>KR-00155</t>
        </is>
      </c>
      <c r="B280" t="inlineStr">
        <is>
          <t>C-0230</t>
        </is>
      </c>
      <c r="C280" t="inlineStr">
        <is>
          <t>Retail-Plus</t>
        </is>
      </c>
      <c r="D280" t="inlineStr">
        <is>
          <t>web</t>
        </is>
      </c>
      <c r="E280" s="7" t="n">
        <v>46134</v>
      </c>
      <c r="F280" t="n">
        <v>3190</v>
      </c>
      <c r="G280" t="n">
        <v>1914</v>
      </c>
      <c r="H280" t="inlineStr">
        <is>
          <t>2026-04-24</t>
        </is>
      </c>
      <c r="I280">
        <f>IF(MONTH(E280)&lt;=6,"Q1","Q2")</f>
        <v/>
      </c>
      <c r="J280">
        <f>YEAR(E280)*100+MONTH(E280)</f>
        <v/>
      </c>
      <c r="K280">
        <f>IF(COUNTIF($A$2:A280,A280)=1,1,0)</f>
        <v/>
      </c>
      <c r="L280">
        <f>IF(K280=1,IF(COUNTIFS($B$2:B280,B280,$I$2:I280,I280,$K$2:K280,1)=1,1,0),0)</f>
        <v/>
      </c>
      <c r="M280">
        <f>IF(Tree!$C$4="once per order",F280*K280,F280)</f>
        <v/>
      </c>
      <c r="N280">
        <f>IF(Tree!$C$4="once per order",K280,1)</f>
        <v/>
      </c>
      <c r="O280">
        <f>IF(Tree!$C$4="once per order",L280,1)</f>
        <v/>
      </c>
    </row>
    <row r="281">
      <c r="A281" t="inlineStr">
        <is>
          <t>KR-00155</t>
        </is>
      </c>
      <c r="B281" t="inlineStr">
        <is>
          <t>C-0230</t>
        </is>
      </c>
      <c r="C281" t="inlineStr">
        <is>
          <t>Retail-Plus</t>
        </is>
      </c>
      <c r="D281" t="inlineStr">
        <is>
          <t>web</t>
        </is>
      </c>
      <c r="E281" s="7" t="n">
        <v>46134</v>
      </c>
      <c r="F281" t="n">
        <v>3190</v>
      </c>
      <c r="G281" t="n">
        <v>1276</v>
      </c>
      <c r="H281" t="inlineStr">
        <is>
          <t>2026-04-24</t>
        </is>
      </c>
      <c r="I281">
        <f>IF(MONTH(E281)&lt;=6,"Q1","Q2")</f>
        <v/>
      </c>
      <c r="J281">
        <f>YEAR(E281)*100+MONTH(E281)</f>
        <v/>
      </c>
      <c r="K281">
        <f>IF(COUNTIF($A$2:A281,A281)=1,1,0)</f>
        <v/>
      </c>
      <c r="L281">
        <f>IF(K281=1,IF(COUNTIFS($B$2:B281,B281,$I$2:I281,I281,$K$2:K281,1)=1,1,0),0)</f>
        <v/>
      </c>
      <c r="M281">
        <f>IF(Tree!$C$4="once per order",F281*K281,F281)</f>
        <v/>
      </c>
      <c r="N281">
        <f>IF(Tree!$C$4="once per order",K281,1)</f>
        <v/>
      </c>
      <c r="O281">
        <f>IF(Tree!$C$4="once per order",L281,1)</f>
        <v/>
      </c>
    </row>
    <row r="282">
      <c r="A282" t="inlineStr">
        <is>
          <t>KR-00156</t>
        </is>
      </c>
      <c r="B282" t="inlineStr">
        <is>
          <t>C-0225</t>
        </is>
      </c>
      <c r="C282" t="inlineStr">
        <is>
          <t>Retail-Plus</t>
        </is>
      </c>
      <c r="D282" t="inlineStr">
        <is>
          <t>store</t>
        </is>
      </c>
      <c r="E282" s="7" t="n">
        <v>46153</v>
      </c>
      <c r="F282" t="n">
        <v>1970</v>
      </c>
      <c r="G282" t="n">
        <v>1970</v>
      </c>
      <c r="H282" t="inlineStr">
        <is>
          <t>2026-05-13</t>
        </is>
      </c>
      <c r="I282">
        <f>IF(MONTH(E282)&lt;=6,"Q1","Q2")</f>
        <v/>
      </c>
      <c r="J282">
        <f>YEAR(E282)*100+MONTH(E282)</f>
        <v/>
      </c>
      <c r="K282">
        <f>IF(COUNTIF($A$2:A282,A282)=1,1,0)</f>
        <v/>
      </c>
      <c r="L282">
        <f>IF(K282=1,IF(COUNTIFS($B$2:B282,B282,$I$2:I282,I282,$K$2:K282,1)=1,1,0),0)</f>
        <v/>
      </c>
      <c r="M282">
        <f>IF(Tree!$C$4="once per order",F282*K282,F282)</f>
        <v/>
      </c>
      <c r="N282">
        <f>IF(Tree!$C$4="once per order",K282,1)</f>
        <v/>
      </c>
      <c r="O282">
        <f>IF(Tree!$C$4="once per order",L282,1)</f>
        <v/>
      </c>
    </row>
    <row r="283">
      <c r="A283" t="inlineStr">
        <is>
          <t>KR-00157</t>
        </is>
      </c>
      <c r="B283" t="inlineStr">
        <is>
          <t>C-0174</t>
        </is>
      </c>
      <c r="C283" t="inlineStr">
        <is>
          <t>Retail-Plus</t>
        </is>
      </c>
      <c r="D283" t="inlineStr">
        <is>
          <t>store</t>
        </is>
      </c>
      <c r="E283" s="7" t="n">
        <v>46188</v>
      </c>
      <c r="F283" t="n">
        <v>2740</v>
      </c>
      <c r="G283" t="n">
        <v>2740</v>
      </c>
      <c r="H283" t="inlineStr">
        <is>
          <t>2026-06-17</t>
        </is>
      </c>
      <c r="I283">
        <f>IF(MONTH(E283)&lt;=6,"Q1","Q2")</f>
        <v/>
      </c>
      <c r="J283">
        <f>YEAR(E283)*100+MONTH(E283)</f>
        <v/>
      </c>
      <c r="K283">
        <f>IF(COUNTIF($A$2:A283,A283)=1,1,0)</f>
        <v/>
      </c>
      <c r="L283">
        <f>IF(K283=1,IF(COUNTIFS($B$2:B283,B283,$I$2:I283,I283,$K$2:K283,1)=1,1,0),0)</f>
        <v/>
      </c>
      <c r="M283">
        <f>IF(Tree!$C$4="once per order",F283*K283,F283)</f>
        <v/>
      </c>
      <c r="N283">
        <f>IF(Tree!$C$4="once per order",K283,1)</f>
        <v/>
      </c>
      <c r="O283">
        <f>IF(Tree!$C$4="once per order",L283,1)</f>
        <v/>
      </c>
    </row>
    <row r="284">
      <c r="A284" t="inlineStr">
        <is>
          <t>KR-00158</t>
        </is>
      </c>
      <c r="B284" t="inlineStr">
        <is>
          <t>C-0257</t>
        </is>
      </c>
      <c r="C284" t="inlineStr">
        <is>
          <t>Retail-Plus</t>
        </is>
      </c>
      <c r="D284" t="inlineStr">
        <is>
          <t>web</t>
        </is>
      </c>
      <c r="E284" s="7" t="n">
        <v>46127</v>
      </c>
      <c r="F284" t="n">
        <v>3310</v>
      </c>
      <c r="G284" t="n">
        <v>1986</v>
      </c>
      <c r="H284" t="inlineStr">
        <is>
          <t>2026-04-17</t>
        </is>
      </c>
      <c r="I284">
        <f>IF(MONTH(E284)&lt;=6,"Q1","Q2")</f>
        <v/>
      </c>
      <c r="J284">
        <f>YEAR(E284)*100+MONTH(E284)</f>
        <v/>
      </c>
      <c r="K284">
        <f>IF(COUNTIF($A$2:A284,A284)=1,1,0)</f>
        <v/>
      </c>
      <c r="L284">
        <f>IF(K284=1,IF(COUNTIFS($B$2:B284,B284,$I$2:I284,I284,$K$2:K284,1)=1,1,0),0)</f>
        <v/>
      </c>
      <c r="M284">
        <f>IF(Tree!$C$4="once per order",F284*K284,F284)</f>
        <v/>
      </c>
      <c r="N284">
        <f>IF(Tree!$C$4="once per order",K284,1)</f>
        <v/>
      </c>
      <c r="O284">
        <f>IF(Tree!$C$4="once per order",L284,1)</f>
        <v/>
      </c>
    </row>
    <row r="285">
      <c r="A285" t="inlineStr">
        <is>
          <t>KR-00158</t>
        </is>
      </c>
      <c r="B285" t="inlineStr">
        <is>
          <t>C-0257</t>
        </is>
      </c>
      <c r="C285" t="inlineStr">
        <is>
          <t>Retail-Plus</t>
        </is>
      </c>
      <c r="D285" t="inlineStr">
        <is>
          <t>web</t>
        </is>
      </c>
      <c r="E285" s="7" t="n">
        <v>46127</v>
      </c>
      <c r="F285" t="n">
        <v>3310</v>
      </c>
      <c r="G285" t="n">
        <v>1324</v>
      </c>
      <c r="H285" t="inlineStr">
        <is>
          <t>2026-04-17</t>
        </is>
      </c>
      <c r="I285">
        <f>IF(MONTH(E285)&lt;=6,"Q1","Q2")</f>
        <v/>
      </c>
      <c r="J285">
        <f>YEAR(E285)*100+MONTH(E285)</f>
        <v/>
      </c>
      <c r="K285">
        <f>IF(COUNTIF($A$2:A285,A285)=1,1,0)</f>
        <v/>
      </c>
      <c r="L285">
        <f>IF(K285=1,IF(COUNTIFS($B$2:B285,B285,$I$2:I285,I285,$K$2:K285,1)=1,1,0),0)</f>
        <v/>
      </c>
      <c r="M285">
        <f>IF(Tree!$C$4="once per order",F285*K285,F285)</f>
        <v/>
      </c>
      <c r="N285">
        <f>IF(Tree!$C$4="once per order",K285,1)</f>
        <v/>
      </c>
      <c r="O285">
        <f>IF(Tree!$C$4="once per order",L285,1)</f>
        <v/>
      </c>
    </row>
    <row r="286">
      <c r="A286" t="inlineStr">
        <is>
          <t>KR-00159</t>
        </is>
      </c>
      <c r="B286" t="inlineStr">
        <is>
          <t>C-0164</t>
        </is>
      </c>
      <c r="C286" t="inlineStr">
        <is>
          <t>Retail-Plus</t>
        </is>
      </c>
      <c r="D286" t="inlineStr">
        <is>
          <t>store</t>
        </is>
      </c>
      <c r="E286" s="7" t="n">
        <v>46149</v>
      </c>
      <c r="F286" t="n">
        <v>3230</v>
      </c>
      <c r="G286" t="n">
        <v>1938</v>
      </c>
      <c r="H286" t="inlineStr">
        <is>
          <t>2026-05-09</t>
        </is>
      </c>
      <c r="I286">
        <f>IF(MONTH(E286)&lt;=6,"Q1","Q2")</f>
        <v/>
      </c>
      <c r="J286">
        <f>YEAR(E286)*100+MONTH(E286)</f>
        <v/>
      </c>
      <c r="K286">
        <f>IF(COUNTIF($A$2:A286,A286)=1,1,0)</f>
        <v/>
      </c>
      <c r="L286">
        <f>IF(K286=1,IF(COUNTIFS($B$2:B286,B286,$I$2:I286,I286,$K$2:K286,1)=1,1,0),0)</f>
        <v/>
      </c>
      <c r="M286">
        <f>IF(Tree!$C$4="once per order",F286*K286,F286)</f>
        <v/>
      </c>
      <c r="N286">
        <f>IF(Tree!$C$4="once per order",K286,1)</f>
        <v/>
      </c>
      <c r="O286">
        <f>IF(Tree!$C$4="once per order",L286,1)</f>
        <v/>
      </c>
    </row>
    <row r="287">
      <c r="A287" t="inlineStr">
        <is>
          <t>KR-00159</t>
        </is>
      </c>
      <c r="B287" t="inlineStr">
        <is>
          <t>C-0164</t>
        </is>
      </c>
      <c r="C287" t="inlineStr">
        <is>
          <t>Retail-Plus</t>
        </is>
      </c>
      <c r="D287" t="inlineStr">
        <is>
          <t>store</t>
        </is>
      </c>
      <c r="E287" s="7" t="n">
        <v>46149</v>
      </c>
      <c r="F287" t="n">
        <v>3230</v>
      </c>
      <c r="G287" t="n">
        <v>1292</v>
      </c>
      <c r="H287" t="inlineStr">
        <is>
          <t>2026-05-09</t>
        </is>
      </c>
      <c r="I287">
        <f>IF(MONTH(E287)&lt;=6,"Q1","Q2")</f>
        <v/>
      </c>
      <c r="J287">
        <f>YEAR(E287)*100+MONTH(E287)</f>
        <v/>
      </c>
      <c r="K287">
        <f>IF(COUNTIF($A$2:A287,A287)=1,1,0)</f>
        <v/>
      </c>
      <c r="L287">
        <f>IF(K287=1,IF(COUNTIFS($B$2:B287,B287,$I$2:I287,I287,$K$2:K287,1)=1,1,0),0)</f>
        <v/>
      </c>
      <c r="M287">
        <f>IF(Tree!$C$4="once per order",F287*K287,F287)</f>
        <v/>
      </c>
      <c r="N287">
        <f>IF(Tree!$C$4="once per order",K287,1)</f>
        <v/>
      </c>
      <c r="O287">
        <f>IF(Tree!$C$4="once per order",L287,1)</f>
        <v/>
      </c>
    </row>
    <row r="288">
      <c r="A288" t="inlineStr">
        <is>
          <t>KR-00160</t>
        </is>
      </c>
      <c r="B288" t="inlineStr">
        <is>
          <t>C-0242</t>
        </is>
      </c>
      <c r="C288" t="inlineStr">
        <is>
          <t>Retail-Plus</t>
        </is>
      </c>
      <c r="D288" t="inlineStr">
        <is>
          <t>store</t>
        </is>
      </c>
      <c r="E288" s="7" t="n">
        <v>46197</v>
      </c>
      <c r="F288" t="n">
        <v>4220</v>
      </c>
      <c r="G288" t="n">
        <v>2532</v>
      </c>
      <c r="H288" t="inlineStr">
        <is>
          <t>2026-06-26</t>
        </is>
      </c>
      <c r="I288">
        <f>IF(MONTH(E288)&lt;=6,"Q1","Q2")</f>
        <v/>
      </c>
      <c r="J288">
        <f>YEAR(E288)*100+MONTH(E288)</f>
        <v/>
      </c>
      <c r="K288">
        <f>IF(COUNTIF($A$2:A288,A288)=1,1,0)</f>
        <v/>
      </c>
      <c r="L288">
        <f>IF(K288=1,IF(COUNTIFS($B$2:B288,B288,$I$2:I288,I288,$K$2:K288,1)=1,1,0),0)</f>
        <v/>
      </c>
      <c r="M288">
        <f>IF(Tree!$C$4="once per order",F288*K288,F288)</f>
        <v/>
      </c>
      <c r="N288">
        <f>IF(Tree!$C$4="once per order",K288,1)</f>
        <v/>
      </c>
      <c r="O288">
        <f>IF(Tree!$C$4="once per order",L288,1)</f>
        <v/>
      </c>
    </row>
    <row r="289">
      <c r="A289" t="inlineStr">
        <is>
          <t>KR-00160</t>
        </is>
      </c>
      <c r="B289" t="inlineStr">
        <is>
          <t>C-0242</t>
        </is>
      </c>
      <c r="C289" t="inlineStr">
        <is>
          <t>Retail-Plus</t>
        </is>
      </c>
      <c r="D289" t="inlineStr">
        <is>
          <t>store</t>
        </is>
      </c>
      <c r="E289" s="7" t="n">
        <v>46197</v>
      </c>
      <c r="F289" t="n">
        <v>4220</v>
      </c>
      <c r="G289" t="n">
        <v>1688</v>
      </c>
      <c r="H289" t="inlineStr">
        <is>
          <t>2026-06-26</t>
        </is>
      </c>
      <c r="I289">
        <f>IF(MONTH(E289)&lt;=6,"Q1","Q2")</f>
        <v/>
      </c>
      <c r="J289">
        <f>YEAR(E289)*100+MONTH(E289)</f>
        <v/>
      </c>
      <c r="K289">
        <f>IF(COUNTIF($A$2:A289,A289)=1,1,0)</f>
        <v/>
      </c>
      <c r="L289">
        <f>IF(K289=1,IF(COUNTIFS($B$2:B289,B289,$I$2:I289,I289,$K$2:K289,1)=1,1,0),0)</f>
        <v/>
      </c>
      <c r="M289">
        <f>IF(Tree!$C$4="once per order",F289*K289,F289)</f>
        <v/>
      </c>
      <c r="N289">
        <f>IF(Tree!$C$4="once per order",K289,1)</f>
        <v/>
      </c>
      <c r="O289">
        <f>IF(Tree!$C$4="once per order",L289,1)</f>
        <v/>
      </c>
    </row>
    <row r="290">
      <c r="A290" t="inlineStr">
        <is>
          <t>KR-00161</t>
        </is>
      </c>
      <c r="B290" t="inlineStr">
        <is>
          <t>C-0197</t>
        </is>
      </c>
      <c r="C290" t="inlineStr">
        <is>
          <t>Retail-Plus</t>
        </is>
      </c>
      <c r="D290" t="inlineStr">
        <is>
          <t>store</t>
        </is>
      </c>
      <c r="E290" s="7" t="n">
        <v>46138</v>
      </c>
      <c r="F290" t="n">
        <v>1690</v>
      </c>
      <c r="G290" t="n">
        <v>1690</v>
      </c>
      <c r="H290" t="inlineStr">
        <is>
          <t>2026-04-28</t>
        </is>
      </c>
      <c r="I290">
        <f>IF(MONTH(E290)&lt;=6,"Q1","Q2")</f>
        <v/>
      </c>
      <c r="J290">
        <f>YEAR(E290)*100+MONTH(E290)</f>
        <v/>
      </c>
      <c r="K290">
        <f>IF(COUNTIF($A$2:A290,A290)=1,1,0)</f>
        <v/>
      </c>
      <c r="L290">
        <f>IF(K290=1,IF(COUNTIFS($B$2:B290,B290,$I$2:I290,I290,$K$2:K290,1)=1,1,0),0)</f>
        <v/>
      </c>
      <c r="M290">
        <f>IF(Tree!$C$4="once per order",F290*K290,F290)</f>
        <v/>
      </c>
      <c r="N290">
        <f>IF(Tree!$C$4="once per order",K290,1)</f>
        <v/>
      </c>
      <c r="O290">
        <f>IF(Tree!$C$4="once per order",L290,1)</f>
        <v/>
      </c>
    </row>
    <row r="291">
      <c r="A291" t="inlineStr">
        <is>
          <t>KR-00162</t>
        </is>
      </c>
      <c r="B291" t="inlineStr">
        <is>
          <t>C-0187</t>
        </is>
      </c>
      <c r="C291" t="inlineStr">
        <is>
          <t>Retail-Plus</t>
        </is>
      </c>
      <c r="D291" t="inlineStr">
        <is>
          <t>app</t>
        </is>
      </c>
      <c r="E291" s="7" t="n">
        <v>46169</v>
      </c>
      <c r="F291" t="n">
        <v>1960</v>
      </c>
      <c r="G291" t="n">
        <v>1960</v>
      </c>
      <c r="H291" t="inlineStr">
        <is>
          <t>2026-05-28</t>
        </is>
      </c>
      <c r="I291">
        <f>IF(MONTH(E291)&lt;=6,"Q1","Q2")</f>
        <v/>
      </c>
      <c r="J291">
        <f>YEAR(E291)*100+MONTH(E291)</f>
        <v/>
      </c>
      <c r="K291">
        <f>IF(COUNTIF($A$2:A291,A291)=1,1,0)</f>
        <v/>
      </c>
      <c r="L291">
        <f>IF(K291=1,IF(COUNTIFS($B$2:B291,B291,$I$2:I291,I291,$K$2:K291,1)=1,1,0),0)</f>
        <v/>
      </c>
      <c r="M291">
        <f>IF(Tree!$C$4="once per order",F291*K291,F291)</f>
        <v/>
      </c>
      <c r="N291">
        <f>IF(Tree!$C$4="once per order",K291,1)</f>
        <v/>
      </c>
      <c r="O291">
        <f>IF(Tree!$C$4="once per order",L291,1)</f>
        <v/>
      </c>
    </row>
    <row r="292">
      <c r="A292" t="inlineStr">
        <is>
          <t>KR-00163</t>
        </is>
      </c>
      <c r="B292" t="inlineStr">
        <is>
          <t>C-0169</t>
        </is>
      </c>
      <c r="C292" t="inlineStr">
        <is>
          <t>Retail-Plus</t>
        </is>
      </c>
      <c r="D292" t="inlineStr">
        <is>
          <t>app</t>
        </is>
      </c>
      <c r="E292" s="7" t="n">
        <v>46192</v>
      </c>
      <c r="F292" t="n">
        <v>1810</v>
      </c>
      <c r="G292" t="n">
        <v>1810</v>
      </c>
      <c r="H292" t="inlineStr">
        <is>
          <t>2026-06-21</t>
        </is>
      </c>
      <c r="I292">
        <f>IF(MONTH(E292)&lt;=6,"Q1","Q2")</f>
        <v/>
      </c>
      <c r="J292">
        <f>YEAR(E292)*100+MONTH(E292)</f>
        <v/>
      </c>
      <c r="K292">
        <f>IF(COUNTIF($A$2:A292,A292)=1,1,0)</f>
        <v/>
      </c>
      <c r="L292">
        <f>IF(K292=1,IF(COUNTIFS($B$2:B292,B292,$I$2:I292,I292,$K$2:K292,1)=1,1,0),0)</f>
        <v/>
      </c>
      <c r="M292">
        <f>IF(Tree!$C$4="once per order",F292*K292,F292)</f>
        <v/>
      </c>
      <c r="N292">
        <f>IF(Tree!$C$4="once per order",K292,1)</f>
        <v/>
      </c>
      <c r="O292">
        <f>IF(Tree!$C$4="once per order",L292,1)</f>
        <v/>
      </c>
    </row>
    <row r="293">
      <c r="A293" t="inlineStr">
        <is>
          <t>KR-00164</t>
        </is>
      </c>
      <c r="B293" t="inlineStr">
        <is>
          <t>C-0211</t>
        </is>
      </c>
      <c r="C293" t="inlineStr">
        <is>
          <t>Retail-Plus</t>
        </is>
      </c>
      <c r="D293" t="inlineStr">
        <is>
          <t>web</t>
        </is>
      </c>
      <c r="E293" s="7" t="n">
        <v>46130</v>
      </c>
      <c r="F293" t="n">
        <v>1220</v>
      </c>
      <c r="G293" t="n">
        <v>1220</v>
      </c>
      <c r="H293" t="inlineStr">
        <is>
          <t>2026-04-20</t>
        </is>
      </c>
      <c r="I293">
        <f>IF(MONTH(E293)&lt;=6,"Q1","Q2")</f>
        <v/>
      </c>
      <c r="J293">
        <f>YEAR(E293)*100+MONTH(E293)</f>
        <v/>
      </c>
      <c r="K293">
        <f>IF(COUNTIF($A$2:A293,A293)=1,1,0)</f>
        <v/>
      </c>
      <c r="L293">
        <f>IF(K293=1,IF(COUNTIFS($B$2:B293,B293,$I$2:I293,I293,$K$2:K293,1)=1,1,0),0)</f>
        <v/>
      </c>
      <c r="M293">
        <f>IF(Tree!$C$4="once per order",F293*K293,F293)</f>
        <v/>
      </c>
      <c r="N293">
        <f>IF(Tree!$C$4="once per order",K293,1)</f>
        <v/>
      </c>
      <c r="O293">
        <f>IF(Tree!$C$4="once per order",L293,1)</f>
        <v/>
      </c>
    </row>
    <row r="294">
      <c r="A294" t="inlineStr">
        <is>
          <t>KR-00165</t>
        </is>
      </c>
      <c r="B294" t="inlineStr">
        <is>
          <t>C-0208</t>
        </is>
      </c>
      <c r="C294" t="inlineStr">
        <is>
          <t>Retail-Plus</t>
        </is>
      </c>
      <c r="D294" t="inlineStr">
        <is>
          <t>store</t>
        </is>
      </c>
      <c r="E294" s="7" t="n">
        <v>46151</v>
      </c>
      <c r="F294" t="n">
        <v>1720</v>
      </c>
      <c r="G294" t="n">
        <v>1720</v>
      </c>
      <c r="H294" t="inlineStr">
        <is>
          <t>2026-05-11</t>
        </is>
      </c>
      <c r="I294">
        <f>IF(MONTH(E294)&lt;=6,"Q1","Q2")</f>
        <v/>
      </c>
      <c r="J294">
        <f>YEAR(E294)*100+MONTH(E294)</f>
        <v/>
      </c>
      <c r="K294">
        <f>IF(COUNTIF($A$2:A294,A294)=1,1,0)</f>
        <v/>
      </c>
      <c r="L294">
        <f>IF(K294=1,IF(COUNTIFS($B$2:B294,B294,$I$2:I294,I294,$K$2:K294,1)=1,1,0),0)</f>
        <v/>
      </c>
      <c r="M294">
        <f>IF(Tree!$C$4="once per order",F294*K294,F294)</f>
        <v/>
      </c>
      <c r="N294">
        <f>IF(Tree!$C$4="once per order",K294,1)</f>
        <v/>
      </c>
      <c r="O294">
        <f>IF(Tree!$C$4="once per order",L294,1)</f>
        <v/>
      </c>
    </row>
    <row r="295">
      <c r="A295" t="inlineStr">
        <is>
          <t>KR-00166</t>
        </is>
      </c>
      <c r="B295" t="inlineStr">
        <is>
          <t>C-0234</t>
        </is>
      </c>
      <c r="C295" t="inlineStr">
        <is>
          <t>Retail-Plus</t>
        </is>
      </c>
      <c r="D295" t="inlineStr">
        <is>
          <t>web</t>
        </is>
      </c>
      <c r="E295" s="7" t="n">
        <v>46176</v>
      </c>
      <c r="F295" t="n">
        <v>2120</v>
      </c>
      <c r="G295" t="n">
        <v>2120</v>
      </c>
      <c r="H295" t="inlineStr">
        <is>
          <t>2026-06-05</t>
        </is>
      </c>
      <c r="I295">
        <f>IF(MONTH(E295)&lt;=6,"Q1","Q2")</f>
        <v/>
      </c>
      <c r="J295">
        <f>YEAR(E295)*100+MONTH(E295)</f>
        <v/>
      </c>
      <c r="K295">
        <f>IF(COUNTIF($A$2:A295,A295)=1,1,0)</f>
        <v/>
      </c>
      <c r="L295">
        <f>IF(K295=1,IF(COUNTIFS($B$2:B295,B295,$I$2:I295,I295,$K$2:K295,1)=1,1,0),0)</f>
        <v/>
      </c>
      <c r="M295">
        <f>IF(Tree!$C$4="once per order",F295*K295,F295)</f>
        <v/>
      </c>
      <c r="N295">
        <f>IF(Tree!$C$4="once per order",K295,1)</f>
        <v/>
      </c>
      <c r="O295">
        <f>IF(Tree!$C$4="once per order",L295,1)</f>
        <v/>
      </c>
    </row>
    <row r="296">
      <c r="A296" t="inlineStr">
        <is>
          <t>KR-00167</t>
        </is>
      </c>
      <c r="B296" t="inlineStr">
        <is>
          <t>C-0268</t>
        </is>
      </c>
      <c r="C296" t="inlineStr">
        <is>
          <t>Retail-Plus</t>
        </is>
      </c>
      <c r="D296" t="inlineStr">
        <is>
          <t>store</t>
        </is>
      </c>
      <c r="E296" s="7" t="n">
        <v>46140</v>
      </c>
      <c r="F296" t="n">
        <v>2100</v>
      </c>
      <c r="G296" t="n">
        <v>2100</v>
      </c>
      <c r="H296" t="inlineStr">
        <is>
          <t>2026-04-28</t>
        </is>
      </c>
      <c r="I296">
        <f>IF(MONTH(E296)&lt;=6,"Q1","Q2")</f>
        <v/>
      </c>
      <c r="J296">
        <f>YEAR(E296)*100+MONTH(E296)</f>
        <v/>
      </c>
      <c r="K296">
        <f>IF(COUNTIF($A$2:A296,A296)=1,1,0)</f>
        <v/>
      </c>
      <c r="L296">
        <f>IF(K296=1,IF(COUNTIFS($B$2:B296,B296,$I$2:I296,I296,$K$2:K296,1)=1,1,0),0)</f>
        <v/>
      </c>
      <c r="M296">
        <f>IF(Tree!$C$4="once per order",F296*K296,F296)</f>
        <v/>
      </c>
      <c r="N296">
        <f>IF(Tree!$C$4="once per order",K296,1)</f>
        <v/>
      </c>
      <c r="O296">
        <f>IF(Tree!$C$4="once per order",L296,1)</f>
        <v/>
      </c>
    </row>
    <row r="297">
      <c r="A297" t="inlineStr">
        <is>
          <t>KR-00168</t>
        </is>
      </c>
      <c r="B297" t="inlineStr">
        <is>
          <t>C-0227</t>
        </is>
      </c>
      <c r="C297" t="inlineStr">
        <is>
          <t>Retail-Plus</t>
        </is>
      </c>
      <c r="D297" t="inlineStr">
        <is>
          <t>web</t>
        </is>
      </c>
      <c r="E297" s="7" t="n">
        <v>46166</v>
      </c>
      <c r="F297" t="n">
        <v>4330</v>
      </c>
      <c r="G297" t="n">
        <v>2598</v>
      </c>
      <c r="H297" t="inlineStr">
        <is>
          <t>2026-05-26</t>
        </is>
      </c>
      <c r="I297">
        <f>IF(MONTH(E297)&lt;=6,"Q1","Q2")</f>
        <v/>
      </c>
      <c r="J297">
        <f>YEAR(E297)*100+MONTH(E297)</f>
        <v/>
      </c>
      <c r="K297">
        <f>IF(COUNTIF($A$2:A297,A297)=1,1,0)</f>
        <v/>
      </c>
      <c r="L297">
        <f>IF(K297=1,IF(COUNTIFS($B$2:B297,B297,$I$2:I297,I297,$K$2:K297,1)=1,1,0),0)</f>
        <v/>
      </c>
      <c r="M297">
        <f>IF(Tree!$C$4="once per order",F297*K297,F297)</f>
        <v/>
      </c>
      <c r="N297">
        <f>IF(Tree!$C$4="once per order",K297,1)</f>
        <v/>
      </c>
      <c r="O297">
        <f>IF(Tree!$C$4="once per order",L297,1)</f>
        <v/>
      </c>
    </row>
    <row r="298">
      <c r="A298" t="inlineStr">
        <is>
          <t>KR-00168</t>
        </is>
      </c>
      <c r="B298" t="inlineStr">
        <is>
          <t>C-0227</t>
        </is>
      </c>
      <c r="C298" t="inlineStr">
        <is>
          <t>Retail-Plus</t>
        </is>
      </c>
      <c r="D298" t="inlineStr">
        <is>
          <t>web</t>
        </is>
      </c>
      <c r="E298" s="7" t="n">
        <v>46166</v>
      </c>
      <c r="F298" t="n">
        <v>4330</v>
      </c>
      <c r="G298" t="n">
        <v>1732</v>
      </c>
      <c r="H298" t="inlineStr">
        <is>
          <t>2026-05-26</t>
        </is>
      </c>
      <c r="I298">
        <f>IF(MONTH(E298)&lt;=6,"Q1","Q2")</f>
        <v/>
      </c>
      <c r="J298">
        <f>YEAR(E298)*100+MONTH(E298)</f>
        <v/>
      </c>
      <c r="K298">
        <f>IF(COUNTIF($A$2:A298,A298)=1,1,0)</f>
        <v/>
      </c>
      <c r="L298">
        <f>IF(K298=1,IF(COUNTIFS($B$2:B298,B298,$I$2:I298,I298,$K$2:K298,1)=1,1,0),0)</f>
        <v/>
      </c>
      <c r="M298">
        <f>IF(Tree!$C$4="once per order",F298*K298,F298)</f>
        <v/>
      </c>
      <c r="N298">
        <f>IF(Tree!$C$4="once per order",K298,1)</f>
        <v/>
      </c>
      <c r="O298">
        <f>IF(Tree!$C$4="once per order",L298,1)</f>
        <v/>
      </c>
    </row>
    <row r="299">
      <c r="A299" t="inlineStr">
        <is>
          <t>KR-00169</t>
        </is>
      </c>
      <c r="B299" t="inlineStr">
        <is>
          <t>C-0208</t>
        </is>
      </c>
      <c r="C299" t="inlineStr">
        <is>
          <t>Retail-Plus</t>
        </is>
      </c>
      <c r="D299" t="inlineStr">
        <is>
          <t>store</t>
        </is>
      </c>
      <c r="E299" s="7" t="n">
        <v>46178</v>
      </c>
      <c r="F299" t="n">
        <v>2830</v>
      </c>
      <c r="G299" t="n">
        <v>1698</v>
      </c>
      <c r="H299" t="inlineStr">
        <is>
          <t>2026-06-07</t>
        </is>
      </c>
      <c r="I299">
        <f>IF(MONTH(E299)&lt;=6,"Q1","Q2")</f>
        <v/>
      </c>
      <c r="J299">
        <f>YEAR(E299)*100+MONTH(E299)</f>
        <v/>
      </c>
      <c r="K299">
        <f>IF(COUNTIF($A$2:A299,A299)=1,1,0)</f>
        <v/>
      </c>
      <c r="L299">
        <f>IF(K299=1,IF(COUNTIFS($B$2:B299,B299,$I$2:I299,I299,$K$2:K299,1)=1,1,0),0)</f>
        <v/>
      </c>
      <c r="M299">
        <f>IF(Tree!$C$4="once per order",F299*K299,F299)</f>
        <v/>
      </c>
      <c r="N299">
        <f>IF(Tree!$C$4="once per order",K299,1)</f>
        <v/>
      </c>
      <c r="O299">
        <f>IF(Tree!$C$4="once per order",L299,1)</f>
        <v/>
      </c>
    </row>
    <row r="300">
      <c r="A300" t="inlineStr">
        <is>
          <t>KR-00169</t>
        </is>
      </c>
      <c r="B300" t="inlineStr">
        <is>
          <t>C-0208</t>
        </is>
      </c>
      <c r="C300" t="inlineStr">
        <is>
          <t>Retail-Plus</t>
        </is>
      </c>
      <c r="D300" t="inlineStr">
        <is>
          <t>store</t>
        </is>
      </c>
      <c r="E300" s="7" t="n">
        <v>46178</v>
      </c>
      <c r="F300" t="n">
        <v>2830</v>
      </c>
      <c r="G300" t="n">
        <v>1132</v>
      </c>
      <c r="H300" t="inlineStr">
        <is>
          <t>2026-06-07</t>
        </is>
      </c>
      <c r="I300">
        <f>IF(MONTH(E300)&lt;=6,"Q1","Q2")</f>
        <v/>
      </c>
      <c r="J300">
        <f>YEAR(E300)*100+MONTH(E300)</f>
        <v/>
      </c>
      <c r="K300">
        <f>IF(COUNTIF($A$2:A300,A300)=1,1,0)</f>
        <v/>
      </c>
      <c r="L300">
        <f>IF(K300=1,IF(COUNTIFS($B$2:B300,B300,$I$2:I300,I300,$K$2:K300,1)=1,1,0),0)</f>
        <v/>
      </c>
      <c r="M300">
        <f>IF(Tree!$C$4="once per order",F300*K300,F300)</f>
        <v/>
      </c>
      <c r="N300">
        <f>IF(Tree!$C$4="once per order",K300,1)</f>
        <v/>
      </c>
      <c r="O300">
        <f>IF(Tree!$C$4="once per order",L300,1)</f>
        <v/>
      </c>
    </row>
    <row r="301">
      <c r="A301" t="inlineStr">
        <is>
          <t>KR-00170</t>
        </is>
      </c>
      <c r="B301" t="inlineStr">
        <is>
          <t>C-0184</t>
        </is>
      </c>
      <c r="C301" t="inlineStr">
        <is>
          <t>Retail-Plus</t>
        </is>
      </c>
      <c r="D301" t="inlineStr">
        <is>
          <t>app</t>
        </is>
      </c>
      <c r="E301" s="7" t="n">
        <v>46119</v>
      </c>
      <c r="F301" t="n">
        <v>1840</v>
      </c>
      <c r="G301" t="n">
        <v>1840</v>
      </c>
      <c r="H301" t="inlineStr">
        <is>
          <t>2026-04-09</t>
        </is>
      </c>
      <c r="I301">
        <f>IF(MONTH(E301)&lt;=6,"Q1","Q2")</f>
        <v/>
      </c>
      <c r="J301">
        <f>YEAR(E301)*100+MONTH(E301)</f>
        <v/>
      </c>
      <c r="K301">
        <f>IF(COUNTIF($A$2:A301,A301)=1,1,0)</f>
        <v/>
      </c>
      <c r="L301">
        <f>IF(K301=1,IF(COUNTIFS($B$2:B301,B301,$I$2:I301,I301,$K$2:K301,1)=1,1,0),0)</f>
        <v/>
      </c>
      <c r="M301">
        <f>IF(Tree!$C$4="once per order",F301*K301,F301)</f>
        <v/>
      </c>
      <c r="N301">
        <f>IF(Tree!$C$4="once per order",K301,1)</f>
        <v/>
      </c>
      <c r="O301">
        <f>IF(Tree!$C$4="once per order",L301,1)</f>
        <v/>
      </c>
    </row>
    <row r="302">
      <c r="A302" t="inlineStr">
        <is>
          <t>KR-00171</t>
        </is>
      </c>
      <c r="B302" t="inlineStr">
        <is>
          <t>C-0185</t>
        </is>
      </c>
      <c r="C302" t="inlineStr">
        <is>
          <t>Retail-Plus</t>
        </is>
      </c>
      <c r="D302" t="inlineStr">
        <is>
          <t>app</t>
        </is>
      </c>
      <c r="E302" s="7" t="n">
        <v>46145</v>
      </c>
      <c r="F302" t="n">
        <v>1660</v>
      </c>
      <c r="G302" t="n">
        <v>1660</v>
      </c>
      <c r="H302" t="inlineStr">
        <is>
          <t>2026-05-05</t>
        </is>
      </c>
      <c r="I302">
        <f>IF(MONTH(E302)&lt;=6,"Q1","Q2")</f>
        <v/>
      </c>
      <c r="J302">
        <f>YEAR(E302)*100+MONTH(E302)</f>
        <v/>
      </c>
      <c r="K302">
        <f>IF(COUNTIF($A$2:A302,A302)=1,1,0)</f>
        <v/>
      </c>
      <c r="L302">
        <f>IF(K302=1,IF(COUNTIFS($B$2:B302,B302,$I$2:I302,I302,$K$2:K302,1)=1,1,0),0)</f>
        <v/>
      </c>
      <c r="M302">
        <f>IF(Tree!$C$4="once per order",F302*K302,F302)</f>
        <v/>
      </c>
      <c r="N302">
        <f>IF(Tree!$C$4="once per order",K302,1)</f>
        <v/>
      </c>
      <c r="O302">
        <f>IF(Tree!$C$4="once per order",L302,1)</f>
        <v/>
      </c>
    </row>
    <row r="303">
      <c r="A303" t="inlineStr">
        <is>
          <t>KR-00172</t>
        </is>
      </c>
      <c r="B303" t="inlineStr">
        <is>
          <t>C-0194</t>
        </is>
      </c>
      <c r="C303" t="inlineStr">
        <is>
          <t>Retail-Plus</t>
        </is>
      </c>
      <c r="D303" t="inlineStr">
        <is>
          <t>store</t>
        </is>
      </c>
      <c r="E303" s="7" t="n">
        <v>46174</v>
      </c>
      <c r="F303" t="n">
        <v>4500</v>
      </c>
      <c r="G303" t="n">
        <v>2700</v>
      </c>
      <c r="H303" t="inlineStr">
        <is>
          <t>2026-06-03</t>
        </is>
      </c>
      <c r="I303">
        <f>IF(MONTH(E303)&lt;=6,"Q1","Q2")</f>
        <v/>
      </c>
      <c r="J303">
        <f>YEAR(E303)*100+MONTH(E303)</f>
        <v/>
      </c>
      <c r="K303">
        <f>IF(COUNTIF($A$2:A303,A303)=1,1,0)</f>
        <v/>
      </c>
      <c r="L303">
        <f>IF(K303=1,IF(COUNTIFS($B$2:B303,B303,$I$2:I303,I303,$K$2:K303,1)=1,1,0),0)</f>
        <v/>
      </c>
      <c r="M303">
        <f>IF(Tree!$C$4="once per order",F303*K303,F303)</f>
        <v/>
      </c>
      <c r="N303">
        <f>IF(Tree!$C$4="once per order",K303,1)</f>
        <v/>
      </c>
      <c r="O303">
        <f>IF(Tree!$C$4="once per order",L303,1)</f>
        <v/>
      </c>
    </row>
    <row r="304">
      <c r="A304" t="inlineStr">
        <is>
          <t>KR-00172</t>
        </is>
      </c>
      <c r="B304" t="inlineStr">
        <is>
          <t>C-0194</t>
        </is>
      </c>
      <c r="C304" t="inlineStr">
        <is>
          <t>Retail-Plus</t>
        </is>
      </c>
      <c r="D304" t="inlineStr">
        <is>
          <t>store</t>
        </is>
      </c>
      <c r="E304" s="7" t="n">
        <v>46174</v>
      </c>
      <c r="F304" t="n">
        <v>4500</v>
      </c>
      <c r="G304" t="n">
        <v>1800</v>
      </c>
      <c r="H304" t="inlineStr">
        <is>
          <t>2026-06-03</t>
        </is>
      </c>
      <c r="I304">
        <f>IF(MONTH(E304)&lt;=6,"Q1","Q2")</f>
        <v/>
      </c>
      <c r="J304">
        <f>YEAR(E304)*100+MONTH(E304)</f>
        <v/>
      </c>
      <c r="K304">
        <f>IF(COUNTIF($A$2:A304,A304)=1,1,0)</f>
        <v/>
      </c>
      <c r="L304">
        <f>IF(K304=1,IF(COUNTIFS($B$2:B304,B304,$I$2:I304,I304,$K$2:K304,1)=1,1,0),0)</f>
        <v/>
      </c>
      <c r="M304">
        <f>IF(Tree!$C$4="once per order",F304*K304,F304)</f>
        <v/>
      </c>
      <c r="N304">
        <f>IF(Tree!$C$4="once per order",K304,1)</f>
        <v/>
      </c>
      <c r="O304">
        <f>IF(Tree!$C$4="once per order",L304,1)</f>
        <v/>
      </c>
    </row>
    <row r="305">
      <c r="A305" t="inlineStr">
        <is>
          <t>KR-00173</t>
        </is>
      </c>
      <c r="B305" t="inlineStr">
        <is>
          <t>C-0186</t>
        </is>
      </c>
      <c r="C305" t="inlineStr">
        <is>
          <t>Retail-Plus</t>
        </is>
      </c>
      <c r="D305" t="inlineStr">
        <is>
          <t>app</t>
        </is>
      </c>
      <c r="E305" s="7" t="n">
        <v>46129</v>
      </c>
      <c r="F305" t="n">
        <v>2460</v>
      </c>
      <c r="G305" t="n">
        <v>2460</v>
      </c>
      <c r="H305" t="inlineStr">
        <is>
          <t>2026-04-19</t>
        </is>
      </c>
      <c r="I305">
        <f>IF(MONTH(E305)&lt;=6,"Q1","Q2")</f>
        <v/>
      </c>
      <c r="J305">
        <f>YEAR(E305)*100+MONTH(E305)</f>
        <v/>
      </c>
      <c r="K305">
        <f>IF(COUNTIF($A$2:A305,A305)=1,1,0)</f>
        <v/>
      </c>
      <c r="L305">
        <f>IF(K305=1,IF(COUNTIFS($B$2:B305,B305,$I$2:I305,I305,$K$2:K305,1)=1,1,0),0)</f>
        <v/>
      </c>
      <c r="M305">
        <f>IF(Tree!$C$4="once per order",F305*K305,F305)</f>
        <v/>
      </c>
      <c r="N305">
        <f>IF(Tree!$C$4="once per order",K305,1)</f>
        <v/>
      </c>
      <c r="O305">
        <f>IF(Tree!$C$4="once per order",L305,1)</f>
        <v/>
      </c>
    </row>
    <row r="306">
      <c r="A306" t="inlineStr">
        <is>
          <t>KR-00174</t>
        </is>
      </c>
      <c r="B306" t="inlineStr">
        <is>
          <t>C-0216</t>
        </is>
      </c>
      <c r="C306" t="inlineStr">
        <is>
          <t>Retail-Plus</t>
        </is>
      </c>
      <c r="D306" t="inlineStr">
        <is>
          <t>store</t>
        </is>
      </c>
      <c r="E306" s="7" t="n">
        <v>46146</v>
      </c>
      <c r="F306" t="n">
        <v>3960</v>
      </c>
      <c r="G306" t="n">
        <v>2376</v>
      </c>
      <c r="H306" t="inlineStr">
        <is>
          <t>2026-05-06</t>
        </is>
      </c>
      <c r="I306">
        <f>IF(MONTH(E306)&lt;=6,"Q1","Q2")</f>
        <v/>
      </c>
      <c r="J306">
        <f>YEAR(E306)*100+MONTH(E306)</f>
        <v/>
      </c>
      <c r="K306">
        <f>IF(COUNTIF($A$2:A306,A306)=1,1,0)</f>
        <v/>
      </c>
      <c r="L306">
        <f>IF(K306=1,IF(COUNTIFS($B$2:B306,B306,$I$2:I306,I306,$K$2:K306,1)=1,1,0),0)</f>
        <v/>
      </c>
      <c r="M306">
        <f>IF(Tree!$C$4="once per order",F306*K306,F306)</f>
        <v/>
      </c>
      <c r="N306">
        <f>IF(Tree!$C$4="once per order",K306,1)</f>
        <v/>
      </c>
      <c r="O306">
        <f>IF(Tree!$C$4="once per order",L306,1)</f>
        <v/>
      </c>
    </row>
    <row r="307">
      <c r="A307" t="inlineStr">
        <is>
          <t>KR-00174</t>
        </is>
      </c>
      <c r="B307" t="inlineStr">
        <is>
          <t>C-0216</t>
        </is>
      </c>
      <c r="C307" t="inlineStr">
        <is>
          <t>Retail-Plus</t>
        </is>
      </c>
      <c r="D307" t="inlineStr">
        <is>
          <t>store</t>
        </is>
      </c>
      <c r="E307" s="7" t="n">
        <v>46146</v>
      </c>
      <c r="F307" t="n">
        <v>3960</v>
      </c>
      <c r="G307" t="n">
        <v>1584</v>
      </c>
      <c r="H307" t="inlineStr">
        <is>
          <t>2026-05-06</t>
        </is>
      </c>
      <c r="I307">
        <f>IF(MONTH(E307)&lt;=6,"Q1","Q2")</f>
        <v/>
      </c>
      <c r="J307">
        <f>YEAR(E307)*100+MONTH(E307)</f>
        <v/>
      </c>
      <c r="K307">
        <f>IF(COUNTIF($A$2:A307,A307)=1,1,0)</f>
        <v/>
      </c>
      <c r="L307">
        <f>IF(K307=1,IF(COUNTIFS($B$2:B307,B307,$I$2:I307,I307,$K$2:K307,1)=1,1,0),0)</f>
        <v/>
      </c>
      <c r="M307">
        <f>IF(Tree!$C$4="once per order",F307*K307,F307)</f>
        <v/>
      </c>
      <c r="N307">
        <f>IF(Tree!$C$4="once per order",K307,1)</f>
        <v/>
      </c>
      <c r="O307">
        <f>IF(Tree!$C$4="once per order",L307,1)</f>
        <v/>
      </c>
    </row>
    <row r="308">
      <c r="A308" t="inlineStr">
        <is>
          <t>KR-00175</t>
        </is>
      </c>
      <c r="B308" t="inlineStr">
        <is>
          <t>C-0245</t>
        </is>
      </c>
      <c r="C308" t="inlineStr">
        <is>
          <t>Retail-Plus</t>
        </is>
      </c>
      <c r="D308" t="inlineStr">
        <is>
          <t>web</t>
        </is>
      </c>
      <c r="E308" s="7" t="n">
        <v>46200</v>
      </c>
      <c r="F308" t="n">
        <v>2760</v>
      </c>
      <c r="G308" t="n">
        <v>2760</v>
      </c>
      <c r="H308" t="inlineStr">
        <is>
          <t>2026-06-28</t>
        </is>
      </c>
      <c r="I308">
        <f>IF(MONTH(E308)&lt;=6,"Q1","Q2")</f>
        <v/>
      </c>
      <c r="J308">
        <f>YEAR(E308)*100+MONTH(E308)</f>
        <v/>
      </c>
      <c r="K308">
        <f>IF(COUNTIF($A$2:A308,A308)=1,1,0)</f>
        <v/>
      </c>
      <c r="L308">
        <f>IF(K308=1,IF(COUNTIFS($B$2:B308,B308,$I$2:I308,I308,$K$2:K308,1)=1,1,0),0)</f>
        <v/>
      </c>
      <c r="M308">
        <f>IF(Tree!$C$4="once per order",F308*K308,F308)</f>
        <v/>
      </c>
      <c r="N308">
        <f>IF(Tree!$C$4="once per order",K308,1)</f>
        <v/>
      </c>
      <c r="O308">
        <f>IF(Tree!$C$4="once per order",L308,1)</f>
        <v/>
      </c>
    </row>
    <row r="309">
      <c r="A309" t="inlineStr">
        <is>
          <t>KR-00176</t>
        </is>
      </c>
      <c r="B309" t="inlineStr">
        <is>
          <t>C-0266</t>
        </is>
      </c>
      <c r="C309" t="inlineStr">
        <is>
          <t>Retail-Plus</t>
        </is>
      </c>
      <c r="D309" t="inlineStr">
        <is>
          <t>store</t>
        </is>
      </c>
      <c r="E309" s="7" t="n">
        <v>46132</v>
      </c>
      <c r="F309" t="n">
        <v>1340</v>
      </c>
      <c r="G309" t="n">
        <v>1340</v>
      </c>
      <c r="H309" t="inlineStr">
        <is>
          <t>2026-04-22</t>
        </is>
      </c>
      <c r="I309">
        <f>IF(MONTH(E309)&lt;=6,"Q1","Q2")</f>
        <v/>
      </c>
      <c r="J309">
        <f>YEAR(E309)*100+MONTH(E309)</f>
        <v/>
      </c>
      <c r="K309">
        <f>IF(COUNTIF($A$2:A309,A309)=1,1,0)</f>
        <v/>
      </c>
      <c r="L309">
        <f>IF(K309=1,IF(COUNTIFS($B$2:B309,B309,$I$2:I309,I309,$K$2:K309,1)=1,1,0),0)</f>
        <v/>
      </c>
      <c r="M309">
        <f>IF(Tree!$C$4="once per order",F309*K309,F309)</f>
        <v/>
      </c>
      <c r="N309">
        <f>IF(Tree!$C$4="once per order",K309,1)</f>
        <v/>
      </c>
      <c r="O309">
        <f>IF(Tree!$C$4="once per order",L309,1)</f>
        <v/>
      </c>
    </row>
    <row r="310">
      <c r="A310" t="inlineStr">
        <is>
          <t>KR-00177</t>
        </is>
      </c>
      <c r="B310" t="inlineStr">
        <is>
          <t>C-0175</t>
        </is>
      </c>
      <c r="C310" t="inlineStr">
        <is>
          <t>Retail-Plus</t>
        </is>
      </c>
      <c r="D310" t="inlineStr">
        <is>
          <t>app</t>
        </is>
      </c>
      <c r="E310" s="7" t="n">
        <v>46159</v>
      </c>
      <c r="F310" t="n">
        <v>3640</v>
      </c>
      <c r="G310" t="n">
        <v>2184</v>
      </c>
      <c r="H310" t="inlineStr">
        <is>
          <t>2026-05-19</t>
        </is>
      </c>
      <c r="I310">
        <f>IF(MONTH(E310)&lt;=6,"Q1","Q2")</f>
        <v/>
      </c>
      <c r="J310">
        <f>YEAR(E310)*100+MONTH(E310)</f>
        <v/>
      </c>
      <c r="K310">
        <f>IF(COUNTIF($A$2:A310,A310)=1,1,0)</f>
        <v/>
      </c>
      <c r="L310">
        <f>IF(K310=1,IF(COUNTIFS($B$2:B310,B310,$I$2:I310,I310,$K$2:K310,1)=1,1,0),0)</f>
        <v/>
      </c>
      <c r="M310">
        <f>IF(Tree!$C$4="once per order",F310*K310,F310)</f>
        <v/>
      </c>
      <c r="N310">
        <f>IF(Tree!$C$4="once per order",K310,1)</f>
        <v/>
      </c>
      <c r="O310">
        <f>IF(Tree!$C$4="once per order",L310,1)</f>
        <v/>
      </c>
    </row>
    <row r="311">
      <c r="A311" t="inlineStr">
        <is>
          <t>KR-00177</t>
        </is>
      </c>
      <c r="B311" t="inlineStr">
        <is>
          <t>C-0175</t>
        </is>
      </c>
      <c r="C311" t="inlineStr">
        <is>
          <t>Retail-Plus</t>
        </is>
      </c>
      <c r="D311" t="inlineStr">
        <is>
          <t>app</t>
        </is>
      </c>
      <c r="E311" s="7" t="n">
        <v>46159</v>
      </c>
      <c r="F311" t="n">
        <v>3640</v>
      </c>
      <c r="G311" t="n">
        <v>1456</v>
      </c>
      <c r="H311" t="inlineStr">
        <is>
          <t>2026-05-19</t>
        </is>
      </c>
      <c r="I311">
        <f>IF(MONTH(E311)&lt;=6,"Q1","Q2")</f>
        <v/>
      </c>
      <c r="J311">
        <f>YEAR(E311)*100+MONTH(E311)</f>
        <v/>
      </c>
      <c r="K311">
        <f>IF(COUNTIF($A$2:A311,A311)=1,1,0)</f>
        <v/>
      </c>
      <c r="L311">
        <f>IF(K311=1,IF(COUNTIFS($B$2:B311,B311,$I$2:I311,I311,$K$2:K311,1)=1,1,0),0)</f>
        <v/>
      </c>
      <c r="M311">
        <f>IF(Tree!$C$4="once per order",F311*K311,F311)</f>
        <v/>
      </c>
      <c r="N311">
        <f>IF(Tree!$C$4="once per order",K311,1)</f>
        <v/>
      </c>
      <c r="O311">
        <f>IF(Tree!$C$4="once per order",L311,1)</f>
        <v/>
      </c>
    </row>
    <row r="312">
      <c r="A312" t="inlineStr">
        <is>
          <t>KR-00178</t>
        </is>
      </c>
      <c r="B312" t="inlineStr">
        <is>
          <t>C-0179</t>
        </is>
      </c>
      <c r="C312" t="inlineStr">
        <is>
          <t>Retail-Plus</t>
        </is>
      </c>
      <c r="D312" t="inlineStr">
        <is>
          <t>app</t>
        </is>
      </c>
      <c r="E312" s="7" t="n">
        <v>46185</v>
      </c>
      <c r="F312" t="n">
        <v>1360</v>
      </c>
      <c r="G312" t="n">
        <v>1360</v>
      </c>
      <c r="H312" t="inlineStr">
        <is>
          <t>2026-06-14</t>
        </is>
      </c>
      <c r="I312">
        <f>IF(MONTH(E312)&lt;=6,"Q1","Q2")</f>
        <v/>
      </c>
      <c r="J312">
        <f>YEAR(E312)*100+MONTH(E312)</f>
        <v/>
      </c>
      <c r="K312">
        <f>IF(COUNTIF($A$2:A312,A312)=1,1,0)</f>
        <v/>
      </c>
      <c r="L312">
        <f>IF(K312=1,IF(COUNTIFS($B$2:B312,B312,$I$2:I312,I312,$K$2:K312,1)=1,1,0),0)</f>
        <v/>
      </c>
      <c r="M312">
        <f>IF(Tree!$C$4="once per order",F312*K312,F312)</f>
        <v/>
      </c>
      <c r="N312">
        <f>IF(Tree!$C$4="once per order",K312,1)</f>
        <v/>
      </c>
      <c r="O312">
        <f>IF(Tree!$C$4="once per order",L312,1)</f>
        <v/>
      </c>
    </row>
    <row r="313">
      <c r="A313" t="inlineStr">
        <is>
          <t>KR-00179</t>
        </is>
      </c>
      <c r="B313" t="inlineStr">
        <is>
          <t>C-0172</t>
        </is>
      </c>
      <c r="C313" t="inlineStr">
        <is>
          <t>Retail-Plus</t>
        </is>
      </c>
      <c r="D313" t="inlineStr">
        <is>
          <t>web</t>
        </is>
      </c>
      <c r="E313" s="7" t="n">
        <v>46134</v>
      </c>
      <c r="F313" t="n">
        <v>3730</v>
      </c>
      <c r="G313" t="n">
        <v>2238</v>
      </c>
      <c r="H313" t="inlineStr">
        <is>
          <t>2026-04-24</t>
        </is>
      </c>
      <c r="I313">
        <f>IF(MONTH(E313)&lt;=6,"Q1","Q2")</f>
        <v/>
      </c>
      <c r="J313">
        <f>YEAR(E313)*100+MONTH(E313)</f>
        <v/>
      </c>
      <c r="K313">
        <f>IF(COUNTIF($A$2:A313,A313)=1,1,0)</f>
        <v/>
      </c>
      <c r="L313">
        <f>IF(K313=1,IF(COUNTIFS($B$2:B313,B313,$I$2:I313,I313,$K$2:K313,1)=1,1,0),0)</f>
        <v/>
      </c>
      <c r="M313">
        <f>IF(Tree!$C$4="once per order",F313*K313,F313)</f>
        <v/>
      </c>
      <c r="N313">
        <f>IF(Tree!$C$4="once per order",K313,1)</f>
        <v/>
      </c>
      <c r="O313">
        <f>IF(Tree!$C$4="once per order",L313,1)</f>
        <v/>
      </c>
    </row>
    <row r="314">
      <c r="A314" t="inlineStr">
        <is>
          <t>KR-00179</t>
        </is>
      </c>
      <c r="B314" t="inlineStr">
        <is>
          <t>C-0172</t>
        </is>
      </c>
      <c r="C314" t="inlineStr">
        <is>
          <t>Retail-Plus</t>
        </is>
      </c>
      <c r="D314" t="inlineStr">
        <is>
          <t>web</t>
        </is>
      </c>
      <c r="E314" s="7" t="n">
        <v>46134</v>
      </c>
      <c r="F314" t="n">
        <v>3730</v>
      </c>
      <c r="G314" t="n">
        <v>1492</v>
      </c>
      <c r="H314" t="inlineStr">
        <is>
          <t>2026-04-24</t>
        </is>
      </c>
      <c r="I314">
        <f>IF(MONTH(E314)&lt;=6,"Q1","Q2")</f>
        <v/>
      </c>
      <c r="J314">
        <f>YEAR(E314)*100+MONTH(E314)</f>
        <v/>
      </c>
      <c r="K314">
        <f>IF(COUNTIF($A$2:A314,A314)=1,1,0)</f>
        <v/>
      </c>
      <c r="L314">
        <f>IF(K314=1,IF(COUNTIFS($B$2:B314,B314,$I$2:I314,I314,$K$2:K314,1)=1,1,0),0)</f>
        <v/>
      </c>
      <c r="M314">
        <f>IF(Tree!$C$4="once per order",F314*K314,F314)</f>
        <v/>
      </c>
      <c r="N314">
        <f>IF(Tree!$C$4="once per order",K314,1)</f>
        <v/>
      </c>
      <c r="O314">
        <f>IF(Tree!$C$4="once per order",L314,1)</f>
        <v/>
      </c>
    </row>
    <row r="315">
      <c r="A315" t="inlineStr">
        <is>
          <t>KR-00180</t>
        </is>
      </c>
      <c r="B315" t="inlineStr">
        <is>
          <t>C-0266</t>
        </is>
      </c>
      <c r="C315" t="inlineStr">
        <is>
          <t>Retail-Plus</t>
        </is>
      </c>
      <c r="D315" t="inlineStr">
        <is>
          <t>store</t>
        </is>
      </c>
      <c r="E315" s="7" t="n">
        <v>46155</v>
      </c>
      <c r="F315" t="n">
        <v>2370</v>
      </c>
      <c r="G315" t="n">
        <v>2370</v>
      </c>
      <c r="H315" t="inlineStr">
        <is>
          <t>2026-05-15</t>
        </is>
      </c>
      <c r="I315">
        <f>IF(MONTH(E315)&lt;=6,"Q1","Q2")</f>
        <v/>
      </c>
      <c r="J315">
        <f>YEAR(E315)*100+MONTH(E315)</f>
        <v/>
      </c>
      <c r="K315">
        <f>IF(COUNTIF($A$2:A315,A315)=1,1,0)</f>
        <v/>
      </c>
      <c r="L315">
        <f>IF(K315=1,IF(COUNTIFS($B$2:B315,B315,$I$2:I315,I315,$K$2:K315,1)=1,1,0),0)</f>
        <v/>
      </c>
      <c r="M315">
        <f>IF(Tree!$C$4="once per order",F315*K315,F315)</f>
        <v/>
      </c>
      <c r="N315">
        <f>IF(Tree!$C$4="once per order",K315,1)</f>
        <v/>
      </c>
      <c r="O315">
        <f>IF(Tree!$C$4="once per order",L315,1)</f>
        <v/>
      </c>
    </row>
    <row r="316">
      <c r="A316" t="inlineStr">
        <is>
          <t>KR-00181</t>
        </is>
      </c>
      <c r="B316" t="inlineStr">
        <is>
          <t>C-0242</t>
        </is>
      </c>
      <c r="C316" t="inlineStr">
        <is>
          <t>Retail-Plus</t>
        </is>
      </c>
      <c r="D316" t="inlineStr">
        <is>
          <t>app</t>
        </is>
      </c>
      <c r="E316" s="7" t="n">
        <v>46199</v>
      </c>
      <c r="F316" t="n">
        <v>3790</v>
      </c>
      <c r="G316" t="n">
        <v>2274</v>
      </c>
      <c r="H316" t="inlineStr">
        <is>
          <t>2026-06-28</t>
        </is>
      </c>
      <c r="I316">
        <f>IF(MONTH(E316)&lt;=6,"Q1","Q2")</f>
        <v/>
      </c>
      <c r="J316">
        <f>YEAR(E316)*100+MONTH(E316)</f>
        <v/>
      </c>
      <c r="K316">
        <f>IF(COUNTIF($A$2:A316,A316)=1,1,0)</f>
        <v/>
      </c>
      <c r="L316">
        <f>IF(K316=1,IF(COUNTIFS($B$2:B316,B316,$I$2:I316,I316,$K$2:K316,1)=1,1,0),0)</f>
        <v/>
      </c>
      <c r="M316">
        <f>IF(Tree!$C$4="once per order",F316*K316,F316)</f>
        <v/>
      </c>
      <c r="N316">
        <f>IF(Tree!$C$4="once per order",K316,1)</f>
        <v/>
      </c>
      <c r="O316">
        <f>IF(Tree!$C$4="once per order",L316,1)</f>
        <v/>
      </c>
    </row>
    <row r="317">
      <c r="A317" t="inlineStr">
        <is>
          <t>KR-00181</t>
        </is>
      </c>
      <c r="B317" t="inlineStr">
        <is>
          <t>C-0242</t>
        </is>
      </c>
      <c r="C317" t="inlineStr">
        <is>
          <t>Retail-Plus</t>
        </is>
      </c>
      <c r="D317" t="inlineStr">
        <is>
          <t>app</t>
        </is>
      </c>
      <c r="E317" s="7" t="n">
        <v>46199</v>
      </c>
      <c r="F317" t="n">
        <v>3790</v>
      </c>
      <c r="G317" t="n">
        <v>1516</v>
      </c>
      <c r="H317" t="inlineStr">
        <is>
          <t>2026-06-28</t>
        </is>
      </c>
      <c r="I317">
        <f>IF(MONTH(E317)&lt;=6,"Q1","Q2")</f>
        <v/>
      </c>
      <c r="J317">
        <f>YEAR(E317)*100+MONTH(E317)</f>
        <v/>
      </c>
      <c r="K317">
        <f>IF(COUNTIF($A$2:A317,A317)=1,1,0)</f>
        <v/>
      </c>
      <c r="L317">
        <f>IF(K317=1,IF(COUNTIFS($B$2:B317,B317,$I$2:I317,I317,$K$2:K317,1)=1,1,0),0)</f>
        <v/>
      </c>
      <c r="M317">
        <f>IF(Tree!$C$4="once per order",F317*K317,F317)</f>
        <v/>
      </c>
      <c r="N317">
        <f>IF(Tree!$C$4="once per order",K317,1)</f>
        <v/>
      </c>
      <c r="O317">
        <f>IF(Tree!$C$4="once per order",L317,1)</f>
        <v/>
      </c>
    </row>
    <row r="318">
      <c r="A318" t="inlineStr">
        <is>
          <t>KR-00182</t>
        </is>
      </c>
      <c r="B318" t="inlineStr">
        <is>
          <t>C-0210</t>
        </is>
      </c>
      <c r="C318" t="inlineStr">
        <is>
          <t>Retail-Plus</t>
        </is>
      </c>
      <c r="D318" t="inlineStr">
        <is>
          <t>app</t>
        </is>
      </c>
      <c r="E318" s="7" t="n">
        <v>46120</v>
      </c>
      <c r="F318" t="n">
        <v>1460</v>
      </c>
      <c r="G318" t="n">
        <v>1460</v>
      </c>
      <c r="H318" t="inlineStr">
        <is>
          <t>2026-04-10</t>
        </is>
      </c>
      <c r="I318">
        <f>IF(MONTH(E318)&lt;=6,"Q1","Q2")</f>
        <v/>
      </c>
      <c r="J318">
        <f>YEAR(E318)*100+MONTH(E318)</f>
        <v/>
      </c>
      <c r="K318">
        <f>IF(COUNTIF($A$2:A318,A318)=1,1,0)</f>
        <v/>
      </c>
      <c r="L318">
        <f>IF(K318=1,IF(COUNTIFS($B$2:B318,B318,$I$2:I318,I318,$K$2:K318,1)=1,1,0),0)</f>
        <v/>
      </c>
      <c r="M318">
        <f>IF(Tree!$C$4="once per order",F318*K318,F318)</f>
        <v/>
      </c>
      <c r="N318">
        <f>IF(Tree!$C$4="once per order",K318,1)</f>
        <v/>
      </c>
      <c r="O318">
        <f>IF(Tree!$C$4="once per order",L318,1)</f>
        <v/>
      </c>
    </row>
    <row r="319">
      <c r="A319" t="inlineStr">
        <is>
          <t>KR-00183</t>
        </is>
      </c>
      <c r="B319" t="inlineStr">
        <is>
          <t>C-0152</t>
        </is>
      </c>
      <c r="C319" t="inlineStr">
        <is>
          <t>Retail-Plus</t>
        </is>
      </c>
      <c r="D319" t="inlineStr">
        <is>
          <t>app</t>
        </is>
      </c>
      <c r="E319" s="7" t="n">
        <v>46145</v>
      </c>
      <c r="F319" t="n">
        <v>3170</v>
      </c>
      <c r="G319" t="n">
        <v>1902</v>
      </c>
      <c r="H319" t="inlineStr">
        <is>
          <t>2026-05-05</t>
        </is>
      </c>
      <c r="I319">
        <f>IF(MONTH(E319)&lt;=6,"Q1","Q2")</f>
        <v/>
      </c>
      <c r="J319">
        <f>YEAR(E319)*100+MONTH(E319)</f>
        <v/>
      </c>
      <c r="K319">
        <f>IF(COUNTIF($A$2:A319,A319)=1,1,0)</f>
        <v/>
      </c>
      <c r="L319">
        <f>IF(K319=1,IF(COUNTIFS($B$2:B319,B319,$I$2:I319,I319,$K$2:K319,1)=1,1,0),0)</f>
        <v/>
      </c>
      <c r="M319">
        <f>IF(Tree!$C$4="once per order",F319*K319,F319)</f>
        <v/>
      </c>
      <c r="N319">
        <f>IF(Tree!$C$4="once per order",K319,1)</f>
        <v/>
      </c>
      <c r="O319">
        <f>IF(Tree!$C$4="once per order",L319,1)</f>
        <v/>
      </c>
    </row>
    <row r="320">
      <c r="A320" t="inlineStr">
        <is>
          <t>KR-00183</t>
        </is>
      </c>
      <c r="B320" t="inlineStr">
        <is>
          <t>C-0152</t>
        </is>
      </c>
      <c r="C320" t="inlineStr">
        <is>
          <t>Retail-Plus</t>
        </is>
      </c>
      <c r="D320" t="inlineStr">
        <is>
          <t>app</t>
        </is>
      </c>
      <c r="E320" s="7" t="n">
        <v>46145</v>
      </c>
      <c r="F320" t="n">
        <v>3170</v>
      </c>
      <c r="G320" t="n">
        <v>1268</v>
      </c>
      <c r="H320" t="inlineStr">
        <is>
          <t>2026-05-05</t>
        </is>
      </c>
      <c r="I320">
        <f>IF(MONTH(E320)&lt;=6,"Q1","Q2")</f>
        <v/>
      </c>
      <c r="J320">
        <f>YEAR(E320)*100+MONTH(E320)</f>
        <v/>
      </c>
      <c r="K320">
        <f>IF(COUNTIF($A$2:A320,A320)=1,1,0)</f>
        <v/>
      </c>
      <c r="L320">
        <f>IF(K320=1,IF(COUNTIFS($B$2:B320,B320,$I$2:I320,I320,$K$2:K320,1)=1,1,0),0)</f>
        <v/>
      </c>
      <c r="M320">
        <f>IF(Tree!$C$4="once per order",F320*K320,F320)</f>
        <v/>
      </c>
      <c r="N320">
        <f>IF(Tree!$C$4="once per order",K320,1)</f>
        <v/>
      </c>
      <c r="O320">
        <f>IF(Tree!$C$4="once per order",L320,1)</f>
        <v/>
      </c>
    </row>
    <row r="321">
      <c r="A321" t="inlineStr">
        <is>
          <t>KR-00184</t>
        </is>
      </c>
      <c r="B321" t="inlineStr">
        <is>
          <t>C-0250</t>
        </is>
      </c>
      <c r="C321" t="inlineStr">
        <is>
          <t>Retail-Plus</t>
        </is>
      </c>
      <c r="D321" t="inlineStr">
        <is>
          <t>web</t>
        </is>
      </c>
      <c r="E321" s="7" t="n">
        <v>46191</v>
      </c>
      <c r="F321" t="n">
        <v>1230</v>
      </c>
      <c r="G321" t="n">
        <v>1230</v>
      </c>
      <c r="H321" t="inlineStr">
        <is>
          <t>2026-06-20</t>
        </is>
      </c>
      <c r="I321">
        <f>IF(MONTH(E321)&lt;=6,"Q1","Q2")</f>
        <v/>
      </c>
      <c r="J321">
        <f>YEAR(E321)*100+MONTH(E321)</f>
        <v/>
      </c>
      <c r="K321">
        <f>IF(COUNTIF($A$2:A321,A321)=1,1,0)</f>
        <v/>
      </c>
      <c r="L321">
        <f>IF(K321=1,IF(COUNTIFS($B$2:B321,B321,$I$2:I321,I321,$K$2:K321,1)=1,1,0),0)</f>
        <v/>
      </c>
      <c r="M321">
        <f>IF(Tree!$C$4="once per order",F321*K321,F321)</f>
        <v/>
      </c>
      <c r="N321">
        <f>IF(Tree!$C$4="once per order",K321,1)</f>
        <v/>
      </c>
      <c r="O321">
        <f>IF(Tree!$C$4="once per order",L321,1)</f>
        <v/>
      </c>
    </row>
    <row r="322">
      <c r="A322" t="inlineStr">
        <is>
          <t>KR-00185</t>
        </is>
      </c>
      <c r="B322" t="inlineStr">
        <is>
          <t>C-0218</t>
        </is>
      </c>
      <c r="C322" t="inlineStr">
        <is>
          <t>Retail-Plus</t>
        </is>
      </c>
      <c r="D322" t="inlineStr">
        <is>
          <t>app</t>
        </is>
      </c>
      <c r="E322" s="7" t="n">
        <v>46124</v>
      </c>
      <c r="F322" t="n">
        <v>1320</v>
      </c>
      <c r="G322" t="n">
        <v>1320</v>
      </c>
      <c r="H322" t="inlineStr">
        <is>
          <t>2026-04-14</t>
        </is>
      </c>
      <c r="I322">
        <f>IF(MONTH(E322)&lt;=6,"Q1","Q2")</f>
        <v/>
      </c>
      <c r="J322">
        <f>YEAR(E322)*100+MONTH(E322)</f>
        <v/>
      </c>
      <c r="K322">
        <f>IF(COUNTIF($A$2:A322,A322)=1,1,0)</f>
        <v/>
      </c>
      <c r="L322">
        <f>IF(K322=1,IF(COUNTIFS($B$2:B322,B322,$I$2:I322,I322,$K$2:K322,1)=1,1,0),0)</f>
        <v/>
      </c>
      <c r="M322">
        <f>IF(Tree!$C$4="once per order",F322*K322,F322)</f>
        <v/>
      </c>
      <c r="N322">
        <f>IF(Tree!$C$4="once per order",K322,1)</f>
        <v/>
      </c>
      <c r="O322">
        <f>IF(Tree!$C$4="once per order",L322,1)</f>
        <v/>
      </c>
    </row>
    <row r="323">
      <c r="A323" t="inlineStr">
        <is>
          <t>KR-00186</t>
        </is>
      </c>
      <c r="B323" t="inlineStr">
        <is>
          <t>C-0177</t>
        </is>
      </c>
      <c r="C323" t="inlineStr">
        <is>
          <t>Retail-Plus</t>
        </is>
      </c>
      <c r="D323" t="inlineStr">
        <is>
          <t>store</t>
        </is>
      </c>
      <c r="E323" s="7" t="n">
        <v>46154</v>
      </c>
      <c r="F323" t="n">
        <v>3320</v>
      </c>
      <c r="G323" t="n">
        <v>1992</v>
      </c>
      <c r="H323" t="inlineStr">
        <is>
          <t>2026-05-14</t>
        </is>
      </c>
      <c r="I323">
        <f>IF(MONTH(E323)&lt;=6,"Q1","Q2")</f>
        <v/>
      </c>
      <c r="J323">
        <f>YEAR(E323)*100+MONTH(E323)</f>
        <v/>
      </c>
      <c r="K323">
        <f>IF(COUNTIF($A$2:A323,A323)=1,1,0)</f>
        <v/>
      </c>
      <c r="L323">
        <f>IF(K323=1,IF(COUNTIFS($B$2:B323,B323,$I$2:I323,I323,$K$2:K323,1)=1,1,0),0)</f>
        <v/>
      </c>
      <c r="M323">
        <f>IF(Tree!$C$4="once per order",F323*K323,F323)</f>
        <v/>
      </c>
      <c r="N323">
        <f>IF(Tree!$C$4="once per order",K323,1)</f>
        <v/>
      </c>
      <c r="O323">
        <f>IF(Tree!$C$4="once per order",L323,1)</f>
        <v/>
      </c>
    </row>
    <row r="324">
      <c r="A324" t="inlineStr">
        <is>
          <t>KR-00186</t>
        </is>
      </c>
      <c r="B324" t="inlineStr">
        <is>
          <t>C-0177</t>
        </is>
      </c>
      <c r="C324" t="inlineStr">
        <is>
          <t>Retail-Plus</t>
        </is>
      </c>
      <c r="D324" t="inlineStr">
        <is>
          <t>store</t>
        </is>
      </c>
      <c r="E324" s="7" t="n">
        <v>46154</v>
      </c>
      <c r="F324" t="n">
        <v>3320</v>
      </c>
      <c r="G324" t="n">
        <v>1328</v>
      </c>
      <c r="H324" t="inlineStr">
        <is>
          <t>2026-05-14</t>
        </is>
      </c>
      <c r="I324">
        <f>IF(MONTH(E324)&lt;=6,"Q1","Q2")</f>
        <v/>
      </c>
      <c r="J324">
        <f>YEAR(E324)*100+MONTH(E324)</f>
        <v/>
      </c>
      <c r="K324">
        <f>IF(COUNTIF($A$2:A324,A324)=1,1,0)</f>
        <v/>
      </c>
      <c r="L324">
        <f>IF(K324=1,IF(COUNTIFS($B$2:B324,B324,$I$2:I324,I324,$K$2:K324,1)=1,1,0),0)</f>
        <v/>
      </c>
      <c r="M324">
        <f>IF(Tree!$C$4="once per order",F324*K324,F324)</f>
        <v/>
      </c>
      <c r="N324">
        <f>IF(Tree!$C$4="once per order",K324,1)</f>
        <v/>
      </c>
      <c r="O324">
        <f>IF(Tree!$C$4="once per order",L324,1)</f>
        <v/>
      </c>
    </row>
    <row r="325">
      <c r="A325" t="inlineStr">
        <is>
          <t>KR-00187</t>
        </is>
      </c>
      <c r="B325" t="inlineStr">
        <is>
          <t>C-0251</t>
        </is>
      </c>
      <c r="C325" t="inlineStr">
        <is>
          <t>Retail-Plus</t>
        </is>
      </c>
      <c r="D325" t="inlineStr">
        <is>
          <t>web</t>
        </is>
      </c>
      <c r="E325" s="7" t="n">
        <v>46192</v>
      </c>
      <c r="F325" t="n">
        <v>4300</v>
      </c>
      <c r="G325" t="n">
        <v>2580</v>
      </c>
      <c r="H325" t="inlineStr">
        <is>
          <t>2026-06-21</t>
        </is>
      </c>
      <c r="I325">
        <f>IF(MONTH(E325)&lt;=6,"Q1","Q2")</f>
        <v/>
      </c>
      <c r="J325">
        <f>YEAR(E325)*100+MONTH(E325)</f>
        <v/>
      </c>
      <c r="K325">
        <f>IF(COUNTIF($A$2:A325,A325)=1,1,0)</f>
        <v/>
      </c>
      <c r="L325">
        <f>IF(K325=1,IF(COUNTIFS($B$2:B325,B325,$I$2:I325,I325,$K$2:K325,1)=1,1,0),0)</f>
        <v/>
      </c>
      <c r="M325">
        <f>IF(Tree!$C$4="once per order",F325*K325,F325)</f>
        <v/>
      </c>
      <c r="N325">
        <f>IF(Tree!$C$4="once per order",K325,1)</f>
        <v/>
      </c>
      <c r="O325">
        <f>IF(Tree!$C$4="once per order",L325,1)</f>
        <v/>
      </c>
    </row>
    <row r="326">
      <c r="A326" t="inlineStr">
        <is>
          <t>KR-00187</t>
        </is>
      </c>
      <c r="B326" t="inlineStr">
        <is>
          <t>C-0251</t>
        </is>
      </c>
      <c r="C326" t="inlineStr">
        <is>
          <t>Retail-Plus</t>
        </is>
      </c>
      <c r="D326" t="inlineStr">
        <is>
          <t>web</t>
        </is>
      </c>
      <c r="E326" s="7" t="n">
        <v>46192</v>
      </c>
      <c r="F326" t="n">
        <v>4300</v>
      </c>
      <c r="G326" t="n">
        <v>1720</v>
      </c>
      <c r="H326" t="inlineStr">
        <is>
          <t>2026-06-21</t>
        </is>
      </c>
      <c r="I326">
        <f>IF(MONTH(E326)&lt;=6,"Q1","Q2")</f>
        <v/>
      </c>
      <c r="J326">
        <f>YEAR(E326)*100+MONTH(E326)</f>
        <v/>
      </c>
      <c r="K326">
        <f>IF(COUNTIF($A$2:A326,A326)=1,1,0)</f>
        <v/>
      </c>
      <c r="L326">
        <f>IF(K326=1,IF(COUNTIFS($B$2:B326,B326,$I$2:I326,I326,$K$2:K326,1)=1,1,0),0)</f>
        <v/>
      </c>
      <c r="M326">
        <f>IF(Tree!$C$4="once per order",F326*K326,F326)</f>
        <v/>
      </c>
      <c r="N326">
        <f>IF(Tree!$C$4="once per order",K326,1)</f>
        <v/>
      </c>
      <c r="O326">
        <f>IF(Tree!$C$4="once per order",L326,1)</f>
        <v/>
      </c>
    </row>
    <row r="327">
      <c r="A327" t="inlineStr">
        <is>
          <t>KR-00188</t>
        </is>
      </c>
      <c r="B327" t="inlineStr">
        <is>
          <t>C-0223</t>
        </is>
      </c>
      <c r="C327" t="inlineStr">
        <is>
          <t>Retail-Plus</t>
        </is>
      </c>
      <c r="D327" t="inlineStr">
        <is>
          <t>app</t>
        </is>
      </c>
      <c r="E327" s="7" t="n">
        <v>46120</v>
      </c>
      <c r="F327" t="n">
        <v>3450</v>
      </c>
      <c r="G327" t="n">
        <v>2070</v>
      </c>
      <c r="H327" t="inlineStr">
        <is>
          <t>2026-04-10</t>
        </is>
      </c>
      <c r="I327">
        <f>IF(MONTH(E327)&lt;=6,"Q1","Q2")</f>
        <v/>
      </c>
      <c r="J327">
        <f>YEAR(E327)*100+MONTH(E327)</f>
        <v/>
      </c>
      <c r="K327">
        <f>IF(COUNTIF($A$2:A327,A327)=1,1,0)</f>
        <v/>
      </c>
      <c r="L327">
        <f>IF(K327=1,IF(COUNTIFS($B$2:B327,B327,$I$2:I327,I327,$K$2:K327,1)=1,1,0),0)</f>
        <v/>
      </c>
      <c r="M327">
        <f>IF(Tree!$C$4="once per order",F327*K327,F327)</f>
        <v/>
      </c>
      <c r="N327">
        <f>IF(Tree!$C$4="once per order",K327,1)</f>
        <v/>
      </c>
      <c r="O327">
        <f>IF(Tree!$C$4="once per order",L327,1)</f>
        <v/>
      </c>
    </row>
    <row r="328">
      <c r="A328" t="inlineStr">
        <is>
          <t>KR-00188</t>
        </is>
      </c>
      <c r="B328" t="inlineStr">
        <is>
          <t>C-0223</t>
        </is>
      </c>
      <c r="C328" t="inlineStr">
        <is>
          <t>Retail-Plus</t>
        </is>
      </c>
      <c r="D328" t="inlineStr">
        <is>
          <t>app</t>
        </is>
      </c>
      <c r="E328" s="7" t="n">
        <v>46120</v>
      </c>
      <c r="F328" t="n">
        <v>3450</v>
      </c>
      <c r="G328" t="n">
        <v>1380</v>
      </c>
      <c r="H328" t="inlineStr">
        <is>
          <t>2026-04-10</t>
        </is>
      </c>
      <c r="I328">
        <f>IF(MONTH(E328)&lt;=6,"Q1","Q2")</f>
        <v/>
      </c>
      <c r="J328">
        <f>YEAR(E328)*100+MONTH(E328)</f>
        <v/>
      </c>
      <c r="K328">
        <f>IF(COUNTIF($A$2:A328,A328)=1,1,0)</f>
        <v/>
      </c>
      <c r="L328">
        <f>IF(K328=1,IF(COUNTIFS($B$2:B328,B328,$I$2:I328,I328,$K$2:K328,1)=1,1,0),0)</f>
        <v/>
      </c>
      <c r="M328">
        <f>IF(Tree!$C$4="once per order",F328*K328,F328)</f>
        <v/>
      </c>
      <c r="N328">
        <f>IF(Tree!$C$4="once per order",K328,1)</f>
        <v/>
      </c>
      <c r="O328">
        <f>IF(Tree!$C$4="once per order",L328,1)</f>
        <v/>
      </c>
    </row>
    <row r="329">
      <c r="A329" t="inlineStr">
        <is>
          <t>KR-00189</t>
        </is>
      </c>
      <c r="B329" t="inlineStr">
        <is>
          <t>C-0173</t>
        </is>
      </c>
      <c r="C329" t="inlineStr">
        <is>
          <t>Retail-Plus</t>
        </is>
      </c>
      <c r="D329" t="inlineStr">
        <is>
          <t>app</t>
        </is>
      </c>
      <c r="E329" s="7" t="n">
        <v>46168</v>
      </c>
      <c r="F329" t="n">
        <v>2390</v>
      </c>
      <c r="G329" t="n">
        <v>2390</v>
      </c>
      <c r="H329" t="inlineStr">
        <is>
          <t>2026-05-28</t>
        </is>
      </c>
      <c r="I329">
        <f>IF(MONTH(E329)&lt;=6,"Q1","Q2")</f>
        <v/>
      </c>
      <c r="J329">
        <f>YEAR(E329)*100+MONTH(E329)</f>
        <v/>
      </c>
      <c r="K329">
        <f>IF(COUNTIF($A$2:A329,A329)=1,1,0)</f>
        <v/>
      </c>
      <c r="L329">
        <f>IF(K329=1,IF(COUNTIFS($B$2:B329,B329,$I$2:I329,I329,$K$2:K329,1)=1,1,0),0)</f>
        <v/>
      </c>
      <c r="M329">
        <f>IF(Tree!$C$4="once per order",F329*K329,F329)</f>
        <v/>
      </c>
      <c r="N329">
        <f>IF(Tree!$C$4="once per order",K329,1)</f>
        <v/>
      </c>
      <c r="O329">
        <f>IF(Tree!$C$4="once per order",L329,1)</f>
        <v/>
      </c>
    </row>
    <row r="330">
      <c r="A330" t="inlineStr">
        <is>
          <t>KR-00190</t>
        </is>
      </c>
      <c r="B330" t="inlineStr">
        <is>
          <t>C-0191</t>
        </is>
      </c>
      <c r="C330" t="inlineStr">
        <is>
          <t>Retail-Plus</t>
        </is>
      </c>
      <c r="D330" t="inlineStr">
        <is>
          <t>web</t>
        </is>
      </c>
      <c r="E330" s="7" t="n">
        <v>46189</v>
      </c>
      <c r="F330" t="n">
        <v>3740</v>
      </c>
      <c r="G330" t="n">
        <v>2244</v>
      </c>
      <c r="H330" t="inlineStr">
        <is>
          <t>2026-06-18</t>
        </is>
      </c>
      <c r="I330">
        <f>IF(MONTH(E330)&lt;=6,"Q1","Q2")</f>
        <v/>
      </c>
      <c r="J330">
        <f>YEAR(E330)*100+MONTH(E330)</f>
        <v/>
      </c>
      <c r="K330">
        <f>IF(COUNTIF($A$2:A330,A330)=1,1,0)</f>
        <v/>
      </c>
      <c r="L330">
        <f>IF(K330=1,IF(COUNTIFS($B$2:B330,B330,$I$2:I330,I330,$K$2:K330,1)=1,1,0),0)</f>
        <v/>
      </c>
      <c r="M330">
        <f>IF(Tree!$C$4="once per order",F330*K330,F330)</f>
        <v/>
      </c>
      <c r="N330">
        <f>IF(Tree!$C$4="once per order",K330,1)</f>
        <v/>
      </c>
      <c r="O330">
        <f>IF(Tree!$C$4="once per order",L330,1)</f>
        <v/>
      </c>
    </row>
    <row r="331">
      <c r="A331" t="inlineStr">
        <is>
          <t>KR-00190</t>
        </is>
      </c>
      <c r="B331" t="inlineStr">
        <is>
          <t>C-0191</t>
        </is>
      </c>
      <c r="C331" t="inlineStr">
        <is>
          <t>Retail-Plus</t>
        </is>
      </c>
      <c r="D331" t="inlineStr">
        <is>
          <t>web</t>
        </is>
      </c>
      <c r="E331" s="7" t="n">
        <v>46189</v>
      </c>
      <c r="F331" t="n">
        <v>3740</v>
      </c>
      <c r="G331" t="n">
        <v>1496</v>
      </c>
      <c r="H331" t="inlineStr">
        <is>
          <t>2026-06-18</t>
        </is>
      </c>
      <c r="I331">
        <f>IF(MONTH(E331)&lt;=6,"Q1","Q2")</f>
        <v/>
      </c>
      <c r="J331">
        <f>YEAR(E331)*100+MONTH(E331)</f>
        <v/>
      </c>
      <c r="K331">
        <f>IF(COUNTIF($A$2:A331,A331)=1,1,0)</f>
        <v/>
      </c>
      <c r="L331">
        <f>IF(K331=1,IF(COUNTIFS($B$2:B331,B331,$I$2:I331,I331,$K$2:K331,1)=1,1,0),0)</f>
        <v/>
      </c>
      <c r="M331">
        <f>IF(Tree!$C$4="once per order",F331*K331,F331)</f>
        <v/>
      </c>
      <c r="N331">
        <f>IF(Tree!$C$4="once per order",K331,1)</f>
        <v/>
      </c>
      <c r="O331">
        <f>IF(Tree!$C$4="once per order",L331,1)</f>
        <v/>
      </c>
    </row>
    <row r="332">
      <c r="A332" t="inlineStr">
        <is>
          <t>KR-00191</t>
        </is>
      </c>
      <c r="B332" t="inlineStr">
        <is>
          <t>C-0257</t>
        </is>
      </c>
      <c r="C332" t="inlineStr">
        <is>
          <t>Retail-Plus</t>
        </is>
      </c>
      <c r="D332" t="inlineStr">
        <is>
          <t>app</t>
        </is>
      </c>
      <c r="E332" s="7" t="n">
        <v>46125</v>
      </c>
      <c r="F332" t="n">
        <v>1320</v>
      </c>
      <c r="G332" t="n">
        <v>1320</v>
      </c>
      <c r="H332" t="inlineStr">
        <is>
          <t>2026-04-15</t>
        </is>
      </c>
      <c r="I332">
        <f>IF(MONTH(E332)&lt;=6,"Q1","Q2")</f>
        <v/>
      </c>
      <c r="J332">
        <f>YEAR(E332)*100+MONTH(E332)</f>
        <v/>
      </c>
      <c r="K332">
        <f>IF(COUNTIF($A$2:A332,A332)=1,1,0)</f>
        <v/>
      </c>
      <c r="L332">
        <f>IF(K332=1,IF(COUNTIFS($B$2:B332,B332,$I$2:I332,I332,$K$2:K332,1)=1,1,0),0)</f>
        <v/>
      </c>
      <c r="M332">
        <f>IF(Tree!$C$4="once per order",F332*K332,F332)</f>
        <v/>
      </c>
      <c r="N332">
        <f>IF(Tree!$C$4="once per order",K332,1)</f>
        <v/>
      </c>
      <c r="O332">
        <f>IF(Tree!$C$4="once per order",L332,1)</f>
        <v/>
      </c>
    </row>
    <row r="333">
      <c r="A333" t="inlineStr">
        <is>
          <t>KR-00192</t>
        </is>
      </c>
      <c r="B333" t="inlineStr">
        <is>
          <t>C-0184</t>
        </is>
      </c>
      <c r="C333" t="inlineStr">
        <is>
          <t>Retail-Plus</t>
        </is>
      </c>
      <c r="D333" t="inlineStr">
        <is>
          <t>app</t>
        </is>
      </c>
      <c r="E333" s="7" t="n">
        <v>46161</v>
      </c>
      <c r="F333" t="n">
        <v>1900</v>
      </c>
      <c r="G333" t="n">
        <v>1900</v>
      </c>
      <c r="H333" t="inlineStr">
        <is>
          <t>2026-05-21</t>
        </is>
      </c>
      <c r="I333">
        <f>IF(MONTH(E333)&lt;=6,"Q1","Q2")</f>
        <v/>
      </c>
      <c r="J333">
        <f>YEAR(E333)*100+MONTH(E333)</f>
        <v/>
      </c>
      <c r="K333">
        <f>IF(COUNTIF($A$2:A333,A333)=1,1,0)</f>
        <v/>
      </c>
      <c r="L333">
        <f>IF(K333=1,IF(COUNTIFS($B$2:B333,B333,$I$2:I333,I333,$K$2:K333,1)=1,1,0),0)</f>
        <v/>
      </c>
      <c r="M333">
        <f>IF(Tree!$C$4="once per order",F333*K333,F333)</f>
        <v/>
      </c>
      <c r="N333">
        <f>IF(Tree!$C$4="once per order",K333,1)</f>
        <v/>
      </c>
      <c r="O333">
        <f>IF(Tree!$C$4="once per order",L333,1)</f>
        <v/>
      </c>
    </row>
    <row r="334">
      <c r="A334" t="inlineStr">
        <is>
          <t>KR-00193</t>
        </is>
      </c>
      <c r="B334" t="inlineStr">
        <is>
          <t>C-0247</t>
        </is>
      </c>
      <c r="C334" t="inlineStr">
        <is>
          <t>Retail-Plus</t>
        </is>
      </c>
      <c r="D334" t="inlineStr">
        <is>
          <t>web</t>
        </is>
      </c>
      <c r="E334" s="7" t="n">
        <v>46201</v>
      </c>
      <c r="F334" t="n">
        <v>1450</v>
      </c>
      <c r="G334" t="n">
        <v>1450</v>
      </c>
      <c r="H334" t="inlineStr">
        <is>
          <t>2026-06-28</t>
        </is>
      </c>
      <c r="I334">
        <f>IF(MONTH(E334)&lt;=6,"Q1","Q2")</f>
        <v/>
      </c>
      <c r="J334">
        <f>YEAR(E334)*100+MONTH(E334)</f>
        <v/>
      </c>
      <c r="K334">
        <f>IF(COUNTIF($A$2:A334,A334)=1,1,0)</f>
        <v/>
      </c>
      <c r="L334">
        <f>IF(K334=1,IF(COUNTIFS($B$2:B334,B334,$I$2:I334,I334,$K$2:K334,1)=1,1,0),0)</f>
        <v/>
      </c>
      <c r="M334">
        <f>IF(Tree!$C$4="once per order",F334*K334,F334)</f>
        <v/>
      </c>
      <c r="N334">
        <f>IF(Tree!$C$4="once per order",K334,1)</f>
        <v/>
      </c>
      <c r="O334">
        <f>IF(Tree!$C$4="once per order",L334,1)</f>
        <v/>
      </c>
    </row>
    <row r="335">
      <c r="A335" t="inlineStr">
        <is>
          <t>KR-00194</t>
        </is>
      </c>
      <c r="B335" t="inlineStr">
        <is>
          <t>C-0159</t>
        </is>
      </c>
      <c r="C335" t="inlineStr">
        <is>
          <t>Retail-Plus</t>
        </is>
      </c>
      <c r="D335" t="inlineStr">
        <is>
          <t>store</t>
        </is>
      </c>
      <c r="E335" s="7" t="n">
        <v>46137</v>
      </c>
      <c r="F335" t="n">
        <v>1230</v>
      </c>
      <c r="G335" t="n">
        <v>1230</v>
      </c>
      <c r="H335" t="inlineStr">
        <is>
          <t>2026-04-27</t>
        </is>
      </c>
      <c r="I335">
        <f>IF(MONTH(E335)&lt;=6,"Q1","Q2")</f>
        <v/>
      </c>
      <c r="J335">
        <f>YEAR(E335)*100+MONTH(E335)</f>
        <v/>
      </c>
      <c r="K335">
        <f>IF(COUNTIF($A$2:A335,A335)=1,1,0)</f>
        <v/>
      </c>
      <c r="L335">
        <f>IF(K335=1,IF(COUNTIFS($B$2:B335,B335,$I$2:I335,I335,$K$2:K335,1)=1,1,0),0)</f>
        <v/>
      </c>
      <c r="M335">
        <f>IF(Tree!$C$4="once per order",F335*K335,F335)</f>
        <v/>
      </c>
      <c r="N335">
        <f>IF(Tree!$C$4="once per order",K335,1)</f>
        <v/>
      </c>
      <c r="O335">
        <f>IF(Tree!$C$4="once per order",L335,1)</f>
        <v/>
      </c>
    </row>
    <row r="336">
      <c r="A336" t="inlineStr">
        <is>
          <t>KR-00195</t>
        </is>
      </c>
      <c r="B336" t="inlineStr">
        <is>
          <t>C-0177</t>
        </is>
      </c>
      <c r="C336" t="inlineStr">
        <is>
          <t>Retail-Plus</t>
        </is>
      </c>
      <c r="D336" t="inlineStr">
        <is>
          <t>store</t>
        </is>
      </c>
      <c r="E336" s="7" t="n">
        <v>46169</v>
      </c>
      <c r="F336" t="n">
        <v>4000</v>
      </c>
      <c r="G336" t="n">
        <v>2400</v>
      </c>
      <c r="H336" t="inlineStr">
        <is>
          <t>2026-05-28</t>
        </is>
      </c>
      <c r="I336">
        <f>IF(MONTH(E336)&lt;=6,"Q1","Q2")</f>
        <v/>
      </c>
      <c r="J336">
        <f>YEAR(E336)*100+MONTH(E336)</f>
        <v/>
      </c>
      <c r="K336">
        <f>IF(COUNTIF($A$2:A336,A336)=1,1,0)</f>
        <v/>
      </c>
      <c r="L336">
        <f>IF(K336=1,IF(COUNTIFS($B$2:B336,B336,$I$2:I336,I336,$K$2:K336,1)=1,1,0),0)</f>
        <v/>
      </c>
      <c r="M336">
        <f>IF(Tree!$C$4="once per order",F336*K336,F336)</f>
        <v/>
      </c>
      <c r="N336">
        <f>IF(Tree!$C$4="once per order",K336,1)</f>
        <v/>
      </c>
      <c r="O336">
        <f>IF(Tree!$C$4="once per order",L336,1)</f>
        <v/>
      </c>
    </row>
    <row r="337">
      <c r="A337" t="inlineStr">
        <is>
          <t>KR-00195</t>
        </is>
      </c>
      <c r="B337" t="inlineStr">
        <is>
          <t>C-0177</t>
        </is>
      </c>
      <c r="C337" t="inlineStr">
        <is>
          <t>Retail-Plus</t>
        </is>
      </c>
      <c r="D337" t="inlineStr">
        <is>
          <t>store</t>
        </is>
      </c>
      <c r="E337" s="7" t="n">
        <v>46169</v>
      </c>
      <c r="F337" t="n">
        <v>4000</v>
      </c>
      <c r="G337" t="n">
        <v>1600</v>
      </c>
      <c r="H337" t="inlineStr">
        <is>
          <t>2026-05-28</t>
        </is>
      </c>
      <c r="I337">
        <f>IF(MONTH(E337)&lt;=6,"Q1","Q2")</f>
        <v/>
      </c>
      <c r="J337">
        <f>YEAR(E337)*100+MONTH(E337)</f>
        <v/>
      </c>
      <c r="K337">
        <f>IF(COUNTIF($A$2:A337,A337)=1,1,0)</f>
        <v/>
      </c>
      <c r="L337">
        <f>IF(K337=1,IF(COUNTIFS($B$2:B337,B337,$I$2:I337,I337,$K$2:K337,1)=1,1,0),0)</f>
        <v/>
      </c>
      <c r="M337">
        <f>IF(Tree!$C$4="once per order",F337*K337,F337)</f>
        <v/>
      </c>
      <c r="N337">
        <f>IF(Tree!$C$4="once per order",K337,1)</f>
        <v/>
      </c>
      <c r="O337">
        <f>IF(Tree!$C$4="once per order",L337,1)</f>
        <v/>
      </c>
    </row>
    <row r="338">
      <c r="A338" t="inlineStr">
        <is>
          <t>KR-00196</t>
        </is>
      </c>
      <c r="B338" t="inlineStr">
        <is>
          <t>C-0151</t>
        </is>
      </c>
      <c r="C338" t="inlineStr">
        <is>
          <t>Retail-Plus</t>
        </is>
      </c>
      <c r="D338" t="inlineStr">
        <is>
          <t>store</t>
        </is>
      </c>
      <c r="E338" s="7" t="n">
        <v>46189</v>
      </c>
      <c r="F338" t="n">
        <v>4090</v>
      </c>
      <c r="G338" t="n">
        <v>2454</v>
      </c>
      <c r="H338" t="inlineStr">
        <is>
          <t>2026-06-18</t>
        </is>
      </c>
      <c r="I338">
        <f>IF(MONTH(E338)&lt;=6,"Q1","Q2")</f>
        <v/>
      </c>
      <c r="J338">
        <f>YEAR(E338)*100+MONTH(E338)</f>
        <v/>
      </c>
      <c r="K338">
        <f>IF(COUNTIF($A$2:A338,A338)=1,1,0)</f>
        <v/>
      </c>
      <c r="L338">
        <f>IF(K338=1,IF(COUNTIFS($B$2:B338,B338,$I$2:I338,I338,$K$2:K338,1)=1,1,0),0)</f>
        <v/>
      </c>
      <c r="M338">
        <f>IF(Tree!$C$4="once per order",F338*K338,F338)</f>
        <v/>
      </c>
      <c r="N338">
        <f>IF(Tree!$C$4="once per order",K338,1)</f>
        <v/>
      </c>
      <c r="O338">
        <f>IF(Tree!$C$4="once per order",L338,1)</f>
        <v/>
      </c>
    </row>
    <row r="339">
      <c r="A339" t="inlineStr">
        <is>
          <t>KR-00196</t>
        </is>
      </c>
      <c r="B339" t="inlineStr">
        <is>
          <t>C-0151</t>
        </is>
      </c>
      <c r="C339" t="inlineStr">
        <is>
          <t>Retail-Plus</t>
        </is>
      </c>
      <c r="D339" t="inlineStr">
        <is>
          <t>store</t>
        </is>
      </c>
      <c r="E339" s="7" t="n">
        <v>46189</v>
      </c>
      <c r="F339" t="n">
        <v>4090</v>
      </c>
      <c r="G339" t="n">
        <v>1636</v>
      </c>
      <c r="H339" t="inlineStr">
        <is>
          <t>2026-06-18</t>
        </is>
      </c>
      <c r="I339">
        <f>IF(MONTH(E339)&lt;=6,"Q1","Q2")</f>
        <v/>
      </c>
      <c r="J339">
        <f>YEAR(E339)*100+MONTH(E339)</f>
        <v/>
      </c>
      <c r="K339">
        <f>IF(COUNTIF($A$2:A339,A339)=1,1,0)</f>
        <v/>
      </c>
      <c r="L339">
        <f>IF(K339=1,IF(COUNTIFS($B$2:B339,B339,$I$2:I339,I339,$K$2:K339,1)=1,1,0),0)</f>
        <v/>
      </c>
      <c r="M339">
        <f>IF(Tree!$C$4="once per order",F339*K339,F339)</f>
        <v/>
      </c>
      <c r="N339">
        <f>IF(Tree!$C$4="once per order",K339,1)</f>
        <v/>
      </c>
      <c r="O339">
        <f>IF(Tree!$C$4="once per order",L339,1)</f>
        <v/>
      </c>
    </row>
    <row r="340">
      <c r="A340" t="inlineStr">
        <is>
          <t>KR-00197</t>
        </is>
      </c>
      <c r="B340" t="inlineStr">
        <is>
          <t>C-0191</t>
        </is>
      </c>
      <c r="C340" t="inlineStr">
        <is>
          <t>Retail-Plus</t>
        </is>
      </c>
      <c r="D340" t="inlineStr">
        <is>
          <t>web</t>
        </is>
      </c>
      <c r="E340" s="7" t="n">
        <v>46116</v>
      </c>
      <c r="F340" t="n">
        <v>3650</v>
      </c>
      <c r="G340" t="n">
        <v>2190</v>
      </c>
      <c r="H340" t="inlineStr">
        <is>
          <t>2026-04-06</t>
        </is>
      </c>
      <c r="I340">
        <f>IF(MONTH(E340)&lt;=6,"Q1","Q2")</f>
        <v/>
      </c>
      <c r="J340">
        <f>YEAR(E340)*100+MONTH(E340)</f>
        <v/>
      </c>
      <c r="K340">
        <f>IF(COUNTIF($A$2:A340,A340)=1,1,0)</f>
        <v/>
      </c>
      <c r="L340">
        <f>IF(K340=1,IF(COUNTIFS($B$2:B340,B340,$I$2:I340,I340,$K$2:K340,1)=1,1,0),0)</f>
        <v/>
      </c>
      <c r="M340">
        <f>IF(Tree!$C$4="once per order",F340*K340,F340)</f>
        <v/>
      </c>
      <c r="N340">
        <f>IF(Tree!$C$4="once per order",K340,1)</f>
        <v/>
      </c>
      <c r="O340">
        <f>IF(Tree!$C$4="once per order",L340,1)</f>
        <v/>
      </c>
    </row>
    <row r="341">
      <c r="A341" t="inlineStr">
        <is>
          <t>KR-00197</t>
        </is>
      </c>
      <c r="B341" t="inlineStr">
        <is>
          <t>C-0191</t>
        </is>
      </c>
      <c r="C341" t="inlineStr">
        <is>
          <t>Retail-Plus</t>
        </is>
      </c>
      <c r="D341" t="inlineStr">
        <is>
          <t>web</t>
        </is>
      </c>
      <c r="E341" s="7" t="n">
        <v>46116</v>
      </c>
      <c r="F341" t="n">
        <v>3650</v>
      </c>
      <c r="G341" t="n">
        <v>1460</v>
      </c>
      <c r="H341" t="inlineStr">
        <is>
          <t>2026-04-06</t>
        </is>
      </c>
      <c r="I341">
        <f>IF(MONTH(E341)&lt;=6,"Q1","Q2")</f>
        <v/>
      </c>
      <c r="J341">
        <f>YEAR(E341)*100+MONTH(E341)</f>
        <v/>
      </c>
      <c r="K341">
        <f>IF(COUNTIF($A$2:A341,A341)=1,1,0)</f>
        <v/>
      </c>
      <c r="L341">
        <f>IF(K341=1,IF(COUNTIFS($B$2:B341,B341,$I$2:I341,I341,$K$2:K341,1)=1,1,0),0)</f>
        <v/>
      </c>
      <c r="M341">
        <f>IF(Tree!$C$4="once per order",F341*K341,F341)</f>
        <v/>
      </c>
      <c r="N341">
        <f>IF(Tree!$C$4="once per order",K341,1)</f>
        <v/>
      </c>
      <c r="O341">
        <f>IF(Tree!$C$4="once per order",L341,1)</f>
        <v/>
      </c>
    </row>
    <row r="342">
      <c r="A342" t="inlineStr">
        <is>
          <t>KR-00198</t>
        </is>
      </c>
      <c r="B342" t="inlineStr">
        <is>
          <t>C-0165</t>
        </is>
      </c>
      <c r="C342" t="inlineStr">
        <is>
          <t>Retail-Plus</t>
        </is>
      </c>
      <c r="D342" t="inlineStr">
        <is>
          <t>app</t>
        </is>
      </c>
      <c r="E342" s="7" t="n">
        <v>46169</v>
      </c>
      <c r="F342" t="n">
        <v>1640</v>
      </c>
      <c r="G342" t="n">
        <v>1640</v>
      </c>
      <c r="H342" t="inlineStr">
        <is>
          <t>2026-05-28</t>
        </is>
      </c>
      <c r="I342">
        <f>IF(MONTH(E342)&lt;=6,"Q1","Q2")</f>
        <v/>
      </c>
      <c r="J342">
        <f>YEAR(E342)*100+MONTH(E342)</f>
        <v/>
      </c>
      <c r="K342">
        <f>IF(COUNTIF($A$2:A342,A342)=1,1,0)</f>
        <v/>
      </c>
      <c r="L342">
        <f>IF(K342=1,IF(COUNTIFS($B$2:B342,B342,$I$2:I342,I342,$K$2:K342,1)=1,1,0),0)</f>
        <v/>
      </c>
      <c r="M342">
        <f>IF(Tree!$C$4="once per order",F342*K342,F342)</f>
        <v/>
      </c>
      <c r="N342">
        <f>IF(Tree!$C$4="once per order",K342,1)</f>
        <v/>
      </c>
      <c r="O342">
        <f>IF(Tree!$C$4="once per order",L342,1)</f>
        <v/>
      </c>
    </row>
    <row r="343">
      <c r="A343" t="inlineStr">
        <is>
          <t>KR-00199</t>
        </is>
      </c>
      <c r="B343" t="inlineStr">
        <is>
          <t>C-0239</t>
        </is>
      </c>
      <c r="C343" t="inlineStr">
        <is>
          <t>Retail-Plus</t>
        </is>
      </c>
      <c r="D343" t="inlineStr">
        <is>
          <t>app</t>
        </is>
      </c>
      <c r="E343" s="7" t="n">
        <v>46175</v>
      </c>
      <c r="F343" t="n">
        <v>1820</v>
      </c>
      <c r="G343" t="n">
        <v>1820</v>
      </c>
      <c r="H343" t="inlineStr">
        <is>
          <t>2026-06-04</t>
        </is>
      </c>
      <c r="I343">
        <f>IF(MONTH(E343)&lt;=6,"Q1","Q2")</f>
        <v/>
      </c>
      <c r="J343">
        <f>YEAR(E343)*100+MONTH(E343)</f>
        <v/>
      </c>
      <c r="K343">
        <f>IF(COUNTIF($A$2:A343,A343)=1,1,0)</f>
        <v/>
      </c>
      <c r="L343">
        <f>IF(K343=1,IF(COUNTIFS($B$2:B343,B343,$I$2:I343,I343,$K$2:K343,1)=1,1,0),0)</f>
        <v/>
      </c>
      <c r="M343">
        <f>IF(Tree!$C$4="once per order",F343*K343,F343)</f>
        <v/>
      </c>
      <c r="N343">
        <f>IF(Tree!$C$4="once per order",K343,1)</f>
        <v/>
      </c>
      <c r="O343">
        <f>IF(Tree!$C$4="once per order",L343,1)</f>
        <v/>
      </c>
    </row>
    <row r="344">
      <c r="A344" t="inlineStr">
        <is>
          <t>KR-00200</t>
        </is>
      </c>
      <c r="B344" t="inlineStr">
        <is>
          <t>C-0266</t>
        </is>
      </c>
      <c r="C344" t="inlineStr">
        <is>
          <t>Retail-Plus</t>
        </is>
      </c>
      <c r="D344" t="inlineStr">
        <is>
          <t>app</t>
        </is>
      </c>
      <c r="E344" s="7" t="n">
        <v>46138</v>
      </c>
      <c r="F344" t="n">
        <v>1250</v>
      </c>
      <c r="G344" t="n">
        <v>1250</v>
      </c>
      <c r="H344" t="inlineStr">
        <is>
          <t>2026-04-28</t>
        </is>
      </c>
      <c r="I344">
        <f>IF(MONTH(E344)&lt;=6,"Q1","Q2")</f>
        <v/>
      </c>
      <c r="J344">
        <f>YEAR(E344)*100+MONTH(E344)</f>
        <v/>
      </c>
      <c r="K344">
        <f>IF(COUNTIF($A$2:A344,A344)=1,1,0)</f>
        <v/>
      </c>
      <c r="L344">
        <f>IF(K344=1,IF(COUNTIFS($B$2:B344,B344,$I$2:I344,I344,$K$2:K344,1)=1,1,0),0)</f>
        <v/>
      </c>
      <c r="M344">
        <f>IF(Tree!$C$4="once per order",F344*K344,F344)</f>
        <v/>
      </c>
      <c r="N344">
        <f>IF(Tree!$C$4="once per order",K344,1)</f>
        <v/>
      </c>
      <c r="O344">
        <f>IF(Tree!$C$4="once per order",L344,1)</f>
        <v/>
      </c>
    </row>
    <row r="345">
      <c r="A345" t="inlineStr">
        <is>
          <t>KR-00201</t>
        </is>
      </c>
      <c r="B345" t="inlineStr">
        <is>
          <t>C-0234</t>
        </is>
      </c>
      <c r="C345" t="inlineStr">
        <is>
          <t>Retail-Plus</t>
        </is>
      </c>
      <c r="D345" t="inlineStr">
        <is>
          <t>app</t>
        </is>
      </c>
      <c r="E345" s="7" t="n">
        <v>46162</v>
      </c>
      <c r="F345" t="n">
        <v>2510</v>
      </c>
      <c r="G345" t="n">
        <v>2510</v>
      </c>
      <c r="H345" t="inlineStr">
        <is>
          <t>2026-05-22</t>
        </is>
      </c>
      <c r="I345">
        <f>IF(MONTH(E345)&lt;=6,"Q1","Q2")</f>
        <v/>
      </c>
      <c r="J345">
        <f>YEAR(E345)*100+MONTH(E345)</f>
        <v/>
      </c>
      <c r="K345">
        <f>IF(COUNTIF($A$2:A345,A345)=1,1,0)</f>
        <v/>
      </c>
      <c r="L345">
        <f>IF(K345=1,IF(COUNTIFS($B$2:B345,B345,$I$2:I345,I345,$K$2:K345,1)=1,1,0),0)</f>
        <v/>
      </c>
      <c r="M345">
        <f>IF(Tree!$C$4="once per order",F345*K345,F345)</f>
        <v/>
      </c>
      <c r="N345">
        <f>IF(Tree!$C$4="once per order",K345,1)</f>
        <v/>
      </c>
      <c r="O345">
        <f>IF(Tree!$C$4="once per order",L345,1)</f>
        <v/>
      </c>
    </row>
    <row r="346">
      <c r="A346" t="inlineStr">
        <is>
          <t>KR-00202</t>
        </is>
      </c>
      <c r="B346" t="inlineStr">
        <is>
          <t>C-0156</t>
        </is>
      </c>
      <c r="C346" t="inlineStr">
        <is>
          <t>Retail-Plus</t>
        </is>
      </c>
      <c r="D346" t="inlineStr">
        <is>
          <t>app</t>
        </is>
      </c>
      <c r="E346" s="7" t="n">
        <v>46191</v>
      </c>
      <c r="F346" t="n">
        <v>3370</v>
      </c>
      <c r="G346" t="n">
        <v>2022</v>
      </c>
      <c r="H346" t="inlineStr">
        <is>
          <t>2026-06-20</t>
        </is>
      </c>
      <c r="I346">
        <f>IF(MONTH(E346)&lt;=6,"Q1","Q2")</f>
        <v/>
      </c>
      <c r="J346">
        <f>YEAR(E346)*100+MONTH(E346)</f>
        <v/>
      </c>
      <c r="K346">
        <f>IF(COUNTIF($A$2:A346,A346)=1,1,0)</f>
        <v/>
      </c>
      <c r="L346">
        <f>IF(K346=1,IF(COUNTIFS($B$2:B346,B346,$I$2:I346,I346,$K$2:K346,1)=1,1,0),0)</f>
        <v/>
      </c>
      <c r="M346">
        <f>IF(Tree!$C$4="once per order",F346*K346,F346)</f>
        <v/>
      </c>
      <c r="N346">
        <f>IF(Tree!$C$4="once per order",K346,1)</f>
        <v/>
      </c>
      <c r="O346">
        <f>IF(Tree!$C$4="once per order",L346,1)</f>
        <v/>
      </c>
    </row>
    <row r="347">
      <c r="A347" t="inlineStr">
        <is>
          <t>KR-00202</t>
        </is>
      </c>
      <c r="B347" t="inlineStr">
        <is>
          <t>C-0156</t>
        </is>
      </c>
      <c r="C347" t="inlineStr">
        <is>
          <t>Retail-Plus</t>
        </is>
      </c>
      <c r="D347" t="inlineStr">
        <is>
          <t>app</t>
        </is>
      </c>
      <c r="E347" s="7" t="n">
        <v>46191</v>
      </c>
      <c r="F347" t="n">
        <v>3370</v>
      </c>
      <c r="G347" t="n">
        <v>1348</v>
      </c>
      <c r="H347" t="inlineStr">
        <is>
          <t>2026-06-20</t>
        </is>
      </c>
      <c r="I347">
        <f>IF(MONTH(E347)&lt;=6,"Q1","Q2")</f>
        <v/>
      </c>
      <c r="J347">
        <f>YEAR(E347)*100+MONTH(E347)</f>
        <v/>
      </c>
      <c r="K347">
        <f>IF(COUNTIF($A$2:A347,A347)=1,1,0)</f>
        <v/>
      </c>
      <c r="L347">
        <f>IF(K347=1,IF(COUNTIFS($B$2:B347,B347,$I$2:I347,I347,$K$2:K347,1)=1,1,0),0)</f>
        <v/>
      </c>
      <c r="M347">
        <f>IF(Tree!$C$4="once per order",F347*K347,F347)</f>
        <v/>
      </c>
      <c r="N347">
        <f>IF(Tree!$C$4="once per order",K347,1)</f>
        <v/>
      </c>
      <c r="O347">
        <f>IF(Tree!$C$4="once per order",L347,1)</f>
        <v/>
      </c>
    </row>
    <row r="348">
      <c r="A348" t="inlineStr">
        <is>
          <t>KR-00203</t>
        </is>
      </c>
      <c r="B348" t="inlineStr">
        <is>
          <t>C-0177</t>
        </is>
      </c>
      <c r="C348" t="inlineStr">
        <is>
          <t>Retail-Plus</t>
        </is>
      </c>
      <c r="D348" t="inlineStr">
        <is>
          <t>web</t>
        </is>
      </c>
      <c r="E348" s="7" t="n">
        <v>46138</v>
      </c>
      <c r="F348" t="n">
        <v>2660</v>
      </c>
      <c r="G348" t="n">
        <v>2660</v>
      </c>
      <c r="H348" t="inlineStr">
        <is>
          <t>2026-04-28</t>
        </is>
      </c>
      <c r="I348">
        <f>IF(MONTH(E348)&lt;=6,"Q1","Q2")</f>
        <v/>
      </c>
      <c r="J348">
        <f>YEAR(E348)*100+MONTH(E348)</f>
        <v/>
      </c>
      <c r="K348">
        <f>IF(COUNTIF($A$2:A348,A348)=1,1,0)</f>
        <v/>
      </c>
      <c r="L348">
        <f>IF(K348=1,IF(COUNTIFS($B$2:B348,B348,$I$2:I348,I348,$K$2:K348,1)=1,1,0),0)</f>
        <v/>
      </c>
      <c r="M348">
        <f>IF(Tree!$C$4="once per order",F348*K348,F348)</f>
        <v/>
      </c>
      <c r="N348">
        <f>IF(Tree!$C$4="once per order",K348,1)</f>
        <v/>
      </c>
      <c r="O348">
        <f>IF(Tree!$C$4="once per order",L348,1)</f>
        <v/>
      </c>
    </row>
    <row r="349">
      <c r="A349" t="inlineStr">
        <is>
          <t>KR-00204</t>
        </is>
      </c>
      <c r="B349" t="inlineStr">
        <is>
          <t>C-0254</t>
        </is>
      </c>
      <c r="C349" t="inlineStr">
        <is>
          <t>Retail-Plus</t>
        </is>
      </c>
      <c r="D349" t="inlineStr">
        <is>
          <t>app</t>
        </is>
      </c>
      <c r="E349" s="7" t="n">
        <v>46151</v>
      </c>
      <c r="F349" t="n">
        <v>2530</v>
      </c>
      <c r="G349" t="n">
        <v>2530</v>
      </c>
      <c r="H349" t="inlineStr">
        <is>
          <t>2026-05-11</t>
        </is>
      </c>
      <c r="I349">
        <f>IF(MONTH(E349)&lt;=6,"Q1","Q2")</f>
        <v/>
      </c>
      <c r="J349">
        <f>YEAR(E349)*100+MONTH(E349)</f>
        <v/>
      </c>
      <c r="K349">
        <f>IF(COUNTIF($A$2:A349,A349)=1,1,0)</f>
        <v/>
      </c>
      <c r="L349">
        <f>IF(K349=1,IF(COUNTIFS($B$2:B349,B349,$I$2:I349,I349,$K$2:K349,1)=1,1,0),0)</f>
        <v/>
      </c>
      <c r="M349">
        <f>IF(Tree!$C$4="once per order",F349*K349,F349)</f>
        <v/>
      </c>
      <c r="N349">
        <f>IF(Tree!$C$4="once per order",K349,1)</f>
        <v/>
      </c>
      <c r="O349">
        <f>IF(Tree!$C$4="once per order",L349,1)</f>
        <v/>
      </c>
    </row>
    <row r="350">
      <c r="A350" t="inlineStr">
        <is>
          <t>KR-00205</t>
        </is>
      </c>
      <c r="B350" t="inlineStr">
        <is>
          <t>C-0152</t>
        </is>
      </c>
      <c r="C350" t="inlineStr">
        <is>
          <t>Retail-Plus</t>
        </is>
      </c>
      <c r="D350" t="inlineStr">
        <is>
          <t>store</t>
        </is>
      </c>
      <c r="E350" s="7" t="n">
        <v>46185</v>
      </c>
      <c r="F350" t="n">
        <v>3650</v>
      </c>
      <c r="G350" t="n">
        <v>2190</v>
      </c>
      <c r="H350" t="inlineStr">
        <is>
          <t>2026-06-14</t>
        </is>
      </c>
      <c r="I350">
        <f>IF(MONTH(E350)&lt;=6,"Q1","Q2")</f>
        <v/>
      </c>
      <c r="J350">
        <f>YEAR(E350)*100+MONTH(E350)</f>
        <v/>
      </c>
      <c r="K350">
        <f>IF(COUNTIF($A$2:A350,A350)=1,1,0)</f>
        <v/>
      </c>
      <c r="L350">
        <f>IF(K350=1,IF(COUNTIFS($B$2:B350,B350,$I$2:I350,I350,$K$2:K350,1)=1,1,0),0)</f>
        <v/>
      </c>
      <c r="M350">
        <f>IF(Tree!$C$4="once per order",F350*K350,F350)</f>
        <v/>
      </c>
      <c r="N350">
        <f>IF(Tree!$C$4="once per order",K350,1)</f>
        <v/>
      </c>
      <c r="O350">
        <f>IF(Tree!$C$4="once per order",L350,1)</f>
        <v/>
      </c>
    </row>
    <row r="351">
      <c r="A351" t="inlineStr">
        <is>
          <t>KR-00205</t>
        </is>
      </c>
      <c r="B351" t="inlineStr">
        <is>
          <t>C-0152</t>
        </is>
      </c>
      <c r="C351" t="inlineStr">
        <is>
          <t>Retail-Plus</t>
        </is>
      </c>
      <c r="D351" t="inlineStr">
        <is>
          <t>store</t>
        </is>
      </c>
      <c r="E351" s="7" t="n">
        <v>46185</v>
      </c>
      <c r="F351" t="n">
        <v>3650</v>
      </c>
      <c r="G351" t="n">
        <v>1460</v>
      </c>
      <c r="H351" t="inlineStr">
        <is>
          <t>2026-06-14</t>
        </is>
      </c>
      <c r="I351">
        <f>IF(MONTH(E351)&lt;=6,"Q1","Q2")</f>
        <v/>
      </c>
      <c r="J351">
        <f>YEAR(E351)*100+MONTH(E351)</f>
        <v/>
      </c>
      <c r="K351">
        <f>IF(COUNTIF($A$2:A351,A351)=1,1,0)</f>
        <v/>
      </c>
      <c r="L351">
        <f>IF(K351=1,IF(COUNTIFS($B$2:B351,B351,$I$2:I351,I351,$K$2:K351,1)=1,1,0),0)</f>
        <v/>
      </c>
      <c r="M351">
        <f>IF(Tree!$C$4="once per order",F351*K351,F351)</f>
        <v/>
      </c>
      <c r="N351">
        <f>IF(Tree!$C$4="once per order",K351,1)</f>
        <v/>
      </c>
      <c r="O351">
        <f>IF(Tree!$C$4="once per order",L351,1)</f>
        <v/>
      </c>
    </row>
    <row r="352">
      <c r="A352" t="inlineStr">
        <is>
          <t>KR-00206</t>
        </is>
      </c>
      <c r="B352" t="inlineStr">
        <is>
          <t>C-0173</t>
        </is>
      </c>
      <c r="C352" t="inlineStr">
        <is>
          <t>Retail-Plus</t>
        </is>
      </c>
      <c r="D352" t="inlineStr">
        <is>
          <t>web</t>
        </is>
      </c>
      <c r="E352" s="7" t="n">
        <v>46115</v>
      </c>
      <c r="F352" t="n">
        <v>3860</v>
      </c>
      <c r="G352" t="n">
        <v>2316</v>
      </c>
      <c r="H352" t="inlineStr">
        <is>
          <t>2026-04-05</t>
        </is>
      </c>
      <c r="I352">
        <f>IF(MONTH(E352)&lt;=6,"Q1","Q2")</f>
        <v/>
      </c>
      <c r="J352">
        <f>YEAR(E352)*100+MONTH(E352)</f>
        <v/>
      </c>
      <c r="K352">
        <f>IF(COUNTIF($A$2:A352,A352)=1,1,0)</f>
        <v/>
      </c>
      <c r="L352">
        <f>IF(K352=1,IF(COUNTIFS($B$2:B352,B352,$I$2:I352,I352,$K$2:K352,1)=1,1,0),0)</f>
        <v/>
      </c>
      <c r="M352">
        <f>IF(Tree!$C$4="once per order",F352*K352,F352)</f>
        <v/>
      </c>
      <c r="N352">
        <f>IF(Tree!$C$4="once per order",K352,1)</f>
        <v/>
      </c>
      <c r="O352">
        <f>IF(Tree!$C$4="once per order",L352,1)</f>
        <v/>
      </c>
    </row>
    <row r="353">
      <c r="A353" t="inlineStr">
        <is>
          <t>KR-00206</t>
        </is>
      </c>
      <c r="B353" t="inlineStr">
        <is>
          <t>C-0173</t>
        </is>
      </c>
      <c r="C353" t="inlineStr">
        <is>
          <t>Retail-Plus</t>
        </is>
      </c>
      <c r="D353" t="inlineStr">
        <is>
          <t>web</t>
        </is>
      </c>
      <c r="E353" s="7" t="n">
        <v>46115</v>
      </c>
      <c r="F353" t="n">
        <v>3860</v>
      </c>
      <c r="G353" t="n">
        <v>1544</v>
      </c>
      <c r="H353" t="inlineStr">
        <is>
          <t>2026-04-05</t>
        </is>
      </c>
      <c r="I353">
        <f>IF(MONTH(E353)&lt;=6,"Q1","Q2")</f>
        <v/>
      </c>
      <c r="J353">
        <f>YEAR(E353)*100+MONTH(E353)</f>
        <v/>
      </c>
      <c r="K353">
        <f>IF(COUNTIF($A$2:A353,A353)=1,1,0)</f>
        <v/>
      </c>
      <c r="L353">
        <f>IF(K353=1,IF(COUNTIFS($B$2:B353,B353,$I$2:I353,I353,$K$2:K353,1)=1,1,0),0)</f>
        <v/>
      </c>
      <c r="M353">
        <f>IF(Tree!$C$4="once per order",F353*K353,F353)</f>
        <v/>
      </c>
      <c r="N353">
        <f>IF(Tree!$C$4="once per order",K353,1)</f>
        <v/>
      </c>
      <c r="O353">
        <f>IF(Tree!$C$4="once per order",L353,1)</f>
        <v/>
      </c>
    </row>
    <row r="354">
      <c r="A354" t="inlineStr">
        <is>
          <t>KR-00207</t>
        </is>
      </c>
      <c r="B354" t="inlineStr">
        <is>
          <t>C-0187</t>
        </is>
      </c>
      <c r="C354" t="inlineStr">
        <is>
          <t>Retail-Plus</t>
        </is>
      </c>
      <c r="D354" t="inlineStr">
        <is>
          <t>web</t>
        </is>
      </c>
      <c r="E354" s="7" t="n">
        <v>46166</v>
      </c>
      <c r="F354" t="n">
        <v>1300</v>
      </c>
      <c r="G354" t="n">
        <v>1300</v>
      </c>
      <c r="H354" t="inlineStr">
        <is>
          <t>2026-05-26</t>
        </is>
      </c>
      <c r="I354">
        <f>IF(MONTH(E354)&lt;=6,"Q1","Q2")</f>
        <v/>
      </c>
      <c r="J354">
        <f>YEAR(E354)*100+MONTH(E354)</f>
        <v/>
      </c>
      <c r="K354">
        <f>IF(COUNTIF($A$2:A354,A354)=1,1,0)</f>
        <v/>
      </c>
      <c r="L354">
        <f>IF(K354=1,IF(COUNTIFS($B$2:B354,B354,$I$2:I354,I354,$K$2:K354,1)=1,1,0),0)</f>
        <v/>
      </c>
      <c r="M354">
        <f>IF(Tree!$C$4="once per order",F354*K354,F354)</f>
        <v/>
      </c>
      <c r="N354">
        <f>IF(Tree!$C$4="once per order",K354,1)</f>
        <v/>
      </c>
      <c r="O354">
        <f>IF(Tree!$C$4="once per order",L354,1)</f>
        <v/>
      </c>
    </row>
    <row r="355">
      <c r="A355" t="inlineStr">
        <is>
          <t>KR-00208</t>
        </is>
      </c>
      <c r="B355" t="inlineStr">
        <is>
          <t>C-0219</t>
        </is>
      </c>
      <c r="C355" t="inlineStr">
        <is>
          <t>Retail-Plus</t>
        </is>
      </c>
      <c r="D355" t="inlineStr">
        <is>
          <t>app</t>
        </is>
      </c>
      <c r="E355" s="7" t="n">
        <v>46181</v>
      </c>
      <c r="F355" t="n">
        <v>1550</v>
      </c>
      <c r="G355" t="n">
        <v>1550</v>
      </c>
      <c r="H355" t="inlineStr">
        <is>
          <t>2026-06-10</t>
        </is>
      </c>
      <c r="I355">
        <f>IF(MONTH(E355)&lt;=6,"Q1","Q2")</f>
        <v/>
      </c>
      <c r="J355">
        <f>YEAR(E355)*100+MONTH(E355)</f>
        <v/>
      </c>
      <c r="K355">
        <f>IF(COUNTIF($A$2:A355,A355)=1,1,0)</f>
        <v/>
      </c>
      <c r="L355">
        <f>IF(K355=1,IF(COUNTIFS($B$2:B355,B355,$I$2:I355,I355,$K$2:K355,1)=1,1,0),0)</f>
        <v/>
      </c>
      <c r="M355">
        <f>IF(Tree!$C$4="once per order",F355*K355,F355)</f>
        <v/>
      </c>
      <c r="N355">
        <f>IF(Tree!$C$4="once per order",K355,1)</f>
        <v/>
      </c>
      <c r="O355">
        <f>IF(Tree!$C$4="once per order",L355,1)</f>
        <v/>
      </c>
    </row>
    <row r="356">
      <c r="A356" t="inlineStr">
        <is>
          <t>KR-00209</t>
        </is>
      </c>
      <c r="B356" t="inlineStr">
        <is>
          <t>C-0232</t>
        </is>
      </c>
      <c r="C356" t="inlineStr">
        <is>
          <t>Retail-Plus</t>
        </is>
      </c>
      <c r="D356" t="inlineStr">
        <is>
          <t>store</t>
        </is>
      </c>
      <c r="E356" s="7" t="n">
        <v>46127</v>
      </c>
      <c r="F356" t="n">
        <v>2690</v>
      </c>
      <c r="G356" t="n">
        <v>2690</v>
      </c>
      <c r="H356" t="inlineStr">
        <is>
          <t>2026-04-17</t>
        </is>
      </c>
      <c r="I356">
        <f>IF(MONTH(E356)&lt;=6,"Q1","Q2")</f>
        <v/>
      </c>
      <c r="J356">
        <f>YEAR(E356)*100+MONTH(E356)</f>
        <v/>
      </c>
      <c r="K356">
        <f>IF(COUNTIF($A$2:A356,A356)=1,1,0)</f>
        <v/>
      </c>
      <c r="L356">
        <f>IF(K356=1,IF(COUNTIFS($B$2:B356,B356,$I$2:I356,I356,$K$2:K356,1)=1,1,0),0)</f>
        <v/>
      </c>
      <c r="M356">
        <f>IF(Tree!$C$4="once per order",F356*K356,F356)</f>
        <v/>
      </c>
      <c r="N356">
        <f>IF(Tree!$C$4="once per order",K356,1)</f>
        <v/>
      </c>
      <c r="O356">
        <f>IF(Tree!$C$4="once per order",L356,1)</f>
        <v/>
      </c>
    </row>
    <row r="357">
      <c r="A357" t="inlineStr">
        <is>
          <t>KR-00210</t>
        </is>
      </c>
      <c r="B357" t="inlineStr">
        <is>
          <t>C-0239</t>
        </is>
      </c>
      <c r="C357" t="inlineStr">
        <is>
          <t>Retail-Plus</t>
        </is>
      </c>
      <c r="D357" t="inlineStr">
        <is>
          <t>store</t>
        </is>
      </c>
      <c r="E357" s="7" t="n">
        <v>46168</v>
      </c>
      <c r="F357" t="n">
        <v>1610</v>
      </c>
      <c r="G357" t="n">
        <v>1610</v>
      </c>
      <c r="H357" t="inlineStr">
        <is>
          <t>2026-05-28</t>
        </is>
      </c>
      <c r="I357">
        <f>IF(MONTH(E357)&lt;=6,"Q1","Q2")</f>
        <v/>
      </c>
      <c r="J357">
        <f>YEAR(E357)*100+MONTH(E357)</f>
        <v/>
      </c>
      <c r="K357">
        <f>IF(COUNTIF($A$2:A357,A357)=1,1,0)</f>
        <v/>
      </c>
      <c r="L357">
        <f>IF(K357=1,IF(COUNTIFS($B$2:B357,B357,$I$2:I357,I357,$K$2:K357,1)=1,1,0),0)</f>
        <v/>
      </c>
      <c r="M357">
        <f>IF(Tree!$C$4="once per order",F357*K357,F357)</f>
        <v/>
      </c>
      <c r="N357">
        <f>IF(Tree!$C$4="once per order",K357,1)</f>
        <v/>
      </c>
      <c r="O357">
        <f>IF(Tree!$C$4="once per order",L357,1)</f>
        <v/>
      </c>
    </row>
    <row r="358">
      <c r="A358" t="inlineStr">
        <is>
          <t>KR-00211</t>
        </is>
      </c>
      <c r="B358" t="inlineStr">
        <is>
          <t>C-0254</t>
        </is>
      </c>
      <c r="C358" t="inlineStr">
        <is>
          <t>Retail-Plus</t>
        </is>
      </c>
      <c r="D358" t="inlineStr">
        <is>
          <t>web</t>
        </is>
      </c>
      <c r="E358" s="7" t="n">
        <v>46189</v>
      </c>
      <c r="F358" t="n">
        <v>1620</v>
      </c>
      <c r="G358" t="n">
        <v>1620</v>
      </c>
      <c r="H358" t="inlineStr">
        <is>
          <t>2026-06-18</t>
        </is>
      </c>
      <c r="I358">
        <f>IF(MONTH(E358)&lt;=6,"Q1","Q2")</f>
        <v/>
      </c>
      <c r="J358">
        <f>YEAR(E358)*100+MONTH(E358)</f>
        <v/>
      </c>
      <c r="K358">
        <f>IF(COUNTIF($A$2:A358,A358)=1,1,0)</f>
        <v/>
      </c>
      <c r="L358">
        <f>IF(K358=1,IF(COUNTIFS($B$2:B358,B358,$I$2:I358,I358,$K$2:K358,1)=1,1,0),0)</f>
        <v/>
      </c>
      <c r="M358">
        <f>IF(Tree!$C$4="once per order",F358*K358,F358)</f>
        <v/>
      </c>
      <c r="N358">
        <f>IF(Tree!$C$4="once per order",K358,1)</f>
        <v/>
      </c>
      <c r="O358">
        <f>IF(Tree!$C$4="once per order",L358,1)</f>
        <v/>
      </c>
    </row>
    <row r="359">
      <c r="A359" t="inlineStr">
        <is>
          <t>KR-00212</t>
        </is>
      </c>
      <c r="B359" t="inlineStr">
        <is>
          <t>C-0180</t>
        </is>
      </c>
      <c r="C359" t="inlineStr">
        <is>
          <t>Retail-Plus</t>
        </is>
      </c>
      <c r="D359" t="inlineStr">
        <is>
          <t>store</t>
        </is>
      </c>
      <c r="E359" s="7" t="n">
        <v>46128</v>
      </c>
      <c r="F359" t="n">
        <v>4100</v>
      </c>
      <c r="G359" t="n">
        <v>2460</v>
      </c>
      <c r="H359" t="inlineStr">
        <is>
          <t>2026-04-18</t>
        </is>
      </c>
      <c r="I359">
        <f>IF(MONTH(E359)&lt;=6,"Q1","Q2")</f>
        <v/>
      </c>
      <c r="J359">
        <f>YEAR(E359)*100+MONTH(E359)</f>
        <v/>
      </c>
      <c r="K359">
        <f>IF(COUNTIF($A$2:A359,A359)=1,1,0)</f>
        <v/>
      </c>
      <c r="L359">
        <f>IF(K359=1,IF(COUNTIFS($B$2:B359,B359,$I$2:I359,I359,$K$2:K359,1)=1,1,0),0)</f>
        <v/>
      </c>
      <c r="M359">
        <f>IF(Tree!$C$4="once per order",F359*K359,F359)</f>
        <v/>
      </c>
      <c r="N359">
        <f>IF(Tree!$C$4="once per order",K359,1)</f>
        <v/>
      </c>
      <c r="O359">
        <f>IF(Tree!$C$4="once per order",L359,1)</f>
        <v/>
      </c>
    </row>
    <row r="360">
      <c r="A360" t="inlineStr">
        <is>
          <t>KR-00212</t>
        </is>
      </c>
      <c r="B360" t="inlineStr">
        <is>
          <t>C-0180</t>
        </is>
      </c>
      <c r="C360" t="inlineStr">
        <is>
          <t>Retail-Plus</t>
        </is>
      </c>
      <c r="D360" t="inlineStr">
        <is>
          <t>store</t>
        </is>
      </c>
      <c r="E360" s="7" t="n">
        <v>46128</v>
      </c>
      <c r="F360" t="n">
        <v>4100</v>
      </c>
      <c r="G360" t="n">
        <v>1640</v>
      </c>
      <c r="H360" t="inlineStr">
        <is>
          <t>2026-04-18</t>
        </is>
      </c>
      <c r="I360">
        <f>IF(MONTH(E360)&lt;=6,"Q1","Q2")</f>
        <v/>
      </c>
      <c r="J360">
        <f>YEAR(E360)*100+MONTH(E360)</f>
        <v/>
      </c>
      <c r="K360">
        <f>IF(COUNTIF($A$2:A360,A360)=1,1,0)</f>
        <v/>
      </c>
      <c r="L360">
        <f>IF(K360=1,IF(COUNTIFS($B$2:B360,B360,$I$2:I360,I360,$K$2:K360,1)=1,1,0),0)</f>
        <v/>
      </c>
      <c r="M360">
        <f>IF(Tree!$C$4="once per order",F360*K360,F360)</f>
        <v/>
      </c>
      <c r="N360">
        <f>IF(Tree!$C$4="once per order",K360,1)</f>
        <v/>
      </c>
      <c r="O360">
        <f>IF(Tree!$C$4="once per order",L360,1)</f>
        <v/>
      </c>
    </row>
    <row r="361">
      <c r="A361" t="inlineStr">
        <is>
          <t>KR-00213</t>
        </is>
      </c>
      <c r="B361" t="inlineStr">
        <is>
          <t>C-0165</t>
        </is>
      </c>
      <c r="C361" t="inlineStr">
        <is>
          <t>Retail-Plus</t>
        </is>
      </c>
      <c r="D361" t="inlineStr">
        <is>
          <t>web</t>
        </is>
      </c>
      <c r="E361" s="7" t="n">
        <v>46152</v>
      </c>
      <c r="F361" t="n">
        <v>2040</v>
      </c>
      <c r="G361" t="n">
        <v>2040</v>
      </c>
      <c r="H361" t="inlineStr">
        <is>
          <t>2026-05-12</t>
        </is>
      </c>
      <c r="I361">
        <f>IF(MONTH(E361)&lt;=6,"Q1","Q2")</f>
        <v/>
      </c>
      <c r="J361">
        <f>YEAR(E361)*100+MONTH(E361)</f>
        <v/>
      </c>
      <c r="K361">
        <f>IF(COUNTIF($A$2:A361,A361)=1,1,0)</f>
        <v/>
      </c>
      <c r="L361">
        <f>IF(K361=1,IF(COUNTIFS($B$2:B361,B361,$I$2:I361,I361,$K$2:K361,1)=1,1,0),0)</f>
        <v/>
      </c>
      <c r="M361">
        <f>IF(Tree!$C$4="once per order",F361*K361,F361)</f>
        <v/>
      </c>
      <c r="N361">
        <f>IF(Tree!$C$4="once per order",K361,1)</f>
        <v/>
      </c>
      <c r="O361">
        <f>IF(Tree!$C$4="once per order",L361,1)</f>
        <v/>
      </c>
    </row>
    <row r="362">
      <c r="A362" t="inlineStr">
        <is>
          <t>KR-00214</t>
        </is>
      </c>
      <c r="B362" t="inlineStr">
        <is>
          <t>C-0160</t>
        </is>
      </c>
      <c r="C362" t="inlineStr">
        <is>
          <t>Retail-Plus</t>
        </is>
      </c>
      <c r="D362" t="inlineStr">
        <is>
          <t>web</t>
        </is>
      </c>
      <c r="E362" s="7" t="n">
        <v>46180</v>
      </c>
      <c r="F362" t="n">
        <v>2770</v>
      </c>
      <c r="G362" t="n">
        <v>2770</v>
      </c>
      <c r="H362" t="inlineStr">
        <is>
          <t>2026-06-09</t>
        </is>
      </c>
      <c r="I362">
        <f>IF(MONTH(E362)&lt;=6,"Q1","Q2")</f>
        <v/>
      </c>
      <c r="J362">
        <f>YEAR(E362)*100+MONTH(E362)</f>
        <v/>
      </c>
      <c r="K362">
        <f>IF(COUNTIF($A$2:A362,A362)=1,1,0)</f>
        <v/>
      </c>
      <c r="L362">
        <f>IF(K362=1,IF(COUNTIFS($B$2:B362,B362,$I$2:I362,I362,$K$2:K362,1)=1,1,0),0)</f>
        <v/>
      </c>
      <c r="M362">
        <f>IF(Tree!$C$4="once per order",F362*K362,F362)</f>
        <v/>
      </c>
      <c r="N362">
        <f>IF(Tree!$C$4="once per order",K362,1)</f>
        <v/>
      </c>
      <c r="O362">
        <f>IF(Tree!$C$4="once per order",L362,1)</f>
        <v/>
      </c>
    </row>
    <row r="363">
      <c r="A363" t="inlineStr">
        <is>
          <t>KR-00215</t>
        </is>
      </c>
      <c r="B363" t="inlineStr">
        <is>
          <t>C-0153</t>
        </is>
      </c>
      <c r="C363" t="inlineStr">
        <is>
          <t>Retail-Plus</t>
        </is>
      </c>
      <c r="D363" t="inlineStr">
        <is>
          <t>store</t>
        </is>
      </c>
      <c r="E363" s="7" t="n">
        <v>46139</v>
      </c>
      <c r="F363" t="n">
        <v>4300</v>
      </c>
      <c r="G363" t="n">
        <v>2580</v>
      </c>
      <c r="H363" t="inlineStr">
        <is>
          <t>2026-04-28</t>
        </is>
      </c>
      <c r="I363">
        <f>IF(MONTH(E363)&lt;=6,"Q1","Q2")</f>
        <v/>
      </c>
      <c r="J363">
        <f>YEAR(E363)*100+MONTH(E363)</f>
        <v/>
      </c>
      <c r="K363">
        <f>IF(COUNTIF($A$2:A363,A363)=1,1,0)</f>
        <v/>
      </c>
      <c r="L363">
        <f>IF(K363=1,IF(COUNTIFS($B$2:B363,B363,$I$2:I363,I363,$K$2:K363,1)=1,1,0),0)</f>
        <v/>
      </c>
      <c r="M363">
        <f>IF(Tree!$C$4="once per order",F363*K363,F363)</f>
        <v/>
      </c>
      <c r="N363">
        <f>IF(Tree!$C$4="once per order",K363,1)</f>
        <v/>
      </c>
      <c r="O363">
        <f>IF(Tree!$C$4="once per order",L363,1)</f>
        <v/>
      </c>
    </row>
    <row r="364">
      <c r="A364" t="inlineStr">
        <is>
          <t>KR-00215</t>
        </is>
      </c>
      <c r="B364" t="inlineStr">
        <is>
          <t>C-0153</t>
        </is>
      </c>
      <c r="C364" t="inlineStr">
        <is>
          <t>Retail-Plus</t>
        </is>
      </c>
      <c r="D364" t="inlineStr">
        <is>
          <t>store</t>
        </is>
      </c>
      <c r="E364" s="7" t="n">
        <v>46139</v>
      </c>
      <c r="F364" t="n">
        <v>4300</v>
      </c>
      <c r="G364" t="n">
        <v>1720</v>
      </c>
      <c r="H364" t="inlineStr">
        <is>
          <t>2026-04-28</t>
        </is>
      </c>
      <c r="I364">
        <f>IF(MONTH(E364)&lt;=6,"Q1","Q2")</f>
        <v/>
      </c>
      <c r="J364">
        <f>YEAR(E364)*100+MONTH(E364)</f>
        <v/>
      </c>
      <c r="K364">
        <f>IF(COUNTIF($A$2:A364,A364)=1,1,0)</f>
        <v/>
      </c>
      <c r="L364">
        <f>IF(K364=1,IF(COUNTIFS($B$2:B364,B364,$I$2:I364,I364,$K$2:K364,1)=1,1,0),0)</f>
        <v/>
      </c>
      <c r="M364">
        <f>IF(Tree!$C$4="once per order",F364*K364,F364)</f>
        <v/>
      </c>
      <c r="N364">
        <f>IF(Tree!$C$4="once per order",K364,1)</f>
        <v/>
      </c>
      <c r="O364">
        <f>IF(Tree!$C$4="once per order",L364,1)</f>
        <v/>
      </c>
    </row>
    <row r="365">
      <c r="A365" t="inlineStr">
        <is>
          <t>KR-00216</t>
        </is>
      </c>
      <c r="B365" t="inlineStr">
        <is>
          <t>C-0210</t>
        </is>
      </c>
      <c r="C365" t="inlineStr">
        <is>
          <t>Retail-Plus</t>
        </is>
      </c>
      <c r="D365" t="inlineStr">
        <is>
          <t>web</t>
        </is>
      </c>
      <c r="E365" s="7" t="n">
        <v>46158</v>
      </c>
      <c r="F365" t="n">
        <v>2350</v>
      </c>
      <c r="G365" t="n">
        <v>2350</v>
      </c>
      <c r="H365" t="inlineStr">
        <is>
          <t>2026-05-18</t>
        </is>
      </c>
      <c r="I365">
        <f>IF(MONTH(E365)&lt;=6,"Q1","Q2")</f>
        <v/>
      </c>
      <c r="J365">
        <f>YEAR(E365)*100+MONTH(E365)</f>
        <v/>
      </c>
      <c r="K365">
        <f>IF(COUNTIF($A$2:A365,A365)=1,1,0)</f>
        <v/>
      </c>
      <c r="L365">
        <f>IF(K365=1,IF(COUNTIFS($B$2:B365,B365,$I$2:I365,I365,$K$2:K365,1)=1,1,0),0)</f>
        <v/>
      </c>
      <c r="M365">
        <f>IF(Tree!$C$4="once per order",F365*K365,F365)</f>
        <v/>
      </c>
      <c r="N365">
        <f>IF(Tree!$C$4="once per order",K365,1)</f>
        <v/>
      </c>
      <c r="O365">
        <f>IF(Tree!$C$4="once per order",L365,1)</f>
        <v/>
      </c>
    </row>
    <row r="366">
      <c r="A366" t="inlineStr">
        <is>
          <t>KR-00217</t>
        </is>
      </c>
      <c r="B366" t="inlineStr">
        <is>
          <t>C-0222</t>
        </is>
      </c>
      <c r="C366" t="inlineStr">
        <is>
          <t>Retail-Plus</t>
        </is>
      </c>
      <c r="D366" t="inlineStr">
        <is>
          <t>web</t>
        </is>
      </c>
      <c r="E366" s="7" t="n">
        <v>46191</v>
      </c>
      <c r="F366" t="n">
        <v>1920</v>
      </c>
      <c r="G366" t="n">
        <v>1920</v>
      </c>
      <c r="H366" t="inlineStr">
        <is>
          <t>2026-06-20</t>
        </is>
      </c>
      <c r="I366">
        <f>IF(MONTH(E366)&lt;=6,"Q1","Q2")</f>
        <v/>
      </c>
      <c r="J366">
        <f>YEAR(E366)*100+MONTH(E366)</f>
        <v/>
      </c>
      <c r="K366">
        <f>IF(COUNTIF($A$2:A366,A366)=1,1,0)</f>
        <v/>
      </c>
      <c r="L366">
        <f>IF(K366=1,IF(COUNTIFS($B$2:B366,B366,$I$2:I366,I366,$K$2:K366,1)=1,1,0),0)</f>
        <v/>
      </c>
      <c r="M366">
        <f>IF(Tree!$C$4="once per order",F366*K366,F366)</f>
        <v/>
      </c>
      <c r="N366">
        <f>IF(Tree!$C$4="once per order",K366,1)</f>
        <v/>
      </c>
      <c r="O366">
        <f>IF(Tree!$C$4="once per order",L366,1)</f>
        <v/>
      </c>
    </row>
    <row r="367">
      <c r="A367" t="inlineStr">
        <is>
          <t>KR-00218</t>
        </is>
      </c>
      <c r="B367" t="inlineStr">
        <is>
          <t>C-0235</t>
        </is>
      </c>
      <c r="C367" t="inlineStr">
        <is>
          <t>Retail-Plus</t>
        </is>
      </c>
      <c r="D367" t="inlineStr">
        <is>
          <t>app</t>
        </is>
      </c>
      <c r="E367" s="7" t="n">
        <v>46125</v>
      </c>
      <c r="F367" t="n">
        <v>3270</v>
      </c>
      <c r="G367" t="n">
        <v>1962</v>
      </c>
      <c r="H367" t="inlineStr">
        <is>
          <t>2026-04-15</t>
        </is>
      </c>
      <c r="I367">
        <f>IF(MONTH(E367)&lt;=6,"Q1","Q2")</f>
        <v/>
      </c>
      <c r="J367">
        <f>YEAR(E367)*100+MONTH(E367)</f>
        <v/>
      </c>
      <c r="K367">
        <f>IF(COUNTIF($A$2:A367,A367)=1,1,0)</f>
        <v/>
      </c>
      <c r="L367">
        <f>IF(K367=1,IF(COUNTIFS($B$2:B367,B367,$I$2:I367,I367,$K$2:K367,1)=1,1,0),0)</f>
        <v/>
      </c>
      <c r="M367">
        <f>IF(Tree!$C$4="once per order",F367*K367,F367)</f>
        <v/>
      </c>
      <c r="N367">
        <f>IF(Tree!$C$4="once per order",K367,1)</f>
        <v/>
      </c>
      <c r="O367">
        <f>IF(Tree!$C$4="once per order",L367,1)</f>
        <v/>
      </c>
    </row>
    <row r="368">
      <c r="A368" t="inlineStr">
        <is>
          <t>KR-00218</t>
        </is>
      </c>
      <c r="B368" t="inlineStr">
        <is>
          <t>C-0235</t>
        </is>
      </c>
      <c r="C368" t="inlineStr">
        <is>
          <t>Retail-Plus</t>
        </is>
      </c>
      <c r="D368" t="inlineStr">
        <is>
          <t>app</t>
        </is>
      </c>
      <c r="E368" s="7" t="n">
        <v>46125</v>
      </c>
      <c r="F368" t="n">
        <v>3270</v>
      </c>
      <c r="G368" t="n">
        <v>1308</v>
      </c>
      <c r="H368" t="inlineStr">
        <is>
          <t>2026-04-15</t>
        </is>
      </c>
      <c r="I368">
        <f>IF(MONTH(E368)&lt;=6,"Q1","Q2")</f>
        <v/>
      </c>
      <c r="J368">
        <f>YEAR(E368)*100+MONTH(E368)</f>
        <v/>
      </c>
      <c r="K368">
        <f>IF(COUNTIF($A$2:A368,A368)=1,1,0)</f>
        <v/>
      </c>
      <c r="L368">
        <f>IF(K368=1,IF(COUNTIFS($B$2:B368,B368,$I$2:I368,I368,$K$2:K368,1)=1,1,0),0)</f>
        <v/>
      </c>
      <c r="M368">
        <f>IF(Tree!$C$4="once per order",F368*K368,F368)</f>
        <v/>
      </c>
      <c r="N368">
        <f>IF(Tree!$C$4="once per order",K368,1)</f>
        <v/>
      </c>
      <c r="O368">
        <f>IF(Tree!$C$4="once per order",L368,1)</f>
        <v/>
      </c>
    </row>
    <row r="369">
      <c r="A369" t="inlineStr">
        <is>
          <t>KR-00219</t>
        </is>
      </c>
      <c r="B369" t="inlineStr">
        <is>
          <t>C-0179</t>
        </is>
      </c>
      <c r="C369" t="inlineStr">
        <is>
          <t>Retail-Plus</t>
        </is>
      </c>
      <c r="D369" t="inlineStr">
        <is>
          <t>store</t>
        </is>
      </c>
      <c r="E369" s="7" t="n">
        <v>46170</v>
      </c>
      <c r="F369" t="n">
        <v>2870</v>
      </c>
      <c r="G369" t="n">
        <v>1722</v>
      </c>
      <c r="H369" t="inlineStr">
        <is>
          <t>2026-05-28</t>
        </is>
      </c>
      <c r="I369">
        <f>IF(MONTH(E369)&lt;=6,"Q1","Q2")</f>
        <v/>
      </c>
      <c r="J369">
        <f>YEAR(E369)*100+MONTH(E369)</f>
        <v/>
      </c>
      <c r="K369">
        <f>IF(COUNTIF($A$2:A369,A369)=1,1,0)</f>
        <v/>
      </c>
      <c r="L369">
        <f>IF(K369=1,IF(COUNTIFS($B$2:B369,B369,$I$2:I369,I369,$K$2:K369,1)=1,1,0),0)</f>
        <v/>
      </c>
      <c r="M369">
        <f>IF(Tree!$C$4="once per order",F369*K369,F369)</f>
        <v/>
      </c>
      <c r="N369">
        <f>IF(Tree!$C$4="once per order",K369,1)</f>
        <v/>
      </c>
      <c r="O369">
        <f>IF(Tree!$C$4="once per order",L369,1)</f>
        <v/>
      </c>
    </row>
    <row r="370">
      <c r="A370" t="inlineStr">
        <is>
          <t>KR-00219</t>
        </is>
      </c>
      <c r="B370" t="inlineStr">
        <is>
          <t>C-0179</t>
        </is>
      </c>
      <c r="C370" t="inlineStr">
        <is>
          <t>Retail-Plus</t>
        </is>
      </c>
      <c r="D370" t="inlineStr">
        <is>
          <t>store</t>
        </is>
      </c>
      <c r="E370" s="7" t="n">
        <v>46170</v>
      </c>
      <c r="F370" t="n">
        <v>2870</v>
      </c>
      <c r="G370" t="n">
        <v>1148</v>
      </c>
      <c r="H370" t="inlineStr">
        <is>
          <t>2026-05-28</t>
        </is>
      </c>
      <c r="I370">
        <f>IF(MONTH(E370)&lt;=6,"Q1","Q2")</f>
        <v/>
      </c>
      <c r="J370">
        <f>YEAR(E370)*100+MONTH(E370)</f>
        <v/>
      </c>
      <c r="K370">
        <f>IF(COUNTIF($A$2:A370,A370)=1,1,0)</f>
        <v/>
      </c>
      <c r="L370">
        <f>IF(K370=1,IF(COUNTIFS($B$2:B370,B370,$I$2:I370,I370,$K$2:K370,1)=1,1,0),0)</f>
        <v/>
      </c>
      <c r="M370">
        <f>IF(Tree!$C$4="once per order",F370*K370,F370)</f>
        <v/>
      </c>
      <c r="N370">
        <f>IF(Tree!$C$4="once per order",K370,1)</f>
        <v/>
      </c>
      <c r="O370">
        <f>IF(Tree!$C$4="once per order",L370,1)</f>
        <v/>
      </c>
    </row>
    <row r="371">
      <c r="A371" t="inlineStr">
        <is>
          <t>KR-00220</t>
        </is>
      </c>
      <c r="B371" t="inlineStr">
        <is>
          <t>C-0219</t>
        </is>
      </c>
      <c r="C371" t="inlineStr">
        <is>
          <t>Retail-Plus</t>
        </is>
      </c>
      <c r="D371" t="inlineStr">
        <is>
          <t>app</t>
        </is>
      </c>
      <c r="E371" s="7" t="n">
        <v>46178</v>
      </c>
      <c r="F371" t="n">
        <v>3760</v>
      </c>
      <c r="G371" t="n">
        <v>2256</v>
      </c>
      <c r="H371" t="inlineStr">
        <is>
          <t>2026-06-07</t>
        </is>
      </c>
      <c r="I371">
        <f>IF(MONTH(E371)&lt;=6,"Q1","Q2")</f>
        <v/>
      </c>
      <c r="J371">
        <f>YEAR(E371)*100+MONTH(E371)</f>
        <v/>
      </c>
      <c r="K371">
        <f>IF(COUNTIF($A$2:A371,A371)=1,1,0)</f>
        <v/>
      </c>
      <c r="L371">
        <f>IF(K371=1,IF(COUNTIFS($B$2:B371,B371,$I$2:I371,I371,$K$2:K371,1)=1,1,0),0)</f>
        <v/>
      </c>
      <c r="M371">
        <f>IF(Tree!$C$4="once per order",F371*K371,F371)</f>
        <v/>
      </c>
      <c r="N371">
        <f>IF(Tree!$C$4="once per order",K371,1)</f>
        <v/>
      </c>
      <c r="O371">
        <f>IF(Tree!$C$4="once per order",L371,1)</f>
        <v/>
      </c>
    </row>
    <row r="372">
      <c r="A372" t="inlineStr">
        <is>
          <t>KR-00220</t>
        </is>
      </c>
      <c r="B372" t="inlineStr">
        <is>
          <t>C-0219</t>
        </is>
      </c>
      <c r="C372" t="inlineStr">
        <is>
          <t>Retail-Plus</t>
        </is>
      </c>
      <c r="D372" t="inlineStr">
        <is>
          <t>app</t>
        </is>
      </c>
      <c r="E372" s="7" t="n">
        <v>46178</v>
      </c>
      <c r="F372" t="n">
        <v>3760</v>
      </c>
      <c r="G372" t="n">
        <v>1504</v>
      </c>
      <c r="H372" t="inlineStr">
        <is>
          <t>2026-06-07</t>
        </is>
      </c>
      <c r="I372">
        <f>IF(MONTH(E372)&lt;=6,"Q1","Q2")</f>
        <v/>
      </c>
      <c r="J372">
        <f>YEAR(E372)*100+MONTH(E372)</f>
        <v/>
      </c>
      <c r="K372">
        <f>IF(COUNTIF($A$2:A372,A372)=1,1,0)</f>
        <v/>
      </c>
      <c r="L372">
        <f>IF(K372=1,IF(COUNTIFS($B$2:B372,B372,$I$2:I372,I372,$K$2:K372,1)=1,1,0),0)</f>
        <v/>
      </c>
      <c r="M372">
        <f>IF(Tree!$C$4="once per order",F372*K372,F372)</f>
        <v/>
      </c>
      <c r="N372">
        <f>IF(Tree!$C$4="once per order",K372,1)</f>
        <v/>
      </c>
      <c r="O372">
        <f>IF(Tree!$C$4="once per order",L372,1)</f>
        <v/>
      </c>
    </row>
    <row r="373">
      <c r="A373" t="inlineStr">
        <is>
          <t>KR-00221</t>
        </is>
      </c>
      <c r="B373" t="inlineStr">
        <is>
          <t>C-0230</t>
        </is>
      </c>
      <c r="C373" t="inlineStr">
        <is>
          <t>Retail-Plus</t>
        </is>
      </c>
      <c r="D373" t="inlineStr">
        <is>
          <t>web</t>
        </is>
      </c>
      <c r="E373" s="7" t="n">
        <v>46131</v>
      </c>
      <c r="F373" t="n">
        <v>2730</v>
      </c>
      <c r="G373" t="n">
        <v>2730</v>
      </c>
      <c r="H373" t="inlineStr">
        <is>
          <t>2026-04-21</t>
        </is>
      </c>
      <c r="I373">
        <f>IF(MONTH(E373)&lt;=6,"Q1","Q2")</f>
        <v/>
      </c>
      <c r="J373">
        <f>YEAR(E373)*100+MONTH(E373)</f>
        <v/>
      </c>
      <c r="K373">
        <f>IF(COUNTIF($A$2:A373,A373)=1,1,0)</f>
        <v/>
      </c>
      <c r="L373">
        <f>IF(K373=1,IF(COUNTIFS($B$2:B373,B373,$I$2:I373,I373,$K$2:K373,1)=1,1,0),0)</f>
        <v/>
      </c>
      <c r="M373">
        <f>IF(Tree!$C$4="once per order",F373*K373,F373)</f>
        <v/>
      </c>
      <c r="N373">
        <f>IF(Tree!$C$4="once per order",K373,1)</f>
        <v/>
      </c>
      <c r="O373">
        <f>IF(Tree!$C$4="once per order",L373,1)</f>
        <v/>
      </c>
    </row>
    <row r="374">
      <c r="A374" t="inlineStr">
        <is>
          <t>KR-00222</t>
        </is>
      </c>
      <c r="B374" t="inlineStr">
        <is>
          <t>C-0177</t>
        </is>
      </c>
      <c r="C374" t="inlineStr">
        <is>
          <t>Retail-Plus</t>
        </is>
      </c>
      <c r="D374" t="inlineStr">
        <is>
          <t>store</t>
        </is>
      </c>
      <c r="E374" s="7" t="n">
        <v>46160</v>
      </c>
      <c r="F374" t="n">
        <v>3640</v>
      </c>
      <c r="G374" t="n">
        <v>2184</v>
      </c>
      <c r="H374" t="inlineStr">
        <is>
          <t>2026-05-20</t>
        </is>
      </c>
      <c r="I374">
        <f>IF(MONTH(E374)&lt;=6,"Q1","Q2")</f>
        <v/>
      </c>
      <c r="J374">
        <f>YEAR(E374)*100+MONTH(E374)</f>
        <v/>
      </c>
      <c r="K374">
        <f>IF(COUNTIF($A$2:A374,A374)=1,1,0)</f>
        <v/>
      </c>
      <c r="L374">
        <f>IF(K374=1,IF(COUNTIFS($B$2:B374,B374,$I$2:I374,I374,$K$2:K374,1)=1,1,0),0)</f>
        <v/>
      </c>
      <c r="M374">
        <f>IF(Tree!$C$4="once per order",F374*K374,F374)</f>
        <v/>
      </c>
      <c r="N374">
        <f>IF(Tree!$C$4="once per order",K374,1)</f>
        <v/>
      </c>
      <c r="O374">
        <f>IF(Tree!$C$4="once per order",L374,1)</f>
        <v/>
      </c>
    </row>
    <row r="375">
      <c r="A375" t="inlineStr">
        <is>
          <t>KR-00222</t>
        </is>
      </c>
      <c r="B375" t="inlineStr">
        <is>
          <t>C-0177</t>
        </is>
      </c>
      <c r="C375" t="inlineStr">
        <is>
          <t>Retail-Plus</t>
        </is>
      </c>
      <c r="D375" t="inlineStr">
        <is>
          <t>store</t>
        </is>
      </c>
      <c r="E375" s="7" t="n">
        <v>46160</v>
      </c>
      <c r="F375" t="n">
        <v>3640</v>
      </c>
      <c r="G375" t="n">
        <v>1456</v>
      </c>
      <c r="H375" t="inlineStr">
        <is>
          <t>2026-05-20</t>
        </is>
      </c>
      <c r="I375">
        <f>IF(MONTH(E375)&lt;=6,"Q1","Q2")</f>
        <v/>
      </c>
      <c r="J375">
        <f>YEAR(E375)*100+MONTH(E375)</f>
        <v/>
      </c>
      <c r="K375">
        <f>IF(COUNTIF($A$2:A375,A375)=1,1,0)</f>
        <v/>
      </c>
      <c r="L375">
        <f>IF(K375=1,IF(COUNTIFS($B$2:B375,B375,$I$2:I375,I375,$K$2:K375,1)=1,1,0),0)</f>
        <v/>
      </c>
      <c r="M375">
        <f>IF(Tree!$C$4="once per order",F375*K375,F375)</f>
        <v/>
      </c>
      <c r="N375">
        <f>IF(Tree!$C$4="once per order",K375,1)</f>
        <v/>
      </c>
      <c r="O375">
        <f>IF(Tree!$C$4="once per order",L375,1)</f>
        <v/>
      </c>
    </row>
    <row r="376">
      <c r="A376" t="inlineStr">
        <is>
          <t>KR-00223</t>
        </is>
      </c>
      <c r="B376" t="inlineStr">
        <is>
          <t>C-0194</t>
        </is>
      </c>
      <c r="C376" t="inlineStr">
        <is>
          <t>Retail-Plus</t>
        </is>
      </c>
      <c r="D376" t="inlineStr">
        <is>
          <t>store</t>
        </is>
      </c>
      <c r="E376" s="7" t="n">
        <v>46183</v>
      </c>
      <c r="F376" t="n">
        <v>4080</v>
      </c>
      <c r="G376" t="n">
        <v>2448</v>
      </c>
      <c r="H376" t="inlineStr">
        <is>
          <t>2026-06-12</t>
        </is>
      </c>
      <c r="I376">
        <f>IF(MONTH(E376)&lt;=6,"Q1","Q2")</f>
        <v/>
      </c>
      <c r="J376">
        <f>YEAR(E376)*100+MONTH(E376)</f>
        <v/>
      </c>
      <c r="K376">
        <f>IF(COUNTIF($A$2:A376,A376)=1,1,0)</f>
        <v/>
      </c>
      <c r="L376">
        <f>IF(K376=1,IF(COUNTIFS($B$2:B376,B376,$I$2:I376,I376,$K$2:K376,1)=1,1,0),0)</f>
        <v/>
      </c>
      <c r="M376">
        <f>IF(Tree!$C$4="once per order",F376*K376,F376)</f>
        <v/>
      </c>
      <c r="N376">
        <f>IF(Tree!$C$4="once per order",K376,1)</f>
        <v/>
      </c>
      <c r="O376">
        <f>IF(Tree!$C$4="once per order",L376,1)</f>
        <v/>
      </c>
    </row>
    <row r="377">
      <c r="A377" t="inlineStr">
        <is>
          <t>KR-00223</t>
        </is>
      </c>
      <c r="B377" t="inlineStr">
        <is>
          <t>C-0194</t>
        </is>
      </c>
      <c r="C377" t="inlineStr">
        <is>
          <t>Retail-Plus</t>
        </is>
      </c>
      <c r="D377" t="inlineStr">
        <is>
          <t>store</t>
        </is>
      </c>
      <c r="E377" s="7" t="n">
        <v>46183</v>
      </c>
      <c r="F377" t="n">
        <v>4080</v>
      </c>
      <c r="G377" t="n">
        <v>1632</v>
      </c>
      <c r="H377" t="inlineStr">
        <is>
          <t>2026-06-12</t>
        </is>
      </c>
      <c r="I377">
        <f>IF(MONTH(E377)&lt;=6,"Q1","Q2")</f>
        <v/>
      </c>
      <c r="J377">
        <f>YEAR(E377)*100+MONTH(E377)</f>
        <v/>
      </c>
      <c r="K377">
        <f>IF(COUNTIF($A$2:A377,A377)=1,1,0)</f>
        <v/>
      </c>
      <c r="L377">
        <f>IF(K377=1,IF(COUNTIFS($B$2:B377,B377,$I$2:I377,I377,$K$2:K377,1)=1,1,0),0)</f>
        <v/>
      </c>
      <c r="M377">
        <f>IF(Tree!$C$4="once per order",F377*K377,F377)</f>
        <v/>
      </c>
      <c r="N377">
        <f>IF(Tree!$C$4="once per order",K377,1)</f>
        <v/>
      </c>
      <c r="O377">
        <f>IF(Tree!$C$4="once per order",L377,1)</f>
        <v/>
      </c>
    </row>
    <row r="378">
      <c r="A378" t="inlineStr">
        <is>
          <t>KR-00224</t>
        </is>
      </c>
      <c r="B378" t="inlineStr">
        <is>
          <t>C-0265</t>
        </is>
      </c>
      <c r="C378" t="inlineStr">
        <is>
          <t>Retail-Plus</t>
        </is>
      </c>
      <c r="D378" t="inlineStr">
        <is>
          <t>store</t>
        </is>
      </c>
      <c r="E378" s="7" t="n">
        <v>46137</v>
      </c>
      <c r="F378" t="n">
        <v>2070</v>
      </c>
      <c r="G378" t="n">
        <v>2070</v>
      </c>
      <c r="H378" t="inlineStr">
        <is>
          <t>2026-04-27</t>
        </is>
      </c>
      <c r="I378">
        <f>IF(MONTH(E378)&lt;=6,"Q1","Q2")</f>
        <v/>
      </c>
      <c r="J378">
        <f>YEAR(E378)*100+MONTH(E378)</f>
        <v/>
      </c>
      <c r="K378">
        <f>IF(COUNTIF($A$2:A378,A378)=1,1,0)</f>
        <v/>
      </c>
      <c r="L378">
        <f>IF(K378=1,IF(COUNTIFS($B$2:B378,B378,$I$2:I378,I378,$K$2:K378,1)=1,1,0),0)</f>
        <v/>
      </c>
      <c r="M378">
        <f>IF(Tree!$C$4="once per order",F378*K378,F378)</f>
        <v/>
      </c>
      <c r="N378">
        <f>IF(Tree!$C$4="once per order",K378,1)</f>
        <v/>
      </c>
      <c r="O378">
        <f>IF(Tree!$C$4="once per order",L378,1)</f>
        <v/>
      </c>
    </row>
    <row r="379">
      <c r="A379" t="inlineStr">
        <is>
          <t>KR-00225</t>
        </is>
      </c>
      <c r="B379" t="inlineStr">
        <is>
          <t>C-0177</t>
        </is>
      </c>
      <c r="C379" t="inlineStr">
        <is>
          <t>Retail-Plus</t>
        </is>
      </c>
      <c r="D379" t="inlineStr">
        <is>
          <t>web</t>
        </is>
      </c>
      <c r="E379" s="7" t="n">
        <v>46148</v>
      </c>
      <c r="F379" t="n">
        <v>1540</v>
      </c>
      <c r="G379" t="n">
        <v>1540</v>
      </c>
      <c r="H379" t="inlineStr">
        <is>
          <t>2026-05-08</t>
        </is>
      </c>
      <c r="I379">
        <f>IF(MONTH(E379)&lt;=6,"Q1","Q2")</f>
        <v/>
      </c>
      <c r="J379">
        <f>YEAR(E379)*100+MONTH(E379)</f>
        <v/>
      </c>
      <c r="K379">
        <f>IF(COUNTIF($A$2:A379,A379)=1,1,0)</f>
        <v/>
      </c>
      <c r="L379">
        <f>IF(K379=1,IF(COUNTIFS($B$2:B379,B379,$I$2:I379,I379,$K$2:K379,1)=1,1,0),0)</f>
        <v/>
      </c>
      <c r="M379">
        <f>IF(Tree!$C$4="once per order",F379*K379,F379)</f>
        <v/>
      </c>
      <c r="N379">
        <f>IF(Tree!$C$4="once per order",K379,1)</f>
        <v/>
      </c>
      <c r="O379">
        <f>IF(Tree!$C$4="once per order",L379,1)</f>
        <v/>
      </c>
    </row>
    <row r="380">
      <c r="A380" t="inlineStr">
        <is>
          <t>KR-00226</t>
        </is>
      </c>
      <c r="B380" t="inlineStr">
        <is>
          <t>C-0178</t>
        </is>
      </c>
      <c r="C380" t="inlineStr">
        <is>
          <t>Retail-Plus</t>
        </is>
      </c>
      <c r="D380" t="inlineStr">
        <is>
          <t>app</t>
        </is>
      </c>
      <c r="E380" s="7" t="n">
        <v>46189</v>
      </c>
      <c r="F380" t="n">
        <v>1840</v>
      </c>
      <c r="G380" t="n">
        <v>1840</v>
      </c>
      <c r="H380" t="inlineStr">
        <is>
          <t>2026-06-18</t>
        </is>
      </c>
      <c r="I380">
        <f>IF(MONTH(E380)&lt;=6,"Q1","Q2")</f>
        <v/>
      </c>
      <c r="J380">
        <f>YEAR(E380)*100+MONTH(E380)</f>
        <v/>
      </c>
      <c r="K380">
        <f>IF(COUNTIF($A$2:A380,A380)=1,1,0)</f>
        <v/>
      </c>
      <c r="L380">
        <f>IF(K380=1,IF(COUNTIFS($B$2:B380,B380,$I$2:I380,I380,$K$2:K380,1)=1,1,0),0)</f>
        <v/>
      </c>
      <c r="M380">
        <f>IF(Tree!$C$4="once per order",F380*K380,F380)</f>
        <v/>
      </c>
      <c r="N380">
        <f>IF(Tree!$C$4="once per order",K380,1)</f>
        <v/>
      </c>
      <c r="O380">
        <f>IF(Tree!$C$4="once per order",L380,1)</f>
        <v/>
      </c>
    </row>
    <row r="381">
      <c r="A381" t="inlineStr">
        <is>
          <t>KR-00227</t>
        </is>
      </c>
      <c r="B381" t="inlineStr">
        <is>
          <t>C-0262</t>
        </is>
      </c>
      <c r="C381" t="inlineStr">
        <is>
          <t>Retail-Plus</t>
        </is>
      </c>
      <c r="D381" t="inlineStr">
        <is>
          <t>app</t>
        </is>
      </c>
      <c r="E381" s="7" t="n">
        <v>46119</v>
      </c>
      <c r="F381" t="n">
        <v>1310</v>
      </c>
      <c r="G381" t="n">
        <v>1310</v>
      </c>
      <c r="H381" t="inlineStr">
        <is>
          <t>2026-04-09</t>
        </is>
      </c>
      <c r="I381">
        <f>IF(MONTH(E381)&lt;=6,"Q1","Q2")</f>
        <v/>
      </c>
      <c r="J381">
        <f>YEAR(E381)*100+MONTH(E381)</f>
        <v/>
      </c>
      <c r="K381">
        <f>IF(COUNTIF($A$2:A381,A381)=1,1,0)</f>
        <v/>
      </c>
      <c r="L381">
        <f>IF(K381=1,IF(COUNTIFS($B$2:B381,B381,$I$2:I381,I381,$K$2:K381,1)=1,1,0),0)</f>
        <v/>
      </c>
      <c r="M381">
        <f>IF(Tree!$C$4="once per order",F381*K381,F381)</f>
        <v/>
      </c>
      <c r="N381">
        <f>IF(Tree!$C$4="once per order",K381,1)</f>
        <v/>
      </c>
      <c r="O381">
        <f>IF(Tree!$C$4="once per order",L381,1)</f>
        <v/>
      </c>
    </row>
    <row r="382">
      <c r="A382" t="inlineStr">
        <is>
          <t>KR-00228</t>
        </is>
      </c>
      <c r="B382" t="inlineStr">
        <is>
          <t>C-0252</t>
        </is>
      </c>
      <c r="C382" t="inlineStr">
        <is>
          <t>Retail-Plus</t>
        </is>
      </c>
      <c r="D382" t="inlineStr">
        <is>
          <t>app</t>
        </is>
      </c>
      <c r="E382" s="7" t="n">
        <v>46148</v>
      </c>
      <c r="F382" t="n">
        <v>2430</v>
      </c>
      <c r="G382" t="n">
        <v>2430</v>
      </c>
      <c r="H382" t="inlineStr">
        <is>
          <t>2026-05-08</t>
        </is>
      </c>
      <c r="I382">
        <f>IF(MONTH(E382)&lt;=6,"Q1","Q2")</f>
        <v/>
      </c>
      <c r="J382">
        <f>YEAR(E382)*100+MONTH(E382)</f>
        <v/>
      </c>
      <c r="K382">
        <f>IF(COUNTIF($A$2:A382,A382)=1,1,0)</f>
        <v/>
      </c>
      <c r="L382">
        <f>IF(K382=1,IF(COUNTIFS($B$2:B382,B382,$I$2:I382,I382,$K$2:K382,1)=1,1,0),0)</f>
        <v/>
      </c>
      <c r="M382">
        <f>IF(Tree!$C$4="once per order",F382*K382,F382)</f>
        <v/>
      </c>
      <c r="N382">
        <f>IF(Tree!$C$4="once per order",K382,1)</f>
        <v/>
      </c>
      <c r="O382">
        <f>IF(Tree!$C$4="once per order",L382,1)</f>
        <v/>
      </c>
    </row>
    <row r="383">
      <c r="A383" t="inlineStr">
        <is>
          <t>KR-00229</t>
        </is>
      </c>
      <c r="B383" t="inlineStr">
        <is>
          <t>C-0154</t>
        </is>
      </c>
      <c r="C383" t="inlineStr">
        <is>
          <t>Retail-Plus</t>
        </is>
      </c>
      <c r="D383" t="inlineStr">
        <is>
          <t>store</t>
        </is>
      </c>
      <c r="E383" s="7" t="n">
        <v>46183</v>
      </c>
      <c r="F383" t="n">
        <v>2990</v>
      </c>
      <c r="G383" t="n">
        <v>1794</v>
      </c>
      <c r="H383" t="inlineStr">
        <is>
          <t>2026-06-12</t>
        </is>
      </c>
      <c r="I383">
        <f>IF(MONTH(E383)&lt;=6,"Q1","Q2")</f>
        <v/>
      </c>
      <c r="J383">
        <f>YEAR(E383)*100+MONTH(E383)</f>
        <v/>
      </c>
      <c r="K383">
        <f>IF(COUNTIF($A$2:A383,A383)=1,1,0)</f>
        <v/>
      </c>
      <c r="L383">
        <f>IF(K383=1,IF(COUNTIFS($B$2:B383,B383,$I$2:I383,I383,$K$2:K383,1)=1,1,0),0)</f>
        <v/>
      </c>
      <c r="M383">
        <f>IF(Tree!$C$4="once per order",F383*K383,F383)</f>
        <v/>
      </c>
      <c r="N383">
        <f>IF(Tree!$C$4="once per order",K383,1)</f>
        <v/>
      </c>
      <c r="O383">
        <f>IF(Tree!$C$4="once per order",L383,1)</f>
        <v/>
      </c>
    </row>
    <row r="384">
      <c r="A384" t="inlineStr">
        <is>
          <t>KR-00229</t>
        </is>
      </c>
      <c r="B384" t="inlineStr">
        <is>
          <t>C-0154</t>
        </is>
      </c>
      <c r="C384" t="inlineStr">
        <is>
          <t>Retail-Plus</t>
        </is>
      </c>
      <c r="D384" t="inlineStr">
        <is>
          <t>store</t>
        </is>
      </c>
      <c r="E384" s="7" t="n">
        <v>46183</v>
      </c>
      <c r="F384" t="n">
        <v>2990</v>
      </c>
      <c r="G384" t="n">
        <v>1196</v>
      </c>
      <c r="H384" t="inlineStr">
        <is>
          <t>2026-06-12</t>
        </is>
      </c>
      <c r="I384">
        <f>IF(MONTH(E384)&lt;=6,"Q1","Q2")</f>
        <v/>
      </c>
      <c r="J384">
        <f>YEAR(E384)*100+MONTH(E384)</f>
        <v/>
      </c>
      <c r="K384">
        <f>IF(COUNTIF($A$2:A384,A384)=1,1,0)</f>
        <v/>
      </c>
      <c r="L384">
        <f>IF(K384=1,IF(COUNTIFS($B$2:B384,B384,$I$2:I384,I384,$K$2:K384,1)=1,1,0),0)</f>
        <v/>
      </c>
      <c r="M384">
        <f>IF(Tree!$C$4="once per order",F384*K384,F384)</f>
        <v/>
      </c>
      <c r="N384">
        <f>IF(Tree!$C$4="once per order",K384,1)</f>
        <v/>
      </c>
      <c r="O384">
        <f>IF(Tree!$C$4="once per order",L384,1)</f>
        <v/>
      </c>
    </row>
    <row r="385">
      <c r="A385" t="inlineStr">
        <is>
          <t>KR-00230</t>
        </is>
      </c>
      <c r="B385" t="inlineStr">
        <is>
          <t>C-0162</t>
        </is>
      </c>
      <c r="C385" t="inlineStr">
        <is>
          <t>Retail-Plus</t>
        </is>
      </c>
      <c r="D385" t="inlineStr">
        <is>
          <t>web</t>
        </is>
      </c>
      <c r="E385" s="7" t="n">
        <v>46115</v>
      </c>
      <c r="F385" t="n">
        <v>2070</v>
      </c>
      <c r="G385" t="n">
        <v>2070</v>
      </c>
      <c r="H385" t="inlineStr">
        <is>
          <t>2026-04-05</t>
        </is>
      </c>
      <c r="I385">
        <f>IF(MONTH(E385)&lt;=6,"Q1","Q2")</f>
        <v/>
      </c>
      <c r="J385">
        <f>YEAR(E385)*100+MONTH(E385)</f>
        <v/>
      </c>
      <c r="K385">
        <f>IF(COUNTIF($A$2:A385,A385)=1,1,0)</f>
        <v/>
      </c>
      <c r="L385">
        <f>IF(K385=1,IF(COUNTIFS($B$2:B385,B385,$I$2:I385,I385,$K$2:K385,1)=1,1,0),0)</f>
        <v/>
      </c>
      <c r="M385">
        <f>IF(Tree!$C$4="once per order",F385*K385,F385)</f>
        <v/>
      </c>
      <c r="N385">
        <f>IF(Tree!$C$4="once per order",K385,1)</f>
        <v/>
      </c>
      <c r="O385">
        <f>IF(Tree!$C$4="once per order",L385,1)</f>
        <v/>
      </c>
    </row>
    <row r="386">
      <c r="A386" t="inlineStr">
        <is>
          <t>KR-00231</t>
        </is>
      </c>
      <c r="B386" t="inlineStr">
        <is>
          <t>C-0157</t>
        </is>
      </c>
      <c r="C386" t="inlineStr">
        <is>
          <t>Retail-Plus</t>
        </is>
      </c>
      <c r="D386" t="inlineStr">
        <is>
          <t>app</t>
        </is>
      </c>
      <c r="E386" s="7" t="n">
        <v>46165</v>
      </c>
      <c r="F386" t="n">
        <v>4050</v>
      </c>
      <c r="G386" t="n">
        <v>2430</v>
      </c>
      <c r="H386" t="inlineStr">
        <is>
          <t>2026-05-25</t>
        </is>
      </c>
      <c r="I386">
        <f>IF(MONTH(E386)&lt;=6,"Q1","Q2")</f>
        <v/>
      </c>
      <c r="J386">
        <f>YEAR(E386)*100+MONTH(E386)</f>
        <v/>
      </c>
      <c r="K386">
        <f>IF(COUNTIF($A$2:A386,A386)=1,1,0)</f>
        <v/>
      </c>
      <c r="L386">
        <f>IF(K386=1,IF(COUNTIFS($B$2:B386,B386,$I$2:I386,I386,$K$2:K386,1)=1,1,0),0)</f>
        <v/>
      </c>
      <c r="M386">
        <f>IF(Tree!$C$4="once per order",F386*K386,F386)</f>
        <v/>
      </c>
      <c r="N386">
        <f>IF(Tree!$C$4="once per order",K386,1)</f>
        <v/>
      </c>
      <c r="O386">
        <f>IF(Tree!$C$4="once per order",L386,1)</f>
        <v/>
      </c>
    </row>
    <row r="387">
      <c r="A387" t="inlineStr">
        <is>
          <t>KR-00231</t>
        </is>
      </c>
      <c r="B387" t="inlineStr">
        <is>
          <t>C-0157</t>
        </is>
      </c>
      <c r="C387" t="inlineStr">
        <is>
          <t>Retail-Plus</t>
        </is>
      </c>
      <c r="D387" t="inlineStr">
        <is>
          <t>app</t>
        </is>
      </c>
      <c r="E387" s="7" t="n">
        <v>46165</v>
      </c>
      <c r="F387" t="n">
        <v>4050</v>
      </c>
      <c r="G387" t="n">
        <v>1620</v>
      </c>
      <c r="H387" t="inlineStr">
        <is>
          <t>2026-05-25</t>
        </is>
      </c>
      <c r="I387">
        <f>IF(MONTH(E387)&lt;=6,"Q1","Q2")</f>
        <v/>
      </c>
      <c r="J387">
        <f>YEAR(E387)*100+MONTH(E387)</f>
        <v/>
      </c>
      <c r="K387">
        <f>IF(COUNTIF($A$2:A387,A387)=1,1,0)</f>
        <v/>
      </c>
      <c r="L387">
        <f>IF(K387=1,IF(COUNTIFS($B$2:B387,B387,$I$2:I387,I387,$K$2:K387,1)=1,1,0),0)</f>
        <v/>
      </c>
      <c r="M387">
        <f>IF(Tree!$C$4="once per order",F387*K387,F387)</f>
        <v/>
      </c>
      <c r="N387">
        <f>IF(Tree!$C$4="once per order",K387,1)</f>
        <v/>
      </c>
      <c r="O387">
        <f>IF(Tree!$C$4="once per order",L387,1)</f>
        <v/>
      </c>
    </row>
    <row r="388">
      <c r="A388" t="inlineStr">
        <is>
          <t>KR-00232</t>
        </is>
      </c>
      <c r="B388" t="inlineStr">
        <is>
          <t>C-0202</t>
        </is>
      </c>
      <c r="C388" t="inlineStr">
        <is>
          <t>Retail-Plus</t>
        </is>
      </c>
      <c r="D388" t="inlineStr">
        <is>
          <t>app</t>
        </is>
      </c>
      <c r="E388" s="7" t="n">
        <v>46189</v>
      </c>
      <c r="F388" t="n">
        <v>3840</v>
      </c>
      <c r="G388" t="n">
        <v>2304</v>
      </c>
      <c r="H388" t="inlineStr">
        <is>
          <t>2026-06-18</t>
        </is>
      </c>
      <c r="I388">
        <f>IF(MONTH(E388)&lt;=6,"Q1","Q2")</f>
        <v/>
      </c>
      <c r="J388">
        <f>YEAR(E388)*100+MONTH(E388)</f>
        <v/>
      </c>
      <c r="K388">
        <f>IF(COUNTIF($A$2:A388,A388)=1,1,0)</f>
        <v/>
      </c>
      <c r="L388">
        <f>IF(K388=1,IF(COUNTIFS($B$2:B388,B388,$I$2:I388,I388,$K$2:K388,1)=1,1,0),0)</f>
        <v/>
      </c>
      <c r="M388">
        <f>IF(Tree!$C$4="once per order",F388*K388,F388)</f>
        <v/>
      </c>
      <c r="N388">
        <f>IF(Tree!$C$4="once per order",K388,1)</f>
        <v/>
      </c>
      <c r="O388">
        <f>IF(Tree!$C$4="once per order",L388,1)</f>
        <v/>
      </c>
    </row>
    <row r="389">
      <c r="A389" t="inlineStr">
        <is>
          <t>KR-00232</t>
        </is>
      </c>
      <c r="B389" t="inlineStr">
        <is>
          <t>C-0202</t>
        </is>
      </c>
      <c r="C389" t="inlineStr">
        <is>
          <t>Retail-Plus</t>
        </is>
      </c>
      <c r="D389" t="inlineStr">
        <is>
          <t>app</t>
        </is>
      </c>
      <c r="E389" s="7" t="n">
        <v>46189</v>
      </c>
      <c r="F389" t="n">
        <v>3840</v>
      </c>
      <c r="G389" t="n">
        <v>1536</v>
      </c>
      <c r="H389" t="inlineStr">
        <is>
          <t>2026-06-18</t>
        </is>
      </c>
      <c r="I389">
        <f>IF(MONTH(E389)&lt;=6,"Q1","Q2")</f>
        <v/>
      </c>
      <c r="J389">
        <f>YEAR(E389)*100+MONTH(E389)</f>
        <v/>
      </c>
      <c r="K389">
        <f>IF(COUNTIF($A$2:A389,A389)=1,1,0)</f>
        <v/>
      </c>
      <c r="L389">
        <f>IF(K389=1,IF(COUNTIFS($B$2:B389,B389,$I$2:I389,I389,$K$2:K389,1)=1,1,0),0)</f>
        <v/>
      </c>
      <c r="M389">
        <f>IF(Tree!$C$4="once per order",F389*K389,F389)</f>
        <v/>
      </c>
      <c r="N389">
        <f>IF(Tree!$C$4="once per order",K389,1)</f>
        <v/>
      </c>
      <c r="O389">
        <f>IF(Tree!$C$4="once per order",L389,1)</f>
        <v/>
      </c>
    </row>
    <row r="390">
      <c r="A390" t="inlineStr">
        <is>
          <t>KR-00233</t>
        </is>
      </c>
      <c r="B390" t="inlineStr">
        <is>
          <t>C-0227</t>
        </is>
      </c>
      <c r="C390" t="inlineStr">
        <is>
          <t>Retail-Plus</t>
        </is>
      </c>
      <c r="D390" t="inlineStr">
        <is>
          <t>app</t>
        </is>
      </c>
      <c r="E390" s="7" t="n">
        <v>46122</v>
      </c>
      <c r="F390" t="n">
        <v>1920</v>
      </c>
      <c r="G390" t="n">
        <v>1920</v>
      </c>
      <c r="H390" t="inlineStr">
        <is>
          <t>2026-04-12</t>
        </is>
      </c>
      <c r="I390">
        <f>IF(MONTH(E390)&lt;=6,"Q1","Q2")</f>
        <v/>
      </c>
      <c r="J390">
        <f>YEAR(E390)*100+MONTH(E390)</f>
        <v/>
      </c>
      <c r="K390">
        <f>IF(COUNTIF($A$2:A390,A390)=1,1,0)</f>
        <v/>
      </c>
      <c r="L390">
        <f>IF(K390=1,IF(COUNTIFS($B$2:B390,B390,$I$2:I390,I390,$K$2:K390,1)=1,1,0),0)</f>
        <v/>
      </c>
      <c r="M390">
        <f>IF(Tree!$C$4="once per order",F390*K390,F390)</f>
        <v/>
      </c>
      <c r="N390">
        <f>IF(Tree!$C$4="once per order",K390,1)</f>
        <v/>
      </c>
      <c r="O390">
        <f>IF(Tree!$C$4="once per order",L390,1)</f>
        <v/>
      </c>
    </row>
    <row r="391">
      <c r="A391" t="inlineStr">
        <is>
          <t>KR-00234</t>
        </is>
      </c>
      <c r="B391" t="inlineStr">
        <is>
          <t>C-0252</t>
        </is>
      </c>
      <c r="C391" t="inlineStr">
        <is>
          <t>Retail-Plus</t>
        </is>
      </c>
      <c r="D391" t="inlineStr">
        <is>
          <t>store</t>
        </is>
      </c>
      <c r="E391" s="7" t="n">
        <v>46145</v>
      </c>
      <c r="F391" t="n">
        <v>3790</v>
      </c>
      <c r="G391" t="n">
        <v>2274</v>
      </c>
      <c r="H391" t="inlineStr">
        <is>
          <t>2026-05-05</t>
        </is>
      </c>
      <c r="I391">
        <f>IF(MONTH(E391)&lt;=6,"Q1","Q2")</f>
        <v/>
      </c>
      <c r="J391">
        <f>YEAR(E391)*100+MONTH(E391)</f>
        <v/>
      </c>
      <c r="K391">
        <f>IF(COUNTIF($A$2:A391,A391)=1,1,0)</f>
        <v/>
      </c>
      <c r="L391">
        <f>IF(K391=1,IF(COUNTIFS($B$2:B391,B391,$I$2:I391,I391,$K$2:K391,1)=1,1,0),0)</f>
        <v/>
      </c>
      <c r="M391">
        <f>IF(Tree!$C$4="once per order",F391*K391,F391)</f>
        <v/>
      </c>
      <c r="N391">
        <f>IF(Tree!$C$4="once per order",K391,1)</f>
        <v/>
      </c>
      <c r="O391">
        <f>IF(Tree!$C$4="once per order",L391,1)</f>
        <v/>
      </c>
    </row>
    <row r="392">
      <c r="A392" t="inlineStr">
        <is>
          <t>KR-00234</t>
        </is>
      </c>
      <c r="B392" t="inlineStr">
        <is>
          <t>C-0252</t>
        </is>
      </c>
      <c r="C392" t="inlineStr">
        <is>
          <t>Retail-Plus</t>
        </is>
      </c>
      <c r="D392" t="inlineStr">
        <is>
          <t>store</t>
        </is>
      </c>
      <c r="E392" s="7" t="n">
        <v>46145</v>
      </c>
      <c r="F392" t="n">
        <v>3790</v>
      </c>
      <c r="G392" t="n">
        <v>1516</v>
      </c>
      <c r="H392" t="inlineStr">
        <is>
          <t>2026-05-05</t>
        </is>
      </c>
      <c r="I392">
        <f>IF(MONTH(E392)&lt;=6,"Q1","Q2")</f>
        <v/>
      </c>
      <c r="J392">
        <f>YEAR(E392)*100+MONTH(E392)</f>
        <v/>
      </c>
      <c r="K392">
        <f>IF(COUNTIF($A$2:A392,A392)=1,1,0)</f>
        <v/>
      </c>
      <c r="L392">
        <f>IF(K392=1,IF(COUNTIFS($B$2:B392,B392,$I$2:I392,I392,$K$2:K392,1)=1,1,0),0)</f>
        <v/>
      </c>
      <c r="M392">
        <f>IF(Tree!$C$4="once per order",F392*K392,F392)</f>
        <v/>
      </c>
      <c r="N392">
        <f>IF(Tree!$C$4="once per order",K392,1)</f>
        <v/>
      </c>
      <c r="O392">
        <f>IF(Tree!$C$4="once per order",L392,1)</f>
        <v/>
      </c>
    </row>
    <row r="393">
      <c r="A393" t="inlineStr">
        <is>
          <t>KR-00235</t>
        </is>
      </c>
      <c r="B393" t="inlineStr">
        <is>
          <t>C-0155</t>
        </is>
      </c>
      <c r="C393" t="inlineStr">
        <is>
          <t>Retail-Plus</t>
        </is>
      </c>
      <c r="D393" t="inlineStr">
        <is>
          <t>app</t>
        </is>
      </c>
      <c r="E393" s="7" t="n">
        <v>46178</v>
      </c>
      <c r="F393" t="n">
        <v>1600</v>
      </c>
      <c r="G393" t="n">
        <v>1600</v>
      </c>
      <c r="H393" t="inlineStr">
        <is>
          <t>2026-06-07</t>
        </is>
      </c>
      <c r="I393">
        <f>IF(MONTH(E393)&lt;=6,"Q1","Q2")</f>
        <v/>
      </c>
      <c r="J393">
        <f>YEAR(E393)*100+MONTH(E393)</f>
        <v/>
      </c>
      <c r="K393">
        <f>IF(COUNTIF($A$2:A393,A393)=1,1,0)</f>
        <v/>
      </c>
      <c r="L393">
        <f>IF(K393=1,IF(COUNTIFS($B$2:B393,B393,$I$2:I393,I393,$K$2:K393,1)=1,1,0),0)</f>
        <v/>
      </c>
      <c r="M393">
        <f>IF(Tree!$C$4="once per order",F393*K393,F393)</f>
        <v/>
      </c>
      <c r="N393">
        <f>IF(Tree!$C$4="once per order",K393,1)</f>
        <v/>
      </c>
      <c r="O393">
        <f>IF(Tree!$C$4="once per order",L393,1)</f>
        <v/>
      </c>
    </row>
    <row r="394">
      <c r="A394" t="inlineStr">
        <is>
          <t>KR-00236</t>
        </is>
      </c>
      <c r="B394" t="inlineStr">
        <is>
          <t>C-0193</t>
        </is>
      </c>
      <c r="C394" t="inlineStr">
        <is>
          <t>Retail-Plus</t>
        </is>
      </c>
      <c r="D394" t="inlineStr">
        <is>
          <t>store</t>
        </is>
      </c>
      <c r="E394" s="7" t="n">
        <v>46130</v>
      </c>
      <c r="F394" t="n">
        <v>1580</v>
      </c>
      <c r="G394" t="n">
        <v>1580</v>
      </c>
      <c r="H394" t="inlineStr">
        <is>
          <t>2026-04-20</t>
        </is>
      </c>
      <c r="I394">
        <f>IF(MONTH(E394)&lt;=6,"Q1","Q2")</f>
        <v/>
      </c>
      <c r="J394">
        <f>YEAR(E394)*100+MONTH(E394)</f>
        <v/>
      </c>
      <c r="K394">
        <f>IF(COUNTIF($A$2:A394,A394)=1,1,0)</f>
        <v/>
      </c>
      <c r="L394">
        <f>IF(K394=1,IF(COUNTIFS($B$2:B394,B394,$I$2:I394,I394,$K$2:K394,1)=1,1,0),0)</f>
        <v/>
      </c>
      <c r="M394">
        <f>IF(Tree!$C$4="once per order",F394*K394,F394)</f>
        <v/>
      </c>
      <c r="N394">
        <f>IF(Tree!$C$4="once per order",K394,1)</f>
        <v/>
      </c>
      <c r="O394">
        <f>IF(Tree!$C$4="once per order",L394,1)</f>
        <v/>
      </c>
    </row>
    <row r="395">
      <c r="A395" t="inlineStr">
        <is>
          <t>KR-00237</t>
        </is>
      </c>
      <c r="B395" t="inlineStr">
        <is>
          <t>C-0167</t>
        </is>
      </c>
      <c r="C395" t="inlineStr">
        <is>
          <t>Retail-Plus</t>
        </is>
      </c>
      <c r="D395" t="inlineStr">
        <is>
          <t>app</t>
        </is>
      </c>
      <c r="E395" s="7" t="n">
        <v>46159</v>
      </c>
      <c r="F395" t="n">
        <v>1400</v>
      </c>
      <c r="G395" t="n">
        <v>1400</v>
      </c>
      <c r="H395" t="inlineStr">
        <is>
          <t>2026-05-19</t>
        </is>
      </c>
      <c r="I395">
        <f>IF(MONTH(E395)&lt;=6,"Q1","Q2")</f>
        <v/>
      </c>
      <c r="J395">
        <f>YEAR(E395)*100+MONTH(E395)</f>
        <v/>
      </c>
      <c r="K395">
        <f>IF(COUNTIF($A$2:A395,A395)=1,1,0)</f>
        <v/>
      </c>
      <c r="L395">
        <f>IF(K395=1,IF(COUNTIFS($B$2:B395,B395,$I$2:I395,I395,$K$2:K395,1)=1,1,0),0)</f>
        <v/>
      </c>
      <c r="M395">
        <f>IF(Tree!$C$4="once per order",F395*K395,F395)</f>
        <v/>
      </c>
      <c r="N395">
        <f>IF(Tree!$C$4="once per order",K395,1)</f>
        <v/>
      </c>
      <c r="O395">
        <f>IF(Tree!$C$4="once per order",L395,1)</f>
        <v/>
      </c>
    </row>
    <row r="396">
      <c r="A396" t="inlineStr">
        <is>
          <t>KR-00238</t>
        </is>
      </c>
      <c r="B396" t="inlineStr">
        <is>
          <t>C-0234</t>
        </is>
      </c>
      <c r="C396" t="inlineStr">
        <is>
          <t>Retail-Plus</t>
        </is>
      </c>
      <c r="D396" t="inlineStr">
        <is>
          <t>web</t>
        </is>
      </c>
      <c r="E396" s="7" t="n">
        <v>46177</v>
      </c>
      <c r="F396" t="n">
        <v>2520</v>
      </c>
      <c r="G396" t="n">
        <v>2520</v>
      </c>
      <c r="H396" t="inlineStr">
        <is>
          <t>2026-06-06</t>
        </is>
      </c>
      <c r="I396">
        <f>IF(MONTH(E396)&lt;=6,"Q1","Q2")</f>
        <v/>
      </c>
      <c r="J396">
        <f>YEAR(E396)*100+MONTH(E396)</f>
        <v/>
      </c>
      <c r="K396">
        <f>IF(COUNTIF($A$2:A396,A396)=1,1,0)</f>
        <v/>
      </c>
      <c r="L396">
        <f>IF(K396=1,IF(COUNTIFS($B$2:B396,B396,$I$2:I396,I396,$K$2:K396,1)=1,1,0),0)</f>
        <v/>
      </c>
      <c r="M396">
        <f>IF(Tree!$C$4="once per order",F396*K396,F396)</f>
        <v/>
      </c>
      <c r="N396">
        <f>IF(Tree!$C$4="once per order",K396,1)</f>
        <v/>
      </c>
      <c r="O396">
        <f>IF(Tree!$C$4="once per order",L396,1)</f>
        <v/>
      </c>
    </row>
    <row r="397">
      <c r="A397" t="inlineStr">
        <is>
          <t>KR-00239</t>
        </is>
      </c>
      <c r="B397" t="inlineStr">
        <is>
          <t>C-0173</t>
        </is>
      </c>
      <c r="C397" t="inlineStr">
        <is>
          <t>Retail-Plus</t>
        </is>
      </c>
      <c r="D397" t="inlineStr">
        <is>
          <t>web</t>
        </is>
      </c>
      <c r="E397" s="7" t="n">
        <v>46130</v>
      </c>
      <c r="F397" t="n">
        <v>1240</v>
      </c>
      <c r="G397" t="n">
        <v>1240</v>
      </c>
      <c r="H397" t="inlineStr">
        <is>
          <t>2026-04-20</t>
        </is>
      </c>
      <c r="I397">
        <f>IF(MONTH(E397)&lt;=6,"Q1","Q2")</f>
        <v/>
      </c>
      <c r="J397">
        <f>YEAR(E397)*100+MONTH(E397)</f>
        <v/>
      </c>
      <c r="K397">
        <f>IF(COUNTIF($A$2:A397,A397)=1,1,0)</f>
        <v/>
      </c>
      <c r="L397">
        <f>IF(K397=1,IF(COUNTIFS($B$2:B397,B397,$I$2:I397,I397,$K$2:K397,1)=1,1,0),0)</f>
        <v/>
      </c>
      <c r="M397">
        <f>IF(Tree!$C$4="once per order",F397*K397,F397)</f>
        <v/>
      </c>
      <c r="N397">
        <f>IF(Tree!$C$4="once per order",K397,1)</f>
        <v/>
      </c>
      <c r="O397">
        <f>IF(Tree!$C$4="once per order",L397,1)</f>
        <v/>
      </c>
    </row>
    <row r="398">
      <c r="A398" t="inlineStr">
        <is>
          <t>KR-00240</t>
        </is>
      </c>
      <c r="B398" t="inlineStr">
        <is>
          <t>C-0179</t>
        </is>
      </c>
      <c r="C398" t="inlineStr">
        <is>
          <t>Retail-Plus</t>
        </is>
      </c>
      <c r="D398" t="inlineStr">
        <is>
          <t>store</t>
        </is>
      </c>
      <c r="E398" s="7" t="n">
        <v>46162</v>
      </c>
      <c r="F398" t="n">
        <v>1720</v>
      </c>
      <c r="G398" t="n">
        <v>1720</v>
      </c>
      <c r="H398" t="inlineStr">
        <is>
          <t>2026-05-22</t>
        </is>
      </c>
      <c r="I398">
        <f>IF(MONTH(E398)&lt;=6,"Q1","Q2")</f>
        <v/>
      </c>
      <c r="J398">
        <f>YEAR(E398)*100+MONTH(E398)</f>
        <v/>
      </c>
      <c r="K398">
        <f>IF(COUNTIF($A$2:A398,A398)=1,1,0)</f>
        <v/>
      </c>
      <c r="L398">
        <f>IF(K398=1,IF(COUNTIFS($B$2:B398,B398,$I$2:I398,I398,$K$2:K398,1)=1,1,0),0)</f>
        <v/>
      </c>
      <c r="M398">
        <f>IF(Tree!$C$4="once per order",F398*K398,F398)</f>
        <v/>
      </c>
      <c r="N398">
        <f>IF(Tree!$C$4="once per order",K398,1)</f>
        <v/>
      </c>
      <c r="O398">
        <f>IF(Tree!$C$4="once per order",L398,1)</f>
        <v/>
      </c>
    </row>
    <row r="399">
      <c r="A399" t="inlineStr">
        <is>
          <t>KR-00241</t>
        </is>
      </c>
      <c r="B399" t="inlineStr">
        <is>
          <t>C-0184</t>
        </is>
      </c>
      <c r="C399" t="inlineStr">
        <is>
          <t>Retail-Plus</t>
        </is>
      </c>
      <c r="D399" t="inlineStr">
        <is>
          <t>app</t>
        </is>
      </c>
      <c r="E399" s="7" t="n">
        <v>46188</v>
      </c>
      <c r="F399" t="n">
        <v>2830</v>
      </c>
      <c r="G399" t="n">
        <v>1698</v>
      </c>
      <c r="H399" t="inlineStr">
        <is>
          <t>2026-06-17</t>
        </is>
      </c>
      <c r="I399">
        <f>IF(MONTH(E399)&lt;=6,"Q1","Q2")</f>
        <v/>
      </c>
      <c r="J399">
        <f>YEAR(E399)*100+MONTH(E399)</f>
        <v/>
      </c>
      <c r="K399">
        <f>IF(COUNTIF($A$2:A399,A399)=1,1,0)</f>
        <v/>
      </c>
      <c r="L399">
        <f>IF(K399=1,IF(COUNTIFS($B$2:B399,B399,$I$2:I399,I399,$K$2:K399,1)=1,1,0),0)</f>
        <v/>
      </c>
      <c r="M399">
        <f>IF(Tree!$C$4="once per order",F399*K399,F399)</f>
        <v/>
      </c>
      <c r="N399">
        <f>IF(Tree!$C$4="once per order",K399,1)</f>
        <v/>
      </c>
      <c r="O399">
        <f>IF(Tree!$C$4="once per order",L399,1)</f>
        <v/>
      </c>
    </row>
    <row r="400">
      <c r="A400" t="inlineStr">
        <is>
          <t>KR-00241</t>
        </is>
      </c>
      <c r="B400" t="inlineStr">
        <is>
          <t>C-0184</t>
        </is>
      </c>
      <c r="C400" t="inlineStr">
        <is>
          <t>Retail-Plus</t>
        </is>
      </c>
      <c r="D400" t="inlineStr">
        <is>
          <t>app</t>
        </is>
      </c>
      <c r="E400" s="7" t="n">
        <v>46188</v>
      </c>
      <c r="F400" t="n">
        <v>2830</v>
      </c>
      <c r="G400" t="n">
        <v>1132</v>
      </c>
      <c r="H400" t="inlineStr">
        <is>
          <t>2026-06-17</t>
        </is>
      </c>
      <c r="I400">
        <f>IF(MONTH(E400)&lt;=6,"Q1","Q2")</f>
        <v/>
      </c>
      <c r="J400">
        <f>YEAR(E400)*100+MONTH(E400)</f>
        <v/>
      </c>
      <c r="K400">
        <f>IF(COUNTIF($A$2:A400,A400)=1,1,0)</f>
        <v/>
      </c>
      <c r="L400">
        <f>IF(K400=1,IF(COUNTIFS($B$2:B400,B400,$I$2:I400,I400,$K$2:K400,1)=1,1,0),0)</f>
        <v/>
      </c>
      <c r="M400">
        <f>IF(Tree!$C$4="once per order",F400*K400,F400)</f>
        <v/>
      </c>
      <c r="N400">
        <f>IF(Tree!$C$4="once per order",K400,1)</f>
        <v/>
      </c>
      <c r="O400">
        <f>IF(Tree!$C$4="once per order",L400,1)</f>
        <v/>
      </c>
    </row>
    <row r="401">
      <c r="A401" t="inlineStr">
        <is>
          <t>KR-00242</t>
        </is>
      </c>
      <c r="B401" t="inlineStr">
        <is>
          <t>C-0183</t>
        </is>
      </c>
      <c r="C401" t="inlineStr">
        <is>
          <t>Retail-Plus</t>
        </is>
      </c>
      <c r="D401" t="inlineStr">
        <is>
          <t>web</t>
        </is>
      </c>
      <c r="E401" s="7" t="n">
        <v>46140</v>
      </c>
      <c r="F401" t="n">
        <v>3800</v>
      </c>
      <c r="G401" t="n">
        <v>2280</v>
      </c>
      <c r="H401" t="inlineStr">
        <is>
          <t>2026-04-28</t>
        </is>
      </c>
      <c r="I401">
        <f>IF(MONTH(E401)&lt;=6,"Q1","Q2")</f>
        <v/>
      </c>
      <c r="J401">
        <f>YEAR(E401)*100+MONTH(E401)</f>
        <v/>
      </c>
      <c r="K401">
        <f>IF(COUNTIF($A$2:A401,A401)=1,1,0)</f>
        <v/>
      </c>
      <c r="L401">
        <f>IF(K401=1,IF(COUNTIFS($B$2:B401,B401,$I$2:I401,I401,$K$2:K401,1)=1,1,0),0)</f>
        <v/>
      </c>
      <c r="M401">
        <f>IF(Tree!$C$4="once per order",F401*K401,F401)</f>
        <v/>
      </c>
      <c r="N401">
        <f>IF(Tree!$C$4="once per order",K401,1)</f>
        <v/>
      </c>
      <c r="O401">
        <f>IF(Tree!$C$4="once per order",L401,1)</f>
        <v/>
      </c>
    </row>
    <row r="402">
      <c r="A402" t="inlineStr">
        <is>
          <t>KR-00242</t>
        </is>
      </c>
      <c r="B402" t="inlineStr">
        <is>
          <t>C-0183</t>
        </is>
      </c>
      <c r="C402" t="inlineStr">
        <is>
          <t>Retail-Plus</t>
        </is>
      </c>
      <c r="D402" t="inlineStr">
        <is>
          <t>web</t>
        </is>
      </c>
      <c r="E402" s="7" t="n">
        <v>46140</v>
      </c>
      <c r="F402" t="n">
        <v>3800</v>
      </c>
      <c r="G402" t="n">
        <v>1520</v>
      </c>
      <c r="H402" t="inlineStr">
        <is>
          <t>2026-04-28</t>
        </is>
      </c>
      <c r="I402">
        <f>IF(MONTH(E402)&lt;=6,"Q1","Q2")</f>
        <v/>
      </c>
      <c r="J402">
        <f>YEAR(E402)*100+MONTH(E402)</f>
        <v/>
      </c>
      <c r="K402">
        <f>IF(COUNTIF($A$2:A402,A402)=1,1,0)</f>
        <v/>
      </c>
      <c r="L402">
        <f>IF(K402=1,IF(COUNTIFS($B$2:B402,B402,$I$2:I402,I402,$K$2:K402,1)=1,1,0),0)</f>
        <v/>
      </c>
      <c r="M402">
        <f>IF(Tree!$C$4="once per order",F402*K402,F402)</f>
        <v/>
      </c>
      <c r="N402">
        <f>IF(Tree!$C$4="once per order",K402,1)</f>
        <v/>
      </c>
      <c r="O402">
        <f>IF(Tree!$C$4="once per order",L402,1)</f>
        <v/>
      </c>
    </row>
    <row r="403">
      <c r="A403" t="inlineStr">
        <is>
          <t>KR-00243</t>
        </is>
      </c>
      <c r="B403" t="inlineStr">
        <is>
          <t>C-0227</t>
        </is>
      </c>
      <c r="C403" t="inlineStr">
        <is>
          <t>Retail-Plus</t>
        </is>
      </c>
      <c r="D403" t="inlineStr">
        <is>
          <t>store</t>
        </is>
      </c>
      <c r="E403" s="7" t="n">
        <v>46145</v>
      </c>
      <c r="F403" t="n">
        <v>2430</v>
      </c>
      <c r="G403" t="n">
        <v>2430</v>
      </c>
      <c r="H403" t="inlineStr">
        <is>
          <t>2026-05-05</t>
        </is>
      </c>
      <c r="I403">
        <f>IF(MONTH(E403)&lt;=6,"Q1","Q2")</f>
        <v/>
      </c>
      <c r="J403">
        <f>YEAR(E403)*100+MONTH(E403)</f>
        <v/>
      </c>
      <c r="K403">
        <f>IF(COUNTIF($A$2:A403,A403)=1,1,0)</f>
        <v/>
      </c>
      <c r="L403">
        <f>IF(K403=1,IF(COUNTIFS($B$2:B403,B403,$I$2:I403,I403,$K$2:K403,1)=1,1,0),0)</f>
        <v/>
      </c>
      <c r="M403">
        <f>IF(Tree!$C$4="once per order",F403*K403,F403)</f>
        <v/>
      </c>
      <c r="N403">
        <f>IF(Tree!$C$4="once per order",K403,1)</f>
        <v/>
      </c>
      <c r="O403">
        <f>IF(Tree!$C$4="once per order",L403,1)</f>
        <v/>
      </c>
    </row>
    <row r="404">
      <c r="A404" t="inlineStr">
        <is>
          <t>KR-00244</t>
        </is>
      </c>
      <c r="B404" t="inlineStr">
        <is>
          <t>C-0227</t>
        </is>
      </c>
      <c r="C404" t="inlineStr">
        <is>
          <t>Retail-Plus</t>
        </is>
      </c>
      <c r="D404" t="inlineStr">
        <is>
          <t>app</t>
        </is>
      </c>
      <c r="E404" s="7" t="n">
        <v>46185</v>
      </c>
      <c r="F404" t="n">
        <v>3750</v>
      </c>
      <c r="G404" t="n">
        <v>2250</v>
      </c>
      <c r="H404" t="inlineStr">
        <is>
          <t>2026-06-14</t>
        </is>
      </c>
      <c r="I404">
        <f>IF(MONTH(E404)&lt;=6,"Q1","Q2")</f>
        <v/>
      </c>
      <c r="J404">
        <f>YEAR(E404)*100+MONTH(E404)</f>
        <v/>
      </c>
      <c r="K404">
        <f>IF(COUNTIF($A$2:A404,A404)=1,1,0)</f>
        <v/>
      </c>
      <c r="L404">
        <f>IF(K404=1,IF(COUNTIFS($B$2:B404,B404,$I$2:I404,I404,$K$2:K404,1)=1,1,0),0)</f>
        <v/>
      </c>
      <c r="M404">
        <f>IF(Tree!$C$4="once per order",F404*K404,F404)</f>
        <v/>
      </c>
      <c r="N404">
        <f>IF(Tree!$C$4="once per order",K404,1)</f>
        <v/>
      </c>
      <c r="O404">
        <f>IF(Tree!$C$4="once per order",L404,1)</f>
        <v/>
      </c>
    </row>
    <row r="405">
      <c r="A405" t="inlineStr">
        <is>
          <t>KR-00244</t>
        </is>
      </c>
      <c r="B405" t="inlineStr">
        <is>
          <t>C-0227</t>
        </is>
      </c>
      <c r="C405" t="inlineStr">
        <is>
          <t>Retail-Plus</t>
        </is>
      </c>
      <c r="D405" t="inlineStr">
        <is>
          <t>app</t>
        </is>
      </c>
      <c r="E405" s="7" t="n">
        <v>46185</v>
      </c>
      <c r="F405" t="n">
        <v>3750</v>
      </c>
      <c r="G405" t="n">
        <v>1500</v>
      </c>
      <c r="H405" t="inlineStr">
        <is>
          <t>2026-06-14</t>
        </is>
      </c>
      <c r="I405">
        <f>IF(MONTH(E405)&lt;=6,"Q1","Q2")</f>
        <v/>
      </c>
      <c r="J405">
        <f>YEAR(E405)*100+MONTH(E405)</f>
        <v/>
      </c>
      <c r="K405">
        <f>IF(COUNTIF($A$2:A405,A405)=1,1,0)</f>
        <v/>
      </c>
      <c r="L405">
        <f>IF(K405=1,IF(COUNTIFS($B$2:B405,B405,$I$2:I405,I405,$K$2:K405,1)=1,1,0),0)</f>
        <v/>
      </c>
      <c r="M405">
        <f>IF(Tree!$C$4="once per order",F405*K405,F405)</f>
        <v/>
      </c>
      <c r="N405">
        <f>IF(Tree!$C$4="once per order",K405,1)</f>
        <v/>
      </c>
      <c r="O405">
        <f>IF(Tree!$C$4="once per order",L405,1)</f>
        <v/>
      </c>
    </row>
    <row r="406">
      <c r="A406" t="inlineStr">
        <is>
          <t>KR-00245</t>
        </is>
      </c>
      <c r="B406" t="inlineStr">
        <is>
          <t>C-0165</t>
        </is>
      </c>
      <c r="C406" t="inlineStr">
        <is>
          <t>Retail-Plus</t>
        </is>
      </c>
      <c r="D406" t="inlineStr">
        <is>
          <t>app</t>
        </is>
      </c>
      <c r="E406" s="7" t="n">
        <v>46129</v>
      </c>
      <c r="F406" t="n">
        <v>2910</v>
      </c>
      <c r="G406" t="n">
        <v>1746</v>
      </c>
      <c r="H406" t="inlineStr">
        <is>
          <t>2026-04-19</t>
        </is>
      </c>
      <c r="I406">
        <f>IF(MONTH(E406)&lt;=6,"Q1","Q2")</f>
        <v/>
      </c>
      <c r="J406">
        <f>YEAR(E406)*100+MONTH(E406)</f>
        <v/>
      </c>
      <c r="K406">
        <f>IF(COUNTIF($A$2:A406,A406)=1,1,0)</f>
        <v/>
      </c>
      <c r="L406">
        <f>IF(K406=1,IF(COUNTIFS($B$2:B406,B406,$I$2:I406,I406,$K$2:K406,1)=1,1,0),0)</f>
        <v/>
      </c>
      <c r="M406">
        <f>IF(Tree!$C$4="once per order",F406*K406,F406)</f>
        <v/>
      </c>
      <c r="N406">
        <f>IF(Tree!$C$4="once per order",K406,1)</f>
        <v/>
      </c>
      <c r="O406">
        <f>IF(Tree!$C$4="once per order",L406,1)</f>
        <v/>
      </c>
    </row>
    <row r="407">
      <c r="A407" t="inlineStr">
        <is>
          <t>KR-00245</t>
        </is>
      </c>
      <c r="B407" t="inlineStr">
        <is>
          <t>C-0165</t>
        </is>
      </c>
      <c r="C407" t="inlineStr">
        <is>
          <t>Retail-Plus</t>
        </is>
      </c>
      <c r="D407" t="inlineStr">
        <is>
          <t>app</t>
        </is>
      </c>
      <c r="E407" s="7" t="n">
        <v>46129</v>
      </c>
      <c r="F407" t="n">
        <v>2910</v>
      </c>
      <c r="G407" t="n">
        <v>1164</v>
      </c>
      <c r="H407" t="inlineStr">
        <is>
          <t>2026-04-19</t>
        </is>
      </c>
      <c r="I407">
        <f>IF(MONTH(E407)&lt;=6,"Q1","Q2")</f>
        <v/>
      </c>
      <c r="J407">
        <f>YEAR(E407)*100+MONTH(E407)</f>
        <v/>
      </c>
      <c r="K407">
        <f>IF(COUNTIF($A$2:A407,A407)=1,1,0)</f>
        <v/>
      </c>
      <c r="L407">
        <f>IF(K407=1,IF(COUNTIFS($B$2:B407,B407,$I$2:I407,I407,$K$2:K407,1)=1,1,0),0)</f>
        <v/>
      </c>
      <c r="M407">
        <f>IF(Tree!$C$4="once per order",F407*K407,F407)</f>
        <v/>
      </c>
      <c r="N407">
        <f>IF(Tree!$C$4="once per order",K407,1)</f>
        <v/>
      </c>
      <c r="O407">
        <f>IF(Tree!$C$4="once per order",L407,1)</f>
        <v/>
      </c>
    </row>
    <row r="408">
      <c r="A408" t="inlineStr">
        <is>
          <t>KR-00246</t>
        </is>
      </c>
      <c r="B408" t="inlineStr">
        <is>
          <t>C-0158</t>
        </is>
      </c>
      <c r="C408" t="inlineStr">
        <is>
          <t>Retail-Plus</t>
        </is>
      </c>
      <c r="D408" t="inlineStr">
        <is>
          <t>app</t>
        </is>
      </c>
      <c r="E408" s="7" t="n">
        <v>46144</v>
      </c>
      <c r="F408" t="n">
        <v>3870</v>
      </c>
      <c r="G408" t="n">
        <v>2322</v>
      </c>
      <c r="H408" t="inlineStr">
        <is>
          <t>2026-05-04</t>
        </is>
      </c>
      <c r="I408">
        <f>IF(MONTH(E408)&lt;=6,"Q1","Q2")</f>
        <v/>
      </c>
      <c r="J408">
        <f>YEAR(E408)*100+MONTH(E408)</f>
        <v/>
      </c>
      <c r="K408">
        <f>IF(COUNTIF($A$2:A408,A408)=1,1,0)</f>
        <v/>
      </c>
      <c r="L408">
        <f>IF(K408=1,IF(COUNTIFS($B$2:B408,B408,$I$2:I408,I408,$K$2:K408,1)=1,1,0),0)</f>
        <v/>
      </c>
      <c r="M408">
        <f>IF(Tree!$C$4="once per order",F408*K408,F408)</f>
        <v/>
      </c>
      <c r="N408">
        <f>IF(Tree!$C$4="once per order",K408,1)</f>
        <v/>
      </c>
      <c r="O408">
        <f>IF(Tree!$C$4="once per order",L408,1)</f>
        <v/>
      </c>
    </row>
    <row r="409">
      <c r="A409" t="inlineStr">
        <is>
          <t>KR-00246</t>
        </is>
      </c>
      <c r="B409" t="inlineStr">
        <is>
          <t>C-0158</t>
        </is>
      </c>
      <c r="C409" t="inlineStr">
        <is>
          <t>Retail-Plus</t>
        </is>
      </c>
      <c r="D409" t="inlineStr">
        <is>
          <t>app</t>
        </is>
      </c>
      <c r="E409" s="7" t="n">
        <v>46144</v>
      </c>
      <c r="F409" t="n">
        <v>3870</v>
      </c>
      <c r="G409" t="n">
        <v>1548</v>
      </c>
      <c r="H409" t="inlineStr">
        <is>
          <t>2026-05-04</t>
        </is>
      </c>
      <c r="I409">
        <f>IF(MONTH(E409)&lt;=6,"Q1","Q2")</f>
        <v/>
      </c>
      <c r="J409">
        <f>YEAR(E409)*100+MONTH(E409)</f>
        <v/>
      </c>
      <c r="K409">
        <f>IF(COUNTIF($A$2:A409,A409)=1,1,0)</f>
        <v/>
      </c>
      <c r="L409">
        <f>IF(K409=1,IF(COUNTIFS($B$2:B409,B409,$I$2:I409,I409,$K$2:K409,1)=1,1,0),0)</f>
        <v/>
      </c>
      <c r="M409">
        <f>IF(Tree!$C$4="once per order",F409*K409,F409)</f>
        <v/>
      </c>
      <c r="N409">
        <f>IF(Tree!$C$4="once per order",K409,1)</f>
        <v/>
      </c>
      <c r="O409">
        <f>IF(Tree!$C$4="once per order",L409,1)</f>
        <v/>
      </c>
    </row>
    <row r="410">
      <c r="A410" t="inlineStr">
        <is>
          <t>KR-00247</t>
        </is>
      </c>
      <c r="B410" t="inlineStr">
        <is>
          <t>C-0171</t>
        </is>
      </c>
      <c r="C410" t="inlineStr">
        <is>
          <t>Retail-Plus</t>
        </is>
      </c>
      <c r="D410" t="inlineStr">
        <is>
          <t>app</t>
        </is>
      </c>
      <c r="E410" s="7" t="n">
        <v>46198</v>
      </c>
      <c r="F410" t="n">
        <v>4130</v>
      </c>
      <c r="G410" t="n">
        <v>2478</v>
      </c>
      <c r="H410" t="inlineStr">
        <is>
          <t>2026-06-27</t>
        </is>
      </c>
      <c r="I410">
        <f>IF(MONTH(E410)&lt;=6,"Q1","Q2")</f>
        <v/>
      </c>
      <c r="J410">
        <f>YEAR(E410)*100+MONTH(E410)</f>
        <v/>
      </c>
      <c r="K410">
        <f>IF(COUNTIF($A$2:A410,A410)=1,1,0)</f>
        <v/>
      </c>
      <c r="L410">
        <f>IF(K410=1,IF(COUNTIFS($B$2:B410,B410,$I$2:I410,I410,$K$2:K410,1)=1,1,0),0)</f>
        <v/>
      </c>
      <c r="M410">
        <f>IF(Tree!$C$4="once per order",F410*K410,F410)</f>
        <v/>
      </c>
      <c r="N410">
        <f>IF(Tree!$C$4="once per order",K410,1)</f>
        <v/>
      </c>
      <c r="O410">
        <f>IF(Tree!$C$4="once per order",L410,1)</f>
        <v/>
      </c>
    </row>
    <row r="411">
      <c r="A411" t="inlineStr">
        <is>
          <t>KR-00247</t>
        </is>
      </c>
      <c r="B411" t="inlineStr">
        <is>
          <t>C-0171</t>
        </is>
      </c>
      <c r="C411" t="inlineStr">
        <is>
          <t>Retail-Plus</t>
        </is>
      </c>
      <c r="D411" t="inlineStr">
        <is>
          <t>app</t>
        </is>
      </c>
      <c r="E411" s="7" t="n">
        <v>46198</v>
      </c>
      <c r="F411" t="n">
        <v>4130</v>
      </c>
      <c r="G411" t="n">
        <v>1652</v>
      </c>
      <c r="H411" t="inlineStr">
        <is>
          <t>2026-06-27</t>
        </is>
      </c>
      <c r="I411">
        <f>IF(MONTH(E411)&lt;=6,"Q1","Q2")</f>
        <v/>
      </c>
      <c r="J411">
        <f>YEAR(E411)*100+MONTH(E411)</f>
        <v/>
      </c>
      <c r="K411">
        <f>IF(COUNTIF($A$2:A411,A411)=1,1,0)</f>
        <v/>
      </c>
      <c r="L411">
        <f>IF(K411=1,IF(COUNTIFS($B$2:B411,B411,$I$2:I411,I411,$K$2:K411,1)=1,1,0),0)</f>
        <v/>
      </c>
      <c r="M411">
        <f>IF(Tree!$C$4="once per order",F411*K411,F411)</f>
        <v/>
      </c>
      <c r="N411">
        <f>IF(Tree!$C$4="once per order",K411,1)</f>
        <v/>
      </c>
      <c r="O411">
        <f>IF(Tree!$C$4="once per order",L411,1)</f>
        <v/>
      </c>
    </row>
    <row r="412">
      <c r="A412" t="inlineStr">
        <is>
          <t>KR-00248</t>
        </is>
      </c>
      <c r="B412" t="inlineStr">
        <is>
          <t>C-0172</t>
        </is>
      </c>
      <c r="C412" t="inlineStr">
        <is>
          <t>Retail-Plus</t>
        </is>
      </c>
      <c r="D412" t="inlineStr">
        <is>
          <t>web</t>
        </is>
      </c>
      <c r="E412" s="7" t="n">
        <v>46139</v>
      </c>
      <c r="F412" t="n">
        <v>3130</v>
      </c>
      <c r="G412" t="n">
        <v>1878</v>
      </c>
      <c r="H412" t="inlineStr">
        <is>
          <t>2026-04-28</t>
        </is>
      </c>
      <c r="I412">
        <f>IF(MONTH(E412)&lt;=6,"Q1","Q2")</f>
        <v/>
      </c>
      <c r="J412">
        <f>YEAR(E412)*100+MONTH(E412)</f>
        <v/>
      </c>
      <c r="K412">
        <f>IF(COUNTIF($A$2:A412,A412)=1,1,0)</f>
        <v/>
      </c>
      <c r="L412">
        <f>IF(K412=1,IF(COUNTIFS($B$2:B412,B412,$I$2:I412,I412,$K$2:K412,1)=1,1,0),0)</f>
        <v/>
      </c>
      <c r="M412">
        <f>IF(Tree!$C$4="once per order",F412*K412,F412)</f>
        <v/>
      </c>
      <c r="N412">
        <f>IF(Tree!$C$4="once per order",K412,1)</f>
        <v/>
      </c>
      <c r="O412">
        <f>IF(Tree!$C$4="once per order",L412,1)</f>
        <v/>
      </c>
    </row>
    <row r="413">
      <c r="A413" t="inlineStr">
        <is>
          <t>KR-00248</t>
        </is>
      </c>
      <c r="B413" t="inlineStr">
        <is>
          <t>C-0172</t>
        </is>
      </c>
      <c r="C413" t="inlineStr">
        <is>
          <t>Retail-Plus</t>
        </is>
      </c>
      <c r="D413" t="inlineStr">
        <is>
          <t>web</t>
        </is>
      </c>
      <c r="E413" s="7" t="n">
        <v>46139</v>
      </c>
      <c r="F413" t="n">
        <v>3130</v>
      </c>
      <c r="G413" t="n">
        <v>1252</v>
      </c>
      <c r="H413" t="inlineStr">
        <is>
          <t>2026-04-28</t>
        </is>
      </c>
      <c r="I413">
        <f>IF(MONTH(E413)&lt;=6,"Q1","Q2")</f>
        <v/>
      </c>
      <c r="J413">
        <f>YEAR(E413)*100+MONTH(E413)</f>
        <v/>
      </c>
      <c r="K413">
        <f>IF(COUNTIF($A$2:A413,A413)=1,1,0)</f>
        <v/>
      </c>
      <c r="L413">
        <f>IF(K413=1,IF(COUNTIFS($B$2:B413,B413,$I$2:I413,I413,$K$2:K413,1)=1,1,0),0)</f>
        <v/>
      </c>
      <c r="M413">
        <f>IF(Tree!$C$4="once per order",F413*K413,F413)</f>
        <v/>
      </c>
      <c r="N413">
        <f>IF(Tree!$C$4="once per order",K413,1)</f>
        <v/>
      </c>
      <c r="O413">
        <f>IF(Tree!$C$4="once per order",L413,1)</f>
        <v/>
      </c>
    </row>
    <row r="414">
      <c r="A414" t="inlineStr">
        <is>
          <t>KR-00249</t>
        </is>
      </c>
      <c r="B414" t="inlineStr">
        <is>
          <t>C-0190</t>
        </is>
      </c>
      <c r="C414" t="inlineStr">
        <is>
          <t>Retail-Plus</t>
        </is>
      </c>
      <c r="D414" t="inlineStr">
        <is>
          <t>app</t>
        </is>
      </c>
      <c r="E414" s="7" t="n">
        <v>46152</v>
      </c>
      <c r="F414" t="n">
        <v>4260</v>
      </c>
      <c r="G414" t="n">
        <v>2556</v>
      </c>
      <c r="H414" t="inlineStr">
        <is>
          <t>2026-05-12</t>
        </is>
      </c>
      <c r="I414">
        <f>IF(MONTH(E414)&lt;=6,"Q1","Q2")</f>
        <v/>
      </c>
      <c r="J414">
        <f>YEAR(E414)*100+MONTH(E414)</f>
        <v/>
      </c>
      <c r="K414">
        <f>IF(COUNTIF($A$2:A414,A414)=1,1,0)</f>
        <v/>
      </c>
      <c r="L414">
        <f>IF(K414=1,IF(COUNTIFS($B$2:B414,B414,$I$2:I414,I414,$K$2:K414,1)=1,1,0),0)</f>
        <v/>
      </c>
      <c r="M414">
        <f>IF(Tree!$C$4="once per order",F414*K414,F414)</f>
        <v/>
      </c>
      <c r="N414">
        <f>IF(Tree!$C$4="once per order",K414,1)</f>
        <v/>
      </c>
      <c r="O414">
        <f>IF(Tree!$C$4="once per order",L414,1)</f>
        <v/>
      </c>
    </row>
    <row r="415">
      <c r="A415" t="inlineStr">
        <is>
          <t>KR-00249</t>
        </is>
      </c>
      <c r="B415" t="inlineStr">
        <is>
          <t>C-0190</t>
        </is>
      </c>
      <c r="C415" t="inlineStr">
        <is>
          <t>Retail-Plus</t>
        </is>
      </c>
      <c r="D415" t="inlineStr">
        <is>
          <t>app</t>
        </is>
      </c>
      <c r="E415" s="7" t="n">
        <v>46152</v>
      </c>
      <c r="F415" t="n">
        <v>4260</v>
      </c>
      <c r="G415" t="n">
        <v>1704</v>
      </c>
      <c r="H415" t="inlineStr">
        <is>
          <t>2026-05-12</t>
        </is>
      </c>
      <c r="I415">
        <f>IF(MONTH(E415)&lt;=6,"Q1","Q2")</f>
        <v/>
      </c>
      <c r="J415">
        <f>YEAR(E415)*100+MONTH(E415)</f>
        <v/>
      </c>
      <c r="K415">
        <f>IF(COUNTIF($A$2:A415,A415)=1,1,0)</f>
        <v/>
      </c>
      <c r="L415">
        <f>IF(K415=1,IF(COUNTIFS($B$2:B415,B415,$I$2:I415,I415,$K$2:K415,1)=1,1,0),0)</f>
        <v/>
      </c>
      <c r="M415">
        <f>IF(Tree!$C$4="once per order",F415*K415,F415)</f>
        <v/>
      </c>
      <c r="N415">
        <f>IF(Tree!$C$4="once per order",K415,1)</f>
        <v/>
      </c>
      <c r="O415">
        <f>IF(Tree!$C$4="once per order",L415,1)</f>
        <v/>
      </c>
    </row>
    <row r="416">
      <c r="A416" t="inlineStr">
        <is>
          <t>KR-00250</t>
        </is>
      </c>
      <c r="B416" t="inlineStr">
        <is>
          <t>C-0160</t>
        </is>
      </c>
      <c r="C416" t="inlineStr">
        <is>
          <t>Retail-Plus</t>
        </is>
      </c>
      <c r="D416" t="inlineStr">
        <is>
          <t>store</t>
        </is>
      </c>
      <c r="E416" s="7" t="n">
        <v>46191</v>
      </c>
      <c r="F416" t="n">
        <v>3060</v>
      </c>
      <c r="G416" t="n">
        <v>1836</v>
      </c>
      <c r="H416" t="inlineStr">
        <is>
          <t>2026-06-20</t>
        </is>
      </c>
      <c r="I416">
        <f>IF(MONTH(E416)&lt;=6,"Q1","Q2")</f>
        <v/>
      </c>
      <c r="J416">
        <f>YEAR(E416)*100+MONTH(E416)</f>
        <v/>
      </c>
      <c r="K416">
        <f>IF(COUNTIF($A$2:A416,A416)=1,1,0)</f>
        <v/>
      </c>
      <c r="L416">
        <f>IF(K416=1,IF(COUNTIFS($B$2:B416,B416,$I$2:I416,I416,$K$2:K416,1)=1,1,0),0)</f>
        <v/>
      </c>
      <c r="M416">
        <f>IF(Tree!$C$4="once per order",F416*K416,F416)</f>
        <v/>
      </c>
      <c r="N416">
        <f>IF(Tree!$C$4="once per order",K416,1)</f>
        <v/>
      </c>
      <c r="O416">
        <f>IF(Tree!$C$4="once per order",L416,1)</f>
        <v/>
      </c>
    </row>
    <row r="417">
      <c r="A417" t="inlineStr">
        <is>
          <t>KR-00250</t>
        </is>
      </c>
      <c r="B417" t="inlineStr">
        <is>
          <t>C-0160</t>
        </is>
      </c>
      <c r="C417" t="inlineStr">
        <is>
          <t>Retail-Plus</t>
        </is>
      </c>
      <c r="D417" t="inlineStr">
        <is>
          <t>store</t>
        </is>
      </c>
      <c r="E417" s="7" t="n">
        <v>46191</v>
      </c>
      <c r="F417" t="n">
        <v>3060</v>
      </c>
      <c r="G417" t="n">
        <v>1224</v>
      </c>
      <c r="H417" t="inlineStr">
        <is>
          <t>2026-06-20</t>
        </is>
      </c>
      <c r="I417">
        <f>IF(MONTH(E417)&lt;=6,"Q1","Q2")</f>
        <v/>
      </c>
      <c r="J417">
        <f>YEAR(E417)*100+MONTH(E417)</f>
        <v/>
      </c>
      <c r="K417">
        <f>IF(COUNTIF($A$2:A417,A417)=1,1,0)</f>
        <v/>
      </c>
      <c r="L417">
        <f>IF(K417=1,IF(COUNTIFS($B$2:B417,B417,$I$2:I417,I417,$K$2:K417,1)=1,1,0),0)</f>
        <v/>
      </c>
      <c r="M417">
        <f>IF(Tree!$C$4="once per order",F417*K417,F417)</f>
        <v/>
      </c>
      <c r="N417">
        <f>IF(Tree!$C$4="once per order",K417,1)</f>
        <v/>
      </c>
      <c r="O417">
        <f>IF(Tree!$C$4="once per order",L417,1)</f>
        <v/>
      </c>
    </row>
    <row r="418">
      <c r="A418" t="inlineStr">
        <is>
          <t>KR-00251</t>
        </is>
      </c>
      <c r="B418" t="inlineStr">
        <is>
          <t>C-0213</t>
        </is>
      </c>
      <c r="C418" t="inlineStr">
        <is>
          <t>Retail-Plus</t>
        </is>
      </c>
      <c r="D418" t="inlineStr">
        <is>
          <t>store</t>
        </is>
      </c>
      <c r="E418" s="7" t="n">
        <v>46126</v>
      </c>
      <c r="F418" t="n">
        <v>2190</v>
      </c>
      <c r="G418" t="n">
        <v>2190</v>
      </c>
      <c r="H418" t="inlineStr">
        <is>
          <t>2026-04-16</t>
        </is>
      </c>
      <c r="I418">
        <f>IF(MONTH(E418)&lt;=6,"Q1","Q2")</f>
        <v/>
      </c>
      <c r="J418">
        <f>YEAR(E418)*100+MONTH(E418)</f>
        <v/>
      </c>
      <c r="K418">
        <f>IF(COUNTIF($A$2:A418,A418)=1,1,0)</f>
        <v/>
      </c>
      <c r="L418">
        <f>IF(K418=1,IF(COUNTIFS($B$2:B418,B418,$I$2:I418,I418,$K$2:K418,1)=1,1,0),0)</f>
        <v/>
      </c>
      <c r="M418">
        <f>IF(Tree!$C$4="once per order",F418*K418,F418)</f>
        <v/>
      </c>
      <c r="N418">
        <f>IF(Tree!$C$4="once per order",K418,1)</f>
        <v/>
      </c>
      <c r="O418">
        <f>IF(Tree!$C$4="once per order",L418,1)</f>
        <v/>
      </c>
    </row>
    <row r="419">
      <c r="A419" t="inlineStr">
        <is>
          <t>KR-00252</t>
        </is>
      </c>
      <c r="B419" t="inlineStr">
        <is>
          <t>C-0184</t>
        </is>
      </c>
      <c r="C419" t="inlineStr">
        <is>
          <t>Retail-Plus</t>
        </is>
      </c>
      <c r="D419" t="inlineStr">
        <is>
          <t>app</t>
        </is>
      </c>
      <c r="E419" s="7" t="n">
        <v>46158</v>
      </c>
      <c r="F419" t="n">
        <v>2200</v>
      </c>
      <c r="G419" t="n">
        <v>2200</v>
      </c>
      <c r="H419" t="inlineStr">
        <is>
          <t>2026-05-18</t>
        </is>
      </c>
      <c r="I419">
        <f>IF(MONTH(E419)&lt;=6,"Q1","Q2")</f>
        <v/>
      </c>
      <c r="J419">
        <f>YEAR(E419)*100+MONTH(E419)</f>
        <v/>
      </c>
      <c r="K419">
        <f>IF(COUNTIF($A$2:A419,A419)=1,1,0)</f>
        <v/>
      </c>
      <c r="L419">
        <f>IF(K419=1,IF(COUNTIFS($B$2:B419,B419,$I$2:I419,I419,$K$2:K419,1)=1,1,0),0)</f>
        <v/>
      </c>
      <c r="M419">
        <f>IF(Tree!$C$4="once per order",F419*K419,F419)</f>
        <v/>
      </c>
      <c r="N419">
        <f>IF(Tree!$C$4="once per order",K419,1)</f>
        <v/>
      </c>
      <c r="O419">
        <f>IF(Tree!$C$4="once per order",L419,1)</f>
        <v/>
      </c>
    </row>
    <row r="420">
      <c r="A420" t="inlineStr">
        <is>
          <t>KR-00253</t>
        </is>
      </c>
      <c r="B420" t="inlineStr">
        <is>
          <t>C-0175</t>
        </is>
      </c>
      <c r="C420" t="inlineStr">
        <is>
          <t>Retail-Plus</t>
        </is>
      </c>
      <c r="D420" t="inlineStr">
        <is>
          <t>app</t>
        </is>
      </c>
      <c r="E420" s="7" t="n">
        <v>46176</v>
      </c>
      <c r="F420" t="n">
        <v>2680</v>
      </c>
      <c r="G420" t="n">
        <v>2680</v>
      </c>
      <c r="H420" t="inlineStr">
        <is>
          <t>2026-06-05</t>
        </is>
      </c>
      <c r="I420">
        <f>IF(MONTH(E420)&lt;=6,"Q1","Q2")</f>
        <v/>
      </c>
      <c r="J420">
        <f>YEAR(E420)*100+MONTH(E420)</f>
        <v/>
      </c>
      <c r="K420">
        <f>IF(COUNTIF($A$2:A420,A420)=1,1,0)</f>
        <v/>
      </c>
      <c r="L420">
        <f>IF(K420=1,IF(COUNTIFS($B$2:B420,B420,$I$2:I420,I420,$K$2:K420,1)=1,1,0),0)</f>
        <v/>
      </c>
      <c r="M420">
        <f>IF(Tree!$C$4="once per order",F420*K420,F420)</f>
        <v/>
      </c>
      <c r="N420">
        <f>IF(Tree!$C$4="once per order",K420,1)</f>
        <v/>
      </c>
      <c r="O420">
        <f>IF(Tree!$C$4="once per order",L420,1)</f>
        <v/>
      </c>
    </row>
    <row r="421">
      <c r="A421" t="inlineStr">
        <is>
          <t>KR-00254</t>
        </is>
      </c>
      <c r="B421" t="inlineStr">
        <is>
          <t>C-0153</t>
        </is>
      </c>
      <c r="C421" t="inlineStr">
        <is>
          <t>Retail-Plus</t>
        </is>
      </c>
      <c r="D421" t="inlineStr">
        <is>
          <t>store</t>
        </is>
      </c>
      <c r="E421" s="7" t="n">
        <v>46137</v>
      </c>
      <c r="F421" t="n">
        <v>2580</v>
      </c>
      <c r="G421" t="n">
        <v>2580</v>
      </c>
      <c r="H421" t="inlineStr">
        <is>
          <t>2026-04-27</t>
        </is>
      </c>
      <c r="I421">
        <f>IF(MONTH(E421)&lt;=6,"Q1","Q2")</f>
        <v/>
      </c>
      <c r="J421">
        <f>YEAR(E421)*100+MONTH(E421)</f>
        <v/>
      </c>
      <c r="K421">
        <f>IF(COUNTIF($A$2:A421,A421)=1,1,0)</f>
        <v/>
      </c>
      <c r="L421">
        <f>IF(K421=1,IF(COUNTIFS($B$2:B421,B421,$I$2:I421,I421,$K$2:K421,1)=1,1,0),0)</f>
        <v/>
      </c>
      <c r="M421">
        <f>IF(Tree!$C$4="once per order",F421*K421,F421)</f>
        <v/>
      </c>
      <c r="N421">
        <f>IF(Tree!$C$4="once per order",K421,1)</f>
        <v/>
      </c>
      <c r="O421">
        <f>IF(Tree!$C$4="once per order",L421,1)</f>
        <v/>
      </c>
    </row>
    <row r="422">
      <c r="A422" t="inlineStr">
        <is>
          <t>KR-00255</t>
        </is>
      </c>
      <c r="B422" t="inlineStr">
        <is>
          <t>C-0239</t>
        </is>
      </c>
      <c r="C422" t="inlineStr">
        <is>
          <t>Retail-Plus</t>
        </is>
      </c>
      <c r="D422" t="inlineStr">
        <is>
          <t>store</t>
        </is>
      </c>
      <c r="E422" s="7" t="n">
        <v>46147</v>
      </c>
      <c r="F422" t="n">
        <v>3770</v>
      </c>
      <c r="G422" t="n">
        <v>2262</v>
      </c>
      <c r="H422" t="inlineStr">
        <is>
          <t>2026-05-07</t>
        </is>
      </c>
      <c r="I422">
        <f>IF(MONTH(E422)&lt;=6,"Q1","Q2")</f>
        <v/>
      </c>
      <c r="J422">
        <f>YEAR(E422)*100+MONTH(E422)</f>
        <v/>
      </c>
      <c r="K422">
        <f>IF(COUNTIF($A$2:A422,A422)=1,1,0)</f>
        <v/>
      </c>
      <c r="L422">
        <f>IF(K422=1,IF(COUNTIFS($B$2:B422,B422,$I$2:I422,I422,$K$2:K422,1)=1,1,0),0)</f>
        <v/>
      </c>
      <c r="M422">
        <f>IF(Tree!$C$4="once per order",F422*K422,F422)</f>
        <v/>
      </c>
      <c r="N422">
        <f>IF(Tree!$C$4="once per order",K422,1)</f>
        <v/>
      </c>
      <c r="O422">
        <f>IF(Tree!$C$4="once per order",L422,1)</f>
        <v/>
      </c>
    </row>
    <row r="423">
      <c r="A423" t="inlineStr">
        <is>
          <t>KR-00255</t>
        </is>
      </c>
      <c r="B423" t="inlineStr">
        <is>
          <t>C-0239</t>
        </is>
      </c>
      <c r="C423" t="inlineStr">
        <is>
          <t>Retail-Plus</t>
        </is>
      </c>
      <c r="D423" t="inlineStr">
        <is>
          <t>store</t>
        </is>
      </c>
      <c r="E423" s="7" t="n">
        <v>46147</v>
      </c>
      <c r="F423" t="n">
        <v>3770</v>
      </c>
      <c r="G423" t="n">
        <v>1508</v>
      </c>
      <c r="H423" t="inlineStr">
        <is>
          <t>2026-05-07</t>
        </is>
      </c>
      <c r="I423">
        <f>IF(MONTH(E423)&lt;=6,"Q1","Q2")</f>
        <v/>
      </c>
      <c r="J423">
        <f>YEAR(E423)*100+MONTH(E423)</f>
        <v/>
      </c>
      <c r="K423">
        <f>IF(COUNTIF($A$2:A423,A423)=1,1,0)</f>
        <v/>
      </c>
      <c r="L423">
        <f>IF(K423=1,IF(COUNTIFS($B$2:B423,B423,$I$2:I423,I423,$K$2:K423,1)=1,1,0),0)</f>
        <v/>
      </c>
      <c r="M423">
        <f>IF(Tree!$C$4="once per order",F423*K423,F423)</f>
        <v/>
      </c>
      <c r="N423">
        <f>IF(Tree!$C$4="once per order",K423,1)</f>
        <v/>
      </c>
      <c r="O423">
        <f>IF(Tree!$C$4="once per order",L423,1)</f>
        <v/>
      </c>
    </row>
    <row r="424">
      <c r="A424" t="inlineStr">
        <is>
          <t>KR-00256</t>
        </is>
      </c>
      <c r="B424" t="inlineStr">
        <is>
          <t>C-0184</t>
        </is>
      </c>
      <c r="C424" t="inlineStr">
        <is>
          <t>Retail-Plus</t>
        </is>
      </c>
      <c r="D424" t="inlineStr">
        <is>
          <t>web</t>
        </is>
      </c>
      <c r="E424" s="7" t="n">
        <v>46175</v>
      </c>
      <c r="F424" t="n">
        <v>3400</v>
      </c>
      <c r="G424" t="n">
        <v>2040</v>
      </c>
      <c r="H424" t="inlineStr">
        <is>
          <t>2026-06-04</t>
        </is>
      </c>
      <c r="I424">
        <f>IF(MONTH(E424)&lt;=6,"Q1","Q2")</f>
        <v/>
      </c>
      <c r="J424">
        <f>YEAR(E424)*100+MONTH(E424)</f>
        <v/>
      </c>
      <c r="K424">
        <f>IF(COUNTIF($A$2:A424,A424)=1,1,0)</f>
        <v/>
      </c>
      <c r="L424">
        <f>IF(K424=1,IF(COUNTIFS($B$2:B424,B424,$I$2:I424,I424,$K$2:K424,1)=1,1,0),0)</f>
        <v/>
      </c>
      <c r="M424">
        <f>IF(Tree!$C$4="once per order",F424*K424,F424)</f>
        <v/>
      </c>
      <c r="N424">
        <f>IF(Tree!$C$4="once per order",K424,1)</f>
        <v/>
      </c>
      <c r="O424">
        <f>IF(Tree!$C$4="once per order",L424,1)</f>
        <v/>
      </c>
    </row>
    <row r="425">
      <c r="A425" t="inlineStr">
        <is>
          <t>KR-00256</t>
        </is>
      </c>
      <c r="B425" t="inlineStr">
        <is>
          <t>C-0184</t>
        </is>
      </c>
      <c r="C425" t="inlineStr">
        <is>
          <t>Retail-Plus</t>
        </is>
      </c>
      <c r="D425" t="inlineStr">
        <is>
          <t>web</t>
        </is>
      </c>
      <c r="E425" s="7" t="n">
        <v>46175</v>
      </c>
      <c r="F425" t="n">
        <v>3400</v>
      </c>
      <c r="G425" t="n">
        <v>1360</v>
      </c>
      <c r="H425" t="inlineStr">
        <is>
          <t>2026-06-04</t>
        </is>
      </c>
      <c r="I425">
        <f>IF(MONTH(E425)&lt;=6,"Q1","Q2")</f>
        <v/>
      </c>
      <c r="J425">
        <f>YEAR(E425)*100+MONTH(E425)</f>
        <v/>
      </c>
      <c r="K425">
        <f>IF(COUNTIF($A$2:A425,A425)=1,1,0)</f>
        <v/>
      </c>
      <c r="L425">
        <f>IF(K425=1,IF(COUNTIFS($B$2:B425,B425,$I$2:I425,I425,$K$2:K425,1)=1,1,0),0)</f>
        <v/>
      </c>
      <c r="M425">
        <f>IF(Tree!$C$4="once per order",F425*K425,F425)</f>
        <v/>
      </c>
      <c r="N425">
        <f>IF(Tree!$C$4="once per order",K425,1)</f>
        <v/>
      </c>
      <c r="O425">
        <f>IF(Tree!$C$4="once per order",L425,1)</f>
        <v/>
      </c>
    </row>
    <row r="426">
      <c r="A426" t="inlineStr">
        <is>
          <t>KR-00257</t>
        </is>
      </c>
      <c r="B426" t="inlineStr">
        <is>
          <t>C-0164</t>
        </is>
      </c>
      <c r="C426" t="inlineStr">
        <is>
          <t>Retail-Plus</t>
        </is>
      </c>
      <c r="D426" t="inlineStr">
        <is>
          <t>app</t>
        </is>
      </c>
      <c r="E426" s="7" t="n">
        <v>46119</v>
      </c>
      <c r="F426" t="n">
        <v>1840</v>
      </c>
      <c r="G426" t="n">
        <v>1840</v>
      </c>
      <c r="H426" t="inlineStr">
        <is>
          <t>2026-04-09</t>
        </is>
      </c>
      <c r="I426">
        <f>IF(MONTH(E426)&lt;=6,"Q1","Q2")</f>
        <v/>
      </c>
      <c r="J426">
        <f>YEAR(E426)*100+MONTH(E426)</f>
        <v/>
      </c>
      <c r="K426">
        <f>IF(COUNTIF($A$2:A426,A426)=1,1,0)</f>
        <v/>
      </c>
      <c r="L426">
        <f>IF(K426=1,IF(COUNTIFS($B$2:B426,B426,$I$2:I426,I426,$K$2:K426,1)=1,1,0),0)</f>
        <v/>
      </c>
      <c r="M426">
        <f>IF(Tree!$C$4="once per order",F426*K426,F426)</f>
        <v/>
      </c>
      <c r="N426">
        <f>IF(Tree!$C$4="once per order",K426,1)</f>
        <v/>
      </c>
      <c r="O426">
        <f>IF(Tree!$C$4="once per order",L426,1)</f>
        <v/>
      </c>
    </row>
    <row r="427">
      <c r="A427" t="inlineStr">
        <is>
          <t>KR-00258</t>
        </is>
      </c>
      <c r="B427" t="inlineStr">
        <is>
          <t>C-0244</t>
        </is>
      </c>
      <c r="C427" t="inlineStr">
        <is>
          <t>Retail-Plus</t>
        </is>
      </c>
      <c r="D427" t="inlineStr">
        <is>
          <t>web</t>
        </is>
      </c>
      <c r="E427" s="7" t="n">
        <v>46149</v>
      </c>
      <c r="F427" t="n">
        <v>1670</v>
      </c>
      <c r="G427" t="n">
        <v>1670</v>
      </c>
      <c r="H427" t="inlineStr">
        <is>
          <t>2026-05-09</t>
        </is>
      </c>
      <c r="I427">
        <f>IF(MONTH(E427)&lt;=6,"Q1","Q2")</f>
        <v/>
      </c>
      <c r="J427">
        <f>YEAR(E427)*100+MONTH(E427)</f>
        <v/>
      </c>
      <c r="K427">
        <f>IF(COUNTIF($A$2:A427,A427)=1,1,0)</f>
        <v/>
      </c>
      <c r="L427">
        <f>IF(K427=1,IF(COUNTIFS($B$2:B427,B427,$I$2:I427,I427,$K$2:K427,1)=1,1,0),0)</f>
        <v/>
      </c>
      <c r="M427">
        <f>IF(Tree!$C$4="once per order",F427*K427,F427)</f>
        <v/>
      </c>
      <c r="N427">
        <f>IF(Tree!$C$4="once per order",K427,1)</f>
        <v/>
      </c>
      <c r="O427">
        <f>IF(Tree!$C$4="once per order",L427,1)</f>
        <v/>
      </c>
    </row>
    <row r="428">
      <c r="A428" t="inlineStr">
        <is>
          <t>KR-00259</t>
        </is>
      </c>
      <c r="B428" t="inlineStr">
        <is>
          <t>C-0188</t>
        </is>
      </c>
      <c r="C428" t="inlineStr">
        <is>
          <t>Retail-Plus</t>
        </is>
      </c>
      <c r="D428" t="inlineStr">
        <is>
          <t>web</t>
        </is>
      </c>
      <c r="E428" s="7" t="n">
        <v>46192</v>
      </c>
      <c r="F428" t="n">
        <v>2730</v>
      </c>
      <c r="G428" t="n">
        <v>2730</v>
      </c>
      <c r="H428" t="inlineStr">
        <is>
          <t>2026-06-21</t>
        </is>
      </c>
      <c r="I428">
        <f>IF(MONTH(E428)&lt;=6,"Q1","Q2")</f>
        <v/>
      </c>
      <c r="J428">
        <f>YEAR(E428)*100+MONTH(E428)</f>
        <v/>
      </c>
      <c r="K428">
        <f>IF(COUNTIF($A$2:A428,A428)=1,1,0)</f>
        <v/>
      </c>
      <c r="L428">
        <f>IF(K428=1,IF(COUNTIFS($B$2:B428,B428,$I$2:I428,I428,$K$2:K428,1)=1,1,0),0)</f>
        <v/>
      </c>
      <c r="M428">
        <f>IF(Tree!$C$4="once per order",F428*K428,F428)</f>
        <v/>
      </c>
      <c r="N428">
        <f>IF(Tree!$C$4="once per order",K428,1)</f>
        <v/>
      </c>
      <c r="O428">
        <f>IF(Tree!$C$4="once per order",L428,1)</f>
        <v/>
      </c>
    </row>
    <row r="429">
      <c r="A429" t="inlineStr">
        <is>
          <t>KR-00260</t>
        </is>
      </c>
      <c r="B429" t="inlineStr">
        <is>
          <t>C-0151</t>
        </is>
      </c>
      <c r="C429" t="inlineStr">
        <is>
          <t>Retail-Plus</t>
        </is>
      </c>
      <c r="D429" t="inlineStr">
        <is>
          <t>store</t>
        </is>
      </c>
      <c r="E429" s="7" t="n">
        <v>46134</v>
      </c>
      <c r="F429" t="n">
        <v>1400</v>
      </c>
      <c r="G429" t="n">
        <v>1400</v>
      </c>
      <c r="H429" t="inlineStr">
        <is>
          <t>2026-04-24</t>
        </is>
      </c>
      <c r="I429">
        <f>IF(MONTH(E429)&lt;=6,"Q1","Q2")</f>
        <v/>
      </c>
      <c r="J429">
        <f>YEAR(E429)*100+MONTH(E429)</f>
        <v/>
      </c>
      <c r="K429">
        <f>IF(COUNTIF($A$2:A429,A429)=1,1,0)</f>
        <v/>
      </c>
      <c r="L429">
        <f>IF(K429=1,IF(COUNTIFS($B$2:B429,B429,$I$2:I429,I429,$K$2:K429,1)=1,1,0),0)</f>
        <v/>
      </c>
      <c r="M429">
        <f>IF(Tree!$C$4="once per order",F429*K429,F429)</f>
        <v/>
      </c>
      <c r="N429">
        <f>IF(Tree!$C$4="once per order",K429,1)</f>
        <v/>
      </c>
      <c r="O429">
        <f>IF(Tree!$C$4="once per order",L429,1)</f>
        <v/>
      </c>
    </row>
    <row r="430">
      <c r="A430" t="inlineStr">
        <is>
          <t>KR-00261</t>
        </is>
      </c>
      <c r="B430" t="inlineStr">
        <is>
          <t>C-0219</t>
        </is>
      </c>
      <c r="C430" t="inlineStr">
        <is>
          <t>Retail-Plus</t>
        </is>
      </c>
      <c r="D430" t="inlineStr">
        <is>
          <t>web</t>
        </is>
      </c>
      <c r="E430" s="7" t="n">
        <v>46166</v>
      </c>
      <c r="F430" t="n">
        <v>2600</v>
      </c>
      <c r="G430" t="n">
        <v>2600</v>
      </c>
      <c r="H430" t="inlineStr">
        <is>
          <t>2026-05-26</t>
        </is>
      </c>
      <c r="I430">
        <f>IF(MONTH(E430)&lt;=6,"Q1","Q2")</f>
        <v/>
      </c>
      <c r="J430">
        <f>YEAR(E430)*100+MONTH(E430)</f>
        <v/>
      </c>
      <c r="K430">
        <f>IF(COUNTIF($A$2:A430,A430)=1,1,0)</f>
        <v/>
      </c>
      <c r="L430">
        <f>IF(K430=1,IF(COUNTIFS($B$2:B430,B430,$I$2:I430,I430,$K$2:K430,1)=1,1,0),0)</f>
        <v/>
      </c>
      <c r="M430">
        <f>IF(Tree!$C$4="once per order",F430*K430,F430)</f>
        <v/>
      </c>
      <c r="N430">
        <f>IF(Tree!$C$4="once per order",K430,1)</f>
        <v/>
      </c>
      <c r="O430">
        <f>IF(Tree!$C$4="once per order",L430,1)</f>
        <v/>
      </c>
    </row>
    <row r="431">
      <c r="A431" t="inlineStr">
        <is>
          <t>KR-00262</t>
        </is>
      </c>
      <c r="B431" t="inlineStr">
        <is>
          <t>C-0188</t>
        </is>
      </c>
      <c r="C431" t="inlineStr">
        <is>
          <t>Retail-Plus</t>
        </is>
      </c>
      <c r="D431" t="inlineStr">
        <is>
          <t>store</t>
        </is>
      </c>
      <c r="E431" s="7" t="n">
        <v>46196</v>
      </c>
      <c r="F431" t="n">
        <v>1840</v>
      </c>
      <c r="G431" t="n">
        <v>1840</v>
      </c>
      <c r="H431" t="inlineStr">
        <is>
          <t>2026-06-25</t>
        </is>
      </c>
      <c r="I431">
        <f>IF(MONTH(E431)&lt;=6,"Q1","Q2")</f>
        <v/>
      </c>
      <c r="J431">
        <f>YEAR(E431)*100+MONTH(E431)</f>
        <v/>
      </c>
      <c r="K431">
        <f>IF(COUNTIF($A$2:A431,A431)=1,1,0)</f>
        <v/>
      </c>
      <c r="L431">
        <f>IF(K431=1,IF(COUNTIFS($B$2:B431,B431,$I$2:I431,I431,$K$2:K431,1)=1,1,0),0)</f>
        <v/>
      </c>
      <c r="M431">
        <f>IF(Tree!$C$4="once per order",F431*K431,F431)</f>
        <v/>
      </c>
      <c r="N431">
        <f>IF(Tree!$C$4="once per order",K431,1)</f>
        <v/>
      </c>
      <c r="O431">
        <f>IF(Tree!$C$4="once per order",L431,1)</f>
        <v/>
      </c>
    </row>
    <row r="432">
      <c r="A432" t="inlineStr">
        <is>
          <t>KR-00263</t>
        </is>
      </c>
      <c r="B432" t="inlineStr">
        <is>
          <t>C-0269</t>
        </is>
      </c>
      <c r="C432" t="inlineStr">
        <is>
          <t>Retail-Plus</t>
        </is>
      </c>
      <c r="D432" t="inlineStr">
        <is>
          <t>web</t>
        </is>
      </c>
      <c r="E432" s="7" t="n">
        <v>46129</v>
      </c>
      <c r="F432" t="n">
        <v>2840</v>
      </c>
      <c r="G432" t="n">
        <v>1704</v>
      </c>
      <c r="H432" t="inlineStr">
        <is>
          <t>2026-04-19</t>
        </is>
      </c>
      <c r="I432">
        <f>IF(MONTH(E432)&lt;=6,"Q1","Q2")</f>
        <v/>
      </c>
      <c r="J432">
        <f>YEAR(E432)*100+MONTH(E432)</f>
        <v/>
      </c>
      <c r="K432">
        <f>IF(COUNTIF($A$2:A432,A432)=1,1,0)</f>
        <v/>
      </c>
      <c r="L432">
        <f>IF(K432=1,IF(COUNTIFS($B$2:B432,B432,$I$2:I432,I432,$K$2:K432,1)=1,1,0),0)</f>
        <v/>
      </c>
      <c r="M432">
        <f>IF(Tree!$C$4="once per order",F432*K432,F432)</f>
        <v/>
      </c>
      <c r="N432">
        <f>IF(Tree!$C$4="once per order",K432,1)</f>
        <v/>
      </c>
      <c r="O432">
        <f>IF(Tree!$C$4="once per order",L432,1)</f>
        <v/>
      </c>
    </row>
    <row r="433">
      <c r="A433" t="inlineStr">
        <is>
          <t>KR-00263</t>
        </is>
      </c>
      <c r="B433" t="inlineStr">
        <is>
          <t>C-0269</t>
        </is>
      </c>
      <c r="C433" t="inlineStr">
        <is>
          <t>Retail-Plus</t>
        </is>
      </c>
      <c r="D433" t="inlineStr">
        <is>
          <t>web</t>
        </is>
      </c>
      <c r="E433" s="7" t="n">
        <v>46129</v>
      </c>
      <c r="F433" t="n">
        <v>2840</v>
      </c>
      <c r="G433" t="n">
        <v>1136</v>
      </c>
      <c r="H433" t="inlineStr">
        <is>
          <t>2026-04-19</t>
        </is>
      </c>
      <c r="I433">
        <f>IF(MONTH(E433)&lt;=6,"Q1","Q2")</f>
        <v/>
      </c>
      <c r="J433">
        <f>YEAR(E433)*100+MONTH(E433)</f>
        <v/>
      </c>
      <c r="K433">
        <f>IF(COUNTIF($A$2:A433,A433)=1,1,0)</f>
        <v/>
      </c>
      <c r="L433">
        <f>IF(K433=1,IF(COUNTIFS($B$2:B433,B433,$I$2:I433,I433,$K$2:K433,1)=1,1,0),0)</f>
        <v/>
      </c>
      <c r="M433">
        <f>IF(Tree!$C$4="once per order",F433*K433,F433)</f>
        <v/>
      </c>
      <c r="N433">
        <f>IF(Tree!$C$4="once per order",K433,1)</f>
        <v/>
      </c>
      <c r="O433">
        <f>IF(Tree!$C$4="once per order",L433,1)</f>
        <v/>
      </c>
    </row>
    <row r="434">
      <c r="A434" t="inlineStr">
        <is>
          <t>KR-00264</t>
        </is>
      </c>
      <c r="B434" t="inlineStr">
        <is>
          <t>C-0224</t>
        </is>
      </c>
      <c r="C434" t="inlineStr">
        <is>
          <t>Retail-Plus</t>
        </is>
      </c>
      <c r="D434" t="inlineStr">
        <is>
          <t>app</t>
        </is>
      </c>
      <c r="E434" s="7" t="n">
        <v>46160</v>
      </c>
      <c r="F434" t="n">
        <v>3800</v>
      </c>
      <c r="G434" t="n">
        <v>2280</v>
      </c>
      <c r="H434" t="inlineStr">
        <is>
          <t>2026-05-20</t>
        </is>
      </c>
      <c r="I434">
        <f>IF(MONTH(E434)&lt;=6,"Q1","Q2")</f>
        <v/>
      </c>
      <c r="J434">
        <f>YEAR(E434)*100+MONTH(E434)</f>
        <v/>
      </c>
      <c r="K434">
        <f>IF(COUNTIF($A$2:A434,A434)=1,1,0)</f>
        <v/>
      </c>
      <c r="L434">
        <f>IF(K434=1,IF(COUNTIFS($B$2:B434,B434,$I$2:I434,I434,$K$2:K434,1)=1,1,0),0)</f>
        <v/>
      </c>
      <c r="M434">
        <f>IF(Tree!$C$4="once per order",F434*K434,F434)</f>
        <v/>
      </c>
      <c r="N434">
        <f>IF(Tree!$C$4="once per order",K434,1)</f>
        <v/>
      </c>
      <c r="O434">
        <f>IF(Tree!$C$4="once per order",L434,1)</f>
        <v/>
      </c>
    </row>
    <row r="435">
      <c r="A435" t="inlineStr">
        <is>
          <t>KR-00264</t>
        </is>
      </c>
      <c r="B435" t="inlineStr">
        <is>
          <t>C-0224</t>
        </is>
      </c>
      <c r="C435" t="inlineStr">
        <is>
          <t>Retail-Plus</t>
        </is>
      </c>
      <c r="D435" t="inlineStr">
        <is>
          <t>app</t>
        </is>
      </c>
      <c r="E435" s="7" t="n">
        <v>46160</v>
      </c>
      <c r="F435" t="n">
        <v>3800</v>
      </c>
      <c r="G435" t="n">
        <v>1520</v>
      </c>
      <c r="H435" t="inlineStr">
        <is>
          <t>2026-05-20</t>
        </is>
      </c>
      <c r="I435">
        <f>IF(MONTH(E435)&lt;=6,"Q1","Q2")</f>
        <v/>
      </c>
      <c r="J435">
        <f>YEAR(E435)*100+MONTH(E435)</f>
        <v/>
      </c>
      <c r="K435">
        <f>IF(COUNTIF($A$2:A435,A435)=1,1,0)</f>
        <v/>
      </c>
      <c r="L435">
        <f>IF(K435=1,IF(COUNTIFS($B$2:B435,B435,$I$2:I435,I435,$K$2:K435,1)=1,1,0),0)</f>
        <v/>
      </c>
      <c r="M435">
        <f>IF(Tree!$C$4="once per order",F435*K435,F435)</f>
        <v/>
      </c>
      <c r="N435">
        <f>IF(Tree!$C$4="once per order",K435,1)</f>
        <v/>
      </c>
      <c r="O435">
        <f>IF(Tree!$C$4="once per order",L435,1)</f>
        <v/>
      </c>
    </row>
    <row r="436">
      <c r="A436" t="inlineStr">
        <is>
          <t>KR-00265</t>
        </is>
      </c>
      <c r="B436" t="inlineStr">
        <is>
          <t>C-0152</t>
        </is>
      </c>
      <c r="C436" t="inlineStr">
        <is>
          <t>Retail-Plus</t>
        </is>
      </c>
      <c r="D436" t="inlineStr">
        <is>
          <t>store</t>
        </is>
      </c>
      <c r="E436" s="7" t="n">
        <v>46180</v>
      </c>
      <c r="F436" t="n">
        <v>2980</v>
      </c>
      <c r="G436" t="n">
        <v>1788</v>
      </c>
      <c r="H436" t="inlineStr">
        <is>
          <t>2026-06-09</t>
        </is>
      </c>
      <c r="I436">
        <f>IF(MONTH(E436)&lt;=6,"Q1","Q2")</f>
        <v/>
      </c>
      <c r="J436">
        <f>YEAR(E436)*100+MONTH(E436)</f>
        <v/>
      </c>
      <c r="K436">
        <f>IF(COUNTIF($A$2:A436,A436)=1,1,0)</f>
        <v/>
      </c>
      <c r="L436">
        <f>IF(K436=1,IF(COUNTIFS($B$2:B436,B436,$I$2:I436,I436,$K$2:K436,1)=1,1,0),0)</f>
        <v/>
      </c>
      <c r="M436">
        <f>IF(Tree!$C$4="once per order",F436*K436,F436)</f>
        <v/>
      </c>
      <c r="N436">
        <f>IF(Tree!$C$4="once per order",K436,1)</f>
        <v/>
      </c>
      <c r="O436">
        <f>IF(Tree!$C$4="once per order",L436,1)</f>
        <v/>
      </c>
    </row>
    <row r="437">
      <c r="A437" t="inlineStr">
        <is>
          <t>KR-00265</t>
        </is>
      </c>
      <c r="B437" t="inlineStr">
        <is>
          <t>C-0152</t>
        </is>
      </c>
      <c r="C437" t="inlineStr">
        <is>
          <t>Retail-Plus</t>
        </is>
      </c>
      <c r="D437" t="inlineStr">
        <is>
          <t>store</t>
        </is>
      </c>
      <c r="E437" s="7" t="n">
        <v>46180</v>
      </c>
      <c r="F437" t="n">
        <v>2980</v>
      </c>
      <c r="G437" t="n">
        <v>1192</v>
      </c>
      <c r="H437" t="inlineStr">
        <is>
          <t>2026-06-09</t>
        </is>
      </c>
      <c r="I437">
        <f>IF(MONTH(E437)&lt;=6,"Q1","Q2")</f>
        <v/>
      </c>
      <c r="J437">
        <f>YEAR(E437)*100+MONTH(E437)</f>
        <v/>
      </c>
      <c r="K437">
        <f>IF(COUNTIF($A$2:A437,A437)=1,1,0)</f>
        <v/>
      </c>
      <c r="L437">
        <f>IF(K437=1,IF(COUNTIFS($B$2:B437,B437,$I$2:I437,I437,$K$2:K437,1)=1,1,0),0)</f>
        <v/>
      </c>
      <c r="M437">
        <f>IF(Tree!$C$4="once per order",F437*K437,F437)</f>
        <v/>
      </c>
      <c r="N437">
        <f>IF(Tree!$C$4="once per order",K437,1)</f>
        <v/>
      </c>
      <c r="O437">
        <f>IF(Tree!$C$4="once per order",L437,1)</f>
        <v/>
      </c>
    </row>
    <row r="438">
      <c r="A438" t="inlineStr">
        <is>
          <t>KR-00266</t>
        </is>
      </c>
      <c r="B438" t="inlineStr">
        <is>
          <t>C-0192</t>
        </is>
      </c>
      <c r="C438" t="inlineStr">
        <is>
          <t>Retail-Plus</t>
        </is>
      </c>
      <c r="D438" t="inlineStr">
        <is>
          <t>store</t>
        </is>
      </c>
      <c r="E438" s="7" t="n">
        <v>46132</v>
      </c>
      <c r="F438" t="n">
        <v>3260</v>
      </c>
      <c r="G438" t="n">
        <v>1956</v>
      </c>
      <c r="H438" t="inlineStr">
        <is>
          <t>2026-04-22</t>
        </is>
      </c>
      <c r="I438">
        <f>IF(MONTH(E438)&lt;=6,"Q1","Q2")</f>
        <v/>
      </c>
      <c r="J438">
        <f>YEAR(E438)*100+MONTH(E438)</f>
        <v/>
      </c>
      <c r="K438">
        <f>IF(COUNTIF($A$2:A438,A438)=1,1,0)</f>
        <v/>
      </c>
      <c r="L438">
        <f>IF(K438=1,IF(COUNTIFS($B$2:B438,B438,$I$2:I438,I438,$K$2:K438,1)=1,1,0),0)</f>
        <v/>
      </c>
      <c r="M438">
        <f>IF(Tree!$C$4="once per order",F438*K438,F438)</f>
        <v/>
      </c>
      <c r="N438">
        <f>IF(Tree!$C$4="once per order",K438,1)</f>
        <v/>
      </c>
      <c r="O438">
        <f>IF(Tree!$C$4="once per order",L438,1)</f>
        <v/>
      </c>
    </row>
    <row r="439">
      <c r="A439" t="inlineStr">
        <is>
          <t>KR-00266</t>
        </is>
      </c>
      <c r="B439" t="inlineStr">
        <is>
          <t>C-0192</t>
        </is>
      </c>
      <c r="C439" t="inlineStr">
        <is>
          <t>Retail-Plus</t>
        </is>
      </c>
      <c r="D439" t="inlineStr">
        <is>
          <t>store</t>
        </is>
      </c>
      <c r="E439" s="7" t="n">
        <v>46132</v>
      </c>
      <c r="F439" t="n">
        <v>3260</v>
      </c>
      <c r="G439" t="n">
        <v>1304</v>
      </c>
      <c r="H439" t="inlineStr">
        <is>
          <t>2026-04-22</t>
        </is>
      </c>
      <c r="I439">
        <f>IF(MONTH(E439)&lt;=6,"Q1","Q2")</f>
        <v/>
      </c>
      <c r="J439">
        <f>YEAR(E439)*100+MONTH(E439)</f>
        <v/>
      </c>
      <c r="K439">
        <f>IF(COUNTIF($A$2:A439,A439)=1,1,0)</f>
        <v/>
      </c>
      <c r="L439">
        <f>IF(K439=1,IF(COUNTIFS($B$2:B439,B439,$I$2:I439,I439,$K$2:K439,1)=1,1,0),0)</f>
        <v/>
      </c>
      <c r="M439">
        <f>IF(Tree!$C$4="once per order",F439*K439,F439)</f>
        <v/>
      </c>
      <c r="N439">
        <f>IF(Tree!$C$4="once per order",K439,1)</f>
        <v/>
      </c>
      <c r="O439">
        <f>IF(Tree!$C$4="once per order",L439,1)</f>
        <v/>
      </c>
    </row>
    <row r="440">
      <c r="A440" t="inlineStr">
        <is>
          <t>KR-00267</t>
        </is>
      </c>
      <c r="B440" t="inlineStr">
        <is>
          <t>C-0185</t>
        </is>
      </c>
      <c r="C440" t="inlineStr">
        <is>
          <t>Retail-Plus</t>
        </is>
      </c>
      <c r="D440" t="inlineStr">
        <is>
          <t>web</t>
        </is>
      </c>
      <c r="E440" s="7" t="n">
        <v>46147</v>
      </c>
      <c r="F440" t="n">
        <v>2290</v>
      </c>
      <c r="G440" t="n">
        <v>2290</v>
      </c>
      <c r="H440" t="inlineStr">
        <is>
          <t>2026-05-07</t>
        </is>
      </c>
      <c r="I440">
        <f>IF(MONTH(E440)&lt;=6,"Q1","Q2")</f>
        <v/>
      </c>
      <c r="J440">
        <f>YEAR(E440)*100+MONTH(E440)</f>
        <v/>
      </c>
      <c r="K440">
        <f>IF(COUNTIF($A$2:A440,A440)=1,1,0)</f>
        <v/>
      </c>
      <c r="L440">
        <f>IF(K440=1,IF(COUNTIFS($B$2:B440,B440,$I$2:I440,I440,$K$2:K440,1)=1,1,0),0)</f>
        <v/>
      </c>
      <c r="M440">
        <f>IF(Tree!$C$4="once per order",F440*K440,F440)</f>
        <v/>
      </c>
      <c r="N440">
        <f>IF(Tree!$C$4="once per order",K440,1)</f>
        <v/>
      </c>
      <c r="O440">
        <f>IF(Tree!$C$4="once per order",L440,1)</f>
        <v/>
      </c>
    </row>
    <row r="441">
      <c r="A441" t="inlineStr">
        <is>
          <t>KR-00268</t>
        </is>
      </c>
      <c r="B441" t="inlineStr">
        <is>
          <t>C-0152</t>
        </is>
      </c>
      <c r="C441" t="inlineStr">
        <is>
          <t>Retail-Plus</t>
        </is>
      </c>
      <c r="D441" t="inlineStr">
        <is>
          <t>app</t>
        </is>
      </c>
      <c r="E441" s="7" t="n">
        <v>46181</v>
      </c>
      <c r="F441" t="n">
        <v>1680</v>
      </c>
      <c r="G441" t="n">
        <v>1680</v>
      </c>
      <c r="H441" t="inlineStr">
        <is>
          <t>2026-06-10</t>
        </is>
      </c>
      <c r="I441">
        <f>IF(MONTH(E441)&lt;=6,"Q1","Q2")</f>
        <v/>
      </c>
      <c r="J441">
        <f>YEAR(E441)*100+MONTH(E441)</f>
        <v/>
      </c>
      <c r="K441">
        <f>IF(COUNTIF($A$2:A441,A441)=1,1,0)</f>
        <v/>
      </c>
      <c r="L441">
        <f>IF(K441=1,IF(COUNTIFS($B$2:B441,B441,$I$2:I441,I441,$K$2:K441,1)=1,1,0),0)</f>
        <v/>
      </c>
      <c r="M441">
        <f>IF(Tree!$C$4="once per order",F441*K441,F441)</f>
        <v/>
      </c>
      <c r="N441">
        <f>IF(Tree!$C$4="once per order",K441,1)</f>
        <v/>
      </c>
      <c r="O441">
        <f>IF(Tree!$C$4="once per order",L441,1)</f>
        <v/>
      </c>
    </row>
    <row r="442">
      <c r="A442" t="inlineStr">
        <is>
          <t>KR-00269</t>
        </is>
      </c>
      <c r="B442" t="inlineStr">
        <is>
          <t>C-0219</t>
        </is>
      </c>
      <c r="C442" t="inlineStr">
        <is>
          <t>Retail-Plus</t>
        </is>
      </c>
      <c r="D442" t="inlineStr">
        <is>
          <t>app</t>
        </is>
      </c>
      <c r="E442" s="7" t="n">
        <v>46137</v>
      </c>
      <c r="F442" t="n">
        <v>1910</v>
      </c>
      <c r="G442" t="n">
        <v>1910</v>
      </c>
      <c r="H442" t="inlineStr">
        <is>
          <t>2026-04-27</t>
        </is>
      </c>
      <c r="I442">
        <f>IF(MONTH(E442)&lt;=6,"Q1","Q2")</f>
        <v/>
      </c>
      <c r="J442">
        <f>YEAR(E442)*100+MONTH(E442)</f>
        <v/>
      </c>
      <c r="K442">
        <f>IF(COUNTIF($A$2:A442,A442)=1,1,0)</f>
        <v/>
      </c>
      <c r="L442">
        <f>IF(K442=1,IF(COUNTIFS($B$2:B442,B442,$I$2:I442,I442,$K$2:K442,1)=1,1,0),0)</f>
        <v/>
      </c>
      <c r="M442">
        <f>IF(Tree!$C$4="once per order",F442*K442,F442)</f>
        <v/>
      </c>
      <c r="N442">
        <f>IF(Tree!$C$4="once per order",K442,1)</f>
        <v/>
      </c>
      <c r="O442">
        <f>IF(Tree!$C$4="once per order",L442,1)</f>
        <v/>
      </c>
    </row>
    <row r="443">
      <c r="A443" t="inlineStr">
        <is>
          <t>KR-00270</t>
        </is>
      </c>
      <c r="B443" t="inlineStr">
        <is>
          <t>C-0157</t>
        </is>
      </c>
      <c r="C443" t="inlineStr">
        <is>
          <t>Retail-Plus</t>
        </is>
      </c>
      <c r="D443" t="inlineStr">
        <is>
          <t>app</t>
        </is>
      </c>
      <c r="E443" s="7" t="n">
        <v>46168</v>
      </c>
      <c r="F443" t="n">
        <v>2650</v>
      </c>
      <c r="G443" t="n">
        <v>2650</v>
      </c>
      <c r="H443" t="inlineStr">
        <is>
          <t>2026-05-28</t>
        </is>
      </c>
      <c r="I443">
        <f>IF(MONTH(E443)&lt;=6,"Q1","Q2")</f>
        <v/>
      </c>
      <c r="J443">
        <f>YEAR(E443)*100+MONTH(E443)</f>
        <v/>
      </c>
      <c r="K443">
        <f>IF(COUNTIF($A$2:A443,A443)=1,1,0)</f>
        <v/>
      </c>
      <c r="L443">
        <f>IF(K443=1,IF(COUNTIFS($B$2:B443,B443,$I$2:I443,I443,$K$2:K443,1)=1,1,0),0)</f>
        <v/>
      </c>
      <c r="M443">
        <f>IF(Tree!$C$4="once per order",F443*K443,F443)</f>
        <v/>
      </c>
      <c r="N443">
        <f>IF(Tree!$C$4="once per order",K443,1)</f>
        <v/>
      </c>
      <c r="O443">
        <f>IF(Tree!$C$4="once per order",L443,1)</f>
        <v/>
      </c>
    </row>
    <row r="444">
      <c r="A444" t="inlineStr">
        <is>
          <t>KR-00271</t>
        </is>
      </c>
      <c r="B444" t="inlineStr">
        <is>
          <t>C-0219</t>
        </is>
      </c>
      <c r="C444" t="inlineStr">
        <is>
          <t>Retail-Plus</t>
        </is>
      </c>
      <c r="D444" t="inlineStr">
        <is>
          <t>app</t>
        </is>
      </c>
      <c r="E444" s="7" t="n">
        <v>46190</v>
      </c>
      <c r="F444" t="n">
        <v>4430</v>
      </c>
      <c r="G444" t="n">
        <v>2658</v>
      </c>
      <c r="H444" t="inlineStr">
        <is>
          <t>2026-06-19</t>
        </is>
      </c>
      <c r="I444">
        <f>IF(MONTH(E444)&lt;=6,"Q1","Q2")</f>
        <v/>
      </c>
      <c r="J444">
        <f>YEAR(E444)*100+MONTH(E444)</f>
        <v/>
      </c>
      <c r="K444">
        <f>IF(COUNTIF($A$2:A444,A444)=1,1,0)</f>
        <v/>
      </c>
      <c r="L444">
        <f>IF(K444=1,IF(COUNTIFS($B$2:B444,B444,$I$2:I444,I444,$K$2:K444,1)=1,1,0),0)</f>
        <v/>
      </c>
      <c r="M444">
        <f>IF(Tree!$C$4="once per order",F444*K444,F444)</f>
        <v/>
      </c>
      <c r="N444">
        <f>IF(Tree!$C$4="once per order",K444,1)</f>
        <v/>
      </c>
      <c r="O444">
        <f>IF(Tree!$C$4="once per order",L444,1)</f>
        <v/>
      </c>
    </row>
    <row r="445">
      <c r="A445" t="inlineStr">
        <is>
          <t>KR-00271</t>
        </is>
      </c>
      <c r="B445" t="inlineStr">
        <is>
          <t>C-0219</t>
        </is>
      </c>
      <c r="C445" t="inlineStr">
        <is>
          <t>Retail-Plus</t>
        </is>
      </c>
      <c r="D445" t="inlineStr">
        <is>
          <t>app</t>
        </is>
      </c>
      <c r="E445" s="7" t="n">
        <v>46190</v>
      </c>
      <c r="F445" t="n">
        <v>4430</v>
      </c>
      <c r="G445" t="n">
        <v>1772</v>
      </c>
      <c r="H445" t="inlineStr">
        <is>
          <t>2026-06-19</t>
        </is>
      </c>
      <c r="I445">
        <f>IF(MONTH(E445)&lt;=6,"Q1","Q2")</f>
        <v/>
      </c>
      <c r="J445">
        <f>YEAR(E445)*100+MONTH(E445)</f>
        <v/>
      </c>
      <c r="K445">
        <f>IF(COUNTIF($A$2:A445,A445)=1,1,0)</f>
        <v/>
      </c>
      <c r="L445">
        <f>IF(K445=1,IF(COUNTIFS($B$2:B445,B445,$I$2:I445,I445,$K$2:K445,1)=1,1,0),0)</f>
        <v/>
      </c>
      <c r="M445">
        <f>IF(Tree!$C$4="once per order",F445*K445,F445)</f>
        <v/>
      </c>
      <c r="N445">
        <f>IF(Tree!$C$4="once per order",K445,1)</f>
        <v/>
      </c>
      <c r="O445">
        <f>IF(Tree!$C$4="once per order",L445,1)</f>
        <v/>
      </c>
    </row>
    <row r="446">
      <c r="A446" t="inlineStr">
        <is>
          <t>KR-00272</t>
        </is>
      </c>
      <c r="B446" t="inlineStr">
        <is>
          <t>C-0167</t>
        </is>
      </c>
      <c r="C446" t="inlineStr">
        <is>
          <t>Retail-Plus</t>
        </is>
      </c>
      <c r="D446" t="inlineStr">
        <is>
          <t>app</t>
        </is>
      </c>
      <c r="E446" s="7" t="n">
        <v>46128</v>
      </c>
      <c r="F446" t="n">
        <v>2140</v>
      </c>
      <c r="G446" t="n">
        <v>2140</v>
      </c>
      <c r="H446" t="inlineStr">
        <is>
          <t>2026-04-18</t>
        </is>
      </c>
      <c r="I446">
        <f>IF(MONTH(E446)&lt;=6,"Q1","Q2")</f>
        <v/>
      </c>
      <c r="J446">
        <f>YEAR(E446)*100+MONTH(E446)</f>
        <v/>
      </c>
      <c r="K446">
        <f>IF(COUNTIF($A$2:A446,A446)=1,1,0)</f>
        <v/>
      </c>
      <c r="L446">
        <f>IF(K446=1,IF(COUNTIFS($B$2:B446,B446,$I$2:I446,I446,$K$2:K446,1)=1,1,0),0)</f>
        <v/>
      </c>
      <c r="M446">
        <f>IF(Tree!$C$4="once per order",F446*K446,F446)</f>
        <v/>
      </c>
      <c r="N446">
        <f>IF(Tree!$C$4="once per order",K446,1)</f>
        <v/>
      </c>
      <c r="O446">
        <f>IF(Tree!$C$4="once per order",L446,1)</f>
        <v/>
      </c>
    </row>
    <row r="447">
      <c r="A447" t="inlineStr">
        <is>
          <t>KR-00273</t>
        </is>
      </c>
      <c r="B447" t="inlineStr">
        <is>
          <t>C-0228</t>
        </is>
      </c>
      <c r="C447" t="inlineStr">
        <is>
          <t>Retail-Plus</t>
        </is>
      </c>
      <c r="D447" t="inlineStr">
        <is>
          <t>app</t>
        </is>
      </c>
      <c r="E447" s="7" t="n">
        <v>46146</v>
      </c>
      <c r="F447" t="n">
        <v>3620</v>
      </c>
      <c r="G447" t="n">
        <v>2172</v>
      </c>
      <c r="H447" t="inlineStr">
        <is>
          <t>2026-05-06</t>
        </is>
      </c>
      <c r="I447">
        <f>IF(MONTH(E447)&lt;=6,"Q1","Q2")</f>
        <v/>
      </c>
      <c r="J447">
        <f>YEAR(E447)*100+MONTH(E447)</f>
        <v/>
      </c>
      <c r="K447">
        <f>IF(COUNTIF($A$2:A447,A447)=1,1,0)</f>
        <v/>
      </c>
      <c r="L447">
        <f>IF(K447=1,IF(COUNTIFS($B$2:B447,B447,$I$2:I447,I447,$K$2:K447,1)=1,1,0),0)</f>
        <v/>
      </c>
      <c r="M447">
        <f>IF(Tree!$C$4="once per order",F447*K447,F447)</f>
        <v/>
      </c>
      <c r="N447">
        <f>IF(Tree!$C$4="once per order",K447,1)</f>
        <v/>
      </c>
      <c r="O447">
        <f>IF(Tree!$C$4="once per order",L447,1)</f>
        <v/>
      </c>
    </row>
    <row r="448">
      <c r="A448" t="inlineStr">
        <is>
          <t>KR-00273</t>
        </is>
      </c>
      <c r="B448" t="inlineStr">
        <is>
          <t>C-0228</t>
        </is>
      </c>
      <c r="C448" t="inlineStr">
        <is>
          <t>Retail-Plus</t>
        </is>
      </c>
      <c r="D448" t="inlineStr">
        <is>
          <t>app</t>
        </is>
      </c>
      <c r="E448" s="7" t="n">
        <v>46146</v>
      </c>
      <c r="F448" t="n">
        <v>3620</v>
      </c>
      <c r="G448" t="n">
        <v>1448</v>
      </c>
      <c r="H448" t="inlineStr">
        <is>
          <t>2026-05-06</t>
        </is>
      </c>
      <c r="I448">
        <f>IF(MONTH(E448)&lt;=6,"Q1","Q2")</f>
        <v/>
      </c>
      <c r="J448">
        <f>YEAR(E448)*100+MONTH(E448)</f>
        <v/>
      </c>
      <c r="K448">
        <f>IF(COUNTIF($A$2:A448,A448)=1,1,0)</f>
        <v/>
      </c>
      <c r="L448">
        <f>IF(K448=1,IF(COUNTIFS($B$2:B448,B448,$I$2:I448,I448,$K$2:K448,1)=1,1,0),0)</f>
        <v/>
      </c>
      <c r="M448">
        <f>IF(Tree!$C$4="once per order",F448*K448,F448)</f>
        <v/>
      </c>
      <c r="N448">
        <f>IF(Tree!$C$4="once per order",K448,1)</f>
        <v/>
      </c>
      <c r="O448">
        <f>IF(Tree!$C$4="once per order",L448,1)</f>
        <v/>
      </c>
    </row>
    <row r="449">
      <c r="A449" t="inlineStr">
        <is>
          <t>KR-00274</t>
        </is>
      </c>
      <c r="B449" t="inlineStr">
        <is>
          <t>C-0237</t>
        </is>
      </c>
      <c r="C449" t="inlineStr">
        <is>
          <t>Retail-Plus</t>
        </is>
      </c>
      <c r="D449" t="inlineStr">
        <is>
          <t>app</t>
        </is>
      </c>
      <c r="E449" s="7" t="n">
        <v>46181</v>
      </c>
      <c r="F449" t="n">
        <v>2700</v>
      </c>
      <c r="G449" t="n">
        <v>2700</v>
      </c>
      <c r="H449" t="inlineStr">
        <is>
          <t>2026-06-10</t>
        </is>
      </c>
      <c r="I449">
        <f>IF(MONTH(E449)&lt;=6,"Q1","Q2")</f>
        <v/>
      </c>
      <c r="J449">
        <f>YEAR(E449)*100+MONTH(E449)</f>
        <v/>
      </c>
      <c r="K449">
        <f>IF(COUNTIF($A$2:A449,A449)=1,1,0)</f>
        <v/>
      </c>
      <c r="L449">
        <f>IF(K449=1,IF(COUNTIFS($B$2:B449,B449,$I$2:I449,I449,$K$2:K449,1)=1,1,0),0)</f>
        <v/>
      </c>
      <c r="M449">
        <f>IF(Tree!$C$4="once per order",F449*K449,F449)</f>
        <v/>
      </c>
      <c r="N449">
        <f>IF(Tree!$C$4="once per order",K449,1)</f>
        <v/>
      </c>
      <c r="O449">
        <f>IF(Tree!$C$4="once per order",L449,1)</f>
        <v/>
      </c>
    </row>
    <row r="450">
      <c r="A450" t="inlineStr">
        <is>
          <t>KR-00275</t>
        </is>
      </c>
      <c r="B450" t="inlineStr">
        <is>
          <t>C-0151</t>
        </is>
      </c>
      <c r="C450" t="inlineStr">
        <is>
          <t>Retail-Plus</t>
        </is>
      </c>
      <c r="D450" t="inlineStr">
        <is>
          <t>app</t>
        </is>
      </c>
      <c r="E450" s="7" t="n">
        <v>46125</v>
      </c>
      <c r="F450" t="n">
        <v>1240</v>
      </c>
      <c r="G450" t="n">
        <v>1240</v>
      </c>
      <c r="H450" t="inlineStr">
        <is>
          <t>2026-04-15</t>
        </is>
      </c>
      <c r="I450">
        <f>IF(MONTH(E450)&lt;=6,"Q1","Q2")</f>
        <v/>
      </c>
      <c r="J450">
        <f>YEAR(E450)*100+MONTH(E450)</f>
        <v/>
      </c>
      <c r="K450">
        <f>IF(COUNTIF($A$2:A450,A450)=1,1,0)</f>
        <v/>
      </c>
      <c r="L450">
        <f>IF(K450=1,IF(COUNTIFS($B$2:B450,B450,$I$2:I450,I450,$K$2:K450,1)=1,1,0),0)</f>
        <v/>
      </c>
      <c r="M450">
        <f>IF(Tree!$C$4="once per order",F450*K450,F450)</f>
        <v/>
      </c>
      <c r="N450">
        <f>IF(Tree!$C$4="once per order",K450,1)</f>
        <v/>
      </c>
      <c r="O450">
        <f>IF(Tree!$C$4="once per order",L450,1)</f>
        <v/>
      </c>
    </row>
    <row r="451">
      <c r="A451" t="inlineStr">
        <is>
          <t>KR-00276</t>
        </is>
      </c>
      <c r="B451" t="inlineStr">
        <is>
          <t>C-0162</t>
        </is>
      </c>
      <c r="C451" t="inlineStr">
        <is>
          <t>Retail-Plus</t>
        </is>
      </c>
      <c r="D451" t="inlineStr">
        <is>
          <t>store</t>
        </is>
      </c>
      <c r="E451" s="7" t="n">
        <v>46144</v>
      </c>
      <c r="F451" t="n">
        <v>1970</v>
      </c>
      <c r="G451" t="n">
        <v>1970</v>
      </c>
      <c r="H451" t="inlineStr">
        <is>
          <t>2026-05-04</t>
        </is>
      </c>
      <c r="I451">
        <f>IF(MONTH(E451)&lt;=6,"Q1","Q2")</f>
        <v/>
      </c>
      <c r="J451">
        <f>YEAR(E451)*100+MONTH(E451)</f>
        <v/>
      </c>
      <c r="K451">
        <f>IF(COUNTIF($A$2:A451,A451)=1,1,0)</f>
        <v/>
      </c>
      <c r="L451">
        <f>IF(K451=1,IF(COUNTIFS($B$2:B451,B451,$I$2:I451,I451,$K$2:K451,1)=1,1,0),0)</f>
        <v/>
      </c>
      <c r="M451">
        <f>IF(Tree!$C$4="once per order",F451*K451,F451)</f>
        <v/>
      </c>
      <c r="N451">
        <f>IF(Tree!$C$4="once per order",K451,1)</f>
        <v/>
      </c>
      <c r="O451">
        <f>IF(Tree!$C$4="once per order",L451,1)</f>
        <v/>
      </c>
    </row>
    <row r="452">
      <c r="A452" t="inlineStr">
        <is>
          <t>KR-00277</t>
        </is>
      </c>
      <c r="B452" t="inlineStr">
        <is>
          <t>C-0165</t>
        </is>
      </c>
      <c r="C452" t="inlineStr">
        <is>
          <t>Retail-Plus</t>
        </is>
      </c>
      <c r="D452" t="inlineStr">
        <is>
          <t>app</t>
        </is>
      </c>
      <c r="E452" s="7" t="n">
        <v>46191</v>
      </c>
      <c r="F452" t="n">
        <v>3810</v>
      </c>
      <c r="G452" t="n">
        <v>2286</v>
      </c>
      <c r="H452" t="inlineStr">
        <is>
          <t>2026-06-20</t>
        </is>
      </c>
      <c r="I452">
        <f>IF(MONTH(E452)&lt;=6,"Q1","Q2")</f>
        <v/>
      </c>
      <c r="J452">
        <f>YEAR(E452)*100+MONTH(E452)</f>
        <v/>
      </c>
      <c r="K452">
        <f>IF(COUNTIF($A$2:A452,A452)=1,1,0)</f>
        <v/>
      </c>
      <c r="L452">
        <f>IF(K452=1,IF(COUNTIFS($B$2:B452,B452,$I$2:I452,I452,$K$2:K452,1)=1,1,0),0)</f>
        <v/>
      </c>
      <c r="M452">
        <f>IF(Tree!$C$4="once per order",F452*K452,F452)</f>
        <v/>
      </c>
      <c r="N452">
        <f>IF(Tree!$C$4="once per order",K452,1)</f>
        <v/>
      </c>
      <c r="O452">
        <f>IF(Tree!$C$4="once per order",L452,1)</f>
        <v/>
      </c>
    </row>
    <row r="453">
      <c r="A453" t="inlineStr">
        <is>
          <t>KR-00277</t>
        </is>
      </c>
      <c r="B453" t="inlineStr">
        <is>
          <t>C-0165</t>
        </is>
      </c>
      <c r="C453" t="inlineStr">
        <is>
          <t>Retail-Plus</t>
        </is>
      </c>
      <c r="D453" t="inlineStr">
        <is>
          <t>app</t>
        </is>
      </c>
      <c r="E453" s="7" t="n">
        <v>46191</v>
      </c>
      <c r="F453" t="n">
        <v>3810</v>
      </c>
      <c r="G453" t="n">
        <v>1524</v>
      </c>
      <c r="H453" t="inlineStr">
        <is>
          <t>2026-06-20</t>
        </is>
      </c>
      <c r="I453">
        <f>IF(MONTH(E453)&lt;=6,"Q1","Q2")</f>
        <v/>
      </c>
      <c r="J453">
        <f>YEAR(E453)*100+MONTH(E453)</f>
        <v/>
      </c>
      <c r="K453">
        <f>IF(COUNTIF($A$2:A453,A453)=1,1,0)</f>
        <v/>
      </c>
      <c r="L453">
        <f>IF(K453=1,IF(COUNTIFS($B$2:B453,B453,$I$2:I453,I453,$K$2:K453,1)=1,1,0),0)</f>
        <v/>
      </c>
      <c r="M453">
        <f>IF(Tree!$C$4="once per order",F453*K453,F453)</f>
        <v/>
      </c>
      <c r="N453">
        <f>IF(Tree!$C$4="once per order",K453,1)</f>
        <v/>
      </c>
      <c r="O453">
        <f>IF(Tree!$C$4="once per order",L453,1)</f>
        <v/>
      </c>
    </row>
    <row r="454">
      <c r="A454" t="inlineStr">
        <is>
          <t>KR-00278</t>
        </is>
      </c>
      <c r="B454" t="inlineStr">
        <is>
          <t>C-0174</t>
        </is>
      </c>
      <c r="C454" t="inlineStr">
        <is>
          <t>Retail-Plus</t>
        </is>
      </c>
      <c r="D454" t="inlineStr">
        <is>
          <t>store</t>
        </is>
      </c>
      <c r="E454" s="7" t="n">
        <v>46115</v>
      </c>
      <c r="F454" t="n">
        <v>2600</v>
      </c>
      <c r="G454" t="n">
        <v>2600</v>
      </c>
      <c r="H454" t="inlineStr">
        <is>
          <t>2026-04-05</t>
        </is>
      </c>
      <c r="I454">
        <f>IF(MONTH(E454)&lt;=6,"Q1","Q2")</f>
        <v/>
      </c>
      <c r="J454">
        <f>YEAR(E454)*100+MONTH(E454)</f>
        <v/>
      </c>
      <c r="K454">
        <f>IF(COUNTIF($A$2:A454,A454)=1,1,0)</f>
        <v/>
      </c>
      <c r="L454">
        <f>IF(K454=1,IF(COUNTIFS($B$2:B454,B454,$I$2:I454,I454,$K$2:K454,1)=1,1,0),0)</f>
        <v/>
      </c>
      <c r="M454">
        <f>IF(Tree!$C$4="once per order",F454*K454,F454)</f>
        <v/>
      </c>
      <c r="N454">
        <f>IF(Tree!$C$4="once per order",K454,1)</f>
        <v/>
      </c>
      <c r="O454">
        <f>IF(Tree!$C$4="once per order",L454,1)</f>
        <v/>
      </c>
    </row>
    <row r="455">
      <c r="A455" t="inlineStr">
        <is>
          <t>KR-00279</t>
        </is>
      </c>
      <c r="B455" t="inlineStr">
        <is>
          <t>C-0217</t>
        </is>
      </c>
      <c r="C455" t="inlineStr">
        <is>
          <t>Retail-Plus</t>
        </is>
      </c>
      <c r="D455" t="inlineStr">
        <is>
          <t>app</t>
        </is>
      </c>
      <c r="E455" s="7" t="n">
        <v>46164</v>
      </c>
      <c r="F455" t="n">
        <v>4080</v>
      </c>
      <c r="G455" t="n">
        <v>2448</v>
      </c>
      <c r="H455" t="inlineStr">
        <is>
          <t>2026-05-24</t>
        </is>
      </c>
      <c r="I455">
        <f>IF(MONTH(E455)&lt;=6,"Q1","Q2")</f>
        <v/>
      </c>
      <c r="J455">
        <f>YEAR(E455)*100+MONTH(E455)</f>
        <v/>
      </c>
      <c r="K455">
        <f>IF(COUNTIF($A$2:A455,A455)=1,1,0)</f>
        <v/>
      </c>
      <c r="L455">
        <f>IF(K455=1,IF(COUNTIFS($B$2:B455,B455,$I$2:I455,I455,$K$2:K455,1)=1,1,0),0)</f>
        <v/>
      </c>
      <c r="M455">
        <f>IF(Tree!$C$4="once per order",F455*K455,F455)</f>
        <v/>
      </c>
      <c r="N455">
        <f>IF(Tree!$C$4="once per order",K455,1)</f>
        <v/>
      </c>
      <c r="O455">
        <f>IF(Tree!$C$4="once per order",L455,1)</f>
        <v/>
      </c>
    </row>
    <row r="456">
      <c r="A456" t="inlineStr">
        <is>
          <t>KR-00279</t>
        </is>
      </c>
      <c r="B456" t="inlineStr">
        <is>
          <t>C-0217</t>
        </is>
      </c>
      <c r="C456" t="inlineStr">
        <is>
          <t>Retail-Plus</t>
        </is>
      </c>
      <c r="D456" t="inlineStr">
        <is>
          <t>app</t>
        </is>
      </c>
      <c r="E456" s="7" t="n">
        <v>46164</v>
      </c>
      <c r="F456" t="n">
        <v>4080</v>
      </c>
      <c r="G456" t="n">
        <v>1632</v>
      </c>
      <c r="H456" t="inlineStr">
        <is>
          <t>2026-05-24</t>
        </is>
      </c>
      <c r="I456">
        <f>IF(MONTH(E456)&lt;=6,"Q1","Q2")</f>
        <v/>
      </c>
      <c r="J456">
        <f>YEAR(E456)*100+MONTH(E456)</f>
        <v/>
      </c>
      <c r="K456">
        <f>IF(COUNTIF($A$2:A456,A456)=1,1,0)</f>
        <v/>
      </c>
      <c r="L456">
        <f>IF(K456=1,IF(COUNTIFS($B$2:B456,B456,$I$2:I456,I456,$K$2:K456,1)=1,1,0),0)</f>
        <v/>
      </c>
      <c r="M456">
        <f>IF(Tree!$C$4="once per order",F456*K456,F456)</f>
        <v/>
      </c>
      <c r="N456">
        <f>IF(Tree!$C$4="once per order",K456,1)</f>
        <v/>
      </c>
      <c r="O456">
        <f>IF(Tree!$C$4="once per order",L456,1)</f>
        <v/>
      </c>
    </row>
    <row r="457">
      <c r="A457" t="inlineStr">
        <is>
          <t>KR-00280</t>
        </is>
      </c>
      <c r="B457" t="inlineStr">
        <is>
          <t>C-0174</t>
        </is>
      </c>
      <c r="C457" t="inlineStr">
        <is>
          <t>Retail-Plus</t>
        </is>
      </c>
      <c r="D457" t="inlineStr">
        <is>
          <t>store</t>
        </is>
      </c>
      <c r="E457" s="7" t="n">
        <v>46199</v>
      </c>
      <c r="F457" t="n">
        <v>3490</v>
      </c>
      <c r="G457" t="n">
        <v>2094</v>
      </c>
      <c r="H457" t="inlineStr">
        <is>
          <t>2026-06-28</t>
        </is>
      </c>
      <c r="I457">
        <f>IF(MONTH(E457)&lt;=6,"Q1","Q2")</f>
        <v/>
      </c>
      <c r="J457">
        <f>YEAR(E457)*100+MONTH(E457)</f>
        <v/>
      </c>
      <c r="K457">
        <f>IF(COUNTIF($A$2:A457,A457)=1,1,0)</f>
        <v/>
      </c>
      <c r="L457">
        <f>IF(K457=1,IF(COUNTIFS($B$2:B457,B457,$I$2:I457,I457,$K$2:K457,1)=1,1,0),0)</f>
        <v/>
      </c>
      <c r="M457">
        <f>IF(Tree!$C$4="once per order",F457*K457,F457)</f>
        <v/>
      </c>
      <c r="N457">
        <f>IF(Tree!$C$4="once per order",K457,1)</f>
        <v/>
      </c>
      <c r="O457">
        <f>IF(Tree!$C$4="once per order",L457,1)</f>
        <v/>
      </c>
    </row>
    <row r="458">
      <c r="A458" t="inlineStr">
        <is>
          <t>KR-00280</t>
        </is>
      </c>
      <c r="B458" t="inlineStr">
        <is>
          <t>C-0174</t>
        </is>
      </c>
      <c r="C458" t="inlineStr">
        <is>
          <t>Retail-Plus</t>
        </is>
      </c>
      <c r="D458" t="inlineStr">
        <is>
          <t>store</t>
        </is>
      </c>
      <c r="E458" s="7" t="n">
        <v>46199</v>
      </c>
      <c r="F458" t="n">
        <v>3490</v>
      </c>
      <c r="G458" t="n">
        <v>1396</v>
      </c>
      <c r="H458" t="inlineStr">
        <is>
          <t>2026-06-28</t>
        </is>
      </c>
      <c r="I458">
        <f>IF(MONTH(E458)&lt;=6,"Q1","Q2")</f>
        <v/>
      </c>
      <c r="J458">
        <f>YEAR(E458)*100+MONTH(E458)</f>
        <v/>
      </c>
      <c r="K458">
        <f>IF(COUNTIF($A$2:A458,A458)=1,1,0)</f>
        <v/>
      </c>
      <c r="L458">
        <f>IF(K458=1,IF(COUNTIFS($B$2:B458,B458,$I$2:I458,I458,$K$2:K458,1)=1,1,0),0)</f>
        <v/>
      </c>
      <c r="M458">
        <f>IF(Tree!$C$4="once per order",F458*K458,F458)</f>
        <v/>
      </c>
      <c r="N458">
        <f>IF(Tree!$C$4="once per order",K458,1)</f>
        <v/>
      </c>
      <c r="O458">
        <f>IF(Tree!$C$4="once per order",L458,1)</f>
        <v/>
      </c>
    </row>
    <row r="459">
      <c r="A459" t="inlineStr">
        <is>
          <t>KR-00281</t>
        </is>
      </c>
      <c r="B459" t="inlineStr">
        <is>
          <t>C-0257</t>
        </is>
      </c>
      <c r="C459" t="inlineStr">
        <is>
          <t>Retail-Plus</t>
        </is>
      </c>
      <c r="D459" t="inlineStr">
        <is>
          <t>app</t>
        </is>
      </c>
      <c r="E459" s="7" t="n">
        <v>46117</v>
      </c>
      <c r="F459" t="n">
        <v>2030</v>
      </c>
      <c r="G459" t="n">
        <v>2030</v>
      </c>
      <c r="H459" t="inlineStr">
        <is>
          <t>2026-04-07</t>
        </is>
      </c>
      <c r="I459">
        <f>IF(MONTH(E459)&lt;=6,"Q1","Q2")</f>
        <v/>
      </c>
      <c r="J459">
        <f>YEAR(E459)*100+MONTH(E459)</f>
        <v/>
      </c>
      <c r="K459">
        <f>IF(COUNTIF($A$2:A459,A459)=1,1,0)</f>
        <v/>
      </c>
      <c r="L459">
        <f>IF(K459=1,IF(COUNTIFS($B$2:B459,B459,$I$2:I459,I459,$K$2:K459,1)=1,1,0),0)</f>
        <v/>
      </c>
      <c r="M459">
        <f>IF(Tree!$C$4="once per order",F459*K459,F459)</f>
        <v/>
      </c>
      <c r="N459">
        <f>IF(Tree!$C$4="once per order",K459,1)</f>
        <v/>
      </c>
      <c r="O459">
        <f>IF(Tree!$C$4="once per order",L459,1)</f>
        <v/>
      </c>
    </row>
    <row r="460">
      <c r="A460" t="inlineStr">
        <is>
          <t>KR-00282</t>
        </is>
      </c>
      <c r="B460" t="inlineStr">
        <is>
          <t>C-0216</t>
        </is>
      </c>
      <c r="C460" t="inlineStr">
        <is>
          <t>Retail-Plus</t>
        </is>
      </c>
      <c r="D460" t="inlineStr">
        <is>
          <t>store</t>
        </is>
      </c>
      <c r="E460" s="7" t="n">
        <v>46148</v>
      </c>
      <c r="F460" t="n">
        <v>2480</v>
      </c>
      <c r="G460" t="n">
        <v>2480</v>
      </c>
      <c r="H460" t="inlineStr">
        <is>
          <t>2026-05-08</t>
        </is>
      </c>
      <c r="I460">
        <f>IF(MONTH(E460)&lt;=6,"Q1","Q2")</f>
        <v/>
      </c>
      <c r="J460">
        <f>YEAR(E460)*100+MONTH(E460)</f>
        <v/>
      </c>
      <c r="K460">
        <f>IF(COUNTIF($A$2:A460,A460)=1,1,0)</f>
        <v/>
      </c>
      <c r="L460">
        <f>IF(K460=1,IF(COUNTIFS($B$2:B460,B460,$I$2:I460,I460,$K$2:K460,1)=1,1,0),0)</f>
        <v/>
      </c>
      <c r="M460">
        <f>IF(Tree!$C$4="once per order",F460*K460,F460)</f>
        <v/>
      </c>
      <c r="N460">
        <f>IF(Tree!$C$4="once per order",K460,1)</f>
        <v/>
      </c>
      <c r="O460">
        <f>IF(Tree!$C$4="once per order",L460,1)</f>
        <v/>
      </c>
    </row>
    <row r="461">
      <c r="A461" t="inlineStr">
        <is>
          <t>KR-00283</t>
        </is>
      </c>
      <c r="B461" t="inlineStr">
        <is>
          <t>C-0237</t>
        </is>
      </c>
      <c r="C461" t="inlineStr">
        <is>
          <t>Retail-Plus</t>
        </is>
      </c>
      <c r="D461" t="inlineStr">
        <is>
          <t>store</t>
        </is>
      </c>
      <c r="E461" s="7" t="n">
        <v>46194</v>
      </c>
      <c r="F461" t="n">
        <v>3590</v>
      </c>
      <c r="G461" t="n">
        <v>2154</v>
      </c>
      <c r="H461" t="inlineStr">
        <is>
          <t>2026-06-23</t>
        </is>
      </c>
      <c r="I461">
        <f>IF(MONTH(E461)&lt;=6,"Q1","Q2")</f>
        <v/>
      </c>
      <c r="J461">
        <f>YEAR(E461)*100+MONTH(E461)</f>
        <v/>
      </c>
      <c r="K461">
        <f>IF(COUNTIF($A$2:A461,A461)=1,1,0)</f>
        <v/>
      </c>
      <c r="L461">
        <f>IF(K461=1,IF(COUNTIFS($B$2:B461,B461,$I$2:I461,I461,$K$2:K461,1)=1,1,0),0)</f>
        <v/>
      </c>
      <c r="M461">
        <f>IF(Tree!$C$4="once per order",F461*K461,F461)</f>
        <v/>
      </c>
      <c r="N461">
        <f>IF(Tree!$C$4="once per order",K461,1)</f>
        <v/>
      </c>
      <c r="O461">
        <f>IF(Tree!$C$4="once per order",L461,1)</f>
        <v/>
      </c>
    </row>
    <row r="462">
      <c r="A462" t="inlineStr">
        <is>
          <t>KR-00283</t>
        </is>
      </c>
      <c r="B462" t="inlineStr">
        <is>
          <t>C-0237</t>
        </is>
      </c>
      <c r="C462" t="inlineStr">
        <is>
          <t>Retail-Plus</t>
        </is>
      </c>
      <c r="D462" t="inlineStr">
        <is>
          <t>store</t>
        </is>
      </c>
      <c r="E462" s="7" t="n">
        <v>46194</v>
      </c>
      <c r="F462" t="n">
        <v>3590</v>
      </c>
      <c r="G462" t="n">
        <v>1436</v>
      </c>
      <c r="H462" t="inlineStr">
        <is>
          <t>2026-06-23</t>
        </is>
      </c>
      <c r="I462">
        <f>IF(MONTH(E462)&lt;=6,"Q1","Q2")</f>
        <v/>
      </c>
      <c r="J462">
        <f>YEAR(E462)*100+MONTH(E462)</f>
        <v/>
      </c>
      <c r="K462">
        <f>IF(COUNTIF($A$2:A462,A462)=1,1,0)</f>
        <v/>
      </c>
      <c r="L462">
        <f>IF(K462=1,IF(COUNTIFS($B$2:B462,B462,$I$2:I462,I462,$K$2:K462,1)=1,1,0),0)</f>
        <v/>
      </c>
      <c r="M462">
        <f>IF(Tree!$C$4="once per order",F462*K462,F462)</f>
        <v/>
      </c>
      <c r="N462">
        <f>IF(Tree!$C$4="once per order",K462,1)</f>
        <v/>
      </c>
      <c r="O462">
        <f>IF(Tree!$C$4="once per order",L462,1)</f>
        <v/>
      </c>
    </row>
    <row r="463">
      <c r="A463" t="inlineStr">
        <is>
          <t>KR-00284</t>
        </is>
      </c>
      <c r="B463" t="inlineStr">
        <is>
          <t>C-0189</t>
        </is>
      </c>
      <c r="C463" t="inlineStr">
        <is>
          <t>Retail-Plus</t>
        </is>
      </c>
      <c r="D463" t="inlineStr">
        <is>
          <t>web</t>
        </is>
      </c>
      <c r="E463" s="7" t="n">
        <v>46139</v>
      </c>
      <c r="F463" t="n">
        <v>4460</v>
      </c>
      <c r="G463" t="n">
        <v>2676</v>
      </c>
      <c r="H463" t="inlineStr">
        <is>
          <t>2026-04-28</t>
        </is>
      </c>
      <c r="I463">
        <f>IF(MONTH(E463)&lt;=6,"Q1","Q2")</f>
        <v/>
      </c>
      <c r="J463">
        <f>YEAR(E463)*100+MONTH(E463)</f>
        <v/>
      </c>
      <c r="K463">
        <f>IF(COUNTIF($A$2:A463,A463)=1,1,0)</f>
        <v/>
      </c>
      <c r="L463">
        <f>IF(K463=1,IF(COUNTIFS($B$2:B463,B463,$I$2:I463,I463,$K$2:K463,1)=1,1,0),0)</f>
        <v/>
      </c>
      <c r="M463">
        <f>IF(Tree!$C$4="once per order",F463*K463,F463)</f>
        <v/>
      </c>
      <c r="N463">
        <f>IF(Tree!$C$4="once per order",K463,1)</f>
        <v/>
      </c>
      <c r="O463">
        <f>IF(Tree!$C$4="once per order",L463,1)</f>
        <v/>
      </c>
    </row>
    <row r="464">
      <c r="A464" t="inlineStr">
        <is>
          <t>KR-00284</t>
        </is>
      </c>
      <c r="B464" t="inlineStr">
        <is>
          <t>C-0189</t>
        </is>
      </c>
      <c r="C464" t="inlineStr">
        <is>
          <t>Retail-Plus</t>
        </is>
      </c>
      <c r="D464" t="inlineStr">
        <is>
          <t>web</t>
        </is>
      </c>
      <c r="E464" s="7" t="n">
        <v>46139</v>
      </c>
      <c r="F464" t="n">
        <v>4460</v>
      </c>
      <c r="G464" t="n">
        <v>1784</v>
      </c>
      <c r="H464" t="inlineStr">
        <is>
          <t>2026-04-28</t>
        </is>
      </c>
      <c r="I464">
        <f>IF(MONTH(E464)&lt;=6,"Q1","Q2")</f>
        <v/>
      </c>
      <c r="J464">
        <f>YEAR(E464)*100+MONTH(E464)</f>
        <v/>
      </c>
      <c r="K464">
        <f>IF(COUNTIF($A$2:A464,A464)=1,1,0)</f>
        <v/>
      </c>
      <c r="L464">
        <f>IF(K464=1,IF(COUNTIFS($B$2:B464,B464,$I$2:I464,I464,$K$2:K464,1)=1,1,0),0)</f>
        <v/>
      </c>
      <c r="M464">
        <f>IF(Tree!$C$4="once per order",F464*K464,F464)</f>
        <v/>
      </c>
      <c r="N464">
        <f>IF(Tree!$C$4="once per order",K464,1)</f>
        <v/>
      </c>
      <c r="O464">
        <f>IF(Tree!$C$4="once per order",L464,1)</f>
        <v/>
      </c>
    </row>
    <row r="465">
      <c r="A465" t="inlineStr">
        <is>
          <t>KR-00285</t>
        </is>
      </c>
      <c r="B465" t="inlineStr">
        <is>
          <t>C-0226</t>
        </is>
      </c>
      <c r="C465" t="inlineStr">
        <is>
          <t>Retail-Plus</t>
        </is>
      </c>
      <c r="D465" t="inlineStr">
        <is>
          <t>store</t>
        </is>
      </c>
      <c r="E465" s="7" t="n">
        <v>46151</v>
      </c>
      <c r="F465" t="n">
        <v>1820</v>
      </c>
      <c r="G465" t="n">
        <v>1820</v>
      </c>
      <c r="H465" t="inlineStr">
        <is>
          <t>2026-05-11</t>
        </is>
      </c>
      <c r="I465">
        <f>IF(MONTH(E465)&lt;=6,"Q1","Q2")</f>
        <v/>
      </c>
      <c r="J465">
        <f>YEAR(E465)*100+MONTH(E465)</f>
        <v/>
      </c>
      <c r="K465">
        <f>IF(COUNTIF($A$2:A465,A465)=1,1,0)</f>
        <v/>
      </c>
      <c r="L465">
        <f>IF(K465=1,IF(COUNTIFS($B$2:B465,B465,$I$2:I465,I465,$K$2:K465,1)=1,1,0),0)</f>
        <v/>
      </c>
      <c r="M465">
        <f>IF(Tree!$C$4="once per order",F465*K465,F465)</f>
        <v/>
      </c>
      <c r="N465">
        <f>IF(Tree!$C$4="once per order",K465,1)</f>
        <v/>
      </c>
      <c r="O465">
        <f>IF(Tree!$C$4="once per order",L465,1)</f>
        <v/>
      </c>
    </row>
    <row r="466">
      <c r="A466" t="inlineStr">
        <is>
          <t>KR-00286</t>
        </is>
      </c>
      <c r="B466" t="inlineStr">
        <is>
          <t>C-0194</t>
        </is>
      </c>
      <c r="C466" t="inlineStr">
        <is>
          <t>Retail-Plus</t>
        </is>
      </c>
      <c r="D466" t="inlineStr">
        <is>
          <t>store</t>
        </is>
      </c>
      <c r="E466" s="7" t="n">
        <v>46190</v>
      </c>
      <c r="F466" t="n">
        <v>1850</v>
      </c>
      <c r="G466" t="n">
        <v>1850</v>
      </c>
      <c r="H466" t="inlineStr">
        <is>
          <t>2026-06-19</t>
        </is>
      </c>
      <c r="I466">
        <f>IF(MONTH(E466)&lt;=6,"Q1","Q2")</f>
        <v/>
      </c>
      <c r="J466">
        <f>YEAR(E466)*100+MONTH(E466)</f>
        <v/>
      </c>
      <c r="K466">
        <f>IF(COUNTIF($A$2:A466,A466)=1,1,0)</f>
        <v/>
      </c>
      <c r="L466">
        <f>IF(K466=1,IF(COUNTIFS($B$2:B466,B466,$I$2:I466,I466,$K$2:K466,1)=1,1,0),0)</f>
        <v/>
      </c>
      <c r="M466">
        <f>IF(Tree!$C$4="once per order",F466*K466,F466)</f>
        <v/>
      </c>
      <c r="N466">
        <f>IF(Tree!$C$4="once per order",K466,1)</f>
        <v/>
      </c>
      <c r="O466">
        <f>IF(Tree!$C$4="once per order",L466,1)</f>
        <v/>
      </c>
    </row>
    <row r="467">
      <c r="A467" t="inlineStr">
        <is>
          <t>KR-00287</t>
        </is>
      </c>
      <c r="B467" t="inlineStr">
        <is>
          <t>C-0156</t>
        </is>
      </c>
      <c r="C467" t="inlineStr">
        <is>
          <t>Retail-Plus</t>
        </is>
      </c>
      <c r="D467" t="inlineStr">
        <is>
          <t>app</t>
        </is>
      </c>
      <c r="E467" s="7" t="n">
        <v>46129</v>
      </c>
      <c r="F467" t="n">
        <v>1340</v>
      </c>
      <c r="G467" t="n">
        <v>1340</v>
      </c>
      <c r="H467" t="inlineStr">
        <is>
          <t>2026-04-19</t>
        </is>
      </c>
      <c r="I467">
        <f>IF(MONTH(E467)&lt;=6,"Q1","Q2")</f>
        <v/>
      </c>
      <c r="J467">
        <f>YEAR(E467)*100+MONTH(E467)</f>
        <v/>
      </c>
      <c r="K467">
        <f>IF(COUNTIF($A$2:A467,A467)=1,1,0)</f>
        <v/>
      </c>
      <c r="L467">
        <f>IF(K467=1,IF(COUNTIFS($B$2:B467,B467,$I$2:I467,I467,$K$2:K467,1)=1,1,0),0)</f>
        <v/>
      </c>
      <c r="M467">
        <f>IF(Tree!$C$4="once per order",F467*K467,F467)</f>
        <v/>
      </c>
      <c r="N467">
        <f>IF(Tree!$C$4="once per order",K467,1)</f>
        <v/>
      </c>
      <c r="O467">
        <f>IF(Tree!$C$4="once per order",L467,1)</f>
        <v/>
      </c>
    </row>
    <row r="468">
      <c r="A468" t="inlineStr">
        <is>
          <t>KR-00288</t>
        </is>
      </c>
      <c r="B468" t="inlineStr">
        <is>
          <t>C-0261</t>
        </is>
      </c>
      <c r="C468" t="inlineStr">
        <is>
          <t>Retail-Plus</t>
        </is>
      </c>
      <c r="D468" t="inlineStr">
        <is>
          <t>web</t>
        </is>
      </c>
      <c r="E468" s="7" t="n">
        <v>46157</v>
      </c>
      <c r="F468" t="n">
        <v>1610</v>
      </c>
      <c r="G468" t="n">
        <v>1610</v>
      </c>
      <c r="H468" t="inlineStr">
        <is>
          <t>2026-05-17</t>
        </is>
      </c>
      <c r="I468">
        <f>IF(MONTH(E468)&lt;=6,"Q1","Q2")</f>
        <v/>
      </c>
      <c r="J468">
        <f>YEAR(E468)*100+MONTH(E468)</f>
        <v/>
      </c>
      <c r="K468">
        <f>IF(COUNTIF($A$2:A468,A468)=1,1,0)</f>
        <v/>
      </c>
      <c r="L468">
        <f>IF(K468=1,IF(COUNTIFS($B$2:B468,B468,$I$2:I468,I468,$K$2:K468,1)=1,1,0),0)</f>
        <v/>
      </c>
      <c r="M468">
        <f>IF(Tree!$C$4="once per order",F468*K468,F468)</f>
        <v/>
      </c>
      <c r="N468">
        <f>IF(Tree!$C$4="once per order",K468,1)</f>
        <v/>
      </c>
      <c r="O468">
        <f>IF(Tree!$C$4="once per order",L468,1)</f>
        <v/>
      </c>
    </row>
    <row r="469">
      <c r="A469" t="inlineStr">
        <is>
          <t>KR-00289</t>
        </is>
      </c>
      <c r="B469" t="inlineStr">
        <is>
          <t>C-0229</t>
        </is>
      </c>
      <c r="C469" t="inlineStr">
        <is>
          <t>Retail-Plus</t>
        </is>
      </c>
      <c r="D469" t="inlineStr">
        <is>
          <t>web</t>
        </is>
      </c>
      <c r="E469" s="7" t="n">
        <v>46190</v>
      </c>
      <c r="F469" t="n">
        <v>2060</v>
      </c>
      <c r="G469" t="n">
        <v>2060</v>
      </c>
      <c r="H469" t="inlineStr">
        <is>
          <t>2026-06-19</t>
        </is>
      </c>
      <c r="I469">
        <f>IF(MONTH(E469)&lt;=6,"Q1","Q2")</f>
        <v/>
      </c>
      <c r="J469">
        <f>YEAR(E469)*100+MONTH(E469)</f>
        <v/>
      </c>
      <c r="K469">
        <f>IF(COUNTIF($A$2:A469,A469)=1,1,0)</f>
        <v/>
      </c>
      <c r="L469">
        <f>IF(K469=1,IF(COUNTIFS($B$2:B469,B469,$I$2:I469,I469,$K$2:K469,1)=1,1,0),0)</f>
        <v/>
      </c>
      <c r="M469">
        <f>IF(Tree!$C$4="once per order",F469*K469,F469)</f>
        <v/>
      </c>
      <c r="N469">
        <f>IF(Tree!$C$4="once per order",K469,1)</f>
        <v/>
      </c>
      <c r="O469">
        <f>IF(Tree!$C$4="once per order",L469,1)</f>
        <v/>
      </c>
    </row>
    <row r="470">
      <c r="A470" t="inlineStr">
        <is>
          <t>KR-00290</t>
        </is>
      </c>
      <c r="B470" t="inlineStr">
        <is>
          <t>C-0154</t>
        </is>
      </c>
      <c r="C470" t="inlineStr">
        <is>
          <t>Retail-Plus</t>
        </is>
      </c>
      <c r="D470" t="inlineStr">
        <is>
          <t>app</t>
        </is>
      </c>
      <c r="E470" s="7" t="n">
        <v>46122</v>
      </c>
      <c r="F470" t="n">
        <v>2870</v>
      </c>
      <c r="G470" t="n">
        <v>1722</v>
      </c>
      <c r="H470" t="inlineStr">
        <is>
          <t>2026-04-12</t>
        </is>
      </c>
      <c r="I470">
        <f>IF(MONTH(E470)&lt;=6,"Q1","Q2")</f>
        <v/>
      </c>
      <c r="J470">
        <f>YEAR(E470)*100+MONTH(E470)</f>
        <v/>
      </c>
      <c r="K470">
        <f>IF(COUNTIF($A$2:A470,A470)=1,1,0)</f>
        <v/>
      </c>
      <c r="L470">
        <f>IF(K470=1,IF(COUNTIFS($B$2:B470,B470,$I$2:I470,I470,$K$2:K470,1)=1,1,0),0)</f>
        <v/>
      </c>
      <c r="M470">
        <f>IF(Tree!$C$4="once per order",F470*K470,F470)</f>
        <v/>
      </c>
      <c r="N470">
        <f>IF(Tree!$C$4="once per order",K470,1)</f>
        <v/>
      </c>
      <c r="O470">
        <f>IF(Tree!$C$4="once per order",L470,1)</f>
        <v/>
      </c>
    </row>
    <row r="471">
      <c r="A471" t="inlineStr">
        <is>
          <t>KR-00290</t>
        </is>
      </c>
      <c r="B471" t="inlineStr">
        <is>
          <t>C-0154</t>
        </is>
      </c>
      <c r="C471" t="inlineStr">
        <is>
          <t>Retail-Plus</t>
        </is>
      </c>
      <c r="D471" t="inlineStr">
        <is>
          <t>app</t>
        </is>
      </c>
      <c r="E471" s="7" t="n">
        <v>46122</v>
      </c>
      <c r="F471" t="n">
        <v>2870</v>
      </c>
      <c r="G471" t="n">
        <v>1148</v>
      </c>
      <c r="H471" t="inlineStr">
        <is>
          <t>2026-04-12</t>
        </is>
      </c>
      <c r="I471">
        <f>IF(MONTH(E471)&lt;=6,"Q1","Q2")</f>
        <v/>
      </c>
      <c r="J471">
        <f>YEAR(E471)*100+MONTH(E471)</f>
        <v/>
      </c>
      <c r="K471">
        <f>IF(COUNTIF($A$2:A471,A471)=1,1,0)</f>
        <v/>
      </c>
      <c r="L471">
        <f>IF(K471=1,IF(COUNTIFS($B$2:B471,B471,$I$2:I471,I471,$K$2:K471,1)=1,1,0),0)</f>
        <v/>
      </c>
      <c r="M471">
        <f>IF(Tree!$C$4="once per order",F471*K471,F471)</f>
        <v/>
      </c>
      <c r="N471">
        <f>IF(Tree!$C$4="once per order",K471,1)</f>
        <v/>
      </c>
      <c r="O471">
        <f>IF(Tree!$C$4="once per order",L471,1)</f>
        <v/>
      </c>
    </row>
    <row r="472">
      <c r="A472" t="inlineStr">
        <is>
          <t>KR-00291</t>
        </is>
      </c>
      <c r="B472" t="inlineStr">
        <is>
          <t>C-0160</t>
        </is>
      </c>
      <c r="C472" t="inlineStr">
        <is>
          <t>Retail-Plus</t>
        </is>
      </c>
      <c r="D472" t="inlineStr">
        <is>
          <t>store</t>
        </is>
      </c>
      <c r="E472" s="7" t="n">
        <v>46164</v>
      </c>
      <c r="F472" t="n">
        <v>3490</v>
      </c>
      <c r="G472" t="n">
        <v>2094</v>
      </c>
      <c r="H472" t="inlineStr">
        <is>
          <t>2026-05-24</t>
        </is>
      </c>
      <c r="I472">
        <f>IF(MONTH(E472)&lt;=6,"Q1","Q2")</f>
        <v/>
      </c>
      <c r="J472">
        <f>YEAR(E472)*100+MONTH(E472)</f>
        <v/>
      </c>
      <c r="K472">
        <f>IF(COUNTIF($A$2:A472,A472)=1,1,0)</f>
        <v/>
      </c>
      <c r="L472">
        <f>IF(K472=1,IF(COUNTIFS($B$2:B472,B472,$I$2:I472,I472,$K$2:K472,1)=1,1,0),0)</f>
        <v/>
      </c>
      <c r="M472">
        <f>IF(Tree!$C$4="once per order",F472*K472,F472)</f>
        <v/>
      </c>
      <c r="N472">
        <f>IF(Tree!$C$4="once per order",K472,1)</f>
        <v/>
      </c>
      <c r="O472">
        <f>IF(Tree!$C$4="once per order",L472,1)</f>
        <v/>
      </c>
    </row>
    <row r="473">
      <c r="A473" t="inlineStr">
        <is>
          <t>KR-00291</t>
        </is>
      </c>
      <c r="B473" t="inlineStr">
        <is>
          <t>C-0160</t>
        </is>
      </c>
      <c r="C473" t="inlineStr">
        <is>
          <t>Retail-Plus</t>
        </is>
      </c>
      <c r="D473" t="inlineStr">
        <is>
          <t>store</t>
        </is>
      </c>
      <c r="E473" s="7" t="n">
        <v>46164</v>
      </c>
      <c r="F473" t="n">
        <v>3490</v>
      </c>
      <c r="G473" t="n">
        <v>1396</v>
      </c>
      <c r="H473" t="inlineStr">
        <is>
          <t>2026-05-24</t>
        </is>
      </c>
      <c r="I473">
        <f>IF(MONTH(E473)&lt;=6,"Q1","Q2")</f>
        <v/>
      </c>
      <c r="J473">
        <f>YEAR(E473)*100+MONTH(E473)</f>
        <v/>
      </c>
      <c r="K473">
        <f>IF(COUNTIF($A$2:A473,A473)=1,1,0)</f>
        <v/>
      </c>
      <c r="L473">
        <f>IF(K473=1,IF(COUNTIFS($B$2:B473,B473,$I$2:I473,I473,$K$2:K473,1)=1,1,0),0)</f>
        <v/>
      </c>
      <c r="M473">
        <f>IF(Tree!$C$4="once per order",F473*K473,F473)</f>
        <v/>
      </c>
      <c r="N473">
        <f>IF(Tree!$C$4="once per order",K473,1)</f>
        <v/>
      </c>
      <c r="O473">
        <f>IF(Tree!$C$4="once per order",L473,1)</f>
        <v/>
      </c>
    </row>
    <row r="474">
      <c r="A474" t="inlineStr">
        <is>
          <t>KR-00292</t>
        </is>
      </c>
      <c r="B474" t="inlineStr">
        <is>
          <t>C-0183</t>
        </is>
      </c>
      <c r="C474" t="inlineStr">
        <is>
          <t>Retail-Plus</t>
        </is>
      </c>
      <c r="D474" t="inlineStr">
        <is>
          <t>app</t>
        </is>
      </c>
      <c r="E474" s="7" t="n">
        <v>46192</v>
      </c>
      <c r="F474" t="n">
        <v>4060</v>
      </c>
      <c r="G474" t="n">
        <v>2436</v>
      </c>
      <c r="H474" t="inlineStr">
        <is>
          <t>2026-06-21</t>
        </is>
      </c>
      <c r="I474">
        <f>IF(MONTH(E474)&lt;=6,"Q1","Q2")</f>
        <v/>
      </c>
      <c r="J474">
        <f>YEAR(E474)*100+MONTH(E474)</f>
        <v/>
      </c>
      <c r="K474">
        <f>IF(COUNTIF($A$2:A474,A474)=1,1,0)</f>
        <v/>
      </c>
      <c r="L474">
        <f>IF(K474=1,IF(COUNTIFS($B$2:B474,B474,$I$2:I474,I474,$K$2:K474,1)=1,1,0),0)</f>
        <v/>
      </c>
      <c r="M474">
        <f>IF(Tree!$C$4="once per order",F474*K474,F474)</f>
        <v/>
      </c>
      <c r="N474">
        <f>IF(Tree!$C$4="once per order",K474,1)</f>
        <v/>
      </c>
      <c r="O474">
        <f>IF(Tree!$C$4="once per order",L474,1)</f>
        <v/>
      </c>
    </row>
    <row r="475">
      <c r="A475" t="inlineStr">
        <is>
          <t>KR-00292</t>
        </is>
      </c>
      <c r="B475" t="inlineStr">
        <is>
          <t>C-0183</t>
        </is>
      </c>
      <c r="C475" t="inlineStr">
        <is>
          <t>Retail-Plus</t>
        </is>
      </c>
      <c r="D475" t="inlineStr">
        <is>
          <t>app</t>
        </is>
      </c>
      <c r="E475" s="7" t="n">
        <v>46192</v>
      </c>
      <c r="F475" t="n">
        <v>4060</v>
      </c>
      <c r="G475" t="n">
        <v>1624</v>
      </c>
      <c r="H475" t="inlineStr">
        <is>
          <t>2026-06-21</t>
        </is>
      </c>
      <c r="I475">
        <f>IF(MONTH(E475)&lt;=6,"Q1","Q2")</f>
        <v/>
      </c>
      <c r="J475">
        <f>YEAR(E475)*100+MONTH(E475)</f>
        <v/>
      </c>
      <c r="K475">
        <f>IF(COUNTIF($A$2:A475,A475)=1,1,0)</f>
        <v/>
      </c>
      <c r="L475">
        <f>IF(K475=1,IF(COUNTIFS($B$2:B475,B475,$I$2:I475,I475,$K$2:K475,1)=1,1,0),0)</f>
        <v/>
      </c>
      <c r="M475">
        <f>IF(Tree!$C$4="once per order",F475*K475,F475)</f>
        <v/>
      </c>
      <c r="N475">
        <f>IF(Tree!$C$4="once per order",K475,1)</f>
        <v/>
      </c>
      <c r="O475">
        <f>IF(Tree!$C$4="once per order",L475,1)</f>
        <v/>
      </c>
    </row>
    <row r="476">
      <c r="A476" t="inlineStr">
        <is>
          <t>KR-00293</t>
        </is>
      </c>
      <c r="B476" t="inlineStr">
        <is>
          <t>C-0232</t>
        </is>
      </c>
      <c r="C476" t="inlineStr">
        <is>
          <t>Retail-Plus</t>
        </is>
      </c>
      <c r="D476" t="inlineStr">
        <is>
          <t>web</t>
        </is>
      </c>
      <c r="E476" s="7" t="n">
        <v>46130</v>
      </c>
      <c r="F476" t="n">
        <v>3860</v>
      </c>
      <c r="G476" t="n">
        <v>2316</v>
      </c>
      <c r="H476" t="inlineStr">
        <is>
          <t>2026-04-20</t>
        </is>
      </c>
      <c r="I476">
        <f>IF(MONTH(E476)&lt;=6,"Q1","Q2")</f>
        <v/>
      </c>
      <c r="J476">
        <f>YEAR(E476)*100+MONTH(E476)</f>
        <v/>
      </c>
      <c r="K476">
        <f>IF(COUNTIF($A$2:A476,A476)=1,1,0)</f>
        <v/>
      </c>
      <c r="L476">
        <f>IF(K476=1,IF(COUNTIFS($B$2:B476,B476,$I$2:I476,I476,$K$2:K476,1)=1,1,0),0)</f>
        <v/>
      </c>
      <c r="M476">
        <f>IF(Tree!$C$4="once per order",F476*K476,F476)</f>
        <v/>
      </c>
      <c r="N476">
        <f>IF(Tree!$C$4="once per order",K476,1)</f>
        <v/>
      </c>
      <c r="O476">
        <f>IF(Tree!$C$4="once per order",L476,1)</f>
        <v/>
      </c>
    </row>
    <row r="477">
      <c r="A477" t="inlineStr">
        <is>
          <t>KR-00293</t>
        </is>
      </c>
      <c r="B477" t="inlineStr">
        <is>
          <t>C-0232</t>
        </is>
      </c>
      <c r="C477" t="inlineStr">
        <is>
          <t>Retail-Plus</t>
        </is>
      </c>
      <c r="D477" t="inlineStr">
        <is>
          <t>web</t>
        </is>
      </c>
      <c r="E477" s="7" t="n">
        <v>46130</v>
      </c>
      <c r="F477" t="n">
        <v>3860</v>
      </c>
      <c r="G477" t="n">
        <v>1544</v>
      </c>
      <c r="H477" t="inlineStr">
        <is>
          <t>2026-04-20</t>
        </is>
      </c>
      <c r="I477">
        <f>IF(MONTH(E477)&lt;=6,"Q1","Q2")</f>
        <v/>
      </c>
      <c r="J477">
        <f>YEAR(E477)*100+MONTH(E477)</f>
        <v/>
      </c>
      <c r="K477">
        <f>IF(COUNTIF($A$2:A477,A477)=1,1,0)</f>
        <v/>
      </c>
      <c r="L477">
        <f>IF(K477=1,IF(COUNTIFS($B$2:B477,B477,$I$2:I477,I477,$K$2:K477,1)=1,1,0),0)</f>
        <v/>
      </c>
      <c r="M477">
        <f>IF(Tree!$C$4="once per order",F477*K477,F477)</f>
        <v/>
      </c>
      <c r="N477">
        <f>IF(Tree!$C$4="once per order",K477,1)</f>
        <v/>
      </c>
      <c r="O477">
        <f>IF(Tree!$C$4="once per order",L477,1)</f>
        <v/>
      </c>
    </row>
    <row r="478">
      <c r="A478" t="inlineStr">
        <is>
          <t>KR-00294</t>
        </is>
      </c>
      <c r="B478" t="inlineStr">
        <is>
          <t>C-0220</t>
        </is>
      </c>
      <c r="C478" t="inlineStr">
        <is>
          <t>Retail-Plus</t>
        </is>
      </c>
      <c r="D478" t="inlineStr">
        <is>
          <t>web</t>
        </is>
      </c>
      <c r="E478" s="7" t="n">
        <v>46152</v>
      </c>
      <c r="F478" t="n">
        <v>3450</v>
      </c>
      <c r="G478" t="n">
        <v>2070</v>
      </c>
      <c r="H478" t="inlineStr">
        <is>
          <t>2026-05-12</t>
        </is>
      </c>
      <c r="I478">
        <f>IF(MONTH(E478)&lt;=6,"Q1","Q2")</f>
        <v/>
      </c>
      <c r="J478">
        <f>YEAR(E478)*100+MONTH(E478)</f>
        <v/>
      </c>
      <c r="K478">
        <f>IF(COUNTIF($A$2:A478,A478)=1,1,0)</f>
        <v/>
      </c>
      <c r="L478">
        <f>IF(K478=1,IF(COUNTIFS($B$2:B478,B478,$I$2:I478,I478,$K$2:K478,1)=1,1,0),0)</f>
        <v/>
      </c>
      <c r="M478">
        <f>IF(Tree!$C$4="once per order",F478*K478,F478)</f>
        <v/>
      </c>
      <c r="N478">
        <f>IF(Tree!$C$4="once per order",K478,1)</f>
        <v/>
      </c>
      <c r="O478">
        <f>IF(Tree!$C$4="once per order",L478,1)</f>
        <v/>
      </c>
    </row>
    <row r="479">
      <c r="A479" t="inlineStr">
        <is>
          <t>KR-00294</t>
        </is>
      </c>
      <c r="B479" t="inlineStr">
        <is>
          <t>C-0220</t>
        </is>
      </c>
      <c r="C479" t="inlineStr">
        <is>
          <t>Retail-Plus</t>
        </is>
      </c>
      <c r="D479" t="inlineStr">
        <is>
          <t>web</t>
        </is>
      </c>
      <c r="E479" s="7" t="n">
        <v>46152</v>
      </c>
      <c r="F479" t="n">
        <v>3450</v>
      </c>
      <c r="G479" t="n">
        <v>1380</v>
      </c>
      <c r="H479" t="inlineStr">
        <is>
          <t>2026-05-12</t>
        </is>
      </c>
      <c r="I479">
        <f>IF(MONTH(E479)&lt;=6,"Q1","Q2")</f>
        <v/>
      </c>
      <c r="J479">
        <f>YEAR(E479)*100+MONTH(E479)</f>
        <v/>
      </c>
      <c r="K479">
        <f>IF(COUNTIF($A$2:A479,A479)=1,1,0)</f>
        <v/>
      </c>
      <c r="L479">
        <f>IF(K479=1,IF(COUNTIFS($B$2:B479,B479,$I$2:I479,I479,$K$2:K479,1)=1,1,0),0)</f>
        <v/>
      </c>
      <c r="M479">
        <f>IF(Tree!$C$4="once per order",F479*K479,F479)</f>
        <v/>
      </c>
      <c r="N479">
        <f>IF(Tree!$C$4="once per order",K479,1)</f>
        <v/>
      </c>
      <c r="O479">
        <f>IF(Tree!$C$4="once per order",L479,1)</f>
        <v/>
      </c>
    </row>
    <row r="480">
      <c r="A480" t="inlineStr">
        <is>
          <t>KR-00295</t>
        </is>
      </c>
      <c r="B480" t="inlineStr">
        <is>
          <t>C-0267</t>
        </is>
      </c>
      <c r="C480" t="inlineStr">
        <is>
          <t>Retail-Plus</t>
        </is>
      </c>
      <c r="D480" t="inlineStr">
        <is>
          <t>store</t>
        </is>
      </c>
      <c r="E480" s="7" t="n">
        <v>46178</v>
      </c>
      <c r="F480" t="n">
        <v>2200</v>
      </c>
      <c r="G480" t="n">
        <v>2200</v>
      </c>
      <c r="H480" t="inlineStr">
        <is>
          <t>2026-06-07</t>
        </is>
      </c>
      <c r="I480">
        <f>IF(MONTH(E480)&lt;=6,"Q1","Q2")</f>
        <v/>
      </c>
      <c r="J480">
        <f>YEAR(E480)*100+MONTH(E480)</f>
        <v/>
      </c>
      <c r="K480">
        <f>IF(COUNTIF($A$2:A480,A480)=1,1,0)</f>
        <v/>
      </c>
      <c r="L480">
        <f>IF(K480=1,IF(COUNTIFS($B$2:B480,B480,$I$2:I480,I480,$K$2:K480,1)=1,1,0),0)</f>
        <v/>
      </c>
      <c r="M480">
        <f>IF(Tree!$C$4="once per order",F480*K480,F480)</f>
        <v/>
      </c>
      <c r="N480">
        <f>IF(Tree!$C$4="once per order",K480,1)</f>
        <v/>
      </c>
      <c r="O480">
        <f>IF(Tree!$C$4="once per order",L480,1)</f>
        <v/>
      </c>
    </row>
    <row r="481">
      <c r="A481" t="inlineStr">
        <is>
          <t>KR-00296</t>
        </is>
      </c>
      <c r="B481" t="inlineStr">
        <is>
          <t>C-0179</t>
        </is>
      </c>
      <c r="C481" t="inlineStr">
        <is>
          <t>Retail-Plus</t>
        </is>
      </c>
      <c r="D481" t="inlineStr">
        <is>
          <t>web</t>
        </is>
      </c>
      <c r="E481" s="7" t="n">
        <v>46113</v>
      </c>
      <c r="F481" t="n">
        <v>3990</v>
      </c>
      <c r="G481" t="n">
        <v>2394</v>
      </c>
      <c r="H481" t="inlineStr">
        <is>
          <t>2026-04-03</t>
        </is>
      </c>
      <c r="I481">
        <f>IF(MONTH(E481)&lt;=6,"Q1","Q2")</f>
        <v/>
      </c>
      <c r="J481">
        <f>YEAR(E481)*100+MONTH(E481)</f>
        <v/>
      </c>
      <c r="K481">
        <f>IF(COUNTIF($A$2:A481,A481)=1,1,0)</f>
        <v/>
      </c>
      <c r="L481">
        <f>IF(K481=1,IF(COUNTIFS($B$2:B481,B481,$I$2:I481,I481,$K$2:K481,1)=1,1,0),0)</f>
        <v/>
      </c>
      <c r="M481">
        <f>IF(Tree!$C$4="once per order",F481*K481,F481)</f>
        <v/>
      </c>
      <c r="N481">
        <f>IF(Tree!$C$4="once per order",K481,1)</f>
        <v/>
      </c>
      <c r="O481">
        <f>IF(Tree!$C$4="once per order",L481,1)</f>
        <v/>
      </c>
    </row>
    <row r="482">
      <c r="A482" t="inlineStr">
        <is>
          <t>KR-00296</t>
        </is>
      </c>
      <c r="B482" t="inlineStr">
        <is>
          <t>C-0179</t>
        </is>
      </c>
      <c r="C482" t="inlineStr">
        <is>
          <t>Retail-Plus</t>
        </is>
      </c>
      <c r="D482" t="inlineStr">
        <is>
          <t>web</t>
        </is>
      </c>
      <c r="E482" s="7" t="n">
        <v>46113</v>
      </c>
      <c r="F482" t="n">
        <v>3990</v>
      </c>
      <c r="G482" t="n">
        <v>1596</v>
      </c>
      <c r="H482" t="inlineStr">
        <is>
          <t>2026-04-03</t>
        </is>
      </c>
      <c r="I482">
        <f>IF(MONTH(E482)&lt;=6,"Q1","Q2")</f>
        <v/>
      </c>
      <c r="J482">
        <f>YEAR(E482)*100+MONTH(E482)</f>
        <v/>
      </c>
      <c r="K482">
        <f>IF(COUNTIF($A$2:A482,A482)=1,1,0)</f>
        <v/>
      </c>
      <c r="L482">
        <f>IF(K482=1,IF(COUNTIFS($B$2:B482,B482,$I$2:I482,I482,$K$2:K482,1)=1,1,0),0)</f>
        <v/>
      </c>
      <c r="M482">
        <f>IF(Tree!$C$4="once per order",F482*K482,F482)</f>
        <v/>
      </c>
      <c r="N482">
        <f>IF(Tree!$C$4="once per order",K482,1)</f>
        <v/>
      </c>
      <c r="O482">
        <f>IF(Tree!$C$4="once per order",L482,1)</f>
        <v/>
      </c>
    </row>
    <row r="483">
      <c r="A483" t="inlineStr">
        <is>
          <t>KR-00297</t>
        </is>
      </c>
      <c r="B483" t="inlineStr">
        <is>
          <t>C-0165</t>
        </is>
      </c>
      <c r="C483" t="inlineStr">
        <is>
          <t>Retail-Plus</t>
        </is>
      </c>
      <c r="D483" t="inlineStr">
        <is>
          <t>store</t>
        </is>
      </c>
      <c r="E483" s="7" t="n">
        <v>46163</v>
      </c>
      <c r="F483" t="n">
        <v>1730</v>
      </c>
      <c r="G483" t="n">
        <v>1730</v>
      </c>
      <c r="H483" t="inlineStr">
        <is>
          <t>2026-05-23</t>
        </is>
      </c>
      <c r="I483">
        <f>IF(MONTH(E483)&lt;=6,"Q1","Q2")</f>
        <v/>
      </c>
      <c r="J483">
        <f>YEAR(E483)*100+MONTH(E483)</f>
        <v/>
      </c>
      <c r="K483">
        <f>IF(COUNTIF($A$2:A483,A483)=1,1,0)</f>
        <v/>
      </c>
      <c r="L483">
        <f>IF(K483=1,IF(COUNTIFS($B$2:B483,B483,$I$2:I483,I483,$K$2:K483,1)=1,1,0),0)</f>
        <v/>
      </c>
      <c r="M483">
        <f>IF(Tree!$C$4="once per order",F483*K483,F483)</f>
        <v/>
      </c>
      <c r="N483">
        <f>IF(Tree!$C$4="once per order",K483,1)</f>
        <v/>
      </c>
      <c r="O483">
        <f>IF(Tree!$C$4="once per order",L483,1)</f>
        <v/>
      </c>
    </row>
    <row r="484">
      <c r="A484" t="inlineStr">
        <is>
          <t>KR-00298</t>
        </is>
      </c>
      <c r="B484" t="inlineStr">
        <is>
          <t>C-0187</t>
        </is>
      </c>
      <c r="C484" t="inlineStr">
        <is>
          <t>Retail-Plus</t>
        </is>
      </c>
      <c r="D484" t="inlineStr">
        <is>
          <t>web</t>
        </is>
      </c>
      <c r="E484" s="7" t="n">
        <v>46174</v>
      </c>
      <c r="F484" t="n">
        <v>2160</v>
      </c>
      <c r="G484" t="n">
        <v>2160</v>
      </c>
      <c r="H484" t="inlineStr">
        <is>
          <t>2026-06-03</t>
        </is>
      </c>
      <c r="I484">
        <f>IF(MONTH(E484)&lt;=6,"Q1","Q2")</f>
        <v/>
      </c>
      <c r="J484">
        <f>YEAR(E484)*100+MONTH(E484)</f>
        <v/>
      </c>
      <c r="K484">
        <f>IF(COUNTIF($A$2:A484,A484)=1,1,0)</f>
        <v/>
      </c>
      <c r="L484">
        <f>IF(K484=1,IF(COUNTIFS($B$2:B484,B484,$I$2:I484,I484,$K$2:K484,1)=1,1,0),0)</f>
        <v/>
      </c>
      <c r="M484">
        <f>IF(Tree!$C$4="once per order",F484*K484,F484)</f>
        <v/>
      </c>
      <c r="N484">
        <f>IF(Tree!$C$4="once per order",K484,1)</f>
        <v/>
      </c>
      <c r="O484">
        <f>IF(Tree!$C$4="once per order",L484,1)</f>
        <v/>
      </c>
    </row>
    <row r="485">
      <c r="A485" t="inlineStr">
        <is>
          <t>KR-00299</t>
        </is>
      </c>
      <c r="B485" t="inlineStr">
        <is>
          <t>C-0257</t>
        </is>
      </c>
      <c r="C485" t="inlineStr">
        <is>
          <t>Retail-Plus</t>
        </is>
      </c>
      <c r="D485" t="inlineStr">
        <is>
          <t>app</t>
        </is>
      </c>
      <c r="E485" s="7" t="n">
        <v>46127</v>
      </c>
      <c r="F485" t="n">
        <v>4020</v>
      </c>
      <c r="G485" t="n">
        <v>2412</v>
      </c>
      <c r="H485" t="inlineStr">
        <is>
          <t>2026-04-17</t>
        </is>
      </c>
      <c r="I485">
        <f>IF(MONTH(E485)&lt;=6,"Q1","Q2")</f>
        <v/>
      </c>
      <c r="J485">
        <f>YEAR(E485)*100+MONTH(E485)</f>
        <v/>
      </c>
      <c r="K485">
        <f>IF(COUNTIF($A$2:A485,A485)=1,1,0)</f>
        <v/>
      </c>
      <c r="L485">
        <f>IF(K485=1,IF(COUNTIFS($B$2:B485,B485,$I$2:I485,I485,$K$2:K485,1)=1,1,0),0)</f>
        <v/>
      </c>
      <c r="M485">
        <f>IF(Tree!$C$4="once per order",F485*K485,F485)</f>
        <v/>
      </c>
      <c r="N485">
        <f>IF(Tree!$C$4="once per order",K485,1)</f>
        <v/>
      </c>
      <c r="O485">
        <f>IF(Tree!$C$4="once per order",L485,1)</f>
        <v/>
      </c>
    </row>
    <row r="486">
      <c r="A486" t="inlineStr">
        <is>
          <t>KR-00299</t>
        </is>
      </c>
      <c r="B486" t="inlineStr">
        <is>
          <t>C-0257</t>
        </is>
      </c>
      <c r="C486" t="inlineStr">
        <is>
          <t>Retail-Plus</t>
        </is>
      </c>
      <c r="D486" t="inlineStr">
        <is>
          <t>app</t>
        </is>
      </c>
      <c r="E486" s="7" t="n">
        <v>46127</v>
      </c>
      <c r="F486" t="n">
        <v>4020</v>
      </c>
      <c r="G486" t="n">
        <v>1608</v>
      </c>
      <c r="H486" t="inlineStr">
        <is>
          <t>2026-04-17</t>
        </is>
      </c>
      <c r="I486">
        <f>IF(MONTH(E486)&lt;=6,"Q1","Q2")</f>
        <v/>
      </c>
      <c r="J486">
        <f>YEAR(E486)*100+MONTH(E486)</f>
        <v/>
      </c>
      <c r="K486">
        <f>IF(COUNTIF($A$2:A486,A486)=1,1,0)</f>
        <v/>
      </c>
      <c r="L486">
        <f>IF(K486=1,IF(COUNTIFS($B$2:B486,B486,$I$2:I486,I486,$K$2:K486,1)=1,1,0),0)</f>
        <v/>
      </c>
      <c r="M486">
        <f>IF(Tree!$C$4="once per order",F486*K486,F486)</f>
        <v/>
      </c>
      <c r="N486">
        <f>IF(Tree!$C$4="once per order",K486,1)</f>
        <v/>
      </c>
      <c r="O486">
        <f>IF(Tree!$C$4="once per order",L486,1)</f>
        <v/>
      </c>
    </row>
    <row r="487">
      <c r="A487" t="inlineStr">
        <is>
          <t>KR-00300</t>
        </is>
      </c>
      <c r="B487" t="inlineStr">
        <is>
          <t>C-0167</t>
        </is>
      </c>
      <c r="C487" t="inlineStr">
        <is>
          <t>Retail-Plus</t>
        </is>
      </c>
      <c r="D487" t="inlineStr">
        <is>
          <t>web</t>
        </is>
      </c>
      <c r="E487" s="7" t="n">
        <v>46165</v>
      </c>
      <c r="F487" t="n">
        <v>2160</v>
      </c>
      <c r="G487" t="n">
        <v>2160</v>
      </c>
      <c r="H487" t="inlineStr">
        <is>
          <t>2026-05-25</t>
        </is>
      </c>
      <c r="I487">
        <f>IF(MONTH(E487)&lt;=6,"Q1","Q2")</f>
        <v/>
      </c>
      <c r="J487">
        <f>YEAR(E487)*100+MONTH(E487)</f>
        <v/>
      </c>
      <c r="K487">
        <f>IF(COUNTIF($A$2:A487,A487)=1,1,0)</f>
        <v/>
      </c>
      <c r="L487">
        <f>IF(K487=1,IF(COUNTIFS($B$2:B487,B487,$I$2:I487,I487,$K$2:K487,1)=1,1,0),0)</f>
        <v/>
      </c>
      <c r="M487">
        <f>IF(Tree!$C$4="once per order",F487*K487,F487)</f>
        <v/>
      </c>
      <c r="N487">
        <f>IF(Tree!$C$4="once per order",K487,1)</f>
        <v/>
      </c>
      <c r="O487">
        <f>IF(Tree!$C$4="once per order",L487,1)</f>
        <v/>
      </c>
    </row>
    <row r="488">
      <c r="A488" t="inlineStr">
        <is>
          <t>KR-00301</t>
        </is>
      </c>
      <c r="B488" t="inlineStr">
        <is>
          <t>C-0250</t>
        </is>
      </c>
      <c r="C488" t="inlineStr">
        <is>
          <t>Retail-Plus</t>
        </is>
      </c>
      <c r="D488" t="inlineStr">
        <is>
          <t>web</t>
        </is>
      </c>
      <c r="E488" s="7" t="n">
        <v>46179</v>
      </c>
      <c r="F488" t="n">
        <v>1790</v>
      </c>
      <c r="G488" t="n">
        <v>1790</v>
      </c>
      <c r="H488" t="inlineStr">
        <is>
          <t>2026-06-08</t>
        </is>
      </c>
      <c r="I488">
        <f>IF(MONTH(E488)&lt;=6,"Q1","Q2")</f>
        <v/>
      </c>
      <c r="J488">
        <f>YEAR(E488)*100+MONTH(E488)</f>
        <v/>
      </c>
      <c r="K488">
        <f>IF(COUNTIF($A$2:A488,A488)=1,1,0)</f>
        <v/>
      </c>
      <c r="L488">
        <f>IF(K488=1,IF(COUNTIFS($B$2:B488,B488,$I$2:I488,I488,$K$2:K488,1)=1,1,0),0)</f>
        <v/>
      </c>
      <c r="M488">
        <f>IF(Tree!$C$4="once per order",F488*K488,F488)</f>
        <v/>
      </c>
      <c r="N488">
        <f>IF(Tree!$C$4="once per order",K488,1)</f>
        <v/>
      </c>
      <c r="O488">
        <f>IF(Tree!$C$4="once per order",L488,1)</f>
        <v/>
      </c>
    </row>
    <row r="489">
      <c r="A489" t="inlineStr">
        <is>
          <t>KR-00302</t>
        </is>
      </c>
      <c r="B489" t="inlineStr">
        <is>
          <t>C-0168</t>
        </is>
      </c>
      <c r="C489" t="inlineStr">
        <is>
          <t>Retail-Plus</t>
        </is>
      </c>
      <c r="D489" t="inlineStr">
        <is>
          <t>app</t>
        </is>
      </c>
      <c r="E489" s="7" t="n">
        <v>46127</v>
      </c>
      <c r="F489" t="n">
        <v>1600</v>
      </c>
      <c r="G489" t="n">
        <v>1600</v>
      </c>
      <c r="H489" t="inlineStr">
        <is>
          <t>2026-04-17</t>
        </is>
      </c>
      <c r="I489">
        <f>IF(MONTH(E489)&lt;=6,"Q1","Q2")</f>
        <v/>
      </c>
      <c r="J489">
        <f>YEAR(E489)*100+MONTH(E489)</f>
        <v/>
      </c>
      <c r="K489">
        <f>IF(COUNTIF($A$2:A489,A489)=1,1,0)</f>
        <v/>
      </c>
      <c r="L489">
        <f>IF(K489=1,IF(COUNTIFS($B$2:B489,B489,$I$2:I489,I489,$K$2:K489,1)=1,1,0),0)</f>
        <v/>
      </c>
      <c r="M489">
        <f>IF(Tree!$C$4="once per order",F489*K489,F489)</f>
        <v/>
      </c>
      <c r="N489">
        <f>IF(Tree!$C$4="once per order",K489,1)</f>
        <v/>
      </c>
      <c r="O489">
        <f>IF(Tree!$C$4="once per order",L489,1)</f>
        <v/>
      </c>
    </row>
    <row r="490">
      <c r="A490" t="inlineStr">
        <is>
          <t>KR-00303</t>
        </is>
      </c>
      <c r="B490" t="inlineStr">
        <is>
          <t>C-0226</t>
        </is>
      </c>
      <c r="C490" t="inlineStr">
        <is>
          <t>Retail-Plus</t>
        </is>
      </c>
      <c r="D490" t="inlineStr">
        <is>
          <t>store</t>
        </is>
      </c>
      <c r="E490" s="7" t="n">
        <v>46167</v>
      </c>
      <c r="F490" t="n">
        <v>4130</v>
      </c>
      <c r="G490" t="n">
        <v>2478</v>
      </c>
      <c r="H490" t="inlineStr">
        <is>
          <t>2026-05-27</t>
        </is>
      </c>
      <c r="I490">
        <f>IF(MONTH(E490)&lt;=6,"Q1","Q2")</f>
        <v/>
      </c>
      <c r="J490">
        <f>YEAR(E490)*100+MONTH(E490)</f>
        <v/>
      </c>
      <c r="K490">
        <f>IF(COUNTIF($A$2:A490,A490)=1,1,0)</f>
        <v/>
      </c>
      <c r="L490">
        <f>IF(K490=1,IF(COUNTIFS($B$2:B490,B490,$I$2:I490,I490,$K$2:K490,1)=1,1,0),0)</f>
        <v/>
      </c>
      <c r="M490">
        <f>IF(Tree!$C$4="once per order",F490*K490,F490)</f>
        <v/>
      </c>
      <c r="N490">
        <f>IF(Tree!$C$4="once per order",K490,1)</f>
        <v/>
      </c>
      <c r="O490">
        <f>IF(Tree!$C$4="once per order",L490,1)</f>
        <v/>
      </c>
    </row>
    <row r="491">
      <c r="A491" t="inlineStr">
        <is>
          <t>KR-00303</t>
        </is>
      </c>
      <c r="B491" t="inlineStr">
        <is>
          <t>C-0226</t>
        </is>
      </c>
      <c r="C491" t="inlineStr">
        <is>
          <t>Retail-Plus</t>
        </is>
      </c>
      <c r="D491" t="inlineStr">
        <is>
          <t>store</t>
        </is>
      </c>
      <c r="E491" s="7" t="n">
        <v>46167</v>
      </c>
      <c r="F491" t="n">
        <v>4130</v>
      </c>
      <c r="G491" t="n">
        <v>1652</v>
      </c>
      <c r="H491" t="inlineStr">
        <is>
          <t>2026-05-27</t>
        </is>
      </c>
      <c r="I491">
        <f>IF(MONTH(E491)&lt;=6,"Q1","Q2")</f>
        <v/>
      </c>
      <c r="J491">
        <f>YEAR(E491)*100+MONTH(E491)</f>
        <v/>
      </c>
      <c r="K491">
        <f>IF(COUNTIF($A$2:A491,A491)=1,1,0)</f>
        <v/>
      </c>
      <c r="L491">
        <f>IF(K491=1,IF(COUNTIFS($B$2:B491,B491,$I$2:I491,I491,$K$2:K491,1)=1,1,0),0)</f>
        <v/>
      </c>
      <c r="M491">
        <f>IF(Tree!$C$4="once per order",F491*K491,F491)</f>
        <v/>
      </c>
      <c r="N491">
        <f>IF(Tree!$C$4="once per order",K491,1)</f>
        <v/>
      </c>
      <c r="O491">
        <f>IF(Tree!$C$4="once per order",L491,1)</f>
        <v/>
      </c>
    </row>
    <row r="492">
      <c r="A492" t="inlineStr">
        <is>
          <t>KR-00304</t>
        </is>
      </c>
      <c r="B492" t="inlineStr">
        <is>
          <t>C-0186</t>
        </is>
      </c>
      <c r="C492" t="inlineStr">
        <is>
          <t>Retail-Plus</t>
        </is>
      </c>
      <c r="D492" t="inlineStr">
        <is>
          <t>app</t>
        </is>
      </c>
      <c r="E492" s="7" t="n">
        <v>46185</v>
      </c>
      <c r="F492" t="n">
        <v>2430</v>
      </c>
      <c r="G492" t="n">
        <v>2430</v>
      </c>
      <c r="H492" t="inlineStr">
        <is>
          <t>2026-06-14</t>
        </is>
      </c>
      <c r="I492">
        <f>IF(MONTH(E492)&lt;=6,"Q1","Q2")</f>
        <v/>
      </c>
      <c r="J492">
        <f>YEAR(E492)*100+MONTH(E492)</f>
        <v/>
      </c>
      <c r="K492">
        <f>IF(COUNTIF($A$2:A492,A492)=1,1,0)</f>
        <v/>
      </c>
      <c r="L492">
        <f>IF(K492=1,IF(COUNTIFS($B$2:B492,B492,$I$2:I492,I492,$K$2:K492,1)=1,1,0),0)</f>
        <v/>
      </c>
      <c r="M492">
        <f>IF(Tree!$C$4="once per order",F492*K492,F492)</f>
        <v/>
      </c>
      <c r="N492">
        <f>IF(Tree!$C$4="once per order",K492,1)</f>
        <v/>
      </c>
      <c r="O492">
        <f>IF(Tree!$C$4="once per order",L492,1)</f>
        <v/>
      </c>
    </row>
    <row r="493">
      <c r="A493" t="inlineStr">
        <is>
          <t>KR-00305</t>
        </is>
      </c>
      <c r="B493" t="inlineStr">
        <is>
          <t>C-0173</t>
        </is>
      </c>
      <c r="C493" t="inlineStr">
        <is>
          <t>Retail-Plus</t>
        </is>
      </c>
      <c r="D493" t="inlineStr">
        <is>
          <t>app</t>
        </is>
      </c>
      <c r="E493" s="7" t="n">
        <v>46114</v>
      </c>
      <c r="F493" t="n">
        <v>1750</v>
      </c>
      <c r="G493" t="n">
        <v>1750</v>
      </c>
      <c r="H493" t="inlineStr">
        <is>
          <t>2026-04-04</t>
        </is>
      </c>
      <c r="I493">
        <f>IF(MONTH(E493)&lt;=6,"Q1","Q2")</f>
        <v/>
      </c>
      <c r="J493">
        <f>YEAR(E493)*100+MONTH(E493)</f>
        <v/>
      </c>
      <c r="K493">
        <f>IF(COUNTIF($A$2:A493,A493)=1,1,0)</f>
        <v/>
      </c>
      <c r="L493">
        <f>IF(K493=1,IF(COUNTIFS($B$2:B493,B493,$I$2:I493,I493,$K$2:K493,1)=1,1,0),0)</f>
        <v/>
      </c>
      <c r="M493">
        <f>IF(Tree!$C$4="once per order",F493*K493,F493)</f>
        <v/>
      </c>
      <c r="N493">
        <f>IF(Tree!$C$4="once per order",K493,1)</f>
        <v/>
      </c>
      <c r="O493">
        <f>IF(Tree!$C$4="once per order",L493,1)</f>
        <v/>
      </c>
    </row>
    <row r="494">
      <c r="A494" t="inlineStr">
        <is>
          <t>KR-00306</t>
        </is>
      </c>
      <c r="B494" t="inlineStr">
        <is>
          <t>C-0209</t>
        </is>
      </c>
      <c r="C494" t="inlineStr">
        <is>
          <t>Retail-Plus</t>
        </is>
      </c>
      <c r="D494" t="inlineStr">
        <is>
          <t>web</t>
        </is>
      </c>
      <c r="E494" s="7" t="n">
        <v>46170</v>
      </c>
      <c r="F494" t="n">
        <v>4420</v>
      </c>
      <c r="G494" t="n">
        <v>2652</v>
      </c>
      <c r="H494" t="inlineStr">
        <is>
          <t>2026-05-28</t>
        </is>
      </c>
      <c r="I494">
        <f>IF(MONTH(E494)&lt;=6,"Q1","Q2")</f>
        <v/>
      </c>
      <c r="J494">
        <f>YEAR(E494)*100+MONTH(E494)</f>
        <v/>
      </c>
      <c r="K494">
        <f>IF(COUNTIF($A$2:A494,A494)=1,1,0)</f>
        <v/>
      </c>
      <c r="L494">
        <f>IF(K494=1,IF(COUNTIFS($B$2:B494,B494,$I$2:I494,I494,$K$2:K494,1)=1,1,0),0)</f>
        <v/>
      </c>
      <c r="M494">
        <f>IF(Tree!$C$4="once per order",F494*K494,F494)</f>
        <v/>
      </c>
      <c r="N494">
        <f>IF(Tree!$C$4="once per order",K494,1)</f>
        <v/>
      </c>
      <c r="O494">
        <f>IF(Tree!$C$4="once per order",L494,1)</f>
        <v/>
      </c>
    </row>
    <row r="495">
      <c r="A495" t="inlineStr">
        <is>
          <t>KR-00306</t>
        </is>
      </c>
      <c r="B495" t="inlineStr">
        <is>
          <t>C-0209</t>
        </is>
      </c>
      <c r="C495" t="inlineStr">
        <is>
          <t>Retail-Plus</t>
        </is>
      </c>
      <c r="D495" t="inlineStr">
        <is>
          <t>web</t>
        </is>
      </c>
      <c r="E495" s="7" t="n">
        <v>46170</v>
      </c>
      <c r="F495" t="n">
        <v>4420</v>
      </c>
      <c r="G495" t="n">
        <v>1768</v>
      </c>
      <c r="H495" t="inlineStr">
        <is>
          <t>2026-05-28</t>
        </is>
      </c>
      <c r="I495">
        <f>IF(MONTH(E495)&lt;=6,"Q1","Q2")</f>
        <v/>
      </c>
      <c r="J495">
        <f>YEAR(E495)*100+MONTH(E495)</f>
        <v/>
      </c>
      <c r="K495">
        <f>IF(COUNTIF($A$2:A495,A495)=1,1,0)</f>
        <v/>
      </c>
      <c r="L495">
        <f>IF(K495=1,IF(COUNTIFS($B$2:B495,B495,$I$2:I495,I495,$K$2:K495,1)=1,1,0),0)</f>
        <v/>
      </c>
      <c r="M495">
        <f>IF(Tree!$C$4="once per order",F495*K495,F495)</f>
        <v/>
      </c>
      <c r="N495">
        <f>IF(Tree!$C$4="once per order",K495,1)</f>
        <v/>
      </c>
      <c r="O495">
        <f>IF(Tree!$C$4="once per order",L495,1)</f>
        <v/>
      </c>
    </row>
    <row r="496">
      <c r="A496" t="inlineStr">
        <is>
          <t>KR-00307</t>
        </is>
      </c>
      <c r="B496" t="inlineStr">
        <is>
          <t>C-0183</t>
        </is>
      </c>
      <c r="C496" t="inlineStr">
        <is>
          <t>Retail-Plus</t>
        </is>
      </c>
      <c r="D496" t="inlineStr">
        <is>
          <t>web</t>
        </is>
      </c>
      <c r="E496" s="7" t="n">
        <v>46193</v>
      </c>
      <c r="F496" t="n">
        <v>4330</v>
      </c>
      <c r="G496" t="n">
        <v>2598</v>
      </c>
      <c r="H496" t="inlineStr">
        <is>
          <t>2026-06-22</t>
        </is>
      </c>
      <c r="I496">
        <f>IF(MONTH(E496)&lt;=6,"Q1","Q2")</f>
        <v/>
      </c>
      <c r="J496">
        <f>YEAR(E496)*100+MONTH(E496)</f>
        <v/>
      </c>
      <c r="K496">
        <f>IF(COUNTIF($A$2:A496,A496)=1,1,0)</f>
        <v/>
      </c>
      <c r="L496">
        <f>IF(K496=1,IF(COUNTIFS($B$2:B496,B496,$I$2:I496,I496,$K$2:K496,1)=1,1,0),0)</f>
        <v/>
      </c>
      <c r="M496">
        <f>IF(Tree!$C$4="once per order",F496*K496,F496)</f>
        <v/>
      </c>
      <c r="N496">
        <f>IF(Tree!$C$4="once per order",K496,1)</f>
        <v/>
      </c>
      <c r="O496">
        <f>IF(Tree!$C$4="once per order",L496,1)</f>
        <v/>
      </c>
    </row>
    <row r="497">
      <c r="A497" t="inlineStr">
        <is>
          <t>KR-00307</t>
        </is>
      </c>
      <c r="B497" t="inlineStr">
        <is>
          <t>C-0183</t>
        </is>
      </c>
      <c r="C497" t="inlineStr">
        <is>
          <t>Retail-Plus</t>
        </is>
      </c>
      <c r="D497" t="inlineStr">
        <is>
          <t>web</t>
        </is>
      </c>
      <c r="E497" s="7" t="n">
        <v>46193</v>
      </c>
      <c r="F497" t="n">
        <v>4330</v>
      </c>
      <c r="G497" t="n">
        <v>1732</v>
      </c>
      <c r="H497" t="inlineStr">
        <is>
          <t>2026-06-22</t>
        </is>
      </c>
      <c r="I497">
        <f>IF(MONTH(E497)&lt;=6,"Q1","Q2")</f>
        <v/>
      </c>
      <c r="J497">
        <f>YEAR(E497)*100+MONTH(E497)</f>
        <v/>
      </c>
      <c r="K497">
        <f>IF(COUNTIF($A$2:A497,A497)=1,1,0)</f>
        <v/>
      </c>
      <c r="L497">
        <f>IF(K497=1,IF(COUNTIFS($B$2:B497,B497,$I$2:I497,I497,$K$2:K497,1)=1,1,0),0)</f>
        <v/>
      </c>
      <c r="M497">
        <f>IF(Tree!$C$4="once per order",F497*K497,F497)</f>
        <v/>
      </c>
      <c r="N497">
        <f>IF(Tree!$C$4="once per order",K497,1)</f>
        <v/>
      </c>
      <c r="O497">
        <f>IF(Tree!$C$4="once per order",L497,1)</f>
        <v/>
      </c>
    </row>
    <row r="498">
      <c r="A498" t="inlineStr">
        <is>
          <t>KR-00308</t>
        </is>
      </c>
      <c r="B498" t="inlineStr">
        <is>
          <t>C-0238</t>
        </is>
      </c>
      <c r="C498" t="inlineStr">
        <is>
          <t>Retail-Plus</t>
        </is>
      </c>
      <c r="D498" t="inlineStr">
        <is>
          <t>store</t>
        </is>
      </c>
      <c r="E498" s="7" t="n">
        <v>46122</v>
      </c>
      <c r="F498" t="n">
        <v>3740</v>
      </c>
      <c r="G498" t="n">
        <v>2244</v>
      </c>
      <c r="H498" t="inlineStr">
        <is>
          <t>2026-04-12</t>
        </is>
      </c>
      <c r="I498">
        <f>IF(MONTH(E498)&lt;=6,"Q1","Q2")</f>
        <v/>
      </c>
      <c r="J498">
        <f>YEAR(E498)*100+MONTH(E498)</f>
        <v/>
      </c>
      <c r="K498">
        <f>IF(COUNTIF($A$2:A498,A498)=1,1,0)</f>
        <v/>
      </c>
      <c r="L498">
        <f>IF(K498=1,IF(COUNTIFS($B$2:B498,B498,$I$2:I498,I498,$K$2:K498,1)=1,1,0),0)</f>
        <v/>
      </c>
      <c r="M498">
        <f>IF(Tree!$C$4="once per order",F498*K498,F498)</f>
        <v/>
      </c>
      <c r="N498">
        <f>IF(Tree!$C$4="once per order",K498,1)</f>
        <v/>
      </c>
      <c r="O498">
        <f>IF(Tree!$C$4="once per order",L498,1)</f>
        <v/>
      </c>
    </row>
    <row r="499">
      <c r="A499" t="inlineStr">
        <is>
          <t>KR-00308</t>
        </is>
      </c>
      <c r="B499" t="inlineStr">
        <is>
          <t>C-0238</t>
        </is>
      </c>
      <c r="C499" t="inlineStr">
        <is>
          <t>Retail-Plus</t>
        </is>
      </c>
      <c r="D499" t="inlineStr">
        <is>
          <t>store</t>
        </is>
      </c>
      <c r="E499" s="7" t="n">
        <v>46122</v>
      </c>
      <c r="F499" t="n">
        <v>3740</v>
      </c>
      <c r="G499" t="n">
        <v>1496</v>
      </c>
      <c r="H499" t="inlineStr">
        <is>
          <t>2026-04-12</t>
        </is>
      </c>
      <c r="I499">
        <f>IF(MONTH(E499)&lt;=6,"Q1","Q2")</f>
        <v/>
      </c>
      <c r="J499">
        <f>YEAR(E499)*100+MONTH(E499)</f>
        <v/>
      </c>
      <c r="K499">
        <f>IF(COUNTIF($A$2:A499,A499)=1,1,0)</f>
        <v/>
      </c>
      <c r="L499">
        <f>IF(K499=1,IF(COUNTIFS($B$2:B499,B499,$I$2:I499,I499,$K$2:K499,1)=1,1,0),0)</f>
        <v/>
      </c>
      <c r="M499">
        <f>IF(Tree!$C$4="once per order",F499*K499,F499)</f>
        <v/>
      </c>
      <c r="N499">
        <f>IF(Tree!$C$4="once per order",K499,1)</f>
        <v/>
      </c>
      <c r="O499">
        <f>IF(Tree!$C$4="once per order",L499,1)</f>
        <v/>
      </c>
    </row>
    <row r="500">
      <c r="A500" t="inlineStr">
        <is>
          <t>KR-00309</t>
        </is>
      </c>
      <c r="B500" t="inlineStr">
        <is>
          <t>C-0162</t>
        </is>
      </c>
      <c r="C500" t="inlineStr">
        <is>
          <t>Retail-Plus</t>
        </is>
      </c>
      <c r="D500" t="inlineStr">
        <is>
          <t>app</t>
        </is>
      </c>
      <c r="E500" s="7" t="n">
        <v>46168</v>
      </c>
      <c r="F500" t="n">
        <v>3920</v>
      </c>
      <c r="G500" t="n">
        <v>2352</v>
      </c>
      <c r="H500" t="inlineStr">
        <is>
          <t>2026-05-28</t>
        </is>
      </c>
      <c r="I500">
        <f>IF(MONTH(E500)&lt;=6,"Q1","Q2")</f>
        <v/>
      </c>
      <c r="J500">
        <f>YEAR(E500)*100+MONTH(E500)</f>
        <v/>
      </c>
      <c r="K500">
        <f>IF(COUNTIF($A$2:A500,A500)=1,1,0)</f>
        <v/>
      </c>
      <c r="L500">
        <f>IF(K500=1,IF(COUNTIFS($B$2:B500,B500,$I$2:I500,I500,$K$2:K500,1)=1,1,0),0)</f>
        <v/>
      </c>
      <c r="M500">
        <f>IF(Tree!$C$4="once per order",F500*K500,F500)</f>
        <v/>
      </c>
      <c r="N500">
        <f>IF(Tree!$C$4="once per order",K500,1)</f>
        <v/>
      </c>
      <c r="O500">
        <f>IF(Tree!$C$4="once per order",L500,1)</f>
        <v/>
      </c>
    </row>
    <row r="501">
      <c r="A501" t="inlineStr">
        <is>
          <t>KR-00309</t>
        </is>
      </c>
      <c r="B501" t="inlineStr">
        <is>
          <t>C-0162</t>
        </is>
      </c>
      <c r="C501" t="inlineStr">
        <is>
          <t>Retail-Plus</t>
        </is>
      </c>
      <c r="D501" t="inlineStr">
        <is>
          <t>app</t>
        </is>
      </c>
      <c r="E501" s="7" t="n">
        <v>46168</v>
      </c>
      <c r="F501" t="n">
        <v>3920</v>
      </c>
      <c r="G501" t="n">
        <v>1568</v>
      </c>
      <c r="H501" t="inlineStr">
        <is>
          <t>2026-05-28</t>
        </is>
      </c>
      <c r="I501">
        <f>IF(MONTH(E501)&lt;=6,"Q1","Q2")</f>
        <v/>
      </c>
      <c r="J501">
        <f>YEAR(E501)*100+MONTH(E501)</f>
        <v/>
      </c>
      <c r="K501">
        <f>IF(COUNTIF($A$2:A501,A501)=1,1,0)</f>
        <v/>
      </c>
      <c r="L501">
        <f>IF(K501=1,IF(COUNTIFS($B$2:B501,B501,$I$2:I501,I501,$K$2:K501,1)=1,1,0),0)</f>
        <v/>
      </c>
      <c r="M501">
        <f>IF(Tree!$C$4="once per order",F501*K501,F501)</f>
        <v/>
      </c>
      <c r="N501">
        <f>IF(Tree!$C$4="once per order",K501,1)</f>
        <v/>
      </c>
      <c r="O501">
        <f>IF(Tree!$C$4="once per order",L501,1)</f>
        <v/>
      </c>
    </row>
    <row r="502">
      <c r="A502" t="inlineStr">
        <is>
          <t>KR-00310</t>
        </is>
      </c>
      <c r="B502" t="inlineStr">
        <is>
          <t>C-0174</t>
        </is>
      </c>
      <c r="C502" t="inlineStr">
        <is>
          <t>Retail-Plus</t>
        </is>
      </c>
      <c r="D502" t="inlineStr">
        <is>
          <t>web</t>
        </is>
      </c>
      <c r="E502" s="7" t="n">
        <v>46178</v>
      </c>
      <c r="F502" t="n">
        <v>2760</v>
      </c>
      <c r="G502" t="n">
        <v>2760</v>
      </c>
      <c r="H502" t="inlineStr">
        <is>
          <t>2026-06-07</t>
        </is>
      </c>
      <c r="I502">
        <f>IF(MONTH(E502)&lt;=6,"Q1","Q2")</f>
        <v/>
      </c>
      <c r="J502">
        <f>YEAR(E502)*100+MONTH(E502)</f>
        <v/>
      </c>
      <c r="K502">
        <f>IF(COUNTIF($A$2:A502,A502)=1,1,0)</f>
        <v/>
      </c>
      <c r="L502">
        <f>IF(K502=1,IF(COUNTIFS($B$2:B502,B502,$I$2:I502,I502,$K$2:K502,1)=1,1,0),0)</f>
        <v/>
      </c>
      <c r="M502">
        <f>IF(Tree!$C$4="once per order",F502*K502,F502)</f>
        <v/>
      </c>
      <c r="N502">
        <f>IF(Tree!$C$4="once per order",K502,1)</f>
        <v/>
      </c>
      <c r="O502">
        <f>IF(Tree!$C$4="once per order",L502,1)</f>
        <v/>
      </c>
    </row>
    <row r="503">
      <c r="A503" t="inlineStr">
        <is>
          <t>KR-00311</t>
        </is>
      </c>
      <c r="B503" t="inlineStr">
        <is>
          <t>C-0191</t>
        </is>
      </c>
      <c r="C503" t="inlineStr">
        <is>
          <t>Retail-Plus</t>
        </is>
      </c>
      <c r="D503" t="inlineStr">
        <is>
          <t>app</t>
        </is>
      </c>
      <c r="E503" s="7" t="n">
        <v>46136</v>
      </c>
      <c r="F503" t="n">
        <v>2540</v>
      </c>
      <c r="G503" t="n">
        <v>2540</v>
      </c>
      <c r="H503" t="inlineStr">
        <is>
          <t>2026-04-26</t>
        </is>
      </c>
      <c r="I503">
        <f>IF(MONTH(E503)&lt;=6,"Q1","Q2")</f>
        <v/>
      </c>
      <c r="J503">
        <f>YEAR(E503)*100+MONTH(E503)</f>
        <v/>
      </c>
      <c r="K503">
        <f>IF(COUNTIF($A$2:A503,A503)=1,1,0)</f>
        <v/>
      </c>
      <c r="L503">
        <f>IF(K503=1,IF(COUNTIFS($B$2:B503,B503,$I$2:I503,I503,$K$2:K503,1)=1,1,0),0)</f>
        <v/>
      </c>
      <c r="M503">
        <f>IF(Tree!$C$4="once per order",F503*K503,F503)</f>
        <v/>
      </c>
      <c r="N503">
        <f>IF(Tree!$C$4="once per order",K503,1)</f>
        <v/>
      </c>
      <c r="O503">
        <f>IF(Tree!$C$4="once per order",L503,1)</f>
        <v/>
      </c>
    </row>
    <row r="504">
      <c r="A504" t="inlineStr">
        <is>
          <t>KR-00312</t>
        </is>
      </c>
      <c r="B504" t="inlineStr">
        <is>
          <t>C-0223</t>
        </is>
      </c>
      <c r="C504" t="inlineStr">
        <is>
          <t>Retail-Plus</t>
        </is>
      </c>
      <c r="D504" t="inlineStr">
        <is>
          <t>app</t>
        </is>
      </c>
      <c r="E504" s="7" t="n">
        <v>46160</v>
      </c>
      <c r="F504" t="n">
        <v>3670</v>
      </c>
      <c r="G504" t="n">
        <v>2202</v>
      </c>
      <c r="H504" t="inlineStr">
        <is>
          <t>2026-05-20</t>
        </is>
      </c>
      <c r="I504">
        <f>IF(MONTH(E504)&lt;=6,"Q1","Q2")</f>
        <v/>
      </c>
      <c r="J504">
        <f>YEAR(E504)*100+MONTH(E504)</f>
        <v/>
      </c>
      <c r="K504">
        <f>IF(COUNTIF($A$2:A504,A504)=1,1,0)</f>
        <v/>
      </c>
      <c r="L504">
        <f>IF(K504=1,IF(COUNTIFS($B$2:B504,B504,$I$2:I504,I504,$K$2:K504,1)=1,1,0),0)</f>
        <v/>
      </c>
      <c r="M504">
        <f>IF(Tree!$C$4="once per order",F504*K504,F504)</f>
        <v/>
      </c>
      <c r="N504">
        <f>IF(Tree!$C$4="once per order",K504,1)</f>
        <v/>
      </c>
      <c r="O504">
        <f>IF(Tree!$C$4="once per order",L504,1)</f>
        <v/>
      </c>
    </row>
    <row r="505">
      <c r="A505" t="inlineStr">
        <is>
          <t>KR-00312</t>
        </is>
      </c>
      <c r="B505" t="inlineStr">
        <is>
          <t>C-0223</t>
        </is>
      </c>
      <c r="C505" t="inlineStr">
        <is>
          <t>Retail-Plus</t>
        </is>
      </c>
      <c r="D505" t="inlineStr">
        <is>
          <t>app</t>
        </is>
      </c>
      <c r="E505" s="7" t="n">
        <v>46160</v>
      </c>
      <c r="F505" t="n">
        <v>3670</v>
      </c>
      <c r="G505" t="n">
        <v>1468</v>
      </c>
      <c r="H505" t="inlineStr">
        <is>
          <t>2026-05-20</t>
        </is>
      </c>
      <c r="I505">
        <f>IF(MONTH(E505)&lt;=6,"Q1","Q2")</f>
        <v/>
      </c>
      <c r="J505">
        <f>YEAR(E505)*100+MONTH(E505)</f>
        <v/>
      </c>
      <c r="K505">
        <f>IF(COUNTIF($A$2:A505,A505)=1,1,0)</f>
        <v/>
      </c>
      <c r="L505">
        <f>IF(K505=1,IF(COUNTIFS($B$2:B505,B505,$I$2:I505,I505,$K$2:K505,1)=1,1,0),0)</f>
        <v/>
      </c>
      <c r="M505">
        <f>IF(Tree!$C$4="once per order",F505*K505,F505)</f>
        <v/>
      </c>
      <c r="N505">
        <f>IF(Tree!$C$4="once per order",K505,1)</f>
        <v/>
      </c>
      <c r="O505">
        <f>IF(Tree!$C$4="once per order",L505,1)</f>
        <v/>
      </c>
    </row>
    <row r="506">
      <c r="A506" t="inlineStr">
        <is>
          <t>KR-00313</t>
        </is>
      </c>
      <c r="B506" t="inlineStr">
        <is>
          <t>C-0189</t>
        </is>
      </c>
      <c r="C506" t="inlineStr">
        <is>
          <t>Retail-Plus</t>
        </is>
      </c>
      <c r="D506" t="inlineStr">
        <is>
          <t>app</t>
        </is>
      </c>
      <c r="E506" s="7" t="n">
        <v>46185</v>
      </c>
      <c r="F506" t="n">
        <v>2180</v>
      </c>
      <c r="G506" t="n">
        <v>2180</v>
      </c>
      <c r="H506" t="inlineStr">
        <is>
          <t>2026-06-14</t>
        </is>
      </c>
      <c r="I506">
        <f>IF(MONTH(E506)&lt;=6,"Q1","Q2")</f>
        <v/>
      </c>
      <c r="J506">
        <f>YEAR(E506)*100+MONTH(E506)</f>
        <v/>
      </c>
      <c r="K506">
        <f>IF(COUNTIF($A$2:A506,A506)=1,1,0)</f>
        <v/>
      </c>
      <c r="L506">
        <f>IF(K506=1,IF(COUNTIFS($B$2:B506,B506,$I$2:I506,I506,$K$2:K506,1)=1,1,0),0)</f>
        <v/>
      </c>
      <c r="M506">
        <f>IF(Tree!$C$4="once per order",F506*K506,F506)</f>
        <v/>
      </c>
      <c r="N506">
        <f>IF(Tree!$C$4="once per order",K506,1)</f>
        <v/>
      </c>
      <c r="O506">
        <f>IF(Tree!$C$4="once per order",L506,1)</f>
        <v/>
      </c>
    </row>
    <row r="507">
      <c r="A507" t="inlineStr">
        <is>
          <t>KR-00314</t>
        </is>
      </c>
      <c r="B507" t="inlineStr">
        <is>
          <t>C-0200</t>
        </is>
      </c>
      <c r="C507" t="inlineStr">
        <is>
          <t>Retail-Plus</t>
        </is>
      </c>
      <c r="D507" t="inlineStr">
        <is>
          <t>app</t>
        </is>
      </c>
      <c r="E507" s="7" t="n">
        <v>46117</v>
      </c>
      <c r="F507" t="n">
        <v>4010</v>
      </c>
      <c r="G507" t="n">
        <v>2406</v>
      </c>
      <c r="H507" t="inlineStr">
        <is>
          <t>2026-04-07</t>
        </is>
      </c>
      <c r="I507">
        <f>IF(MONTH(E507)&lt;=6,"Q1","Q2")</f>
        <v/>
      </c>
      <c r="J507">
        <f>YEAR(E507)*100+MONTH(E507)</f>
        <v/>
      </c>
      <c r="K507">
        <f>IF(COUNTIF($A$2:A507,A507)=1,1,0)</f>
        <v/>
      </c>
      <c r="L507">
        <f>IF(K507=1,IF(COUNTIFS($B$2:B507,B507,$I$2:I507,I507,$K$2:K507,1)=1,1,0),0)</f>
        <v/>
      </c>
      <c r="M507">
        <f>IF(Tree!$C$4="once per order",F507*K507,F507)</f>
        <v/>
      </c>
      <c r="N507">
        <f>IF(Tree!$C$4="once per order",K507,1)</f>
        <v/>
      </c>
      <c r="O507">
        <f>IF(Tree!$C$4="once per order",L507,1)</f>
        <v/>
      </c>
    </row>
    <row r="508">
      <c r="A508" t="inlineStr">
        <is>
          <t>KR-00314</t>
        </is>
      </c>
      <c r="B508" t="inlineStr">
        <is>
          <t>C-0200</t>
        </is>
      </c>
      <c r="C508" t="inlineStr">
        <is>
          <t>Retail-Plus</t>
        </is>
      </c>
      <c r="D508" t="inlineStr">
        <is>
          <t>app</t>
        </is>
      </c>
      <c r="E508" s="7" t="n">
        <v>46117</v>
      </c>
      <c r="F508" t="n">
        <v>4010</v>
      </c>
      <c r="G508" t="n">
        <v>1604</v>
      </c>
      <c r="H508" t="inlineStr">
        <is>
          <t>2026-04-07</t>
        </is>
      </c>
      <c r="I508">
        <f>IF(MONTH(E508)&lt;=6,"Q1","Q2")</f>
        <v/>
      </c>
      <c r="J508">
        <f>YEAR(E508)*100+MONTH(E508)</f>
        <v/>
      </c>
      <c r="K508">
        <f>IF(COUNTIF($A$2:A508,A508)=1,1,0)</f>
        <v/>
      </c>
      <c r="L508">
        <f>IF(K508=1,IF(COUNTIFS($B$2:B508,B508,$I$2:I508,I508,$K$2:K508,1)=1,1,0),0)</f>
        <v/>
      </c>
      <c r="M508">
        <f>IF(Tree!$C$4="once per order",F508*K508,F508)</f>
        <v/>
      </c>
      <c r="N508">
        <f>IF(Tree!$C$4="once per order",K508,1)</f>
        <v/>
      </c>
      <c r="O508">
        <f>IF(Tree!$C$4="once per order",L508,1)</f>
        <v/>
      </c>
    </row>
    <row r="509">
      <c r="A509" t="inlineStr">
        <is>
          <t>KR-00315</t>
        </is>
      </c>
      <c r="B509" t="inlineStr">
        <is>
          <t>C-0182</t>
        </is>
      </c>
      <c r="C509" t="inlineStr">
        <is>
          <t>Retail-Plus</t>
        </is>
      </c>
      <c r="D509" t="inlineStr">
        <is>
          <t>store</t>
        </is>
      </c>
      <c r="E509" s="7" t="n">
        <v>46154</v>
      </c>
      <c r="F509" t="n">
        <v>3390</v>
      </c>
      <c r="G509" t="n">
        <v>2034</v>
      </c>
      <c r="H509" t="inlineStr">
        <is>
          <t>2026-05-14</t>
        </is>
      </c>
      <c r="I509">
        <f>IF(MONTH(E509)&lt;=6,"Q1","Q2")</f>
        <v/>
      </c>
      <c r="J509">
        <f>YEAR(E509)*100+MONTH(E509)</f>
        <v/>
      </c>
      <c r="K509">
        <f>IF(COUNTIF($A$2:A509,A509)=1,1,0)</f>
        <v/>
      </c>
      <c r="L509">
        <f>IF(K509=1,IF(COUNTIFS($B$2:B509,B509,$I$2:I509,I509,$K$2:K509,1)=1,1,0),0)</f>
        <v/>
      </c>
      <c r="M509">
        <f>IF(Tree!$C$4="once per order",F509*K509,F509)</f>
        <v/>
      </c>
      <c r="N509">
        <f>IF(Tree!$C$4="once per order",K509,1)</f>
        <v/>
      </c>
      <c r="O509">
        <f>IF(Tree!$C$4="once per order",L509,1)</f>
        <v/>
      </c>
    </row>
    <row r="510">
      <c r="A510" t="inlineStr">
        <is>
          <t>KR-00315</t>
        </is>
      </c>
      <c r="B510" t="inlineStr">
        <is>
          <t>C-0182</t>
        </is>
      </c>
      <c r="C510" t="inlineStr">
        <is>
          <t>Retail-Plus</t>
        </is>
      </c>
      <c r="D510" t="inlineStr">
        <is>
          <t>store</t>
        </is>
      </c>
      <c r="E510" s="7" t="n">
        <v>46154</v>
      </c>
      <c r="F510" t="n">
        <v>3390</v>
      </c>
      <c r="G510" t="n">
        <v>1356</v>
      </c>
      <c r="H510" t="inlineStr">
        <is>
          <t>2026-05-14</t>
        </is>
      </c>
      <c r="I510">
        <f>IF(MONTH(E510)&lt;=6,"Q1","Q2")</f>
        <v/>
      </c>
      <c r="J510">
        <f>YEAR(E510)*100+MONTH(E510)</f>
        <v/>
      </c>
      <c r="K510">
        <f>IF(COUNTIF($A$2:A510,A510)=1,1,0)</f>
        <v/>
      </c>
      <c r="L510">
        <f>IF(K510=1,IF(COUNTIFS($B$2:B510,B510,$I$2:I510,I510,$K$2:K510,1)=1,1,0),0)</f>
        <v/>
      </c>
      <c r="M510">
        <f>IF(Tree!$C$4="once per order",F510*K510,F510)</f>
        <v/>
      </c>
      <c r="N510">
        <f>IF(Tree!$C$4="once per order",K510,1)</f>
        <v/>
      </c>
      <c r="O510">
        <f>IF(Tree!$C$4="once per order",L510,1)</f>
        <v/>
      </c>
    </row>
    <row r="511">
      <c r="A511" t="inlineStr">
        <is>
          <t>KR-00316</t>
        </is>
      </c>
      <c r="B511" t="inlineStr">
        <is>
          <t>C-0222</t>
        </is>
      </c>
      <c r="C511" t="inlineStr">
        <is>
          <t>Retail-Plus</t>
        </is>
      </c>
      <c r="D511" t="inlineStr">
        <is>
          <t>web</t>
        </is>
      </c>
      <c r="E511" s="7" t="n">
        <v>46186</v>
      </c>
      <c r="F511" t="n">
        <v>1390</v>
      </c>
      <c r="G511" t="n">
        <v>1390</v>
      </c>
      <c r="H511" t="inlineStr">
        <is>
          <t>2026-06-15</t>
        </is>
      </c>
      <c r="I511">
        <f>IF(MONTH(E511)&lt;=6,"Q1","Q2")</f>
        <v/>
      </c>
      <c r="J511">
        <f>YEAR(E511)*100+MONTH(E511)</f>
        <v/>
      </c>
      <c r="K511">
        <f>IF(COUNTIF($A$2:A511,A511)=1,1,0)</f>
        <v/>
      </c>
      <c r="L511">
        <f>IF(K511=1,IF(COUNTIFS($B$2:B511,B511,$I$2:I511,I511,$K$2:K511,1)=1,1,0),0)</f>
        <v/>
      </c>
      <c r="M511">
        <f>IF(Tree!$C$4="once per order",F511*K511,F511)</f>
        <v/>
      </c>
      <c r="N511">
        <f>IF(Tree!$C$4="once per order",K511,1)</f>
        <v/>
      </c>
      <c r="O511">
        <f>IF(Tree!$C$4="once per order",L511,1)</f>
        <v/>
      </c>
    </row>
    <row r="512">
      <c r="A512" t="inlineStr">
        <is>
          <t>KR-00317</t>
        </is>
      </c>
      <c r="B512" t="inlineStr">
        <is>
          <t>C-0252</t>
        </is>
      </c>
      <c r="C512" t="inlineStr">
        <is>
          <t>Retail-Plus</t>
        </is>
      </c>
      <c r="D512" t="inlineStr">
        <is>
          <t>web</t>
        </is>
      </c>
      <c r="E512" s="7" t="n">
        <v>46120</v>
      </c>
      <c r="F512" t="n">
        <v>2910</v>
      </c>
      <c r="G512" t="n">
        <v>1746</v>
      </c>
      <c r="H512" t="inlineStr">
        <is>
          <t>2026-04-10</t>
        </is>
      </c>
      <c r="I512">
        <f>IF(MONTH(E512)&lt;=6,"Q1","Q2")</f>
        <v/>
      </c>
      <c r="J512">
        <f>YEAR(E512)*100+MONTH(E512)</f>
        <v/>
      </c>
      <c r="K512">
        <f>IF(COUNTIF($A$2:A512,A512)=1,1,0)</f>
        <v/>
      </c>
      <c r="L512">
        <f>IF(K512=1,IF(COUNTIFS($B$2:B512,B512,$I$2:I512,I512,$K$2:K512,1)=1,1,0),0)</f>
        <v/>
      </c>
      <c r="M512">
        <f>IF(Tree!$C$4="once per order",F512*K512,F512)</f>
        <v/>
      </c>
      <c r="N512">
        <f>IF(Tree!$C$4="once per order",K512,1)</f>
        <v/>
      </c>
      <c r="O512">
        <f>IF(Tree!$C$4="once per order",L512,1)</f>
        <v/>
      </c>
    </row>
    <row r="513">
      <c r="A513" t="inlineStr">
        <is>
          <t>KR-00317</t>
        </is>
      </c>
      <c r="B513" t="inlineStr">
        <is>
          <t>C-0252</t>
        </is>
      </c>
      <c r="C513" t="inlineStr">
        <is>
          <t>Retail-Plus</t>
        </is>
      </c>
      <c r="D513" t="inlineStr">
        <is>
          <t>web</t>
        </is>
      </c>
      <c r="E513" s="7" t="n">
        <v>46120</v>
      </c>
      <c r="F513" t="n">
        <v>2910</v>
      </c>
      <c r="G513" t="n">
        <v>1164</v>
      </c>
      <c r="H513" t="inlineStr">
        <is>
          <t>2026-04-10</t>
        </is>
      </c>
      <c r="I513">
        <f>IF(MONTH(E513)&lt;=6,"Q1","Q2")</f>
        <v/>
      </c>
      <c r="J513">
        <f>YEAR(E513)*100+MONTH(E513)</f>
        <v/>
      </c>
      <c r="K513">
        <f>IF(COUNTIF($A$2:A513,A513)=1,1,0)</f>
        <v/>
      </c>
      <c r="L513">
        <f>IF(K513=1,IF(COUNTIFS($B$2:B513,B513,$I$2:I513,I513,$K$2:K513,1)=1,1,0),0)</f>
        <v/>
      </c>
      <c r="M513">
        <f>IF(Tree!$C$4="once per order",F513*K513,F513)</f>
        <v/>
      </c>
      <c r="N513">
        <f>IF(Tree!$C$4="once per order",K513,1)</f>
        <v/>
      </c>
      <c r="O513">
        <f>IF(Tree!$C$4="once per order",L513,1)</f>
        <v/>
      </c>
    </row>
    <row r="514">
      <c r="A514" t="inlineStr">
        <is>
          <t>KR-00318</t>
        </is>
      </c>
      <c r="B514" t="inlineStr">
        <is>
          <t>C-0166</t>
        </is>
      </c>
      <c r="C514" t="inlineStr">
        <is>
          <t>Retail-Plus</t>
        </is>
      </c>
      <c r="D514" t="inlineStr">
        <is>
          <t>store</t>
        </is>
      </c>
      <c r="E514" s="7" t="n">
        <v>46167</v>
      </c>
      <c r="F514" t="n">
        <v>2780</v>
      </c>
      <c r="G514" t="n">
        <v>1668</v>
      </c>
      <c r="H514" t="inlineStr">
        <is>
          <t>2026-05-27</t>
        </is>
      </c>
      <c r="I514">
        <f>IF(MONTH(E514)&lt;=6,"Q1","Q2")</f>
        <v/>
      </c>
      <c r="J514">
        <f>YEAR(E514)*100+MONTH(E514)</f>
        <v/>
      </c>
      <c r="K514">
        <f>IF(COUNTIF($A$2:A514,A514)=1,1,0)</f>
        <v/>
      </c>
      <c r="L514">
        <f>IF(K514=1,IF(COUNTIFS($B$2:B514,B514,$I$2:I514,I514,$K$2:K514,1)=1,1,0),0)</f>
        <v/>
      </c>
      <c r="M514">
        <f>IF(Tree!$C$4="once per order",F514*K514,F514)</f>
        <v/>
      </c>
      <c r="N514">
        <f>IF(Tree!$C$4="once per order",K514,1)</f>
        <v/>
      </c>
      <c r="O514">
        <f>IF(Tree!$C$4="once per order",L514,1)</f>
        <v/>
      </c>
    </row>
    <row r="515">
      <c r="A515" t="inlineStr">
        <is>
          <t>KR-00318</t>
        </is>
      </c>
      <c r="B515" t="inlineStr">
        <is>
          <t>C-0166</t>
        </is>
      </c>
      <c r="C515" t="inlineStr">
        <is>
          <t>Retail-Plus</t>
        </is>
      </c>
      <c r="D515" t="inlineStr">
        <is>
          <t>store</t>
        </is>
      </c>
      <c r="E515" s="7" t="n">
        <v>46167</v>
      </c>
      <c r="F515" t="n">
        <v>2780</v>
      </c>
      <c r="G515" t="n">
        <v>1112</v>
      </c>
      <c r="H515" t="inlineStr">
        <is>
          <t>2026-05-27</t>
        </is>
      </c>
      <c r="I515">
        <f>IF(MONTH(E515)&lt;=6,"Q1","Q2")</f>
        <v/>
      </c>
      <c r="J515">
        <f>YEAR(E515)*100+MONTH(E515)</f>
        <v/>
      </c>
      <c r="K515">
        <f>IF(COUNTIF($A$2:A515,A515)=1,1,0)</f>
        <v/>
      </c>
      <c r="L515">
        <f>IF(K515=1,IF(COUNTIFS($B$2:B515,B515,$I$2:I515,I515,$K$2:K515,1)=1,1,0),0)</f>
        <v/>
      </c>
      <c r="M515">
        <f>IF(Tree!$C$4="once per order",F515*K515,F515)</f>
        <v/>
      </c>
      <c r="N515">
        <f>IF(Tree!$C$4="once per order",K515,1)</f>
        <v/>
      </c>
      <c r="O515">
        <f>IF(Tree!$C$4="once per order",L515,1)</f>
        <v/>
      </c>
    </row>
    <row r="516">
      <c r="A516" t="inlineStr">
        <is>
          <t>KR-00319</t>
        </is>
      </c>
      <c r="B516" t="inlineStr">
        <is>
          <t>C-0246</t>
        </is>
      </c>
      <c r="C516" t="inlineStr">
        <is>
          <t>Retail-Plus</t>
        </is>
      </c>
      <c r="D516" t="inlineStr">
        <is>
          <t>store</t>
        </is>
      </c>
      <c r="E516" s="7" t="n">
        <v>46184</v>
      </c>
      <c r="F516" t="n">
        <v>3650</v>
      </c>
      <c r="G516" t="n">
        <v>2190</v>
      </c>
      <c r="H516" t="inlineStr">
        <is>
          <t>2026-06-13</t>
        </is>
      </c>
      <c r="I516">
        <f>IF(MONTH(E516)&lt;=6,"Q1","Q2")</f>
        <v/>
      </c>
      <c r="J516">
        <f>YEAR(E516)*100+MONTH(E516)</f>
        <v/>
      </c>
      <c r="K516">
        <f>IF(COUNTIF($A$2:A516,A516)=1,1,0)</f>
        <v/>
      </c>
      <c r="L516">
        <f>IF(K516=1,IF(COUNTIFS($B$2:B516,B516,$I$2:I516,I516,$K$2:K516,1)=1,1,0),0)</f>
        <v/>
      </c>
      <c r="M516">
        <f>IF(Tree!$C$4="once per order",F516*K516,F516)</f>
        <v/>
      </c>
      <c r="N516">
        <f>IF(Tree!$C$4="once per order",K516,1)</f>
        <v/>
      </c>
      <c r="O516">
        <f>IF(Tree!$C$4="once per order",L516,1)</f>
        <v/>
      </c>
    </row>
    <row r="517">
      <c r="A517" t="inlineStr">
        <is>
          <t>KR-00319</t>
        </is>
      </c>
      <c r="B517" t="inlineStr">
        <is>
          <t>C-0246</t>
        </is>
      </c>
      <c r="C517" t="inlineStr">
        <is>
          <t>Retail-Plus</t>
        </is>
      </c>
      <c r="D517" t="inlineStr">
        <is>
          <t>store</t>
        </is>
      </c>
      <c r="E517" s="7" t="n">
        <v>46184</v>
      </c>
      <c r="F517" t="n">
        <v>3650</v>
      </c>
      <c r="G517" t="n">
        <v>1460</v>
      </c>
      <c r="H517" t="inlineStr">
        <is>
          <t>2026-06-13</t>
        </is>
      </c>
      <c r="I517">
        <f>IF(MONTH(E517)&lt;=6,"Q1","Q2")</f>
        <v/>
      </c>
      <c r="J517">
        <f>YEAR(E517)*100+MONTH(E517)</f>
        <v/>
      </c>
      <c r="K517">
        <f>IF(COUNTIF($A$2:A517,A517)=1,1,0)</f>
        <v/>
      </c>
      <c r="L517">
        <f>IF(K517=1,IF(COUNTIFS($B$2:B517,B517,$I$2:I517,I517,$K$2:K517,1)=1,1,0),0)</f>
        <v/>
      </c>
      <c r="M517">
        <f>IF(Tree!$C$4="once per order",F517*K517,F517)</f>
        <v/>
      </c>
      <c r="N517">
        <f>IF(Tree!$C$4="once per order",K517,1)</f>
        <v/>
      </c>
      <c r="O517">
        <f>IF(Tree!$C$4="once per order",L517,1)</f>
        <v/>
      </c>
    </row>
    <row r="518">
      <c r="A518" t="inlineStr">
        <is>
          <t>KR-00320</t>
        </is>
      </c>
      <c r="B518" t="inlineStr">
        <is>
          <t>C-0259</t>
        </is>
      </c>
      <c r="C518" t="inlineStr">
        <is>
          <t>Retail-Plus</t>
        </is>
      </c>
      <c r="D518" t="inlineStr">
        <is>
          <t>app</t>
        </is>
      </c>
      <c r="E518" s="7" t="n">
        <v>46128</v>
      </c>
      <c r="F518" t="n">
        <v>2520</v>
      </c>
      <c r="G518" t="n">
        <v>2520</v>
      </c>
      <c r="H518" t="inlineStr">
        <is>
          <t>2026-04-18</t>
        </is>
      </c>
      <c r="I518">
        <f>IF(MONTH(E518)&lt;=6,"Q1","Q2")</f>
        <v/>
      </c>
      <c r="J518">
        <f>YEAR(E518)*100+MONTH(E518)</f>
        <v/>
      </c>
      <c r="K518">
        <f>IF(COUNTIF($A$2:A518,A518)=1,1,0)</f>
        <v/>
      </c>
      <c r="L518">
        <f>IF(K518=1,IF(COUNTIFS($B$2:B518,B518,$I$2:I518,I518,$K$2:K518,1)=1,1,0),0)</f>
        <v/>
      </c>
      <c r="M518">
        <f>IF(Tree!$C$4="once per order",F518*K518,F518)</f>
        <v/>
      </c>
      <c r="N518">
        <f>IF(Tree!$C$4="once per order",K518,1)</f>
        <v/>
      </c>
      <c r="O518">
        <f>IF(Tree!$C$4="once per order",L518,1)</f>
        <v/>
      </c>
    </row>
    <row r="519">
      <c r="A519" t="inlineStr">
        <is>
          <t>KR-00321</t>
        </is>
      </c>
      <c r="B519" t="inlineStr">
        <is>
          <t>C-0172</t>
        </is>
      </c>
      <c r="C519" t="inlineStr">
        <is>
          <t>Retail-Plus</t>
        </is>
      </c>
      <c r="D519" t="inlineStr">
        <is>
          <t>store</t>
        </is>
      </c>
      <c r="E519" s="7" t="n">
        <v>46157</v>
      </c>
      <c r="F519" t="n">
        <v>3220</v>
      </c>
      <c r="G519" t="n">
        <v>1932</v>
      </c>
      <c r="H519" t="inlineStr">
        <is>
          <t>2026-05-17</t>
        </is>
      </c>
      <c r="I519">
        <f>IF(MONTH(E519)&lt;=6,"Q1","Q2")</f>
        <v/>
      </c>
      <c r="J519">
        <f>YEAR(E519)*100+MONTH(E519)</f>
        <v/>
      </c>
      <c r="K519">
        <f>IF(COUNTIF($A$2:A519,A519)=1,1,0)</f>
        <v/>
      </c>
      <c r="L519">
        <f>IF(K519=1,IF(COUNTIFS($B$2:B519,B519,$I$2:I519,I519,$K$2:K519,1)=1,1,0),0)</f>
        <v/>
      </c>
      <c r="M519">
        <f>IF(Tree!$C$4="once per order",F519*K519,F519)</f>
        <v/>
      </c>
      <c r="N519">
        <f>IF(Tree!$C$4="once per order",K519,1)</f>
        <v/>
      </c>
      <c r="O519">
        <f>IF(Tree!$C$4="once per order",L519,1)</f>
        <v/>
      </c>
    </row>
    <row r="520">
      <c r="A520" t="inlineStr">
        <is>
          <t>KR-00321</t>
        </is>
      </c>
      <c r="B520" t="inlineStr">
        <is>
          <t>C-0172</t>
        </is>
      </c>
      <c r="C520" t="inlineStr">
        <is>
          <t>Retail-Plus</t>
        </is>
      </c>
      <c r="D520" t="inlineStr">
        <is>
          <t>store</t>
        </is>
      </c>
      <c r="E520" s="7" t="n">
        <v>46157</v>
      </c>
      <c r="F520" t="n">
        <v>3220</v>
      </c>
      <c r="G520" t="n">
        <v>1288</v>
      </c>
      <c r="H520" t="inlineStr">
        <is>
          <t>2026-05-17</t>
        </is>
      </c>
      <c r="I520">
        <f>IF(MONTH(E520)&lt;=6,"Q1","Q2")</f>
        <v/>
      </c>
      <c r="J520">
        <f>YEAR(E520)*100+MONTH(E520)</f>
        <v/>
      </c>
      <c r="K520">
        <f>IF(COUNTIF($A$2:A520,A520)=1,1,0)</f>
        <v/>
      </c>
      <c r="L520">
        <f>IF(K520=1,IF(COUNTIFS($B$2:B520,B520,$I$2:I520,I520,$K$2:K520,1)=1,1,0),0)</f>
        <v/>
      </c>
      <c r="M520">
        <f>IF(Tree!$C$4="once per order",F520*K520,F520)</f>
        <v/>
      </c>
      <c r="N520">
        <f>IF(Tree!$C$4="once per order",K520,1)</f>
        <v/>
      </c>
      <c r="O520">
        <f>IF(Tree!$C$4="once per order",L520,1)</f>
        <v/>
      </c>
    </row>
    <row r="521">
      <c r="A521" t="inlineStr">
        <is>
          <t>KR-00322</t>
        </is>
      </c>
      <c r="B521" t="inlineStr">
        <is>
          <t>C-0222</t>
        </is>
      </c>
      <c r="C521" t="inlineStr">
        <is>
          <t>Retail-Plus</t>
        </is>
      </c>
      <c r="D521" t="inlineStr">
        <is>
          <t>app</t>
        </is>
      </c>
      <c r="E521" s="7" t="n">
        <v>46197</v>
      </c>
      <c r="F521" t="n">
        <v>3260</v>
      </c>
      <c r="G521" t="n">
        <v>1956</v>
      </c>
      <c r="H521" t="inlineStr">
        <is>
          <t>2026-06-26</t>
        </is>
      </c>
      <c r="I521">
        <f>IF(MONTH(E521)&lt;=6,"Q1","Q2")</f>
        <v/>
      </c>
      <c r="J521">
        <f>YEAR(E521)*100+MONTH(E521)</f>
        <v/>
      </c>
      <c r="K521">
        <f>IF(COUNTIF($A$2:A521,A521)=1,1,0)</f>
        <v/>
      </c>
      <c r="L521">
        <f>IF(K521=1,IF(COUNTIFS($B$2:B521,B521,$I$2:I521,I521,$K$2:K521,1)=1,1,0),0)</f>
        <v/>
      </c>
      <c r="M521">
        <f>IF(Tree!$C$4="once per order",F521*K521,F521)</f>
        <v/>
      </c>
      <c r="N521">
        <f>IF(Tree!$C$4="once per order",K521,1)</f>
        <v/>
      </c>
      <c r="O521">
        <f>IF(Tree!$C$4="once per order",L521,1)</f>
        <v/>
      </c>
    </row>
    <row r="522">
      <c r="A522" t="inlineStr">
        <is>
          <t>KR-00322</t>
        </is>
      </c>
      <c r="B522" t="inlineStr">
        <is>
          <t>C-0222</t>
        </is>
      </c>
      <c r="C522" t="inlineStr">
        <is>
          <t>Retail-Plus</t>
        </is>
      </c>
      <c r="D522" t="inlineStr">
        <is>
          <t>app</t>
        </is>
      </c>
      <c r="E522" s="7" t="n">
        <v>46197</v>
      </c>
      <c r="F522" t="n">
        <v>3260</v>
      </c>
      <c r="G522" t="n">
        <v>1304</v>
      </c>
      <c r="H522" t="inlineStr">
        <is>
          <t>2026-06-26</t>
        </is>
      </c>
      <c r="I522">
        <f>IF(MONTH(E522)&lt;=6,"Q1","Q2")</f>
        <v/>
      </c>
      <c r="J522">
        <f>YEAR(E522)*100+MONTH(E522)</f>
        <v/>
      </c>
      <c r="K522">
        <f>IF(COUNTIF($A$2:A522,A522)=1,1,0)</f>
        <v/>
      </c>
      <c r="L522">
        <f>IF(K522=1,IF(COUNTIFS($B$2:B522,B522,$I$2:I522,I522,$K$2:K522,1)=1,1,0),0)</f>
        <v/>
      </c>
      <c r="M522">
        <f>IF(Tree!$C$4="once per order",F522*K522,F522)</f>
        <v/>
      </c>
      <c r="N522">
        <f>IF(Tree!$C$4="once per order",K522,1)</f>
        <v/>
      </c>
      <c r="O522">
        <f>IF(Tree!$C$4="once per order",L522,1)</f>
        <v/>
      </c>
    </row>
    <row r="523">
      <c r="A523" t="inlineStr">
        <is>
          <t>KR-00323</t>
        </is>
      </c>
      <c r="B523" t="inlineStr">
        <is>
          <t>C-0155</t>
        </is>
      </c>
      <c r="C523" t="inlineStr">
        <is>
          <t>Retail-Plus</t>
        </is>
      </c>
      <c r="D523" t="inlineStr">
        <is>
          <t>app</t>
        </is>
      </c>
      <c r="E523" s="7" t="n">
        <v>46138</v>
      </c>
      <c r="F523" t="n">
        <v>1800</v>
      </c>
      <c r="G523" t="n">
        <v>1800</v>
      </c>
      <c r="H523" t="inlineStr">
        <is>
          <t>2026-04-28</t>
        </is>
      </c>
      <c r="I523">
        <f>IF(MONTH(E523)&lt;=6,"Q1","Q2")</f>
        <v/>
      </c>
      <c r="J523">
        <f>YEAR(E523)*100+MONTH(E523)</f>
        <v/>
      </c>
      <c r="K523">
        <f>IF(COUNTIF($A$2:A523,A523)=1,1,0)</f>
        <v/>
      </c>
      <c r="L523">
        <f>IF(K523=1,IF(COUNTIFS($B$2:B523,B523,$I$2:I523,I523,$K$2:K523,1)=1,1,0),0)</f>
        <v/>
      </c>
      <c r="M523">
        <f>IF(Tree!$C$4="once per order",F523*K523,F523)</f>
        <v/>
      </c>
      <c r="N523">
        <f>IF(Tree!$C$4="once per order",K523,1)</f>
        <v/>
      </c>
      <c r="O523">
        <f>IF(Tree!$C$4="once per order",L523,1)</f>
        <v/>
      </c>
    </row>
    <row r="524">
      <c r="A524" t="inlineStr">
        <is>
          <t>KR-00324</t>
        </is>
      </c>
      <c r="B524" t="inlineStr">
        <is>
          <t>C-0172</t>
        </is>
      </c>
      <c r="C524" t="inlineStr">
        <is>
          <t>Retail-Plus</t>
        </is>
      </c>
      <c r="D524" t="inlineStr">
        <is>
          <t>web</t>
        </is>
      </c>
      <c r="E524" s="7" t="n">
        <v>46155</v>
      </c>
      <c r="F524" t="n">
        <v>2180</v>
      </c>
      <c r="G524" t="n">
        <v>2180</v>
      </c>
      <c r="H524" t="inlineStr">
        <is>
          <t>2026-05-15</t>
        </is>
      </c>
      <c r="I524">
        <f>IF(MONTH(E524)&lt;=6,"Q1","Q2")</f>
        <v/>
      </c>
      <c r="J524">
        <f>YEAR(E524)*100+MONTH(E524)</f>
        <v/>
      </c>
      <c r="K524">
        <f>IF(COUNTIF($A$2:A524,A524)=1,1,0)</f>
        <v/>
      </c>
      <c r="L524">
        <f>IF(K524=1,IF(COUNTIFS($B$2:B524,B524,$I$2:I524,I524,$K$2:K524,1)=1,1,0),0)</f>
        <v/>
      </c>
      <c r="M524">
        <f>IF(Tree!$C$4="once per order",F524*K524,F524)</f>
        <v/>
      </c>
      <c r="N524">
        <f>IF(Tree!$C$4="once per order",K524,1)</f>
        <v/>
      </c>
      <c r="O524">
        <f>IF(Tree!$C$4="once per order",L524,1)</f>
        <v/>
      </c>
    </row>
    <row r="525">
      <c r="A525" t="inlineStr">
        <is>
          <t>KR-00325</t>
        </is>
      </c>
      <c r="B525" t="inlineStr">
        <is>
          <t>C-0169</t>
        </is>
      </c>
      <c r="C525" t="inlineStr">
        <is>
          <t>Retail-Plus</t>
        </is>
      </c>
      <c r="D525" t="inlineStr">
        <is>
          <t>web</t>
        </is>
      </c>
      <c r="E525" s="7" t="n">
        <v>46187</v>
      </c>
      <c r="F525" t="n">
        <v>2430</v>
      </c>
      <c r="G525" t="n">
        <v>2430</v>
      </c>
      <c r="H525" t="inlineStr">
        <is>
          <t>2026-06-16</t>
        </is>
      </c>
      <c r="I525">
        <f>IF(MONTH(E525)&lt;=6,"Q1","Q2")</f>
        <v/>
      </c>
      <c r="J525">
        <f>YEAR(E525)*100+MONTH(E525)</f>
        <v/>
      </c>
      <c r="K525">
        <f>IF(COUNTIF($A$2:A525,A525)=1,1,0)</f>
        <v/>
      </c>
      <c r="L525">
        <f>IF(K525=1,IF(COUNTIFS($B$2:B525,B525,$I$2:I525,I525,$K$2:K525,1)=1,1,0),0)</f>
        <v/>
      </c>
      <c r="M525">
        <f>IF(Tree!$C$4="once per order",F525*K525,F525)</f>
        <v/>
      </c>
      <c r="N525">
        <f>IF(Tree!$C$4="once per order",K525,1)</f>
        <v/>
      </c>
      <c r="O525">
        <f>IF(Tree!$C$4="once per order",L525,1)</f>
        <v/>
      </c>
    </row>
    <row r="526">
      <c r="A526" t="inlineStr">
        <is>
          <t>KR-00326</t>
        </is>
      </c>
      <c r="B526" t="inlineStr">
        <is>
          <t>C-0210</t>
        </is>
      </c>
      <c r="C526" t="inlineStr">
        <is>
          <t>Retail-Plus</t>
        </is>
      </c>
      <c r="D526" t="inlineStr">
        <is>
          <t>app</t>
        </is>
      </c>
      <c r="E526" s="7" t="n">
        <v>46129</v>
      </c>
      <c r="F526" t="n">
        <v>1470</v>
      </c>
      <c r="G526" t="n">
        <v>1470</v>
      </c>
      <c r="H526" t="inlineStr">
        <is>
          <t>2026-04-19</t>
        </is>
      </c>
      <c r="I526">
        <f>IF(MONTH(E526)&lt;=6,"Q1","Q2")</f>
        <v/>
      </c>
      <c r="J526">
        <f>YEAR(E526)*100+MONTH(E526)</f>
        <v/>
      </c>
      <c r="K526">
        <f>IF(COUNTIF($A$2:A526,A526)=1,1,0)</f>
        <v/>
      </c>
      <c r="L526">
        <f>IF(K526=1,IF(COUNTIFS($B$2:B526,B526,$I$2:I526,I526,$K$2:K526,1)=1,1,0),0)</f>
        <v/>
      </c>
      <c r="M526">
        <f>IF(Tree!$C$4="once per order",F526*K526,F526)</f>
        <v/>
      </c>
      <c r="N526">
        <f>IF(Tree!$C$4="once per order",K526,1)</f>
        <v/>
      </c>
      <c r="O526">
        <f>IF(Tree!$C$4="once per order",L526,1)</f>
        <v/>
      </c>
    </row>
    <row r="527">
      <c r="A527" t="inlineStr">
        <is>
          <t>KR-00327</t>
        </is>
      </c>
      <c r="B527" t="inlineStr">
        <is>
          <t>C-0248</t>
        </is>
      </c>
      <c r="C527" t="inlineStr">
        <is>
          <t>Retail-Plus</t>
        </is>
      </c>
      <c r="D527" t="inlineStr">
        <is>
          <t>app</t>
        </is>
      </c>
      <c r="E527" s="7" t="n">
        <v>46143</v>
      </c>
      <c r="F527" t="n">
        <v>3030</v>
      </c>
      <c r="G527" t="n">
        <v>1818</v>
      </c>
      <c r="H527" t="inlineStr">
        <is>
          <t>2026-05-03</t>
        </is>
      </c>
      <c r="I527">
        <f>IF(MONTH(E527)&lt;=6,"Q1","Q2")</f>
        <v/>
      </c>
      <c r="J527">
        <f>YEAR(E527)*100+MONTH(E527)</f>
        <v/>
      </c>
      <c r="K527">
        <f>IF(COUNTIF($A$2:A527,A527)=1,1,0)</f>
        <v/>
      </c>
      <c r="L527">
        <f>IF(K527=1,IF(COUNTIFS($B$2:B527,B527,$I$2:I527,I527,$K$2:K527,1)=1,1,0),0)</f>
        <v/>
      </c>
      <c r="M527">
        <f>IF(Tree!$C$4="once per order",F527*K527,F527)</f>
        <v/>
      </c>
      <c r="N527">
        <f>IF(Tree!$C$4="once per order",K527,1)</f>
        <v/>
      </c>
      <c r="O527">
        <f>IF(Tree!$C$4="once per order",L527,1)</f>
        <v/>
      </c>
    </row>
    <row r="528">
      <c r="A528" t="inlineStr">
        <is>
          <t>KR-00327</t>
        </is>
      </c>
      <c r="B528" t="inlineStr">
        <is>
          <t>C-0248</t>
        </is>
      </c>
      <c r="C528" t="inlineStr">
        <is>
          <t>Retail-Plus</t>
        </is>
      </c>
      <c r="D528" t="inlineStr">
        <is>
          <t>app</t>
        </is>
      </c>
      <c r="E528" s="7" t="n">
        <v>46143</v>
      </c>
      <c r="F528" t="n">
        <v>3030</v>
      </c>
      <c r="G528" t="n">
        <v>1212</v>
      </c>
      <c r="H528" t="inlineStr">
        <is>
          <t>2026-05-03</t>
        </is>
      </c>
      <c r="I528">
        <f>IF(MONTH(E528)&lt;=6,"Q1","Q2")</f>
        <v/>
      </c>
      <c r="J528">
        <f>YEAR(E528)*100+MONTH(E528)</f>
        <v/>
      </c>
      <c r="K528">
        <f>IF(COUNTIF($A$2:A528,A528)=1,1,0)</f>
        <v/>
      </c>
      <c r="L528">
        <f>IF(K528=1,IF(COUNTIFS($B$2:B528,B528,$I$2:I528,I528,$K$2:K528,1)=1,1,0),0)</f>
        <v/>
      </c>
      <c r="M528">
        <f>IF(Tree!$C$4="once per order",F528*K528,F528)</f>
        <v/>
      </c>
      <c r="N528">
        <f>IF(Tree!$C$4="once per order",K528,1)</f>
        <v/>
      </c>
      <c r="O528">
        <f>IF(Tree!$C$4="once per order",L528,1)</f>
        <v/>
      </c>
    </row>
    <row r="529">
      <c r="A529" t="inlineStr">
        <is>
          <t>KR-00328</t>
        </is>
      </c>
      <c r="B529" t="inlineStr">
        <is>
          <t>C-0153</t>
        </is>
      </c>
      <c r="C529" t="inlineStr">
        <is>
          <t>Retail-Plus</t>
        </is>
      </c>
      <c r="D529" t="inlineStr">
        <is>
          <t>store</t>
        </is>
      </c>
      <c r="E529" s="7" t="n">
        <v>46185</v>
      </c>
      <c r="F529" t="n">
        <v>2120</v>
      </c>
      <c r="G529" t="n">
        <v>2120</v>
      </c>
      <c r="H529" t="inlineStr">
        <is>
          <t>2026-06-14</t>
        </is>
      </c>
      <c r="I529">
        <f>IF(MONTH(E529)&lt;=6,"Q1","Q2")</f>
        <v/>
      </c>
      <c r="J529">
        <f>YEAR(E529)*100+MONTH(E529)</f>
        <v/>
      </c>
      <c r="K529">
        <f>IF(COUNTIF($A$2:A529,A529)=1,1,0)</f>
        <v/>
      </c>
      <c r="L529">
        <f>IF(K529=1,IF(COUNTIFS($B$2:B529,B529,$I$2:I529,I529,$K$2:K529,1)=1,1,0),0)</f>
        <v/>
      </c>
      <c r="M529">
        <f>IF(Tree!$C$4="once per order",F529*K529,F529)</f>
        <v/>
      </c>
      <c r="N529">
        <f>IF(Tree!$C$4="once per order",K529,1)</f>
        <v/>
      </c>
      <c r="O529">
        <f>IF(Tree!$C$4="once per order",L529,1)</f>
        <v/>
      </c>
    </row>
    <row r="530">
      <c r="A530" t="inlineStr">
        <is>
          <t>KR-00329</t>
        </is>
      </c>
      <c r="B530" t="inlineStr">
        <is>
          <t>C-0185</t>
        </is>
      </c>
      <c r="C530" t="inlineStr">
        <is>
          <t>Retail-Plus</t>
        </is>
      </c>
      <c r="D530" t="inlineStr">
        <is>
          <t>app</t>
        </is>
      </c>
      <c r="E530" s="7" t="n">
        <v>46133</v>
      </c>
      <c r="F530" t="n">
        <v>3880</v>
      </c>
      <c r="G530" t="n">
        <v>2328</v>
      </c>
      <c r="H530" t="inlineStr">
        <is>
          <t>2026-04-23</t>
        </is>
      </c>
      <c r="I530">
        <f>IF(MONTH(E530)&lt;=6,"Q1","Q2")</f>
        <v/>
      </c>
      <c r="J530">
        <f>YEAR(E530)*100+MONTH(E530)</f>
        <v/>
      </c>
      <c r="K530">
        <f>IF(COUNTIF($A$2:A530,A530)=1,1,0)</f>
        <v/>
      </c>
      <c r="L530">
        <f>IF(K530=1,IF(COUNTIFS($B$2:B530,B530,$I$2:I530,I530,$K$2:K530,1)=1,1,0),0)</f>
        <v/>
      </c>
      <c r="M530">
        <f>IF(Tree!$C$4="once per order",F530*K530,F530)</f>
        <v/>
      </c>
      <c r="N530">
        <f>IF(Tree!$C$4="once per order",K530,1)</f>
        <v/>
      </c>
      <c r="O530">
        <f>IF(Tree!$C$4="once per order",L530,1)</f>
        <v/>
      </c>
    </row>
    <row r="531">
      <c r="A531" t="inlineStr">
        <is>
          <t>KR-00329</t>
        </is>
      </c>
      <c r="B531" t="inlineStr">
        <is>
          <t>C-0185</t>
        </is>
      </c>
      <c r="C531" t="inlineStr">
        <is>
          <t>Retail-Plus</t>
        </is>
      </c>
      <c r="D531" t="inlineStr">
        <is>
          <t>app</t>
        </is>
      </c>
      <c r="E531" s="7" t="n">
        <v>46133</v>
      </c>
      <c r="F531" t="n">
        <v>3880</v>
      </c>
      <c r="G531" t="n">
        <v>1552</v>
      </c>
      <c r="H531" t="inlineStr">
        <is>
          <t>2026-04-23</t>
        </is>
      </c>
      <c r="I531">
        <f>IF(MONTH(E531)&lt;=6,"Q1","Q2")</f>
        <v/>
      </c>
      <c r="J531">
        <f>YEAR(E531)*100+MONTH(E531)</f>
        <v/>
      </c>
      <c r="K531">
        <f>IF(COUNTIF($A$2:A531,A531)=1,1,0)</f>
        <v/>
      </c>
      <c r="L531">
        <f>IF(K531=1,IF(COUNTIFS($B$2:B531,B531,$I$2:I531,I531,$K$2:K531,1)=1,1,0),0)</f>
        <v/>
      </c>
      <c r="M531">
        <f>IF(Tree!$C$4="once per order",F531*K531,F531)</f>
        <v/>
      </c>
      <c r="N531">
        <f>IF(Tree!$C$4="once per order",K531,1)</f>
        <v/>
      </c>
      <c r="O531">
        <f>IF(Tree!$C$4="once per order",L531,1)</f>
        <v/>
      </c>
    </row>
    <row r="532">
      <c r="A532" t="inlineStr">
        <is>
          <t>KR-00330</t>
        </is>
      </c>
      <c r="B532" t="inlineStr">
        <is>
          <t>C-0183</t>
        </is>
      </c>
      <c r="C532" t="inlineStr">
        <is>
          <t>Retail-Plus</t>
        </is>
      </c>
      <c r="D532" t="inlineStr">
        <is>
          <t>web</t>
        </is>
      </c>
      <c r="E532" s="7" t="n">
        <v>46167</v>
      </c>
      <c r="F532" t="n">
        <v>1450</v>
      </c>
      <c r="G532" t="n">
        <v>1450</v>
      </c>
      <c r="H532" t="inlineStr">
        <is>
          <t>2026-05-27</t>
        </is>
      </c>
      <c r="I532">
        <f>IF(MONTH(E532)&lt;=6,"Q1","Q2")</f>
        <v/>
      </c>
      <c r="J532">
        <f>YEAR(E532)*100+MONTH(E532)</f>
        <v/>
      </c>
      <c r="K532">
        <f>IF(COUNTIF($A$2:A532,A532)=1,1,0)</f>
        <v/>
      </c>
      <c r="L532">
        <f>IF(K532=1,IF(COUNTIFS($B$2:B532,B532,$I$2:I532,I532,$K$2:K532,1)=1,1,0),0)</f>
        <v/>
      </c>
      <c r="M532">
        <f>IF(Tree!$C$4="once per order",F532*K532,F532)</f>
        <v/>
      </c>
      <c r="N532">
        <f>IF(Tree!$C$4="once per order",K532,1)</f>
        <v/>
      </c>
      <c r="O532">
        <f>IF(Tree!$C$4="once per order",L532,1)</f>
        <v/>
      </c>
    </row>
    <row r="533">
      <c r="A533" t="inlineStr">
        <is>
          <t>KR-00331</t>
        </is>
      </c>
      <c r="B533" t="inlineStr">
        <is>
          <t>C-0152</t>
        </is>
      </c>
      <c r="C533" t="inlineStr">
        <is>
          <t>Retail-Plus</t>
        </is>
      </c>
      <c r="D533" t="inlineStr">
        <is>
          <t>web</t>
        </is>
      </c>
      <c r="E533" s="7" t="n">
        <v>46184</v>
      </c>
      <c r="F533" t="n">
        <v>1920</v>
      </c>
      <c r="G533" t="n">
        <v>1920</v>
      </c>
      <c r="H533" t="inlineStr">
        <is>
          <t>2026-06-13</t>
        </is>
      </c>
      <c r="I533">
        <f>IF(MONTH(E533)&lt;=6,"Q1","Q2")</f>
        <v/>
      </c>
      <c r="J533">
        <f>YEAR(E533)*100+MONTH(E533)</f>
        <v/>
      </c>
      <c r="K533">
        <f>IF(COUNTIF($A$2:A533,A533)=1,1,0)</f>
        <v/>
      </c>
      <c r="L533">
        <f>IF(K533=1,IF(COUNTIFS($B$2:B533,B533,$I$2:I533,I533,$K$2:K533,1)=1,1,0),0)</f>
        <v/>
      </c>
      <c r="M533">
        <f>IF(Tree!$C$4="once per order",F533*K533,F533)</f>
        <v/>
      </c>
      <c r="N533">
        <f>IF(Tree!$C$4="once per order",K533,1)</f>
        <v/>
      </c>
      <c r="O533">
        <f>IF(Tree!$C$4="once per order",L533,1)</f>
        <v/>
      </c>
    </row>
    <row r="534">
      <c r="A534" t="inlineStr">
        <is>
          <t>KR-00332</t>
        </is>
      </c>
      <c r="B534" t="inlineStr">
        <is>
          <t>C-0176</t>
        </is>
      </c>
      <c r="C534" t="inlineStr">
        <is>
          <t>Retail-Plus</t>
        </is>
      </c>
      <c r="D534" t="inlineStr">
        <is>
          <t>app</t>
        </is>
      </c>
      <c r="E534" s="7" t="n">
        <v>46122</v>
      </c>
      <c r="F534" t="n">
        <v>3850</v>
      </c>
      <c r="G534" t="n">
        <v>2310</v>
      </c>
      <c r="H534" t="inlineStr">
        <is>
          <t>2026-04-12</t>
        </is>
      </c>
      <c r="I534">
        <f>IF(MONTH(E534)&lt;=6,"Q1","Q2")</f>
        <v/>
      </c>
      <c r="J534">
        <f>YEAR(E534)*100+MONTH(E534)</f>
        <v/>
      </c>
      <c r="K534">
        <f>IF(COUNTIF($A$2:A534,A534)=1,1,0)</f>
        <v/>
      </c>
      <c r="L534">
        <f>IF(K534=1,IF(COUNTIFS($B$2:B534,B534,$I$2:I534,I534,$K$2:K534,1)=1,1,0),0)</f>
        <v/>
      </c>
      <c r="M534">
        <f>IF(Tree!$C$4="once per order",F534*K534,F534)</f>
        <v/>
      </c>
      <c r="N534">
        <f>IF(Tree!$C$4="once per order",K534,1)</f>
        <v/>
      </c>
      <c r="O534">
        <f>IF(Tree!$C$4="once per order",L534,1)</f>
        <v/>
      </c>
    </row>
    <row r="535">
      <c r="A535" t="inlineStr">
        <is>
          <t>KR-00332</t>
        </is>
      </c>
      <c r="B535" t="inlineStr">
        <is>
          <t>C-0176</t>
        </is>
      </c>
      <c r="C535" t="inlineStr">
        <is>
          <t>Retail-Plus</t>
        </is>
      </c>
      <c r="D535" t="inlineStr">
        <is>
          <t>app</t>
        </is>
      </c>
      <c r="E535" s="7" t="n">
        <v>46122</v>
      </c>
      <c r="F535" t="n">
        <v>3850</v>
      </c>
      <c r="G535" t="n">
        <v>1540</v>
      </c>
      <c r="H535" t="inlineStr">
        <is>
          <t>2026-04-12</t>
        </is>
      </c>
      <c r="I535">
        <f>IF(MONTH(E535)&lt;=6,"Q1","Q2")</f>
        <v/>
      </c>
      <c r="J535">
        <f>YEAR(E535)*100+MONTH(E535)</f>
        <v/>
      </c>
      <c r="K535">
        <f>IF(COUNTIF($A$2:A535,A535)=1,1,0)</f>
        <v/>
      </c>
      <c r="L535">
        <f>IF(K535=1,IF(COUNTIFS($B$2:B535,B535,$I$2:I535,I535,$K$2:K535,1)=1,1,0),0)</f>
        <v/>
      </c>
      <c r="M535">
        <f>IF(Tree!$C$4="once per order",F535*K535,F535)</f>
        <v/>
      </c>
      <c r="N535">
        <f>IF(Tree!$C$4="once per order",K535,1)</f>
        <v/>
      </c>
      <c r="O535">
        <f>IF(Tree!$C$4="once per order",L535,1)</f>
        <v/>
      </c>
    </row>
    <row r="536">
      <c r="A536" t="inlineStr">
        <is>
          <t>KR-00333</t>
        </is>
      </c>
      <c r="B536" t="inlineStr">
        <is>
          <t>C-0182</t>
        </is>
      </c>
      <c r="C536" t="inlineStr">
        <is>
          <t>Retail-Plus</t>
        </is>
      </c>
      <c r="D536" t="inlineStr">
        <is>
          <t>app</t>
        </is>
      </c>
      <c r="E536" s="7" t="n">
        <v>46148</v>
      </c>
      <c r="F536" t="n">
        <v>1290</v>
      </c>
      <c r="G536" t="n">
        <v>1290</v>
      </c>
      <c r="H536" t="inlineStr">
        <is>
          <t>2026-05-08</t>
        </is>
      </c>
      <c r="I536">
        <f>IF(MONTH(E536)&lt;=6,"Q1","Q2")</f>
        <v/>
      </c>
      <c r="J536">
        <f>YEAR(E536)*100+MONTH(E536)</f>
        <v/>
      </c>
      <c r="K536">
        <f>IF(COUNTIF($A$2:A536,A536)=1,1,0)</f>
        <v/>
      </c>
      <c r="L536">
        <f>IF(K536=1,IF(COUNTIFS($B$2:B536,B536,$I$2:I536,I536,$K$2:K536,1)=1,1,0),0)</f>
        <v/>
      </c>
      <c r="M536">
        <f>IF(Tree!$C$4="once per order",F536*K536,F536)</f>
        <v/>
      </c>
      <c r="N536">
        <f>IF(Tree!$C$4="once per order",K536,1)</f>
        <v/>
      </c>
      <c r="O536">
        <f>IF(Tree!$C$4="once per order",L536,1)</f>
        <v/>
      </c>
    </row>
    <row r="537">
      <c r="A537" t="inlineStr">
        <is>
          <t>KR-00334</t>
        </is>
      </c>
      <c r="B537" t="inlineStr">
        <is>
          <t>C-0162</t>
        </is>
      </c>
      <c r="C537" t="inlineStr">
        <is>
          <t>Retail-Plus</t>
        </is>
      </c>
      <c r="D537" t="inlineStr">
        <is>
          <t>web</t>
        </is>
      </c>
      <c r="E537" s="7" t="n">
        <v>46182</v>
      </c>
      <c r="F537" t="n">
        <v>2540</v>
      </c>
      <c r="G537" t="n">
        <v>2540</v>
      </c>
      <c r="H537" t="inlineStr">
        <is>
          <t>2026-06-11</t>
        </is>
      </c>
      <c r="I537">
        <f>IF(MONTH(E537)&lt;=6,"Q1","Q2")</f>
        <v/>
      </c>
      <c r="J537">
        <f>YEAR(E537)*100+MONTH(E537)</f>
        <v/>
      </c>
      <c r="K537">
        <f>IF(COUNTIF($A$2:A537,A537)=1,1,0)</f>
        <v/>
      </c>
      <c r="L537">
        <f>IF(K537=1,IF(COUNTIFS($B$2:B537,B537,$I$2:I537,I537,$K$2:K537,1)=1,1,0),0)</f>
        <v/>
      </c>
      <c r="M537">
        <f>IF(Tree!$C$4="once per order",F537*K537,F537)</f>
        <v/>
      </c>
      <c r="N537">
        <f>IF(Tree!$C$4="once per order",K537,1)</f>
        <v/>
      </c>
      <c r="O537">
        <f>IF(Tree!$C$4="once per order",L537,1)</f>
        <v/>
      </c>
    </row>
    <row r="538">
      <c r="A538" t="inlineStr">
        <is>
          <t>KR-00335</t>
        </is>
      </c>
      <c r="B538" t="inlineStr">
        <is>
          <t>C-0159</t>
        </is>
      </c>
      <c r="C538" t="inlineStr">
        <is>
          <t>Retail-Plus</t>
        </is>
      </c>
      <c r="D538" t="inlineStr">
        <is>
          <t>web</t>
        </is>
      </c>
      <c r="E538" s="7" t="n">
        <v>46121</v>
      </c>
      <c r="F538" t="n">
        <v>3450</v>
      </c>
      <c r="G538" t="n">
        <v>2070</v>
      </c>
      <c r="H538" t="inlineStr">
        <is>
          <t>2026-04-11</t>
        </is>
      </c>
      <c r="I538">
        <f>IF(MONTH(E538)&lt;=6,"Q1","Q2")</f>
        <v/>
      </c>
      <c r="J538">
        <f>YEAR(E538)*100+MONTH(E538)</f>
        <v/>
      </c>
      <c r="K538">
        <f>IF(COUNTIF($A$2:A538,A538)=1,1,0)</f>
        <v/>
      </c>
      <c r="L538">
        <f>IF(K538=1,IF(COUNTIFS($B$2:B538,B538,$I$2:I538,I538,$K$2:K538,1)=1,1,0),0)</f>
        <v/>
      </c>
      <c r="M538">
        <f>IF(Tree!$C$4="once per order",F538*K538,F538)</f>
        <v/>
      </c>
      <c r="N538">
        <f>IF(Tree!$C$4="once per order",K538,1)</f>
        <v/>
      </c>
      <c r="O538">
        <f>IF(Tree!$C$4="once per order",L538,1)</f>
        <v/>
      </c>
    </row>
    <row r="539">
      <c r="A539" t="inlineStr">
        <is>
          <t>KR-00335</t>
        </is>
      </c>
      <c r="B539" t="inlineStr">
        <is>
          <t>C-0159</t>
        </is>
      </c>
      <c r="C539" t="inlineStr">
        <is>
          <t>Retail-Plus</t>
        </is>
      </c>
      <c r="D539" t="inlineStr">
        <is>
          <t>web</t>
        </is>
      </c>
      <c r="E539" s="7" t="n">
        <v>46121</v>
      </c>
      <c r="F539" t="n">
        <v>3450</v>
      </c>
      <c r="G539" t="n">
        <v>1380</v>
      </c>
      <c r="H539" t="inlineStr">
        <is>
          <t>2026-04-11</t>
        </is>
      </c>
      <c r="I539">
        <f>IF(MONTH(E539)&lt;=6,"Q1","Q2")</f>
        <v/>
      </c>
      <c r="J539">
        <f>YEAR(E539)*100+MONTH(E539)</f>
        <v/>
      </c>
      <c r="K539">
        <f>IF(COUNTIF($A$2:A539,A539)=1,1,0)</f>
        <v/>
      </c>
      <c r="L539">
        <f>IF(K539=1,IF(COUNTIFS($B$2:B539,B539,$I$2:I539,I539,$K$2:K539,1)=1,1,0),0)</f>
        <v/>
      </c>
      <c r="M539">
        <f>IF(Tree!$C$4="once per order",F539*K539,F539)</f>
        <v/>
      </c>
      <c r="N539">
        <f>IF(Tree!$C$4="once per order",K539,1)</f>
        <v/>
      </c>
      <c r="O539">
        <f>IF(Tree!$C$4="once per order",L539,1)</f>
        <v/>
      </c>
    </row>
    <row r="540">
      <c r="A540" t="inlineStr">
        <is>
          <t>KR-00336</t>
        </is>
      </c>
      <c r="B540" t="inlineStr">
        <is>
          <t>C-0183</t>
        </is>
      </c>
      <c r="C540" t="inlineStr">
        <is>
          <t>Retail-Plus</t>
        </is>
      </c>
      <c r="D540" t="inlineStr">
        <is>
          <t>web</t>
        </is>
      </c>
      <c r="E540" s="7" t="n">
        <v>46166</v>
      </c>
      <c r="F540" t="n">
        <v>2670</v>
      </c>
      <c r="G540" t="n">
        <v>2670</v>
      </c>
      <c r="H540" t="inlineStr">
        <is>
          <t>2026-05-26</t>
        </is>
      </c>
      <c r="I540">
        <f>IF(MONTH(E540)&lt;=6,"Q1","Q2")</f>
        <v/>
      </c>
      <c r="J540">
        <f>YEAR(E540)*100+MONTH(E540)</f>
        <v/>
      </c>
      <c r="K540">
        <f>IF(COUNTIF($A$2:A540,A540)=1,1,0)</f>
        <v/>
      </c>
      <c r="L540">
        <f>IF(K540=1,IF(COUNTIFS($B$2:B540,B540,$I$2:I540,I540,$K$2:K540,1)=1,1,0),0)</f>
        <v/>
      </c>
      <c r="M540">
        <f>IF(Tree!$C$4="once per order",F540*K540,F540)</f>
        <v/>
      </c>
      <c r="N540">
        <f>IF(Tree!$C$4="once per order",K540,1)</f>
        <v/>
      </c>
      <c r="O540">
        <f>IF(Tree!$C$4="once per order",L540,1)</f>
        <v/>
      </c>
    </row>
    <row r="541">
      <c r="A541" t="inlineStr">
        <is>
          <t>KR-00337</t>
        </is>
      </c>
      <c r="B541" t="inlineStr">
        <is>
          <t>C-0204</t>
        </is>
      </c>
      <c r="C541" t="inlineStr">
        <is>
          <t>Retail-Plus</t>
        </is>
      </c>
      <c r="D541" t="inlineStr">
        <is>
          <t>store</t>
        </is>
      </c>
      <c r="E541" s="7" t="n">
        <v>46177</v>
      </c>
      <c r="F541" t="n">
        <v>2920</v>
      </c>
      <c r="G541" t="n">
        <v>1752</v>
      </c>
      <c r="H541" t="inlineStr">
        <is>
          <t>2026-06-06</t>
        </is>
      </c>
      <c r="I541">
        <f>IF(MONTH(E541)&lt;=6,"Q1","Q2")</f>
        <v/>
      </c>
      <c r="J541">
        <f>YEAR(E541)*100+MONTH(E541)</f>
        <v/>
      </c>
      <c r="K541">
        <f>IF(COUNTIF($A$2:A541,A541)=1,1,0)</f>
        <v/>
      </c>
      <c r="L541">
        <f>IF(K541=1,IF(COUNTIFS($B$2:B541,B541,$I$2:I541,I541,$K$2:K541,1)=1,1,0),0)</f>
        <v/>
      </c>
      <c r="M541">
        <f>IF(Tree!$C$4="once per order",F541*K541,F541)</f>
        <v/>
      </c>
      <c r="N541">
        <f>IF(Tree!$C$4="once per order",K541,1)</f>
        <v/>
      </c>
      <c r="O541">
        <f>IF(Tree!$C$4="once per order",L541,1)</f>
        <v/>
      </c>
    </row>
    <row r="542">
      <c r="A542" t="inlineStr">
        <is>
          <t>KR-00337</t>
        </is>
      </c>
      <c r="B542" t="inlineStr">
        <is>
          <t>C-0204</t>
        </is>
      </c>
      <c r="C542" t="inlineStr">
        <is>
          <t>Retail-Plus</t>
        </is>
      </c>
      <c r="D542" t="inlineStr">
        <is>
          <t>store</t>
        </is>
      </c>
      <c r="E542" s="7" t="n">
        <v>46177</v>
      </c>
      <c r="F542" t="n">
        <v>2920</v>
      </c>
      <c r="G542" t="n">
        <v>1168</v>
      </c>
      <c r="H542" t="inlineStr">
        <is>
          <t>2026-06-06</t>
        </is>
      </c>
      <c r="I542">
        <f>IF(MONTH(E542)&lt;=6,"Q1","Q2")</f>
        <v/>
      </c>
      <c r="J542">
        <f>YEAR(E542)*100+MONTH(E542)</f>
        <v/>
      </c>
      <c r="K542">
        <f>IF(COUNTIF($A$2:A542,A542)=1,1,0)</f>
        <v/>
      </c>
      <c r="L542">
        <f>IF(K542=1,IF(COUNTIFS($B$2:B542,B542,$I$2:I542,I542,$K$2:K542,1)=1,1,0),0)</f>
        <v/>
      </c>
      <c r="M542">
        <f>IF(Tree!$C$4="once per order",F542*K542,F542)</f>
        <v/>
      </c>
      <c r="N542">
        <f>IF(Tree!$C$4="once per order",K542,1)</f>
        <v/>
      </c>
      <c r="O542">
        <f>IF(Tree!$C$4="once per order",L542,1)</f>
        <v/>
      </c>
    </row>
    <row r="543">
      <c r="A543" t="inlineStr">
        <is>
          <t>KR-00338</t>
        </is>
      </c>
      <c r="B543" t="inlineStr">
        <is>
          <t>C-0210</t>
        </is>
      </c>
      <c r="C543" t="inlineStr">
        <is>
          <t>Retail-Plus</t>
        </is>
      </c>
      <c r="D543" t="inlineStr">
        <is>
          <t>app</t>
        </is>
      </c>
      <c r="E543" s="7" t="n">
        <v>46121</v>
      </c>
      <c r="F543" t="n">
        <v>2900</v>
      </c>
      <c r="G543" t="n">
        <v>1740</v>
      </c>
      <c r="H543" t="inlineStr">
        <is>
          <t>2026-04-11</t>
        </is>
      </c>
      <c r="I543">
        <f>IF(MONTH(E543)&lt;=6,"Q1","Q2")</f>
        <v/>
      </c>
      <c r="J543">
        <f>YEAR(E543)*100+MONTH(E543)</f>
        <v/>
      </c>
      <c r="K543">
        <f>IF(COUNTIF($A$2:A543,A543)=1,1,0)</f>
        <v/>
      </c>
      <c r="L543">
        <f>IF(K543=1,IF(COUNTIFS($B$2:B543,B543,$I$2:I543,I543,$K$2:K543,1)=1,1,0),0)</f>
        <v/>
      </c>
      <c r="M543">
        <f>IF(Tree!$C$4="once per order",F543*K543,F543)</f>
        <v/>
      </c>
      <c r="N543">
        <f>IF(Tree!$C$4="once per order",K543,1)</f>
        <v/>
      </c>
      <c r="O543">
        <f>IF(Tree!$C$4="once per order",L543,1)</f>
        <v/>
      </c>
    </row>
    <row r="544">
      <c r="A544" t="inlineStr">
        <is>
          <t>KR-00338</t>
        </is>
      </c>
      <c r="B544" t="inlineStr">
        <is>
          <t>C-0210</t>
        </is>
      </c>
      <c r="C544" t="inlineStr">
        <is>
          <t>Retail-Plus</t>
        </is>
      </c>
      <c r="D544" t="inlineStr">
        <is>
          <t>app</t>
        </is>
      </c>
      <c r="E544" s="7" t="n">
        <v>46121</v>
      </c>
      <c r="F544" t="n">
        <v>2900</v>
      </c>
      <c r="G544" t="n">
        <v>1160</v>
      </c>
      <c r="H544" t="inlineStr">
        <is>
          <t>2026-04-11</t>
        </is>
      </c>
      <c r="I544">
        <f>IF(MONTH(E544)&lt;=6,"Q1","Q2")</f>
        <v/>
      </c>
      <c r="J544">
        <f>YEAR(E544)*100+MONTH(E544)</f>
        <v/>
      </c>
      <c r="K544">
        <f>IF(COUNTIF($A$2:A544,A544)=1,1,0)</f>
        <v/>
      </c>
      <c r="L544">
        <f>IF(K544=1,IF(COUNTIFS($B$2:B544,B544,$I$2:I544,I544,$K$2:K544,1)=1,1,0),0)</f>
        <v/>
      </c>
      <c r="M544">
        <f>IF(Tree!$C$4="once per order",F544*K544,F544)</f>
        <v/>
      </c>
      <c r="N544">
        <f>IF(Tree!$C$4="once per order",K544,1)</f>
        <v/>
      </c>
      <c r="O544">
        <f>IF(Tree!$C$4="once per order",L544,1)</f>
        <v/>
      </c>
    </row>
    <row r="545">
      <c r="A545" t="inlineStr">
        <is>
          <t>KR-00339</t>
        </is>
      </c>
      <c r="B545" t="inlineStr">
        <is>
          <t>C-0182</t>
        </is>
      </c>
      <c r="C545" t="inlineStr">
        <is>
          <t>Retail-Plus</t>
        </is>
      </c>
      <c r="D545" t="inlineStr">
        <is>
          <t>web</t>
        </is>
      </c>
      <c r="E545" s="7" t="n">
        <v>46169</v>
      </c>
      <c r="F545" t="n">
        <v>4470</v>
      </c>
      <c r="G545" t="n">
        <v>2682</v>
      </c>
      <c r="H545" t="inlineStr">
        <is>
          <t>2026-05-28</t>
        </is>
      </c>
      <c r="I545">
        <f>IF(MONTH(E545)&lt;=6,"Q1","Q2")</f>
        <v/>
      </c>
      <c r="J545">
        <f>YEAR(E545)*100+MONTH(E545)</f>
        <v/>
      </c>
      <c r="K545">
        <f>IF(COUNTIF($A$2:A545,A545)=1,1,0)</f>
        <v/>
      </c>
      <c r="L545">
        <f>IF(K545=1,IF(COUNTIFS($B$2:B545,B545,$I$2:I545,I545,$K$2:K545,1)=1,1,0),0)</f>
        <v/>
      </c>
      <c r="M545">
        <f>IF(Tree!$C$4="once per order",F545*K545,F545)</f>
        <v/>
      </c>
      <c r="N545">
        <f>IF(Tree!$C$4="once per order",K545,1)</f>
        <v/>
      </c>
      <c r="O545">
        <f>IF(Tree!$C$4="once per order",L545,1)</f>
        <v/>
      </c>
    </row>
    <row r="546">
      <c r="A546" t="inlineStr">
        <is>
          <t>KR-00339</t>
        </is>
      </c>
      <c r="B546" t="inlineStr">
        <is>
          <t>C-0182</t>
        </is>
      </c>
      <c r="C546" t="inlineStr">
        <is>
          <t>Retail-Plus</t>
        </is>
      </c>
      <c r="D546" t="inlineStr">
        <is>
          <t>web</t>
        </is>
      </c>
      <c r="E546" s="7" t="n">
        <v>46169</v>
      </c>
      <c r="F546" t="n">
        <v>4470</v>
      </c>
      <c r="G546" t="n">
        <v>1788</v>
      </c>
      <c r="H546" t="inlineStr">
        <is>
          <t>2026-05-28</t>
        </is>
      </c>
      <c r="I546">
        <f>IF(MONTH(E546)&lt;=6,"Q1","Q2")</f>
        <v/>
      </c>
      <c r="J546">
        <f>YEAR(E546)*100+MONTH(E546)</f>
        <v/>
      </c>
      <c r="K546">
        <f>IF(COUNTIF($A$2:A546,A546)=1,1,0)</f>
        <v/>
      </c>
      <c r="L546">
        <f>IF(K546=1,IF(COUNTIFS($B$2:B546,B546,$I$2:I546,I546,$K$2:K546,1)=1,1,0),0)</f>
        <v/>
      </c>
      <c r="M546">
        <f>IF(Tree!$C$4="once per order",F546*K546,F546)</f>
        <v/>
      </c>
      <c r="N546">
        <f>IF(Tree!$C$4="once per order",K546,1)</f>
        <v/>
      </c>
      <c r="O546">
        <f>IF(Tree!$C$4="once per order",L546,1)</f>
        <v/>
      </c>
    </row>
    <row r="547">
      <c r="A547" t="inlineStr">
        <is>
          <t>KR-00340</t>
        </is>
      </c>
      <c r="B547" t="inlineStr">
        <is>
          <t>C-0137</t>
        </is>
      </c>
      <c r="C547" t="inlineStr">
        <is>
          <t>Retail-Core</t>
        </is>
      </c>
      <c r="D547" t="inlineStr">
        <is>
          <t>web</t>
        </is>
      </c>
      <c r="E547" s="7" t="n">
        <v>46120</v>
      </c>
      <c r="F547" t="n">
        <v>1870</v>
      </c>
      <c r="G547" t="n">
        <v>1870</v>
      </c>
      <c r="H547" t="inlineStr">
        <is>
          <t>2026-04-10</t>
        </is>
      </c>
      <c r="I547">
        <f>IF(MONTH(E547)&lt;=6,"Q1","Q2")</f>
        <v/>
      </c>
      <c r="J547">
        <f>YEAR(E547)*100+MONTH(E547)</f>
        <v/>
      </c>
      <c r="K547">
        <f>IF(COUNTIF($A$2:A547,A547)=1,1,0)</f>
        <v/>
      </c>
      <c r="L547">
        <f>IF(K547=1,IF(COUNTIFS($B$2:B547,B547,$I$2:I547,I547,$K$2:K547,1)=1,1,0),0)</f>
        <v/>
      </c>
      <c r="M547">
        <f>IF(Tree!$C$4="once per order",F547*K547,F547)</f>
        <v/>
      </c>
      <c r="N547">
        <f>IF(Tree!$C$4="once per order",K547,1)</f>
        <v/>
      </c>
      <c r="O547">
        <f>IF(Tree!$C$4="once per order",L547,1)</f>
        <v/>
      </c>
    </row>
    <row r="548">
      <c r="A548" t="inlineStr">
        <is>
          <t>KR-00341</t>
        </is>
      </c>
      <c r="B548" t="inlineStr">
        <is>
          <t>C-0144</t>
        </is>
      </c>
      <c r="C548" t="inlineStr">
        <is>
          <t>Retail-Core</t>
        </is>
      </c>
      <c r="D548" t="inlineStr">
        <is>
          <t>web</t>
        </is>
      </c>
      <c r="E548" s="7" t="n">
        <v>46146</v>
      </c>
      <c r="F548" t="n">
        <v>1020</v>
      </c>
      <c r="G548" t="n">
        <v>1020</v>
      </c>
      <c r="H548" t="inlineStr">
        <is>
          <t>2026-05-06</t>
        </is>
      </c>
      <c r="I548">
        <f>IF(MONTH(E548)&lt;=6,"Q1","Q2")</f>
        <v/>
      </c>
      <c r="J548">
        <f>YEAR(E548)*100+MONTH(E548)</f>
        <v/>
      </c>
      <c r="K548">
        <f>IF(COUNTIF($A$2:A548,A548)=1,1,0)</f>
        <v/>
      </c>
      <c r="L548">
        <f>IF(K548=1,IF(COUNTIFS($B$2:B548,B548,$I$2:I548,I548,$K$2:K548,1)=1,1,0),0)</f>
        <v/>
      </c>
      <c r="M548">
        <f>IF(Tree!$C$4="once per order",F548*K548,F548)</f>
        <v/>
      </c>
      <c r="N548">
        <f>IF(Tree!$C$4="once per order",K548,1)</f>
        <v/>
      </c>
      <c r="O548">
        <f>IF(Tree!$C$4="once per order",L548,1)</f>
        <v/>
      </c>
    </row>
    <row r="549">
      <c r="A549" t="inlineStr">
        <is>
          <t>KR-00342</t>
        </is>
      </c>
      <c r="B549" t="inlineStr">
        <is>
          <t>C-0014</t>
        </is>
      </c>
      <c r="C549" t="inlineStr">
        <is>
          <t>Retail-Core</t>
        </is>
      </c>
      <c r="D549" t="inlineStr">
        <is>
          <t>store</t>
        </is>
      </c>
      <c r="E549" s="7" t="n">
        <v>46187</v>
      </c>
      <c r="F549" t="n">
        <v>2240</v>
      </c>
      <c r="G549" t="n">
        <v>2240</v>
      </c>
      <c r="H549" t="inlineStr">
        <is>
          <t>2026-06-16</t>
        </is>
      </c>
      <c r="I549">
        <f>IF(MONTH(E549)&lt;=6,"Q1","Q2")</f>
        <v/>
      </c>
      <c r="J549">
        <f>YEAR(E549)*100+MONTH(E549)</f>
        <v/>
      </c>
      <c r="K549">
        <f>IF(COUNTIF($A$2:A549,A549)=1,1,0)</f>
        <v/>
      </c>
      <c r="L549">
        <f>IF(K549=1,IF(COUNTIFS($B$2:B549,B549,$I$2:I549,I549,$K$2:K549,1)=1,1,0),0)</f>
        <v/>
      </c>
      <c r="M549">
        <f>IF(Tree!$C$4="once per order",F549*K549,F549)</f>
        <v/>
      </c>
      <c r="N549">
        <f>IF(Tree!$C$4="once per order",K549,1)</f>
        <v/>
      </c>
      <c r="O549">
        <f>IF(Tree!$C$4="once per order",L549,1)</f>
        <v/>
      </c>
    </row>
    <row r="550">
      <c r="A550" t="inlineStr">
        <is>
          <t>KR-00343</t>
        </is>
      </c>
      <c r="B550" t="inlineStr">
        <is>
          <t>C-0022</t>
        </is>
      </c>
      <c r="C550" t="inlineStr">
        <is>
          <t>Retail-Core</t>
        </is>
      </c>
      <c r="D550" t="inlineStr">
        <is>
          <t>web</t>
        </is>
      </c>
      <c r="E550" s="7" t="n">
        <v>46120</v>
      </c>
      <c r="F550" t="n">
        <v>2790</v>
      </c>
      <c r="G550" t="n">
        <v>1674</v>
      </c>
      <c r="H550" t="inlineStr">
        <is>
          <t>2026-04-10</t>
        </is>
      </c>
      <c r="I550">
        <f>IF(MONTH(E550)&lt;=6,"Q1","Q2")</f>
        <v/>
      </c>
      <c r="J550">
        <f>YEAR(E550)*100+MONTH(E550)</f>
        <v/>
      </c>
      <c r="K550">
        <f>IF(COUNTIF($A$2:A550,A550)=1,1,0)</f>
        <v/>
      </c>
      <c r="L550">
        <f>IF(K550=1,IF(COUNTIFS($B$2:B550,B550,$I$2:I550,I550,$K$2:K550,1)=1,1,0),0)</f>
        <v/>
      </c>
      <c r="M550">
        <f>IF(Tree!$C$4="once per order",F550*K550,F550)</f>
        <v/>
      </c>
      <c r="N550">
        <f>IF(Tree!$C$4="once per order",K550,1)</f>
        <v/>
      </c>
      <c r="O550">
        <f>IF(Tree!$C$4="once per order",L550,1)</f>
        <v/>
      </c>
    </row>
    <row r="551">
      <c r="A551" t="inlineStr">
        <is>
          <t>KR-00343</t>
        </is>
      </c>
      <c r="B551" t="inlineStr">
        <is>
          <t>C-0022</t>
        </is>
      </c>
      <c r="C551" t="inlineStr">
        <is>
          <t>Retail-Core</t>
        </is>
      </c>
      <c r="D551" t="inlineStr">
        <is>
          <t>web</t>
        </is>
      </c>
      <c r="E551" s="7" t="n">
        <v>46120</v>
      </c>
      <c r="F551" t="n">
        <v>2790</v>
      </c>
      <c r="G551" t="n">
        <v>1116</v>
      </c>
      <c r="H551" t="inlineStr">
        <is>
          <t>2026-04-10</t>
        </is>
      </c>
      <c r="I551">
        <f>IF(MONTH(E551)&lt;=6,"Q1","Q2")</f>
        <v/>
      </c>
      <c r="J551">
        <f>YEAR(E551)*100+MONTH(E551)</f>
        <v/>
      </c>
      <c r="K551">
        <f>IF(COUNTIF($A$2:A551,A551)=1,1,0)</f>
        <v/>
      </c>
      <c r="L551">
        <f>IF(K551=1,IF(COUNTIFS($B$2:B551,B551,$I$2:I551,I551,$K$2:K551,1)=1,1,0),0)</f>
        <v/>
      </c>
      <c r="M551">
        <f>IF(Tree!$C$4="once per order",F551*K551,F551)</f>
        <v/>
      </c>
      <c r="N551">
        <f>IF(Tree!$C$4="once per order",K551,1)</f>
        <v/>
      </c>
      <c r="O551">
        <f>IF(Tree!$C$4="once per order",L551,1)</f>
        <v/>
      </c>
    </row>
    <row r="552">
      <c r="A552" t="inlineStr">
        <is>
          <t>KR-00344</t>
        </is>
      </c>
      <c r="B552" t="inlineStr">
        <is>
          <t>C-0077</t>
        </is>
      </c>
      <c r="C552" t="inlineStr">
        <is>
          <t>Retail-Core</t>
        </is>
      </c>
      <c r="D552" t="inlineStr">
        <is>
          <t>web</t>
        </is>
      </c>
      <c r="E552" s="7" t="n">
        <v>46147</v>
      </c>
      <c r="F552" t="n">
        <v>930</v>
      </c>
      <c r="G552" t="n">
        <v>930</v>
      </c>
      <c r="H552" t="inlineStr">
        <is>
          <t>2026-05-07</t>
        </is>
      </c>
      <c r="I552">
        <f>IF(MONTH(E552)&lt;=6,"Q1","Q2")</f>
        <v/>
      </c>
      <c r="J552">
        <f>YEAR(E552)*100+MONTH(E552)</f>
        <v/>
      </c>
      <c r="K552">
        <f>IF(COUNTIF($A$2:A552,A552)=1,1,0)</f>
        <v/>
      </c>
      <c r="L552">
        <f>IF(K552=1,IF(COUNTIFS($B$2:B552,B552,$I$2:I552,I552,$K$2:K552,1)=1,1,0),0)</f>
        <v/>
      </c>
      <c r="M552">
        <f>IF(Tree!$C$4="once per order",F552*K552,F552)</f>
        <v/>
      </c>
      <c r="N552">
        <f>IF(Tree!$C$4="once per order",K552,1)</f>
        <v/>
      </c>
      <c r="O552">
        <f>IF(Tree!$C$4="once per order",L552,1)</f>
        <v/>
      </c>
    </row>
    <row r="553">
      <c r="A553" t="inlineStr">
        <is>
          <t>KR-00345</t>
        </is>
      </c>
      <c r="B553" t="inlineStr">
        <is>
          <t>C-0009</t>
        </is>
      </c>
      <c r="C553" t="inlineStr">
        <is>
          <t>Retail-Core</t>
        </is>
      </c>
      <c r="D553" t="inlineStr">
        <is>
          <t>web</t>
        </is>
      </c>
      <c r="E553" s="7" t="n">
        <v>46174</v>
      </c>
      <c r="F553" t="n">
        <v>2910</v>
      </c>
      <c r="G553" t="n">
        <v>1746</v>
      </c>
      <c r="H553" t="inlineStr">
        <is>
          <t>2026-06-03</t>
        </is>
      </c>
      <c r="I553">
        <f>IF(MONTH(E553)&lt;=6,"Q1","Q2")</f>
        <v/>
      </c>
      <c r="J553">
        <f>YEAR(E553)*100+MONTH(E553)</f>
        <v/>
      </c>
      <c r="K553">
        <f>IF(COUNTIF($A$2:A553,A553)=1,1,0)</f>
        <v/>
      </c>
      <c r="L553">
        <f>IF(K553=1,IF(COUNTIFS($B$2:B553,B553,$I$2:I553,I553,$K$2:K553,1)=1,1,0),0)</f>
        <v/>
      </c>
      <c r="M553">
        <f>IF(Tree!$C$4="once per order",F553*K553,F553)</f>
        <v/>
      </c>
      <c r="N553">
        <f>IF(Tree!$C$4="once per order",K553,1)</f>
        <v/>
      </c>
      <c r="O553">
        <f>IF(Tree!$C$4="once per order",L553,1)</f>
        <v/>
      </c>
    </row>
    <row r="554">
      <c r="A554" t="inlineStr">
        <is>
          <t>KR-00345</t>
        </is>
      </c>
      <c r="B554" t="inlineStr">
        <is>
          <t>C-0009</t>
        </is>
      </c>
      <c r="C554" t="inlineStr">
        <is>
          <t>Retail-Core</t>
        </is>
      </c>
      <c r="D554" t="inlineStr">
        <is>
          <t>web</t>
        </is>
      </c>
      <c r="E554" s="7" t="n">
        <v>46174</v>
      </c>
      <c r="F554" t="n">
        <v>2910</v>
      </c>
      <c r="G554" t="n">
        <v>1164</v>
      </c>
      <c r="H554" t="inlineStr">
        <is>
          <t>2026-06-03</t>
        </is>
      </c>
      <c r="I554">
        <f>IF(MONTH(E554)&lt;=6,"Q1","Q2")</f>
        <v/>
      </c>
      <c r="J554">
        <f>YEAR(E554)*100+MONTH(E554)</f>
        <v/>
      </c>
      <c r="K554">
        <f>IF(COUNTIF($A$2:A554,A554)=1,1,0)</f>
        <v/>
      </c>
      <c r="L554">
        <f>IF(K554=1,IF(COUNTIFS($B$2:B554,B554,$I$2:I554,I554,$K$2:K554,1)=1,1,0),0)</f>
        <v/>
      </c>
      <c r="M554">
        <f>IF(Tree!$C$4="once per order",F554*K554,F554)</f>
        <v/>
      </c>
      <c r="N554">
        <f>IF(Tree!$C$4="once per order",K554,1)</f>
        <v/>
      </c>
      <c r="O554">
        <f>IF(Tree!$C$4="once per order",L554,1)</f>
        <v/>
      </c>
    </row>
    <row r="555">
      <c r="A555" t="inlineStr">
        <is>
          <t>KR-00346</t>
        </is>
      </c>
      <c r="B555" t="inlineStr">
        <is>
          <t>C-0140</t>
        </is>
      </c>
      <c r="C555" t="inlineStr">
        <is>
          <t>Retail-Core</t>
        </is>
      </c>
      <c r="D555" t="inlineStr">
        <is>
          <t>store</t>
        </is>
      </c>
      <c r="E555" s="7" t="n">
        <v>46119</v>
      </c>
      <c r="F555" t="n">
        <v>2620</v>
      </c>
      <c r="G555" t="n">
        <v>2620</v>
      </c>
      <c r="H555" t="inlineStr">
        <is>
          <t>2026-04-09</t>
        </is>
      </c>
      <c r="I555">
        <f>IF(MONTH(E555)&lt;=6,"Q1","Q2")</f>
        <v/>
      </c>
      <c r="J555">
        <f>YEAR(E555)*100+MONTH(E555)</f>
        <v/>
      </c>
      <c r="K555">
        <f>IF(COUNTIF($A$2:A555,A555)=1,1,0)</f>
        <v/>
      </c>
      <c r="L555">
        <f>IF(K555=1,IF(COUNTIFS($B$2:B555,B555,$I$2:I555,I555,$K$2:K555,1)=1,1,0),0)</f>
        <v/>
      </c>
      <c r="M555">
        <f>IF(Tree!$C$4="once per order",F555*K555,F555)</f>
        <v/>
      </c>
      <c r="N555">
        <f>IF(Tree!$C$4="once per order",K555,1)</f>
        <v/>
      </c>
      <c r="O555">
        <f>IF(Tree!$C$4="once per order",L555,1)</f>
        <v/>
      </c>
    </row>
    <row r="556">
      <c r="A556" t="inlineStr">
        <is>
          <t>KR-00347</t>
        </is>
      </c>
      <c r="B556" t="inlineStr">
        <is>
          <t>C-0054</t>
        </is>
      </c>
      <c r="C556" t="inlineStr">
        <is>
          <t>Retail-Core</t>
        </is>
      </c>
      <c r="D556" t="inlineStr">
        <is>
          <t>web</t>
        </is>
      </c>
      <c r="E556" s="7" t="n">
        <v>46154</v>
      </c>
      <c r="F556" t="n">
        <v>1300</v>
      </c>
      <c r="G556" t="n">
        <v>1300</v>
      </c>
      <c r="H556" t="inlineStr">
        <is>
          <t>2026-05-14</t>
        </is>
      </c>
      <c r="I556">
        <f>IF(MONTH(E556)&lt;=6,"Q1","Q2")</f>
        <v/>
      </c>
      <c r="J556">
        <f>YEAR(E556)*100+MONTH(E556)</f>
        <v/>
      </c>
      <c r="K556">
        <f>IF(COUNTIF($A$2:A556,A556)=1,1,0)</f>
        <v/>
      </c>
      <c r="L556">
        <f>IF(K556=1,IF(COUNTIFS($B$2:B556,B556,$I$2:I556,I556,$K$2:K556,1)=1,1,0),0)</f>
        <v/>
      </c>
      <c r="M556">
        <f>IF(Tree!$C$4="once per order",F556*K556,F556)</f>
        <v/>
      </c>
      <c r="N556">
        <f>IF(Tree!$C$4="once per order",K556,1)</f>
        <v/>
      </c>
      <c r="O556">
        <f>IF(Tree!$C$4="once per order",L556,1)</f>
        <v/>
      </c>
    </row>
    <row r="557">
      <c r="A557" t="inlineStr">
        <is>
          <t>KR-00348</t>
        </is>
      </c>
      <c r="B557" t="inlineStr">
        <is>
          <t>C-0015</t>
        </is>
      </c>
      <c r="C557" t="inlineStr">
        <is>
          <t>Retail-Core</t>
        </is>
      </c>
      <c r="D557" t="inlineStr">
        <is>
          <t>store</t>
        </is>
      </c>
      <c r="E557" s="7" t="n">
        <v>46179</v>
      </c>
      <c r="F557" t="n">
        <v>1480</v>
      </c>
      <c r="G557" t="n">
        <v>1480</v>
      </c>
      <c r="H557" t="inlineStr">
        <is>
          <t>2026-06-08</t>
        </is>
      </c>
      <c r="I557">
        <f>IF(MONTH(E557)&lt;=6,"Q1","Q2")</f>
        <v/>
      </c>
      <c r="J557">
        <f>YEAR(E557)*100+MONTH(E557)</f>
        <v/>
      </c>
      <c r="K557">
        <f>IF(COUNTIF($A$2:A557,A557)=1,1,0)</f>
        <v/>
      </c>
      <c r="L557">
        <f>IF(K557=1,IF(COUNTIFS($B$2:B557,B557,$I$2:I557,I557,$K$2:K557,1)=1,1,0),0)</f>
        <v/>
      </c>
      <c r="M557">
        <f>IF(Tree!$C$4="once per order",F557*K557,F557)</f>
        <v/>
      </c>
      <c r="N557">
        <f>IF(Tree!$C$4="once per order",K557,1)</f>
        <v/>
      </c>
      <c r="O557">
        <f>IF(Tree!$C$4="once per order",L557,1)</f>
        <v/>
      </c>
    </row>
    <row r="558">
      <c r="A558" t="inlineStr">
        <is>
          <t>KR-00349</t>
        </is>
      </c>
      <c r="B558" t="inlineStr">
        <is>
          <t>C-0035</t>
        </is>
      </c>
      <c r="C558" t="inlineStr">
        <is>
          <t>Retail-Core</t>
        </is>
      </c>
      <c r="D558" t="inlineStr">
        <is>
          <t>web</t>
        </is>
      </c>
      <c r="E558" s="7" t="n">
        <v>46136</v>
      </c>
      <c r="F558" t="n">
        <v>1740</v>
      </c>
      <c r="G558" t="n">
        <v>1740</v>
      </c>
      <c r="H558" t="inlineStr">
        <is>
          <t>2026-04-26</t>
        </is>
      </c>
      <c r="I558">
        <f>IF(MONTH(E558)&lt;=6,"Q1","Q2")</f>
        <v/>
      </c>
      <c r="J558">
        <f>YEAR(E558)*100+MONTH(E558)</f>
        <v/>
      </c>
      <c r="K558">
        <f>IF(COUNTIF($A$2:A558,A558)=1,1,0)</f>
        <v/>
      </c>
      <c r="L558">
        <f>IF(K558=1,IF(COUNTIFS($B$2:B558,B558,$I$2:I558,I558,$K$2:K558,1)=1,1,0),0)</f>
        <v/>
      </c>
      <c r="M558">
        <f>IF(Tree!$C$4="once per order",F558*K558,F558)</f>
        <v/>
      </c>
      <c r="N558">
        <f>IF(Tree!$C$4="once per order",K558,1)</f>
        <v/>
      </c>
      <c r="O558">
        <f>IF(Tree!$C$4="once per order",L558,1)</f>
        <v/>
      </c>
    </row>
    <row r="559">
      <c r="A559" t="inlineStr">
        <is>
          <t>KR-00350</t>
        </is>
      </c>
      <c r="B559" t="inlineStr">
        <is>
          <t>C-0008</t>
        </is>
      </c>
      <c r="C559" t="inlineStr">
        <is>
          <t>Retail-Core</t>
        </is>
      </c>
      <c r="D559" t="inlineStr">
        <is>
          <t>store</t>
        </is>
      </c>
      <c r="E559" s="7" t="n">
        <v>46154</v>
      </c>
      <c r="F559" t="n">
        <v>2700</v>
      </c>
      <c r="G559" t="n">
        <v>2700</v>
      </c>
      <c r="H559" t="inlineStr">
        <is>
          <t>2026-05-14</t>
        </is>
      </c>
      <c r="I559">
        <f>IF(MONTH(E559)&lt;=6,"Q1","Q2")</f>
        <v/>
      </c>
      <c r="J559">
        <f>YEAR(E559)*100+MONTH(E559)</f>
        <v/>
      </c>
      <c r="K559">
        <f>IF(COUNTIF($A$2:A559,A559)=1,1,0)</f>
        <v/>
      </c>
      <c r="L559">
        <f>IF(K559=1,IF(COUNTIFS($B$2:B559,B559,$I$2:I559,I559,$K$2:K559,1)=1,1,0),0)</f>
        <v/>
      </c>
      <c r="M559">
        <f>IF(Tree!$C$4="once per order",F559*K559,F559)</f>
        <v/>
      </c>
      <c r="N559">
        <f>IF(Tree!$C$4="once per order",K559,1)</f>
        <v/>
      </c>
      <c r="O559">
        <f>IF(Tree!$C$4="once per order",L559,1)</f>
        <v/>
      </c>
    </row>
    <row r="560">
      <c r="A560" t="inlineStr">
        <is>
          <t>KR-00351</t>
        </is>
      </c>
      <c r="B560" t="inlineStr">
        <is>
          <t>C-0110</t>
        </is>
      </c>
      <c r="C560" t="inlineStr">
        <is>
          <t>Retail-Core</t>
        </is>
      </c>
      <c r="D560" t="inlineStr">
        <is>
          <t>store</t>
        </is>
      </c>
      <c r="E560" s="7" t="n">
        <v>46195</v>
      </c>
      <c r="F560" t="n">
        <v>2540</v>
      </c>
      <c r="G560" t="n">
        <v>2540</v>
      </c>
      <c r="H560" t="inlineStr">
        <is>
          <t>2026-06-24</t>
        </is>
      </c>
      <c r="I560">
        <f>IF(MONTH(E560)&lt;=6,"Q1","Q2")</f>
        <v/>
      </c>
      <c r="J560">
        <f>YEAR(E560)*100+MONTH(E560)</f>
        <v/>
      </c>
      <c r="K560">
        <f>IF(COUNTIF($A$2:A560,A560)=1,1,0)</f>
        <v/>
      </c>
      <c r="L560">
        <f>IF(K560=1,IF(COUNTIFS($B$2:B560,B560,$I$2:I560,I560,$K$2:K560,1)=1,1,0),0)</f>
        <v/>
      </c>
      <c r="M560">
        <f>IF(Tree!$C$4="once per order",F560*K560,F560)</f>
        <v/>
      </c>
      <c r="N560">
        <f>IF(Tree!$C$4="once per order",K560,1)</f>
        <v/>
      </c>
      <c r="O560">
        <f>IF(Tree!$C$4="once per order",L560,1)</f>
        <v/>
      </c>
    </row>
    <row r="561">
      <c r="A561" t="inlineStr">
        <is>
          <t>KR-00352</t>
        </is>
      </c>
      <c r="B561" t="inlineStr">
        <is>
          <t>C-0049</t>
        </is>
      </c>
      <c r="C561" t="inlineStr">
        <is>
          <t>Retail-Core</t>
        </is>
      </c>
      <c r="D561" t="inlineStr">
        <is>
          <t>app</t>
        </is>
      </c>
      <c r="E561" s="7" t="n">
        <v>46127</v>
      </c>
      <c r="F561" t="n">
        <v>840</v>
      </c>
      <c r="G561" t="n">
        <v>840</v>
      </c>
      <c r="H561" t="inlineStr">
        <is>
          <t>2026-04-17</t>
        </is>
      </c>
      <c r="I561">
        <f>IF(MONTH(E561)&lt;=6,"Q1","Q2")</f>
        <v/>
      </c>
      <c r="J561">
        <f>YEAR(E561)*100+MONTH(E561)</f>
        <v/>
      </c>
      <c r="K561">
        <f>IF(COUNTIF($A$2:A561,A561)=1,1,0)</f>
        <v/>
      </c>
      <c r="L561">
        <f>IF(K561=1,IF(COUNTIFS($B$2:B561,B561,$I$2:I561,I561,$K$2:K561,1)=1,1,0),0)</f>
        <v/>
      </c>
      <c r="M561">
        <f>IF(Tree!$C$4="once per order",F561*K561,F561)</f>
        <v/>
      </c>
      <c r="N561">
        <f>IF(Tree!$C$4="once per order",K561,1)</f>
        <v/>
      </c>
      <c r="O561">
        <f>IF(Tree!$C$4="once per order",L561,1)</f>
        <v/>
      </c>
    </row>
    <row r="562">
      <c r="A562" t="inlineStr">
        <is>
          <t>KR-00352</t>
        </is>
      </c>
      <c r="B562" t="inlineStr">
        <is>
          <t>C-0049</t>
        </is>
      </c>
      <c r="C562" t="inlineStr">
        <is>
          <t>Retail-Core</t>
        </is>
      </c>
      <c r="D562" t="inlineStr">
        <is>
          <t>app</t>
        </is>
      </c>
      <c r="E562" s="7" t="n">
        <v>46127</v>
      </c>
      <c r="F562" t="n">
        <v>840</v>
      </c>
      <c r="G562" t="n">
        <v>840</v>
      </c>
      <c r="H562" t="inlineStr">
        <is>
          <t>2026-04-17</t>
        </is>
      </c>
      <c r="I562">
        <f>IF(MONTH(E562)&lt;=6,"Q1","Q2")</f>
        <v/>
      </c>
      <c r="J562">
        <f>YEAR(E562)*100+MONTH(E562)</f>
        <v/>
      </c>
      <c r="K562">
        <f>IF(COUNTIF($A$2:A562,A562)=1,1,0)</f>
        <v/>
      </c>
      <c r="L562">
        <f>IF(K562=1,IF(COUNTIFS($B$2:B562,B562,$I$2:I562,I562,$K$2:K562,1)=1,1,0),0)</f>
        <v/>
      </c>
      <c r="M562">
        <f>IF(Tree!$C$4="once per order",F562*K562,F562)</f>
        <v/>
      </c>
      <c r="N562">
        <f>IF(Tree!$C$4="once per order",K562,1)</f>
        <v/>
      </c>
      <c r="O562">
        <f>IF(Tree!$C$4="once per order",L562,1)</f>
        <v/>
      </c>
    </row>
    <row r="563">
      <c r="A563" t="inlineStr">
        <is>
          <t>KR-00353</t>
        </is>
      </c>
      <c r="B563" t="inlineStr">
        <is>
          <t>C-0021</t>
        </is>
      </c>
      <c r="C563" t="inlineStr">
        <is>
          <t>Retail-Core</t>
        </is>
      </c>
      <c r="D563" t="inlineStr">
        <is>
          <t>app</t>
        </is>
      </c>
      <c r="E563" s="7" t="n">
        <v>46170</v>
      </c>
      <c r="F563" t="n">
        <v>1380</v>
      </c>
      <c r="G563" t="n">
        <v>1380</v>
      </c>
      <c r="H563" t="inlineStr">
        <is>
          <t>2026-05-28</t>
        </is>
      </c>
      <c r="I563">
        <f>IF(MONTH(E563)&lt;=6,"Q1","Q2")</f>
        <v/>
      </c>
      <c r="J563">
        <f>YEAR(E563)*100+MONTH(E563)</f>
        <v/>
      </c>
      <c r="K563">
        <f>IF(COUNTIF($A$2:A563,A563)=1,1,0)</f>
        <v/>
      </c>
      <c r="L563">
        <f>IF(K563=1,IF(COUNTIFS($B$2:B563,B563,$I$2:I563,I563,$K$2:K563,1)=1,1,0),0)</f>
        <v/>
      </c>
      <c r="M563">
        <f>IF(Tree!$C$4="once per order",F563*K563,F563)</f>
        <v/>
      </c>
      <c r="N563">
        <f>IF(Tree!$C$4="once per order",K563,1)</f>
        <v/>
      </c>
      <c r="O563">
        <f>IF(Tree!$C$4="once per order",L563,1)</f>
        <v/>
      </c>
    </row>
    <row r="564">
      <c r="A564" t="inlineStr">
        <is>
          <t>KR-00354</t>
        </is>
      </c>
      <c r="B564" t="inlineStr">
        <is>
          <t>C-0122</t>
        </is>
      </c>
      <c r="C564" t="inlineStr">
        <is>
          <t>Retail-Core</t>
        </is>
      </c>
      <c r="D564" t="inlineStr">
        <is>
          <t>web</t>
        </is>
      </c>
      <c r="E564" s="7" t="n">
        <v>46175</v>
      </c>
      <c r="F564" t="n">
        <v>2480</v>
      </c>
      <c r="G564" t="n">
        <v>2480</v>
      </c>
      <c r="H564" t="inlineStr">
        <is>
          <t>2026-06-04</t>
        </is>
      </c>
      <c r="I564">
        <f>IF(MONTH(E564)&lt;=6,"Q1","Q2")</f>
        <v/>
      </c>
      <c r="J564">
        <f>YEAR(E564)*100+MONTH(E564)</f>
        <v/>
      </c>
      <c r="K564">
        <f>IF(COUNTIF($A$2:A564,A564)=1,1,0)</f>
        <v/>
      </c>
      <c r="L564">
        <f>IF(K564=1,IF(COUNTIFS($B$2:B564,B564,$I$2:I564,I564,$K$2:K564,1)=1,1,0),0)</f>
        <v/>
      </c>
      <c r="M564">
        <f>IF(Tree!$C$4="once per order",F564*K564,F564)</f>
        <v/>
      </c>
      <c r="N564">
        <f>IF(Tree!$C$4="once per order",K564,1)</f>
        <v/>
      </c>
      <c r="O564">
        <f>IF(Tree!$C$4="once per order",L564,1)</f>
        <v/>
      </c>
    </row>
    <row r="565">
      <c r="A565" t="inlineStr">
        <is>
          <t>KR-00355</t>
        </is>
      </c>
      <c r="B565" t="inlineStr">
        <is>
          <t>C-0018</t>
        </is>
      </c>
      <c r="C565" t="inlineStr">
        <is>
          <t>Retail-Core</t>
        </is>
      </c>
      <c r="D565" t="inlineStr">
        <is>
          <t>store</t>
        </is>
      </c>
      <c r="E565" s="7" t="n">
        <v>46140</v>
      </c>
      <c r="F565" t="n">
        <v>1430</v>
      </c>
      <c r="G565" t="n">
        <v>1430</v>
      </c>
      <c r="H565" t="inlineStr">
        <is>
          <t>2026-04-28</t>
        </is>
      </c>
      <c r="I565">
        <f>IF(MONTH(E565)&lt;=6,"Q1","Q2")</f>
        <v/>
      </c>
      <c r="J565">
        <f>YEAR(E565)*100+MONTH(E565)</f>
        <v/>
      </c>
      <c r="K565">
        <f>IF(COUNTIF($A$2:A565,A565)=1,1,0)</f>
        <v/>
      </c>
      <c r="L565">
        <f>IF(K565=1,IF(COUNTIFS($B$2:B565,B565,$I$2:I565,I565,$K$2:K565,1)=1,1,0),0)</f>
        <v/>
      </c>
      <c r="M565">
        <f>IF(Tree!$C$4="once per order",F565*K565,F565)</f>
        <v/>
      </c>
      <c r="N565">
        <f>IF(Tree!$C$4="once per order",K565,1)</f>
        <v/>
      </c>
      <c r="O565">
        <f>IF(Tree!$C$4="once per order",L565,1)</f>
        <v/>
      </c>
    </row>
    <row r="566">
      <c r="A566" t="inlineStr">
        <is>
          <t>KR-00356</t>
        </is>
      </c>
      <c r="B566" t="inlineStr">
        <is>
          <t>C-0104</t>
        </is>
      </c>
      <c r="C566" t="inlineStr">
        <is>
          <t>Retail-Core</t>
        </is>
      </c>
      <c r="D566" t="inlineStr">
        <is>
          <t>web</t>
        </is>
      </c>
      <c r="E566" s="7" t="n">
        <v>46153</v>
      </c>
      <c r="F566" t="n">
        <v>920</v>
      </c>
      <c r="G566" t="n">
        <v>920</v>
      </c>
      <c r="H566" t="inlineStr">
        <is>
          <t>2026-05-13</t>
        </is>
      </c>
      <c r="I566">
        <f>IF(MONTH(E566)&lt;=6,"Q1","Q2")</f>
        <v/>
      </c>
      <c r="J566">
        <f>YEAR(E566)*100+MONTH(E566)</f>
        <v/>
      </c>
      <c r="K566">
        <f>IF(COUNTIF($A$2:A566,A566)=1,1,0)</f>
        <v/>
      </c>
      <c r="L566">
        <f>IF(K566=1,IF(COUNTIFS($B$2:B566,B566,$I$2:I566,I566,$K$2:K566,1)=1,1,0),0)</f>
        <v/>
      </c>
      <c r="M566">
        <f>IF(Tree!$C$4="once per order",F566*K566,F566)</f>
        <v/>
      </c>
      <c r="N566">
        <f>IF(Tree!$C$4="once per order",K566,1)</f>
        <v/>
      </c>
      <c r="O566">
        <f>IF(Tree!$C$4="once per order",L566,1)</f>
        <v/>
      </c>
    </row>
    <row r="567">
      <c r="A567" t="inlineStr">
        <is>
          <t>KR-00357</t>
        </is>
      </c>
      <c r="B567" t="inlineStr">
        <is>
          <t>C-0019</t>
        </is>
      </c>
      <c r="C567" t="inlineStr">
        <is>
          <t>Retail-Core</t>
        </is>
      </c>
      <c r="D567" t="inlineStr">
        <is>
          <t>app</t>
        </is>
      </c>
      <c r="E567" s="7" t="n">
        <v>46199</v>
      </c>
      <c r="F567" t="n">
        <v>2360</v>
      </c>
      <c r="G567" t="n">
        <v>2360</v>
      </c>
      <c r="H567" t="inlineStr">
        <is>
          <t>2026-06-28</t>
        </is>
      </c>
      <c r="I567">
        <f>IF(MONTH(E567)&lt;=6,"Q1","Q2")</f>
        <v/>
      </c>
      <c r="J567">
        <f>YEAR(E567)*100+MONTH(E567)</f>
        <v/>
      </c>
      <c r="K567">
        <f>IF(COUNTIF($A$2:A567,A567)=1,1,0)</f>
        <v/>
      </c>
      <c r="L567">
        <f>IF(K567=1,IF(COUNTIFS($B$2:B567,B567,$I$2:I567,I567,$K$2:K567,1)=1,1,0),0)</f>
        <v/>
      </c>
      <c r="M567">
        <f>IF(Tree!$C$4="once per order",F567*K567,F567)</f>
        <v/>
      </c>
      <c r="N567">
        <f>IF(Tree!$C$4="once per order",K567,1)</f>
        <v/>
      </c>
      <c r="O567">
        <f>IF(Tree!$C$4="once per order",L567,1)</f>
        <v/>
      </c>
    </row>
    <row r="568">
      <c r="A568" t="inlineStr">
        <is>
          <t>KR-00358</t>
        </is>
      </c>
      <c r="B568" t="inlineStr">
        <is>
          <t>C-0001</t>
        </is>
      </c>
      <c r="C568" t="inlineStr">
        <is>
          <t>Retail-Core</t>
        </is>
      </c>
      <c r="D568" t="inlineStr">
        <is>
          <t>web</t>
        </is>
      </c>
      <c r="E568" s="7" t="n">
        <v>46117</v>
      </c>
      <c r="F568" t="n">
        <v>1640</v>
      </c>
      <c r="G568" t="n">
        <v>1640</v>
      </c>
      <c r="H568" t="inlineStr">
        <is>
          <t>2026-04-07</t>
        </is>
      </c>
      <c r="I568">
        <f>IF(MONTH(E568)&lt;=6,"Q1","Q2")</f>
        <v/>
      </c>
      <c r="J568">
        <f>YEAR(E568)*100+MONTH(E568)</f>
        <v/>
      </c>
      <c r="K568">
        <f>IF(COUNTIF($A$2:A568,A568)=1,1,0)</f>
        <v/>
      </c>
      <c r="L568">
        <f>IF(K568=1,IF(COUNTIFS($B$2:B568,B568,$I$2:I568,I568,$K$2:K568,1)=1,1,0),0)</f>
        <v/>
      </c>
      <c r="M568">
        <f>IF(Tree!$C$4="once per order",F568*K568,F568)</f>
        <v/>
      </c>
      <c r="N568">
        <f>IF(Tree!$C$4="once per order",K568,1)</f>
        <v/>
      </c>
      <c r="O568">
        <f>IF(Tree!$C$4="once per order",L568,1)</f>
        <v/>
      </c>
    </row>
    <row r="569">
      <c r="A569" t="inlineStr">
        <is>
          <t>KR-00359</t>
        </is>
      </c>
      <c r="B569" t="inlineStr">
        <is>
          <t>C-0085</t>
        </is>
      </c>
      <c r="C569" t="inlineStr">
        <is>
          <t>Retail-Core</t>
        </is>
      </c>
      <c r="D569" t="inlineStr">
        <is>
          <t>app</t>
        </is>
      </c>
      <c r="E569" s="7" t="n">
        <v>46168</v>
      </c>
      <c r="F569" t="n">
        <v>2070</v>
      </c>
      <c r="G569" t="n">
        <v>2070</v>
      </c>
      <c r="H569" t="inlineStr">
        <is>
          <t>2026-05-28</t>
        </is>
      </c>
      <c r="I569">
        <f>IF(MONTH(E569)&lt;=6,"Q1","Q2")</f>
        <v/>
      </c>
      <c r="J569">
        <f>YEAR(E569)*100+MONTH(E569)</f>
        <v/>
      </c>
      <c r="K569">
        <f>IF(COUNTIF($A$2:A569,A569)=1,1,0)</f>
        <v/>
      </c>
      <c r="L569">
        <f>IF(K569=1,IF(COUNTIFS($B$2:B569,B569,$I$2:I569,I569,$K$2:K569,1)=1,1,0),0)</f>
        <v/>
      </c>
      <c r="M569">
        <f>IF(Tree!$C$4="once per order",F569*K569,F569)</f>
        <v/>
      </c>
      <c r="N569">
        <f>IF(Tree!$C$4="once per order",K569,1)</f>
        <v/>
      </c>
      <c r="O569">
        <f>IF(Tree!$C$4="once per order",L569,1)</f>
        <v/>
      </c>
    </row>
    <row r="570">
      <c r="A570" t="inlineStr">
        <is>
          <t>KR-00360</t>
        </is>
      </c>
      <c r="B570" t="inlineStr">
        <is>
          <t>C-0042</t>
        </is>
      </c>
      <c r="C570" t="inlineStr">
        <is>
          <t>Retail-Core</t>
        </is>
      </c>
      <c r="D570" t="inlineStr">
        <is>
          <t>store</t>
        </is>
      </c>
      <c r="E570" s="7" t="n">
        <v>46179</v>
      </c>
      <c r="F570" t="n">
        <v>1220</v>
      </c>
      <c r="G570" t="n">
        <v>1220</v>
      </c>
      <c r="H570" t="inlineStr">
        <is>
          <t>2026-06-08</t>
        </is>
      </c>
      <c r="I570">
        <f>IF(MONTH(E570)&lt;=6,"Q1","Q2")</f>
        <v/>
      </c>
      <c r="J570">
        <f>YEAR(E570)*100+MONTH(E570)</f>
        <v/>
      </c>
      <c r="K570">
        <f>IF(COUNTIF($A$2:A570,A570)=1,1,0)</f>
        <v/>
      </c>
      <c r="L570">
        <f>IF(K570=1,IF(COUNTIFS($B$2:B570,B570,$I$2:I570,I570,$K$2:K570,1)=1,1,0),0)</f>
        <v/>
      </c>
      <c r="M570">
        <f>IF(Tree!$C$4="once per order",F570*K570,F570)</f>
        <v/>
      </c>
      <c r="N570">
        <f>IF(Tree!$C$4="once per order",K570,1)</f>
        <v/>
      </c>
      <c r="O570">
        <f>IF(Tree!$C$4="once per order",L570,1)</f>
        <v/>
      </c>
    </row>
    <row r="571">
      <c r="A571" t="inlineStr">
        <is>
          <t>KR-00361</t>
        </is>
      </c>
      <c r="B571" t="inlineStr">
        <is>
          <t>C-0066</t>
        </is>
      </c>
      <c r="C571" t="inlineStr">
        <is>
          <t>Retail-Core</t>
        </is>
      </c>
      <c r="D571" t="inlineStr">
        <is>
          <t>web</t>
        </is>
      </c>
      <c r="E571" s="7" t="n">
        <v>46139</v>
      </c>
      <c r="F571" t="n">
        <v>2580</v>
      </c>
      <c r="G571" t="n">
        <v>2580</v>
      </c>
      <c r="H571" t="inlineStr">
        <is>
          <t>2026-04-28</t>
        </is>
      </c>
      <c r="I571">
        <f>IF(MONTH(E571)&lt;=6,"Q1","Q2")</f>
        <v/>
      </c>
      <c r="J571">
        <f>YEAR(E571)*100+MONTH(E571)</f>
        <v/>
      </c>
      <c r="K571">
        <f>IF(COUNTIF($A$2:A571,A571)=1,1,0)</f>
        <v/>
      </c>
      <c r="L571">
        <f>IF(K571=1,IF(COUNTIFS($B$2:B571,B571,$I$2:I571,I571,$K$2:K571,1)=1,1,0),0)</f>
        <v/>
      </c>
      <c r="M571">
        <f>IF(Tree!$C$4="once per order",F571*K571,F571)</f>
        <v/>
      </c>
      <c r="N571">
        <f>IF(Tree!$C$4="once per order",K571,1)</f>
        <v/>
      </c>
      <c r="O571">
        <f>IF(Tree!$C$4="once per order",L571,1)</f>
        <v/>
      </c>
    </row>
    <row r="572">
      <c r="A572" t="inlineStr">
        <is>
          <t>KR-00362</t>
        </is>
      </c>
      <c r="B572" t="inlineStr">
        <is>
          <t>C-0009</t>
        </is>
      </c>
      <c r="C572" t="inlineStr">
        <is>
          <t>Retail-Core</t>
        </is>
      </c>
      <c r="D572" t="inlineStr">
        <is>
          <t>web</t>
        </is>
      </c>
      <c r="E572" s="7" t="n">
        <v>46161</v>
      </c>
      <c r="F572" t="n">
        <v>2850</v>
      </c>
      <c r="G572" t="n">
        <v>1710</v>
      </c>
      <c r="H572" t="inlineStr">
        <is>
          <t>2026-05-21</t>
        </is>
      </c>
      <c r="I572">
        <f>IF(MONTH(E572)&lt;=6,"Q1","Q2")</f>
        <v/>
      </c>
      <c r="J572">
        <f>YEAR(E572)*100+MONTH(E572)</f>
        <v/>
      </c>
      <c r="K572">
        <f>IF(COUNTIF($A$2:A572,A572)=1,1,0)</f>
        <v/>
      </c>
      <c r="L572">
        <f>IF(K572=1,IF(COUNTIFS($B$2:B572,B572,$I$2:I572,I572,$K$2:K572,1)=1,1,0),0)</f>
        <v/>
      </c>
      <c r="M572">
        <f>IF(Tree!$C$4="once per order",F572*K572,F572)</f>
        <v/>
      </c>
      <c r="N572">
        <f>IF(Tree!$C$4="once per order",K572,1)</f>
        <v/>
      </c>
      <c r="O572">
        <f>IF(Tree!$C$4="once per order",L572,1)</f>
        <v/>
      </c>
    </row>
    <row r="573">
      <c r="A573" t="inlineStr">
        <is>
          <t>KR-00362</t>
        </is>
      </c>
      <c r="B573" t="inlineStr">
        <is>
          <t>C-0009</t>
        </is>
      </c>
      <c r="C573" t="inlineStr">
        <is>
          <t>Retail-Core</t>
        </is>
      </c>
      <c r="D573" t="inlineStr">
        <is>
          <t>web</t>
        </is>
      </c>
      <c r="E573" s="7" t="n">
        <v>46161</v>
      </c>
      <c r="F573" t="n">
        <v>2850</v>
      </c>
      <c r="G573" t="n">
        <v>1140</v>
      </c>
      <c r="H573" t="inlineStr">
        <is>
          <t>2026-05-21</t>
        </is>
      </c>
      <c r="I573">
        <f>IF(MONTH(E573)&lt;=6,"Q1","Q2")</f>
        <v/>
      </c>
      <c r="J573">
        <f>YEAR(E573)*100+MONTH(E573)</f>
        <v/>
      </c>
      <c r="K573">
        <f>IF(COUNTIF($A$2:A573,A573)=1,1,0)</f>
        <v/>
      </c>
      <c r="L573">
        <f>IF(K573=1,IF(COUNTIFS($B$2:B573,B573,$I$2:I573,I573,$K$2:K573,1)=1,1,0),0)</f>
        <v/>
      </c>
      <c r="M573">
        <f>IF(Tree!$C$4="once per order",F573*K573,F573)</f>
        <v/>
      </c>
      <c r="N573">
        <f>IF(Tree!$C$4="once per order",K573,1)</f>
        <v/>
      </c>
      <c r="O573">
        <f>IF(Tree!$C$4="once per order",L573,1)</f>
        <v/>
      </c>
    </row>
    <row r="574">
      <c r="A574" t="inlineStr">
        <is>
          <t>KR-00363</t>
        </is>
      </c>
      <c r="B574" t="inlineStr">
        <is>
          <t>C-0010</t>
        </is>
      </c>
      <c r="C574" t="inlineStr">
        <is>
          <t>Retail-Core</t>
        </is>
      </c>
      <c r="D574" t="inlineStr">
        <is>
          <t>web</t>
        </is>
      </c>
      <c r="E574" s="7" t="n">
        <v>46177</v>
      </c>
      <c r="F574" t="n">
        <v>2070</v>
      </c>
      <c r="G574" t="n">
        <v>2070</v>
      </c>
      <c r="H574" t="inlineStr">
        <is>
          <t>2026-06-06</t>
        </is>
      </c>
      <c r="I574">
        <f>IF(MONTH(E574)&lt;=6,"Q1","Q2")</f>
        <v/>
      </c>
      <c r="J574">
        <f>YEAR(E574)*100+MONTH(E574)</f>
        <v/>
      </c>
      <c r="K574">
        <f>IF(COUNTIF($A$2:A574,A574)=1,1,0)</f>
        <v/>
      </c>
      <c r="L574">
        <f>IF(K574=1,IF(COUNTIFS($B$2:B574,B574,$I$2:I574,I574,$K$2:K574,1)=1,1,0),0)</f>
        <v/>
      </c>
      <c r="M574">
        <f>IF(Tree!$C$4="once per order",F574*K574,F574)</f>
        <v/>
      </c>
      <c r="N574">
        <f>IF(Tree!$C$4="once per order",K574,1)</f>
        <v/>
      </c>
      <c r="O574">
        <f>IF(Tree!$C$4="once per order",L574,1)</f>
        <v/>
      </c>
    </row>
    <row r="575">
      <c r="A575" t="inlineStr">
        <is>
          <t>KR-00364</t>
        </is>
      </c>
      <c r="B575" t="inlineStr">
        <is>
          <t>C-0022</t>
        </is>
      </c>
      <c r="C575" t="inlineStr">
        <is>
          <t>Retail-Core</t>
        </is>
      </c>
      <c r="D575" t="inlineStr">
        <is>
          <t>store</t>
        </is>
      </c>
      <c r="E575" s="7" t="n">
        <v>46125</v>
      </c>
      <c r="F575" t="n">
        <v>2590</v>
      </c>
      <c r="G575" t="n">
        <v>2590</v>
      </c>
      <c r="H575" t="inlineStr">
        <is>
          <t>2026-04-15</t>
        </is>
      </c>
      <c r="I575">
        <f>IF(MONTH(E575)&lt;=6,"Q1","Q2")</f>
        <v/>
      </c>
      <c r="J575">
        <f>YEAR(E575)*100+MONTH(E575)</f>
        <v/>
      </c>
      <c r="K575">
        <f>IF(COUNTIF($A$2:A575,A575)=1,1,0)</f>
        <v/>
      </c>
      <c r="L575">
        <f>IF(K575=1,IF(COUNTIFS($B$2:B575,B575,$I$2:I575,I575,$K$2:K575,1)=1,1,0),0)</f>
        <v/>
      </c>
      <c r="M575">
        <f>IF(Tree!$C$4="once per order",F575*K575,F575)</f>
        <v/>
      </c>
      <c r="N575">
        <f>IF(Tree!$C$4="once per order",K575,1)</f>
        <v/>
      </c>
      <c r="O575">
        <f>IF(Tree!$C$4="once per order",L575,1)</f>
        <v/>
      </c>
    </row>
    <row r="576">
      <c r="A576" t="inlineStr">
        <is>
          <t>KR-00365</t>
        </is>
      </c>
      <c r="B576" t="inlineStr">
        <is>
          <t>C-0086</t>
        </is>
      </c>
      <c r="C576" t="inlineStr">
        <is>
          <t>Retail-Core</t>
        </is>
      </c>
      <c r="D576" t="inlineStr">
        <is>
          <t>app</t>
        </is>
      </c>
      <c r="E576" s="7" t="n">
        <v>46164</v>
      </c>
      <c r="F576" t="n">
        <v>1870</v>
      </c>
      <c r="G576" t="n">
        <v>1870</v>
      </c>
      <c r="H576" t="inlineStr">
        <is>
          <t>2026-05-24</t>
        </is>
      </c>
      <c r="I576">
        <f>IF(MONTH(E576)&lt;=6,"Q1","Q2")</f>
        <v/>
      </c>
      <c r="J576">
        <f>YEAR(E576)*100+MONTH(E576)</f>
        <v/>
      </c>
      <c r="K576">
        <f>IF(COUNTIF($A$2:A576,A576)=1,1,0)</f>
        <v/>
      </c>
      <c r="L576">
        <f>IF(K576=1,IF(COUNTIFS($B$2:B576,B576,$I$2:I576,I576,$K$2:K576,1)=1,1,0),0)</f>
        <v/>
      </c>
      <c r="M576">
        <f>IF(Tree!$C$4="once per order",F576*K576,F576)</f>
        <v/>
      </c>
      <c r="N576">
        <f>IF(Tree!$C$4="once per order",K576,1)</f>
        <v/>
      </c>
      <c r="O576">
        <f>IF(Tree!$C$4="once per order",L576,1)</f>
        <v/>
      </c>
    </row>
    <row r="577">
      <c r="A577" t="inlineStr">
        <is>
          <t>KR-00366</t>
        </is>
      </c>
      <c r="B577" t="inlineStr">
        <is>
          <t>C-0089</t>
        </is>
      </c>
      <c r="C577" t="inlineStr">
        <is>
          <t>Retail-Core</t>
        </is>
      </c>
      <c r="D577" t="inlineStr">
        <is>
          <t>app</t>
        </is>
      </c>
      <c r="E577" s="7" t="n">
        <v>46180</v>
      </c>
      <c r="F577" t="n">
        <v>2560</v>
      </c>
      <c r="G577" t="n">
        <v>2560</v>
      </c>
      <c r="H577" t="inlineStr">
        <is>
          <t>2026-06-09</t>
        </is>
      </c>
      <c r="I577">
        <f>IF(MONTH(E577)&lt;=6,"Q1","Q2")</f>
        <v/>
      </c>
      <c r="J577">
        <f>YEAR(E577)*100+MONTH(E577)</f>
        <v/>
      </c>
      <c r="K577">
        <f>IF(COUNTIF($A$2:A577,A577)=1,1,0)</f>
        <v/>
      </c>
      <c r="L577">
        <f>IF(K577=1,IF(COUNTIFS($B$2:B577,B577,$I$2:I577,I577,$K$2:K577,1)=1,1,0),0)</f>
        <v/>
      </c>
      <c r="M577">
        <f>IF(Tree!$C$4="once per order",F577*K577,F577)</f>
        <v/>
      </c>
      <c r="N577">
        <f>IF(Tree!$C$4="once per order",K577,1)</f>
        <v/>
      </c>
      <c r="O577">
        <f>IF(Tree!$C$4="once per order",L577,1)</f>
        <v/>
      </c>
    </row>
    <row r="578">
      <c r="A578" t="inlineStr">
        <is>
          <t>KR-00367</t>
        </is>
      </c>
      <c r="B578" t="inlineStr">
        <is>
          <t>C-0093</t>
        </is>
      </c>
      <c r="C578" t="inlineStr">
        <is>
          <t>Retail-Core</t>
        </is>
      </c>
      <c r="D578" t="inlineStr">
        <is>
          <t>store</t>
        </is>
      </c>
      <c r="E578" s="7" t="n">
        <v>46116</v>
      </c>
      <c r="F578" t="n">
        <v>1740</v>
      </c>
      <c r="G578" t="n">
        <v>1740</v>
      </c>
      <c r="H578" t="inlineStr">
        <is>
          <t>2026-04-06</t>
        </is>
      </c>
      <c r="I578">
        <f>IF(MONTH(E578)&lt;=6,"Q1","Q2")</f>
        <v/>
      </c>
      <c r="J578">
        <f>YEAR(E578)*100+MONTH(E578)</f>
        <v/>
      </c>
      <c r="K578">
        <f>IF(COUNTIF($A$2:A578,A578)=1,1,0)</f>
        <v/>
      </c>
      <c r="L578">
        <f>IF(K578=1,IF(COUNTIFS($B$2:B578,B578,$I$2:I578,I578,$K$2:K578,1)=1,1,0),0)</f>
        <v/>
      </c>
      <c r="M578">
        <f>IF(Tree!$C$4="once per order",F578*K578,F578)</f>
        <v/>
      </c>
      <c r="N578">
        <f>IF(Tree!$C$4="once per order",K578,1)</f>
        <v/>
      </c>
      <c r="O578">
        <f>IF(Tree!$C$4="once per order",L578,1)</f>
        <v/>
      </c>
    </row>
    <row r="579">
      <c r="A579" t="inlineStr">
        <is>
          <t>KR-00368</t>
        </is>
      </c>
      <c r="B579" t="inlineStr">
        <is>
          <t>C-0054</t>
        </is>
      </c>
      <c r="C579" t="inlineStr">
        <is>
          <t>Retail-Core</t>
        </is>
      </c>
      <c r="D579" t="inlineStr">
        <is>
          <t>store</t>
        </is>
      </c>
      <c r="E579" s="7" t="n">
        <v>46154</v>
      </c>
      <c r="F579" t="n">
        <v>2670</v>
      </c>
      <c r="G579" t="n">
        <v>2670</v>
      </c>
      <c r="H579" t="inlineStr">
        <is>
          <t>2026-05-14</t>
        </is>
      </c>
      <c r="I579">
        <f>IF(MONTH(E579)&lt;=6,"Q1","Q2")</f>
        <v/>
      </c>
      <c r="J579">
        <f>YEAR(E579)*100+MONTH(E579)</f>
        <v/>
      </c>
      <c r="K579">
        <f>IF(COUNTIF($A$2:A579,A579)=1,1,0)</f>
        <v/>
      </c>
      <c r="L579">
        <f>IF(K579=1,IF(COUNTIFS($B$2:B579,B579,$I$2:I579,I579,$K$2:K579,1)=1,1,0),0)</f>
        <v/>
      </c>
      <c r="M579">
        <f>IF(Tree!$C$4="once per order",F579*K579,F579)</f>
        <v/>
      </c>
      <c r="N579">
        <f>IF(Tree!$C$4="once per order",K579,1)</f>
        <v/>
      </c>
      <c r="O579">
        <f>IF(Tree!$C$4="once per order",L579,1)</f>
        <v/>
      </c>
    </row>
    <row r="580">
      <c r="A580" t="inlineStr">
        <is>
          <t>KR-00369</t>
        </is>
      </c>
      <c r="B580" t="inlineStr">
        <is>
          <t>C-0035</t>
        </is>
      </c>
      <c r="C580" t="inlineStr">
        <is>
          <t>Retail-Core</t>
        </is>
      </c>
      <c r="D580" t="inlineStr">
        <is>
          <t>store</t>
        </is>
      </c>
      <c r="E580" s="7" t="n">
        <v>46183</v>
      </c>
      <c r="F580" t="n">
        <v>2760</v>
      </c>
      <c r="G580" t="n">
        <v>2760</v>
      </c>
      <c r="H580" t="inlineStr">
        <is>
          <t>2026-06-12</t>
        </is>
      </c>
      <c r="I580">
        <f>IF(MONTH(E580)&lt;=6,"Q1","Q2")</f>
        <v/>
      </c>
      <c r="J580">
        <f>YEAR(E580)*100+MONTH(E580)</f>
        <v/>
      </c>
      <c r="K580">
        <f>IF(COUNTIF($A$2:A580,A580)=1,1,0)</f>
        <v/>
      </c>
      <c r="L580">
        <f>IF(K580=1,IF(COUNTIFS($B$2:B580,B580,$I$2:I580,I580,$K$2:K580,1)=1,1,0),0)</f>
        <v/>
      </c>
      <c r="M580">
        <f>IF(Tree!$C$4="once per order",F580*K580,F580)</f>
        <v/>
      </c>
      <c r="N580">
        <f>IF(Tree!$C$4="once per order",K580,1)</f>
        <v/>
      </c>
      <c r="O580">
        <f>IF(Tree!$C$4="once per order",L580,1)</f>
        <v/>
      </c>
    </row>
    <row r="581">
      <c r="A581" t="inlineStr">
        <is>
          <t>KR-00370</t>
        </is>
      </c>
      <c r="B581" t="inlineStr">
        <is>
          <t>C-0115</t>
        </is>
      </c>
      <c r="C581" t="inlineStr">
        <is>
          <t>Retail-Core</t>
        </is>
      </c>
      <c r="D581" t="inlineStr">
        <is>
          <t>app</t>
        </is>
      </c>
      <c r="E581" s="7" t="n">
        <v>46115</v>
      </c>
      <c r="F581" t="n">
        <v>1480</v>
      </c>
      <c r="G581" t="n">
        <v>1480</v>
      </c>
      <c r="H581" t="inlineStr">
        <is>
          <t>2026-04-05</t>
        </is>
      </c>
      <c r="I581">
        <f>IF(MONTH(E581)&lt;=6,"Q1","Q2")</f>
        <v/>
      </c>
      <c r="J581">
        <f>YEAR(E581)*100+MONTH(E581)</f>
        <v/>
      </c>
      <c r="K581">
        <f>IF(COUNTIF($A$2:A581,A581)=1,1,0)</f>
        <v/>
      </c>
      <c r="L581">
        <f>IF(K581=1,IF(COUNTIFS($B$2:B581,B581,$I$2:I581,I581,$K$2:K581,1)=1,1,0),0)</f>
        <v/>
      </c>
      <c r="M581">
        <f>IF(Tree!$C$4="once per order",F581*K581,F581)</f>
        <v/>
      </c>
      <c r="N581">
        <f>IF(Tree!$C$4="once per order",K581,1)</f>
        <v/>
      </c>
      <c r="O581">
        <f>IF(Tree!$C$4="once per order",L581,1)</f>
        <v/>
      </c>
    </row>
    <row r="582">
      <c r="A582" t="inlineStr">
        <is>
          <t>KR-00371</t>
        </is>
      </c>
      <c r="B582" t="inlineStr">
        <is>
          <t>C-0047</t>
        </is>
      </c>
      <c r="C582" t="inlineStr">
        <is>
          <t>Retail-Core</t>
        </is>
      </c>
      <c r="D582" t="inlineStr">
        <is>
          <t>app</t>
        </is>
      </c>
      <c r="E582" s="7" t="n">
        <v>46160</v>
      </c>
      <c r="F582" t="n">
        <v>990</v>
      </c>
      <c r="G582" t="n">
        <v>990</v>
      </c>
      <c r="H582" t="inlineStr">
        <is>
          <t>2026-05-20</t>
        </is>
      </c>
      <c r="I582">
        <f>IF(MONTH(E582)&lt;=6,"Q1","Q2")</f>
        <v/>
      </c>
      <c r="J582">
        <f>YEAR(E582)*100+MONTH(E582)</f>
        <v/>
      </c>
      <c r="K582">
        <f>IF(COUNTIF($A$2:A582,A582)=1,1,0)</f>
        <v/>
      </c>
      <c r="L582">
        <f>IF(K582=1,IF(COUNTIFS($B$2:B582,B582,$I$2:I582,I582,$K$2:K582,1)=1,1,0),0)</f>
        <v/>
      </c>
      <c r="M582">
        <f>IF(Tree!$C$4="once per order",F582*K582,F582)</f>
        <v/>
      </c>
      <c r="N582">
        <f>IF(Tree!$C$4="once per order",K582,1)</f>
        <v/>
      </c>
      <c r="O582">
        <f>IF(Tree!$C$4="once per order",L582,1)</f>
        <v/>
      </c>
    </row>
    <row r="583">
      <c r="A583" t="inlineStr">
        <is>
          <t>KR-00372</t>
        </is>
      </c>
      <c r="B583" t="inlineStr">
        <is>
          <t>C-0126</t>
        </is>
      </c>
      <c r="C583" t="inlineStr">
        <is>
          <t>Retail-Core</t>
        </is>
      </c>
      <c r="D583" t="inlineStr">
        <is>
          <t>app</t>
        </is>
      </c>
      <c r="E583" s="7" t="n">
        <v>46186</v>
      </c>
      <c r="F583" t="n">
        <v>1160</v>
      </c>
      <c r="G583" t="n">
        <v>1160</v>
      </c>
      <c r="H583" t="inlineStr">
        <is>
          <t>2026-06-15</t>
        </is>
      </c>
      <c r="I583">
        <f>IF(MONTH(E583)&lt;=6,"Q1","Q2")</f>
        <v/>
      </c>
      <c r="J583">
        <f>YEAR(E583)*100+MONTH(E583)</f>
        <v/>
      </c>
      <c r="K583">
        <f>IF(COUNTIF($A$2:A583,A583)=1,1,0)</f>
        <v/>
      </c>
      <c r="L583">
        <f>IF(K583=1,IF(COUNTIFS($B$2:B583,B583,$I$2:I583,I583,$K$2:K583,1)=1,1,0),0)</f>
        <v/>
      </c>
      <c r="M583">
        <f>IF(Tree!$C$4="once per order",F583*K583,F583)</f>
        <v/>
      </c>
      <c r="N583">
        <f>IF(Tree!$C$4="once per order",K583,1)</f>
        <v/>
      </c>
      <c r="O583">
        <f>IF(Tree!$C$4="once per order",L583,1)</f>
        <v/>
      </c>
    </row>
    <row r="584">
      <c r="A584" t="inlineStr">
        <is>
          <t>KR-00373</t>
        </is>
      </c>
      <c r="B584" t="inlineStr">
        <is>
          <t>C-0107</t>
        </is>
      </c>
      <c r="C584" t="inlineStr">
        <is>
          <t>Retail-Core</t>
        </is>
      </c>
      <c r="D584" t="inlineStr">
        <is>
          <t>store</t>
        </is>
      </c>
      <c r="E584" s="7" t="n">
        <v>46131</v>
      </c>
      <c r="F584" t="n">
        <v>1630</v>
      </c>
      <c r="G584" t="n">
        <v>1630</v>
      </c>
      <c r="H584" t="inlineStr">
        <is>
          <t>2026-04-21</t>
        </is>
      </c>
      <c r="I584">
        <f>IF(MONTH(E584)&lt;=6,"Q1","Q2")</f>
        <v/>
      </c>
      <c r="J584">
        <f>YEAR(E584)*100+MONTH(E584)</f>
        <v/>
      </c>
      <c r="K584">
        <f>IF(COUNTIF($A$2:A584,A584)=1,1,0)</f>
        <v/>
      </c>
      <c r="L584">
        <f>IF(K584=1,IF(COUNTIFS($B$2:B584,B584,$I$2:I584,I584,$K$2:K584,1)=1,1,0),0)</f>
        <v/>
      </c>
      <c r="M584">
        <f>IF(Tree!$C$4="once per order",F584*K584,F584)</f>
        <v/>
      </c>
      <c r="N584">
        <f>IF(Tree!$C$4="once per order",K584,1)</f>
        <v/>
      </c>
      <c r="O584">
        <f>IF(Tree!$C$4="once per order",L584,1)</f>
        <v/>
      </c>
    </row>
    <row r="585">
      <c r="A585" t="inlineStr">
        <is>
          <t>KR-00374</t>
        </is>
      </c>
      <c r="B585" t="inlineStr">
        <is>
          <t>C-0009</t>
        </is>
      </c>
      <c r="C585" t="inlineStr">
        <is>
          <t>Retail-Core</t>
        </is>
      </c>
      <c r="D585" t="inlineStr">
        <is>
          <t>app</t>
        </is>
      </c>
      <c r="E585" s="7" t="n">
        <v>46155</v>
      </c>
      <c r="F585" t="n">
        <v>2910</v>
      </c>
      <c r="G585" t="n">
        <v>1746</v>
      </c>
      <c r="H585" t="inlineStr">
        <is>
          <t>2026-05-15</t>
        </is>
      </c>
      <c r="I585">
        <f>IF(MONTH(E585)&lt;=6,"Q1","Q2")</f>
        <v/>
      </c>
      <c r="J585">
        <f>YEAR(E585)*100+MONTH(E585)</f>
        <v/>
      </c>
      <c r="K585">
        <f>IF(COUNTIF($A$2:A585,A585)=1,1,0)</f>
        <v/>
      </c>
      <c r="L585">
        <f>IF(K585=1,IF(COUNTIFS($B$2:B585,B585,$I$2:I585,I585,$K$2:K585,1)=1,1,0),0)</f>
        <v/>
      </c>
      <c r="M585">
        <f>IF(Tree!$C$4="once per order",F585*K585,F585)</f>
        <v/>
      </c>
      <c r="N585">
        <f>IF(Tree!$C$4="once per order",K585,1)</f>
        <v/>
      </c>
      <c r="O585">
        <f>IF(Tree!$C$4="once per order",L585,1)</f>
        <v/>
      </c>
    </row>
    <row r="586">
      <c r="A586" t="inlineStr">
        <is>
          <t>KR-00374</t>
        </is>
      </c>
      <c r="B586" t="inlineStr">
        <is>
          <t>C-0009</t>
        </is>
      </c>
      <c r="C586" t="inlineStr">
        <is>
          <t>Retail-Core</t>
        </is>
      </c>
      <c r="D586" t="inlineStr">
        <is>
          <t>app</t>
        </is>
      </c>
      <c r="E586" s="7" t="n">
        <v>46155</v>
      </c>
      <c r="F586" t="n">
        <v>2910</v>
      </c>
      <c r="G586" t="n">
        <v>1164</v>
      </c>
      <c r="H586" t="inlineStr">
        <is>
          <t>2026-05-15</t>
        </is>
      </c>
      <c r="I586">
        <f>IF(MONTH(E586)&lt;=6,"Q1","Q2")</f>
        <v/>
      </c>
      <c r="J586">
        <f>YEAR(E586)*100+MONTH(E586)</f>
        <v/>
      </c>
      <c r="K586">
        <f>IF(COUNTIF($A$2:A586,A586)=1,1,0)</f>
        <v/>
      </c>
      <c r="L586">
        <f>IF(K586=1,IF(COUNTIFS($B$2:B586,B586,$I$2:I586,I586,$K$2:K586,1)=1,1,0),0)</f>
        <v/>
      </c>
      <c r="M586">
        <f>IF(Tree!$C$4="once per order",F586*K586,F586)</f>
        <v/>
      </c>
      <c r="N586">
        <f>IF(Tree!$C$4="once per order",K586,1)</f>
        <v/>
      </c>
      <c r="O586">
        <f>IF(Tree!$C$4="once per order",L586,1)</f>
        <v/>
      </c>
    </row>
    <row r="587">
      <c r="A587" t="inlineStr">
        <is>
          <t>KR-00375</t>
        </is>
      </c>
      <c r="B587" t="inlineStr">
        <is>
          <t>C-0123</t>
        </is>
      </c>
      <c r="C587" t="inlineStr">
        <is>
          <t>Retail-Core</t>
        </is>
      </c>
      <c r="D587" t="inlineStr">
        <is>
          <t>app</t>
        </is>
      </c>
      <c r="E587" s="7" t="n">
        <v>46197</v>
      </c>
      <c r="F587" t="n">
        <v>3000</v>
      </c>
      <c r="G587" t="n">
        <v>1800</v>
      </c>
      <c r="H587" t="inlineStr">
        <is>
          <t>2026-06-26</t>
        </is>
      </c>
      <c r="I587">
        <f>IF(MONTH(E587)&lt;=6,"Q1","Q2")</f>
        <v/>
      </c>
      <c r="J587">
        <f>YEAR(E587)*100+MONTH(E587)</f>
        <v/>
      </c>
      <c r="K587">
        <f>IF(COUNTIF($A$2:A587,A587)=1,1,0)</f>
        <v/>
      </c>
      <c r="L587">
        <f>IF(K587=1,IF(COUNTIFS($B$2:B587,B587,$I$2:I587,I587,$K$2:K587,1)=1,1,0),0)</f>
        <v/>
      </c>
      <c r="M587">
        <f>IF(Tree!$C$4="once per order",F587*K587,F587)</f>
        <v/>
      </c>
      <c r="N587">
        <f>IF(Tree!$C$4="once per order",K587,1)</f>
        <v/>
      </c>
      <c r="O587">
        <f>IF(Tree!$C$4="once per order",L587,1)</f>
        <v/>
      </c>
    </row>
    <row r="588">
      <c r="A588" t="inlineStr">
        <is>
          <t>KR-00375</t>
        </is>
      </c>
      <c r="B588" t="inlineStr">
        <is>
          <t>C-0123</t>
        </is>
      </c>
      <c r="C588" t="inlineStr">
        <is>
          <t>Retail-Core</t>
        </is>
      </c>
      <c r="D588" t="inlineStr">
        <is>
          <t>app</t>
        </is>
      </c>
      <c r="E588" s="7" t="n">
        <v>46197</v>
      </c>
      <c r="F588" t="n">
        <v>3000</v>
      </c>
      <c r="G588" t="n">
        <v>1200</v>
      </c>
      <c r="H588" t="inlineStr">
        <is>
          <t>2026-06-26</t>
        </is>
      </c>
      <c r="I588">
        <f>IF(MONTH(E588)&lt;=6,"Q1","Q2")</f>
        <v/>
      </c>
      <c r="J588">
        <f>YEAR(E588)*100+MONTH(E588)</f>
        <v/>
      </c>
      <c r="K588">
        <f>IF(COUNTIF($A$2:A588,A588)=1,1,0)</f>
        <v/>
      </c>
      <c r="L588">
        <f>IF(K588=1,IF(COUNTIFS($B$2:B588,B588,$I$2:I588,I588,$K$2:K588,1)=1,1,0),0)</f>
        <v/>
      </c>
      <c r="M588">
        <f>IF(Tree!$C$4="once per order",F588*K588,F588)</f>
        <v/>
      </c>
      <c r="N588">
        <f>IF(Tree!$C$4="once per order",K588,1)</f>
        <v/>
      </c>
      <c r="O588">
        <f>IF(Tree!$C$4="once per order",L588,1)</f>
        <v/>
      </c>
    </row>
    <row r="589">
      <c r="A589" t="inlineStr">
        <is>
          <t>KR-00376</t>
        </is>
      </c>
      <c r="B589" t="inlineStr">
        <is>
          <t>C-0036</t>
        </is>
      </c>
      <c r="C589" t="inlineStr">
        <is>
          <t>Retail-Core</t>
        </is>
      </c>
      <c r="D589" t="inlineStr">
        <is>
          <t>store</t>
        </is>
      </c>
      <c r="E589" s="7" t="n">
        <v>46128</v>
      </c>
      <c r="F589" t="n">
        <v>1120</v>
      </c>
      <c r="G589" t="n">
        <v>1120</v>
      </c>
      <c r="H589" t="inlineStr">
        <is>
          <t>2026-04-18</t>
        </is>
      </c>
      <c r="I589">
        <f>IF(MONTH(E589)&lt;=6,"Q1","Q2")</f>
        <v/>
      </c>
      <c r="J589">
        <f>YEAR(E589)*100+MONTH(E589)</f>
        <v/>
      </c>
      <c r="K589">
        <f>IF(COUNTIF($A$2:A589,A589)=1,1,0)</f>
        <v/>
      </c>
      <c r="L589">
        <f>IF(K589=1,IF(COUNTIFS($B$2:B589,B589,$I$2:I589,I589,$K$2:K589,1)=1,1,0),0)</f>
        <v/>
      </c>
      <c r="M589">
        <f>IF(Tree!$C$4="once per order",F589*K589,F589)</f>
        <v/>
      </c>
      <c r="N589">
        <f>IF(Tree!$C$4="once per order",K589,1)</f>
        <v/>
      </c>
      <c r="O589">
        <f>IF(Tree!$C$4="once per order",L589,1)</f>
        <v/>
      </c>
    </row>
    <row r="590">
      <c r="A590" t="inlineStr">
        <is>
          <t>KR-00377</t>
        </is>
      </c>
      <c r="B590" t="inlineStr">
        <is>
          <t>C-0014</t>
        </is>
      </c>
      <c r="C590" t="inlineStr">
        <is>
          <t>Retail-Core</t>
        </is>
      </c>
      <c r="D590" t="inlineStr">
        <is>
          <t>store</t>
        </is>
      </c>
      <c r="E590" s="7" t="n">
        <v>46159</v>
      </c>
      <c r="F590" t="n">
        <v>1580</v>
      </c>
      <c r="G590" t="n">
        <v>1580</v>
      </c>
      <c r="H590" t="inlineStr">
        <is>
          <t>2026-05-19</t>
        </is>
      </c>
      <c r="I590">
        <f>IF(MONTH(E590)&lt;=6,"Q1","Q2")</f>
        <v/>
      </c>
      <c r="J590">
        <f>YEAR(E590)*100+MONTH(E590)</f>
        <v/>
      </c>
      <c r="K590">
        <f>IF(COUNTIF($A$2:A590,A590)=1,1,0)</f>
        <v/>
      </c>
      <c r="L590">
        <f>IF(K590=1,IF(COUNTIFS($B$2:B590,B590,$I$2:I590,I590,$K$2:K590,1)=1,1,0),0)</f>
        <v/>
      </c>
      <c r="M590">
        <f>IF(Tree!$C$4="once per order",F590*K590,F590)</f>
        <v/>
      </c>
      <c r="N590">
        <f>IF(Tree!$C$4="once per order",K590,1)</f>
        <v/>
      </c>
      <c r="O590">
        <f>IF(Tree!$C$4="once per order",L590,1)</f>
        <v/>
      </c>
    </row>
    <row r="591">
      <c r="A591" t="inlineStr">
        <is>
          <t>KR-00378</t>
        </is>
      </c>
      <c r="B591" t="inlineStr">
        <is>
          <t>C-0044</t>
        </is>
      </c>
      <c r="C591" t="inlineStr">
        <is>
          <t>Retail-Core</t>
        </is>
      </c>
      <c r="D591" t="inlineStr">
        <is>
          <t>app</t>
        </is>
      </c>
      <c r="E591" s="7" t="n">
        <v>46184</v>
      </c>
      <c r="F591" t="n">
        <v>2760</v>
      </c>
      <c r="G591" t="n">
        <v>2760</v>
      </c>
      <c r="H591" t="inlineStr">
        <is>
          <t>2026-06-13</t>
        </is>
      </c>
      <c r="I591">
        <f>IF(MONTH(E591)&lt;=6,"Q1","Q2")</f>
        <v/>
      </c>
      <c r="J591">
        <f>YEAR(E591)*100+MONTH(E591)</f>
        <v/>
      </c>
      <c r="K591">
        <f>IF(COUNTIF($A$2:A591,A591)=1,1,0)</f>
        <v/>
      </c>
      <c r="L591">
        <f>IF(K591=1,IF(COUNTIFS($B$2:B591,B591,$I$2:I591,I591,$K$2:K591,1)=1,1,0),0)</f>
        <v/>
      </c>
      <c r="M591">
        <f>IF(Tree!$C$4="once per order",F591*K591,F591)</f>
        <v/>
      </c>
      <c r="N591">
        <f>IF(Tree!$C$4="once per order",K591,1)</f>
        <v/>
      </c>
      <c r="O591">
        <f>IF(Tree!$C$4="once per order",L591,1)</f>
        <v/>
      </c>
    </row>
    <row r="592">
      <c r="A592" t="inlineStr">
        <is>
          <t>KR-00379</t>
        </is>
      </c>
      <c r="B592" t="inlineStr">
        <is>
          <t>C-0128</t>
        </is>
      </c>
      <c r="C592" t="inlineStr">
        <is>
          <t>Retail-Core</t>
        </is>
      </c>
      <c r="D592" t="inlineStr">
        <is>
          <t>store</t>
        </is>
      </c>
      <c r="E592" s="7" t="n">
        <v>46137</v>
      </c>
      <c r="F592" t="n">
        <v>1620</v>
      </c>
      <c r="G592" t="n">
        <v>1620</v>
      </c>
      <c r="H592" t="inlineStr">
        <is>
          <t>2026-04-27</t>
        </is>
      </c>
      <c r="I592">
        <f>IF(MONTH(E592)&lt;=6,"Q1","Q2")</f>
        <v/>
      </c>
      <c r="J592">
        <f>YEAR(E592)*100+MONTH(E592)</f>
        <v/>
      </c>
      <c r="K592">
        <f>IF(COUNTIF($A$2:A592,A592)=1,1,0)</f>
        <v/>
      </c>
      <c r="L592">
        <f>IF(K592=1,IF(COUNTIFS($B$2:B592,B592,$I$2:I592,I592,$K$2:K592,1)=1,1,0),0)</f>
        <v/>
      </c>
      <c r="M592">
        <f>IF(Tree!$C$4="once per order",F592*K592,F592)</f>
        <v/>
      </c>
      <c r="N592">
        <f>IF(Tree!$C$4="once per order",K592,1)</f>
        <v/>
      </c>
      <c r="O592">
        <f>IF(Tree!$C$4="once per order",L592,1)</f>
        <v/>
      </c>
    </row>
    <row r="593">
      <c r="A593" t="inlineStr">
        <is>
          <t>KR-00380</t>
        </is>
      </c>
      <c r="B593" t="inlineStr">
        <is>
          <t>C-0021</t>
        </is>
      </c>
      <c r="C593" t="inlineStr">
        <is>
          <t>Retail-Core</t>
        </is>
      </c>
      <c r="D593" t="inlineStr">
        <is>
          <t>app</t>
        </is>
      </c>
      <c r="E593" s="7" t="n">
        <v>46157</v>
      </c>
      <c r="F593" t="n">
        <v>1950</v>
      </c>
      <c r="G593" t="n">
        <v>1950</v>
      </c>
      <c r="H593" t="inlineStr">
        <is>
          <t>2026-05-17</t>
        </is>
      </c>
      <c r="I593">
        <f>IF(MONTH(E593)&lt;=6,"Q1","Q2")</f>
        <v/>
      </c>
      <c r="J593">
        <f>YEAR(E593)*100+MONTH(E593)</f>
        <v/>
      </c>
      <c r="K593">
        <f>IF(COUNTIF($A$2:A593,A593)=1,1,0)</f>
        <v/>
      </c>
      <c r="L593">
        <f>IF(K593=1,IF(COUNTIFS($B$2:B593,B593,$I$2:I593,I593,$K$2:K593,1)=1,1,0),0)</f>
        <v/>
      </c>
      <c r="M593">
        <f>IF(Tree!$C$4="once per order",F593*K593,F593)</f>
        <v/>
      </c>
      <c r="N593">
        <f>IF(Tree!$C$4="once per order",K593,1)</f>
        <v/>
      </c>
      <c r="O593">
        <f>IF(Tree!$C$4="once per order",L593,1)</f>
        <v/>
      </c>
    </row>
    <row r="594">
      <c r="A594" t="inlineStr">
        <is>
          <t>KR-00381</t>
        </is>
      </c>
      <c r="B594" t="inlineStr">
        <is>
          <t>C-0017</t>
        </is>
      </c>
      <c r="C594" t="inlineStr">
        <is>
          <t>Retail-Core</t>
        </is>
      </c>
      <c r="D594" t="inlineStr">
        <is>
          <t>store</t>
        </is>
      </c>
      <c r="E594" s="7" t="n">
        <v>46198</v>
      </c>
      <c r="F594" t="n">
        <v>1890</v>
      </c>
      <c r="G594" t="n">
        <v>1890</v>
      </c>
      <c r="H594" t="inlineStr">
        <is>
          <t>2026-06-27</t>
        </is>
      </c>
      <c r="I594">
        <f>IF(MONTH(E594)&lt;=6,"Q1","Q2")</f>
        <v/>
      </c>
      <c r="J594">
        <f>YEAR(E594)*100+MONTH(E594)</f>
        <v/>
      </c>
      <c r="K594">
        <f>IF(COUNTIF($A$2:A594,A594)=1,1,0)</f>
        <v/>
      </c>
      <c r="L594">
        <f>IF(K594=1,IF(COUNTIFS($B$2:B594,B594,$I$2:I594,I594,$K$2:K594,1)=1,1,0),0)</f>
        <v/>
      </c>
      <c r="M594">
        <f>IF(Tree!$C$4="once per order",F594*K594,F594)</f>
        <v/>
      </c>
      <c r="N594">
        <f>IF(Tree!$C$4="once per order",K594,1)</f>
        <v/>
      </c>
      <c r="O594">
        <f>IF(Tree!$C$4="once per order",L594,1)</f>
        <v/>
      </c>
    </row>
    <row r="595">
      <c r="A595" t="inlineStr">
        <is>
          <t>KR-00382</t>
        </is>
      </c>
      <c r="B595" t="inlineStr">
        <is>
          <t>C-0084</t>
        </is>
      </c>
      <c r="C595" t="inlineStr">
        <is>
          <t>Retail-Core</t>
        </is>
      </c>
      <c r="D595" t="inlineStr">
        <is>
          <t>web</t>
        </is>
      </c>
      <c r="E595" s="7" t="n">
        <v>46117</v>
      </c>
      <c r="F595" t="n">
        <v>1780</v>
      </c>
      <c r="G595" t="n">
        <v>1780</v>
      </c>
      <c r="H595" t="inlineStr">
        <is>
          <t>2026-04-07</t>
        </is>
      </c>
      <c r="I595">
        <f>IF(MONTH(E595)&lt;=6,"Q1","Q2")</f>
        <v/>
      </c>
      <c r="J595">
        <f>YEAR(E595)*100+MONTH(E595)</f>
        <v/>
      </c>
      <c r="K595">
        <f>IF(COUNTIF($A$2:A595,A595)=1,1,0)</f>
        <v/>
      </c>
      <c r="L595">
        <f>IF(K595=1,IF(COUNTIFS($B$2:B595,B595,$I$2:I595,I595,$K$2:K595,1)=1,1,0),0)</f>
        <v/>
      </c>
      <c r="M595">
        <f>IF(Tree!$C$4="once per order",F595*K595,F595)</f>
        <v/>
      </c>
      <c r="N595">
        <f>IF(Tree!$C$4="once per order",K595,1)</f>
        <v/>
      </c>
      <c r="O595">
        <f>IF(Tree!$C$4="once per order",L595,1)</f>
        <v/>
      </c>
    </row>
    <row r="596">
      <c r="A596" t="inlineStr">
        <is>
          <t>KR-00383</t>
        </is>
      </c>
      <c r="B596" t="inlineStr">
        <is>
          <t>C-0031</t>
        </is>
      </c>
      <c r="C596" t="inlineStr">
        <is>
          <t>Retail-Core</t>
        </is>
      </c>
      <c r="D596" t="inlineStr">
        <is>
          <t>store</t>
        </is>
      </c>
      <c r="E596" s="7" t="n">
        <v>46151</v>
      </c>
      <c r="F596" t="n">
        <v>960</v>
      </c>
      <c r="G596" t="n">
        <v>960</v>
      </c>
      <c r="H596" t="inlineStr">
        <is>
          <t>2026-05-11</t>
        </is>
      </c>
      <c r="I596">
        <f>IF(MONTH(E596)&lt;=6,"Q1","Q2")</f>
        <v/>
      </c>
      <c r="J596">
        <f>YEAR(E596)*100+MONTH(E596)</f>
        <v/>
      </c>
      <c r="K596">
        <f>IF(COUNTIF($A$2:A596,A596)=1,1,0)</f>
        <v/>
      </c>
      <c r="L596">
        <f>IF(K596=1,IF(COUNTIFS($B$2:B596,B596,$I$2:I596,I596,$K$2:K596,1)=1,1,0),0)</f>
        <v/>
      </c>
      <c r="M596">
        <f>IF(Tree!$C$4="once per order",F596*K596,F596)</f>
        <v/>
      </c>
      <c r="N596">
        <f>IF(Tree!$C$4="once per order",K596,1)</f>
        <v/>
      </c>
      <c r="O596">
        <f>IF(Tree!$C$4="once per order",L596,1)</f>
        <v/>
      </c>
    </row>
    <row r="597">
      <c r="A597" t="inlineStr">
        <is>
          <t>KR-00384</t>
        </is>
      </c>
      <c r="B597" t="inlineStr">
        <is>
          <t>C-0138</t>
        </is>
      </c>
      <c r="C597" t="inlineStr">
        <is>
          <t>Retail-Core</t>
        </is>
      </c>
      <c r="D597" t="inlineStr">
        <is>
          <t>app</t>
        </is>
      </c>
      <c r="E597" s="7" t="n">
        <v>46188</v>
      </c>
      <c r="F597" t="n">
        <v>1480</v>
      </c>
      <c r="G597" t="n">
        <v>1480</v>
      </c>
      <c r="H597" t="inlineStr">
        <is>
          <t>2026-06-17</t>
        </is>
      </c>
      <c r="I597">
        <f>IF(MONTH(E597)&lt;=6,"Q1","Q2")</f>
        <v/>
      </c>
      <c r="J597">
        <f>YEAR(E597)*100+MONTH(E597)</f>
        <v/>
      </c>
      <c r="K597">
        <f>IF(COUNTIF($A$2:A597,A597)=1,1,0)</f>
        <v/>
      </c>
      <c r="L597">
        <f>IF(K597=1,IF(COUNTIFS($B$2:B597,B597,$I$2:I597,I597,$K$2:K597,1)=1,1,0),0)</f>
        <v/>
      </c>
      <c r="M597">
        <f>IF(Tree!$C$4="once per order",F597*K597,F597)</f>
        <v/>
      </c>
      <c r="N597">
        <f>IF(Tree!$C$4="once per order",K597,1)</f>
        <v/>
      </c>
      <c r="O597">
        <f>IF(Tree!$C$4="once per order",L597,1)</f>
        <v/>
      </c>
    </row>
    <row r="598">
      <c r="A598" t="inlineStr">
        <is>
          <t>KR-00385</t>
        </is>
      </c>
      <c r="B598" t="inlineStr">
        <is>
          <t>C-0091</t>
        </is>
      </c>
      <c r="C598" t="inlineStr">
        <is>
          <t>Retail-Core</t>
        </is>
      </c>
      <c r="D598" t="inlineStr">
        <is>
          <t>app</t>
        </is>
      </c>
      <c r="E598" s="7" t="n">
        <v>46139</v>
      </c>
      <c r="F598" t="n">
        <v>2000</v>
      </c>
      <c r="G598" t="n">
        <v>2000</v>
      </c>
      <c r="H598" t="inlineStr">
        <is>
          <t>2026-04-28</t>
        </is>
      </c>
      <c r="I598">
        <f>IF(MONTH(E598)&lt;=6,"Q1","Q2")</f>
        <v/>
      </c>
      <c r="J598">
        <f>YEAR(E598)*100+MONTH(E598)</f>
        <v/>
      </c>
      <c r="K598">
        <f>IF(COUNTIF($A$2:A598,A598)=1,1,0)</f>
        <v/>
      </c>
      <c r="L598">
        <f>IF(K598=1,IF(COUNTIFS($B$2:B598,B598,$I$2:I598,I598,$K$2:K598,1)=1,1,0),0)</f>
        <v/>
      </c>
      <c r="M598">
        <f>IF(Tree!$C$4="once per order",F598*K598,F598)</f>
        <v/>
      </c>
      <c r="N598">
        <f>IF(Tree!$C$4="once per order",K598,1)</f>
        <v/>
      </c>
      <c r="O598">
        <f>IF(Tree!$C$4="once per order",L598,1)</f>
        <v/>
      </c>
    </row>
    <row r="599">
      <c r="A599" t="inlineStr">
        <is>
          <t>KR-00386</t>
        </is>
      </c>
      <c r="B599" t="inlineStr">
        <is>
          <t>C-0054</t>
        </is>
      </c>
      <c r="C599" t="inlineStr">
        <is>
          <t>Retail-Core</t>
        </is>
      </c>
      <c r="D599" t="inlineStr">
        <is>
          <t>app</t>
        </is>
      </c>
      <c r="E599" s="7" t="n">
        <v>46159</v>
      </c>
      <c r="F599" t="n">
        <v>1980</v>
      </c>
      <c r="G599" t="n">
        <v>1980</v>
      </c>
      <c r="H599" t="inlineStr">
        <is>
          <t>2026-05-19</t>
        </is>
      </c>
      <c r="I599">
        <f>IF(MONTH(E599)&lt;=6,"Q1","Q2")</f>
        <v/>
      </c>
      <c r="J599">
        <f>YEAR(E599)*100+MONTH(E599)</f>
        <v/>
      </c>
      <c r="K599">
        <f>IF(COUNTIF($A$2:A599,A599)=1,1,0)</f>
        <v/>
      </c>
      <c r="L599">
        <f>IF(K599=1,IF(COUNTIFS($B$2:B599,B599,$I$2:I599,I599,$K$2:K599,1)=1,1,0),0)</f>
        <v/>
      </c>
      <c r="M599">
        <f>IF(Tree!$C$4="once per order",F599*K599,F599)</f>
        <v/>
      </c>
      <c r="N599">
        <f>IF(Tree!$C$4="once per order",K599,1)</f>
        <v/>
      </c>
      <c r="O599">
        <f>IF(Tree!$C$4="once per order",L599,1)</f>
        <v/>
      </c>
    </row>
    <row r="600">
      <c r="A600" t="inlineStr">
        <is>
          <t>KR-00387</t>
        </is>
      </c>
      <c r="B600" t="inlineStr">
        <is>
          <t>C-0021</t>
        </is>
      </c>
      <c r="C600" t="inlineStr">
        <is>
          <t>Retail-Core</t>
        </is>
      </c>
      <c r="D600" t="inlineStr">
        <is>
          <t>app</t>
        </is>
      </c>
      <c r="E600" s="7" t="n">
        <v>46195</v>
      </c>
      <c r="F600" t="n">
        <v>970</v>
      </c>
      <c r="G600" t="n">
        <v>970</v>
      </c>
      <c r="H600" t="inlineStr">
        <is>
          <t>2026-06-24</t>
        </is>
      </c>
      <c r="I600">
        <f>IF(MONTH(E600)&lt;=6,"Q1","Q2")</f>
        <v/>
      </c>
      <c r="J600">
        <f>YEAR(E600)*100+MONTH(E600)</f>
        <v/>
      </c>
      <c r="K600">
        <f>IF(COUNTIF($A$2:A600,A600)=1,1,0)</f>
        <v/>
      </c>
      <c r="L600">
        <f>IF(K600=1,IF(COUNTIFS($B$2:B600,B600,$I$2:I600,I600,$K$2:K600,1)=1,1,0),0)</f>
        <v/>
      </c>
      <c r="M600">
        <f>IF(Tree!$C$4="once per order",F600*K600,F600)</f>
        <v/>
      </c>
      <c r="N600">
        <f>IF(Tree!$C$4="once per order",K600,1)</f>
        <v/>
      </c>
      <c r="O600">
        <f>IF(Tree!$C$4="once per order",L600,1)</f>
        <v/>
      </c>
    </row>
    <row r="601">
      <c r="A601" t="inlineStr">
        <is>
          <t>KR-00388</t>
        </is>
      </c>
      <c r="B601" t="inlineStr">
        <is>
          <t>C-0148</t>
        </is>
      </c>
      <c r="C601" t="inlineStr">
        <is>
          <t>Retail-Core</t>
        </is>
      </c>
      <c r="D601" t="inlineStr">
        <is>
          <t>store</t>
        </is>
      </c>
      <c r="E601" s="7" t="n">
        <v>46120</v>
      </c>
      <c r="F601" t="n">
        <v>1340</v>
      </c>
      <c r="G601" t="n">
        <v>1340</v>
      </c>
      <c r="H601" t="inlineStr">
        <is>
          <t>2026-04-10</t>
        </is>
      </c>
      <c r="I601">
        <f>IF(MONTH(E601)&lt;=6,"Q1","Q2")</f>
        <v/>
      </c>
      <c r="J601">
        <f>YEAR(E601)*100+MONTH(E601)</f>
        <v/>
      </c>
      <c r="K601">
        <f>IF(COUNTIF($A$2:A601,A601)=1,1,0)</f>
        <v/>
      </c>
      <c r="L601">
        <f>IF(K601=1,IF(COUNTIFS($B$2:B601,B601,$I$2:I601,I601,$K$2:K601,1)=1,1,0),0)</f>
        <v/>
      </c>
      <c r="M601">
        <f>IF(Tree!$C$4="once per order",F601*K601,F601)</f>
        <v/>
      </c>
      <c r="N601">
        <f>IF(Tree!$C$4="once per order",K601,1)</f>
        <v/>
      </c>
      <c r="O601">
        <f>IF(Tree!$C$4="once per order",L601,1)</f>
        <v/>
      </c>
    </row>
    <row r="602">
      <c r="A602" t="inlineStr">
        <is>
          <t>KR-00389</t>
        </is>
      </c>
      <c r="B602" t="inlineStr">
        <is>
          <t>C-0034</t>
        </is>
      </c>
      <c r="C602" t="inlineStr">
        <is>
          <t>Retail-Core</t>
        </is>
      </c>
      <c r="D602" t="inlineStr">
        <is>
          <t>web</t>
        </is>
      </c>
      <c r="E602" s="7" t="n">
        <v>46166</v>
      </c>
      <c r="F602" t="n">
        <v>2690</v>
      </c>
      <c r="G602" t="n">
        <v>2690</v>
      </c>
      <c r="H602" t="inlineStr">
        <is>
          <t>2026-05-26</t>
        </is>
      </c>
      <c r="I602">
        <f>IF(MONTH(E602)&lt;=6,"Q1","Q2")</f>
        <v/>
      </c>
      <c r="J602">
        <f>YEAR(E602)*100+MONTH(E602)</f>
        <v/>
      </c>
      <c r="K602">
        <f>IF(COUNTIF($A$2:A602,A602)=1,1,0)</f>
        <v/>
      </c>
      <c r="L602">
        <f>IF(K602=1,IF(COUNTIFS($B$2:B602,B602,$I$2:I602,I602,$K$2:K602,1)=1,1,0),0)</f>
        <v/>
      </c>
      <c r="M602">
        <f>IF(Tree!$C$4="once per order",F602*K602,F602)</f>
        <v/>
      </c>
      <c r="N602">
        <f>IF(Tree!$C$4="once per order",K602,1)</f>
        <v/>
      </c>
      <c r="O602">
        <f>IF(Tree!$C$4="once per order",L602,1)</f>
        <v/>
      </c>
    </row>
    <row r="603">
      <c r="A603" t="inlineStr">
        <is>
          <t>KR-00390</t>
        </is>
      </c>
      <c r="B603" t="inlineStr">
        <is>
          <t>C-0049</t>
        </is>
      </c>
      <c r="C603" t="inlineStr">
        <is>
          <t>Retail-Core</t>
        </is>
      </c>
      <c r="D603" t="inlineStr">
        <is>
          <t>app</t>
        </is>
      </c>
      <c r="E603" s="7" t="n">
        <v>46191</v>
      </c>
      <c r="F603" t="n">
        <v>2090</v>
      </c>
      <c r="G603" t="n">
        <v>2090</v>
      </c>
      <c r="H603" t="inlineStr">
        <is>
          <t>2026-06-20</t>
        </is>
      </c>
      <c r="I603">
        <f>IF(MONTH(E603)&lt;=6,"Q1","Q2")</f>
        <v/>
      </c>
      <c r="J603">
        <f>YEAR(E603)*100+MONTH(E603)</f>
        <v/>
      </c>
      <c r="K603">
        <f>IF(COUNTIF($A$2:A603,A603)=1,1,0)</f>
        <v/>
      </c>
      <c r="L603">
        <f>IF(K603=1,IF(COUNTIFS($B$2:B603,B603,$I$2:I603,I603,$K$2:K603,1)=1,1,0),0)</f>
        <v/>
      </c>
      <c r="M603">
        <f>IF(Tree!$C$4="once per order",F603*K603,F603)</f>
        <v/>
      </c>
      <c r="N603">
        <f>IF(Tree!$C$4="once per order",K603,1)</f>
        <v/>
      </c>
      <c r="O603">
        <f>IF(Tree!$C$4="once per order",L603,1)</f>
        <v/>
      </c>
    </row>
    <row r="604">
      <c r="A604" t="inlineStr">
        <is>
          <t>KR-00391</t>
        </is>
      </c>
      <c r="B604" t="inlineStr">
        <is>
          <t>C-0028</t>
        </is>
      </c>
      <c r="C604" t="inlineStr">
        <is>
          <t>Retail-Core</t>
        </is>
      </c>
      <c r="D604" t="inlineStr">
        <is>
          <t>web</t>
        </is>
      </c>
      <c r="E604" s="7" t="n">
        <v>46113</v>
      </c>
      <c r="F604" t="n">
        <v>1130</v>
      </c>
      <c r="G604" t="n">
        <v>1130</v>
      </c>
      <c r="H604" t="inlineStr">
        <is>
          <t>2026-04-03</t>
        </is>
      </c>
      <c r="I604">
        <f>IF(MONTH(E604)&lt;=6,"Q1","Q2")</f>
        <v/>
      </c>
      <c r="J604">
        <f>YEAR(E604)*100+MONTH(E604)</f>
        <v/>
      </c>
      <c r="K604">
        <f>IF(COUNTIF($A$2:A604,A604)=1,1,0)</f>
        <v/>
      </c>
      <c r="L604">
        <f>IF(K604=1,IF(COUNTIFS($B$2:B604,B604,$I$2:I604,I604,$K$2:K604,1)=1,1,0),0)</f>
        <v/>
      </c>
      <c r="M604">
        <f>IF(Tree!$C$4="once per order",F604*K604,F604)</f>
        <v/>
      </c>
      <c r="N604">
        <f>IF(Tree!$C$4="once per order",K604,1)</f>
        <v/>
      </c>
      <c r="O604">
        <f>IF(Tree!$C$4="once per order",L604,1)</f>
        <v/>
      </c>
    </row>
    <row r="605">
      <c r="A605" t="inlineStr">
        <is>
          <t>KR-00392</t>
        </is>
      </c>
      <c r="B605" t="inlineStr">
        <is>
          <t>C-0112</t>
        </is>
      </c>
      <c r="C605" t="inlineStr">
        <is>
          <t>Retail-Core</t>
        </is>
      </c>
      <c r="D605" t="inlineStr">
        <is>
          <t>app</t>
        </is>
      </c>
      <c r="E605" s="7" t="n">
        <v>46146</v>
      </c>
      <c r="F605" t="n">
        <v>990</v>
      </c>
      <c r="G605" t="n">
        <v>990</v>
      </c>
      <c r="H605" t="inlineStr">
        <is>
          <t>2026-05-06</t>
        </is>
      </c>
      <c r="I605">
        <f>IF(MONTH(E605)&lt;=6,"Q1","Q2")</f>
        <v/>
      </c>
      <c r="J605">
        <f>YEAR(E605)*100+MONTH(E605)</f>
        <v/>
      </c>
      <c r="K605">
        <f>IF(COUNTIF($A$2:A605,A605)=1,1,0)</f>
        <v/>
      </c>
      <c r="L605">
        <f>IF(K605=1,IF(COUNTIFS($B$2:B605,B605,$I$2:I605,I605,$K$2:K605,1)=1,1,0),0)</f>
        <v/>
      </c>
      <c r="M605">
        <f>IF(Tree!$C$4="once per order",F605*K605,F605)</f>
        <v/>
      </c>
      <c r="N605">
        <f>IF(Tree!$C$4="once per order",K605,1)</f>
        <v/>
      </c>
      <c r="O605">
        <f>IF(Tree!$C$4="once per order",L605,1)</f>
        <v/>
      </c>
    </row>
    <row r="606">
      <c r="A606" t="inlineStr">
        <is>
          <t>KR-00393</t>
        </is>
      </c>
      <c r="B606" t="inlineStr">
        <is>
          <t>C-0011</t>
        </is>
      </c>
      <c r="C606" t="inlineStr">
        <is>
          <t>Retail-Core</t>
        </is>
      </c>
      <c r="D606" t="inlineStr">
        <is>
          <t>store</t>
        </is>
      </c>
      <c r="E606" s="7" t="n">
        <v>46178</v>
      </c>
      <c r="F606" t="n">
        <v>2090</v>
      </c>
      <c r="G606" t="n">
        <v>2090</v>
      </c>
      <c r="H606" t="inlineStr">
        <is>
          <t>2026-06-07</t>
        </is>
      </c>
      <c r="I606">
        <f>IF(MONTH(E606)&lt;=6,"Q1","Q2")</f>
        <v/>
      </c>
      <c r="J606">
        <f>YEAR(E606)*100+MONTH(E606)</f>
        <v/>
      </c>
      <c r="K606">
        <f>IF(COUNTIF($A$2:A606,A606)=1,1,0)</f>
        <v/>
      </c>
      <c r="L606">
        <f>IF(K606=1,IF(COUNTIFS($B$2:B606,B606,$I$2:I606,I606,$K$2:K606,1)=1,1,0),0)</f>
        <v/>
      </c>
      <c r="M606">
        <f>IF(Tree!$C$4="once per order",F606*K606,F606)</f>
        <v/>
      </c>
      <c r="N606">
        <f>IF(Tree!$C$4="once per order",K606,1)</f>
        <v/>
      </c>
      <c r="O606">
        <f>IF(Tree!$C$4="once per order",L606,1)</f>
        <v/>
      </c>
    </row>
    <row r="607">
      <c r="A607" t="inlineStr">
        <is>
          <t>KR-00394</t>
        </is>
      </c>
      <c r="B607" t="inlineStr">
        <is>
          <t>C-0033</t>
        </is>
      </c>
      <c r="C607" t="inlineStr">
        <is>
          <t>Retail-Core</t>
        </is>
      </c>
      <c r="D607" t="inlineStr">
        <is>
          <t>web</t>
        </is>
      </c>
      <c r="E607" s="7" t="n">
        <v>46131</v>
      </c>
      <c r="F607" t="n">
        <v>1690</v>
      </c>
      <c r="G607" t="n">
        <v>1690</v>
      </c>
      <c r="H607" t="inlineStr">
        <is>
          <t>2026-04-21</t>
        </is>
      </c>
      <c r="I607">
        <f>IF(MONTH(E607)&lt;=6,"Q1","Q2")</f>
        <v/>
      </c>
      <c r="J607">
        <f>YEAR(E607)*100+MONTH(E607)</f>
        <v/>
      </c>
      <c r="K607">
        <f>IF(COUNTIF($A$2:A607,A607)=1,1,0)</f>
        <v/>
      </c>
      <c r="L607">
        <f>IF(K607=1,IF(COUNTIFS($B$2:B607,B607,$I$2:I607,I607,$K$2:K607,1)=1,1,0),0)</f>
        <v/>
      </c>
      <c r="M607">
        <f>IF(Tree!$C$4="once per order",F607*K607,F607)</f>
        <v/>
      </c>
      <c r="N607">
        <f>IF(Tree!$C$4="once per order",K607,1)</f>
        <v/>
      </c>
      <c r="O607">
        <f>IF(Tree!$C$4="once per order",L607,1)</f>
        <v/>
      </c>
    </row>
    <row r="608">
      <c r="A608" t="inlineStr">
        <is>
          <t>KR-00395</t>
        </is>
      </c>
      <c r="B608" t="inlineStr">
        <is>
          <t>C-0013</t>
        </is>
      </c>
      <c r="C608" t="inlineStr">
        <is>
          <t>Retail-Core</t>
        </is>
      </c>
      <c r="D608" t="inlineStr">
        <is>
          <t>store</t>
        </is>
      </c>
      <c r="E608" s="7" t="n">
        <v>46154</v>
      </c>
      <c r="F608" t="n">
        <v>2920</v>
      </c>
      <c r="G608" t="n">
        <v>1752</v>
      </c>
      <c r="H608" t="inlineStr">
        <is>
          <t>2026-05-14</t>
        </is>
      </c>
      <c r="I608">
        <f>IF(MONTH(E608)&lt;=6,"Q1","Q2")</f>
        <v/>
      </c>
      <c r="J608">
        <f>YEAR(E608)*100+MONTH(E608)</f>
        <v/>
      </c>
      <c r="K608">
        <f>IF(COUNTIF($A$2:A608,A608)=1,1,0)</f>
        <v/>
      </c>
      <c r="L608">
        <f>IF(K608=1,IF(COUNTIFS($B$2:B608,B608,$I$2:I608,I608,$K$2:K608,1)=1,1,0),0)</f>
        <v/>
      </c>
      <c r="M608">
        <f>IF(Tree!$C$4="once per order",F608*K608,F608)</f>
        <v/>
      </c>
      <c r="N608">
        <f>IF(Tree!$C$4="once per order",K608,1)</f>
        <v/>
      </c>
      <c r="O608">
        <f>IF(Tree!$C$4="once per order",L608,1)</f>
        <v/>
      </c>
    </row>
    <row r="609">
      <c r="A609" t="inlineStr">
        <is>
          <t>KR-00395</t>
        </is>
      </c>
      <c r="B609" t="inlineStr">
        <is>
          <t>C-0013</t>
        </is>
      </c>
      <c r="C609" t="inlineStr">
        <is>
          <t>Retail-Core</t>
        </is>
      </c>
      <c r="D609" t="inlineStr">
        <is>
          <t>store</t>
        </is>
      </c>
      <c r="E609" s="7" t="n">
        <v>46154</v>
      </c>
      <c r="F609" t="n">
        <v>2920</v>
      </c>
      <c r="G609" t="n">
        <v>1168</v>
      </c>
      <c r="H609" t="inlineStr">
        <is>
          <t>2026-05-14</t>
        </is>
      </c>
      <c r="I609">
        <f>IF(MONTH(E609)&lt;=6,"Q1","Q2")</f>
        <v/>
      </c>
      <c r="J609">
        <f>YEAR(E609)*100+MONTH(E609)</f>
        <v/>
      </c>
      <c r="K609">
        <f>IF(COUNTIF($A$2:A609,A609)=1,1,0)</f>
        <v/>
      </c>
      <c r="L609">
        <f>IF(K609=1,IF(COUNTIFS($B$2:B609,B609,$I$2:I609,I609,$K$2:K609,1)=1,1,0),0)</f>
        <v/>
      </c>
      <c r="M609">
        <f>IF(Tree!$C$4="once per order",F609*K609,F609)</f>
        <v/>
      </c>
      <c r="N609">
        <f>IF(Tree!$C$4="once per order",K609,1)</f>
        <v/>
      </c>
      <c r="O609">
        <f>IF(Tree!$C$4="once per order",L609,1)</f>
        <v/>
      </c>
    </row>
    <row r="610">
      <c r="A610" t="inlineStr">
        <is>
          <t>KR-00396</t>
        </is>
      </c>
      <c r="B610" t="inlineStr">
        <is>
          <t>C-0010</t>
        </is>
      </c>
      <c r="C610" t="inlineStr">
        <is>
          <t>Retail-Core</t>
        </is>
      </c>
      <c r="D610" t="inlineStr">
        <is>
          <t>web</t>
        </is>
      </c>
      <c r="E610" s="7" t="n">
        <v>46181</v>
      </c>
      <c r="F610" t="n">
        <v>1990</v>
      </c>
      <c r="G610" t="n">
        <v>1990</v>
      </c>
      <c r="H610" t="inlineStr">
        <is>
          <t>2026-06-10</t>
        </is>
      </c>
      <c r="I610">
        <f>IF(MONTH(E610)&lt;=6,"Q1","Q2")</f>
        <v/>
      </c>
      <c r="J610">
        <f>YEAR(E610)*100+MONTH(E610)</f>
        <v/>
      </c>
      <c r="K610">
        <f>IF(COUNTIF($A$2:A610,A610)=1,1,0)</f>
        <v/>
      </c>
      <c r="L610">
        <f>IF(K610=1,IF(COUNTIFS($B$2:B610,B610,$I$2:I610,I610,$K$2:K610,1)=1,1,0),0)</f>
        <v/>
      </c>
      <c r="M610">
        <f>IF(Tree!$C$4="once per order",F610*K610,F610)</f>
        <v/>
      </c>
      <c r="N610">
        <f>IF(Tree!$C$4="once per order",K610,1)</f>
        <v/>
      </c>
      <c r="O610">
        <f>IF(Tree!$C$4="once per order",L610,1)</f>
        <v/>
      </c>
    </row>
    <row r="611">
      <c r="A611" t="inlineStr">
        <is>
          <t>KR-00397</t>
        </is>
      </c>
      <c r="B611" t="inlineStr">
        <is>
          <t>C-0040</t>
        </is>
      </c>
      <c r="C611" t="inlineStr">
        <is>
          <t>Retail-Core</t>
        </is>
      </c>
      <c r="D611" t="inlineStr">
        <is>
          <t>web</t>
        </is>
      </c>
      <c r="E611" s="7" t="n">
        <v>46132</v>
      </c>
      <c r="F611" t="n">
        <v>2510</v>
      </c>
      <c r="G611" t="n">
        <v>2510</v>
      </c>
      <c r="H611" t="inlineStr">
        <is>
          <t>2026-04-22</t>
        </is>
      </c>
      <c r="I611">
        <f>IF(MONTH(E611)&lt;=6,"Q1","Q2")</f>
        <v/>
      </c>
      <c r="J611">
        <f>YEAR(E611)*100+MONTH(E611)</f>
        <v/>
      </c>
      <c r="K611">
        <f>IF(COUNTIF($A$2:A611,A611)=1,1,0)</f>
        <v/>
      </c>
      <c r="L611">
        <f>IF(K611=1,IF(COUNTIFS($B$2:B611,B611,$I$2:I611,I611,$K$2:K611,1)=1,1,0),0)</f>
        <v/>
      </c>
      <c r="M611">
        <f>IF(Tree!$C$4="once per order",F611*K611,F611)</f>
        <v/>
      </c>
      <c r="N611">
        <f>IF(Tree!$C$4="once per order",K611,1)</f>
        <v/>
      </c>
      <c r="O611">
        <f>IF(Tree!$C$4="once per order",L611,1)</f>
        <v/>
      </c>
    </row>
    <row r="612">
      <c r="A612" t="inlineStr">
        <is>
          <t>KR-00398</t>
        </is>
      </c>
      <c r="B612" t="inlineStr">
        <is>
          <t>C-0026</t>
        </is>
      </c>
      <c r="C612" t="inlineStr">
        <is>
          <t>Retail-Core</t>
        </is>
      </c>
      <c r="D612" t="inlineStr">
        <is>
          <t>app</t>
        </is>
      </c>
      <c r="E612" s="7" t="n">
        <v>46170</v>
      </c>
      <c r="F612" t="n">
        <v>2690</v>
      </c>
      <c r="G612" t="n">
        <v>2690</v>
      </c>
      <c r="H612" t="inlineStr">
        <is>
          <t>2026-05-28</t>
        </is>
      </c>
      <c r="I612">
        <f>IF(MONTH(E612)&lt;=6,"Q1","Q2")</f>
        <v/>
      </c>
      <c r="J612">
        <f>YEAR(E612)*100+MONTH(E612)</f>
        <v/>
      </c>
      <c r="K612">
        <f>IF(COUNTIF($A$2:A612,A612)=1,1,0)</f>
        <v/>
      </c>
      <c r="L612">
        <f>IF(K612=1,IF(COUNTIFS($B$2:B612,B612,$I$2:I612,I612,$K$2:K612,1)=1,1,0),0)</f>
        <v/>
      </c>
      <c r="M612">
        <f>IF(Tree!$C$4="once per order",F612*K612,F612)</f>
        <v/>
      </c>
      <c r="N612">
        <f>IF(Tree!$C$4="once per order",K612,1)</f>
        <v/>
      </c>
      <c r="O612">
        <f>IF(Tree!$C$4="once per order",L612,1)</f>
        <v/>
      </c>
    </row>
    <row r="613">
      <c r="A613" t="inlineStr">
        <is>
          <t>KR-00399</t>
        </is>
      </c>
      <c r="B613" t="inlineStr">
        <is>
          <t>C-0031</t>
        </is>
      </c>
      <c r="C613" t="inlineStr">
        <is>
          <t>Retail-Core</t>
        </is>
      </c>
      <c r="D613" t="inlineStr">
        <is>
          <t>app</t>
        </is>
      </c>
      <c r="E613" s="7" t="n">
        <v>46198</v>
      </c>
      <c r="F613" t="n">
        <v>1470</v>
      </c>
      <c r="G613" t="n">
        <v>1470</v>
      </c>
      <c r="H613" t="inlineStr">
        <is>
          <t>2026-06-27</t>
        </is>
      </c>
      <c r="I613">
        <f>IF(MONTH(E613)&lt;=6,"Q1","Q2")</f>
        <v/>
      </c>
      <c r="J613">
        <f>YEAR(E613)*100+MONTH(E613)</f>
        <v/>
      </c>
      <c r="K613">
        <f>IF(COUNTIF($A$2:A613,A613)=1,1,0)</f>
        <v/>
      </c>
      <c r="L613">
        <f>IF(K613=1,IF(COUNTIFS($B$2:B613,B613,$I$2:I613,I613,$K$2:K613,1)=1,1,0),0)</f>
        <v/>
      </c>
      <c r="M613">
        <f>IF(Tree!$C$4="once per order",F613*K613,F613)</f>
        <v/>
      </c>
      <c r="N613">
        <f>IF(Tree!$C$4="once per order",K613,1)</f>
        <v/>
      </c>
      <c r="O613">
        <f>IF(Tree!$C$4="once per order",L613,1)</f>
        <v/>
      </c>
    </row>
    <row r="614">
      <c r="A614" t="inlineStr">
        <is>
          <t>KR-00400</t>
        </is>
      </c>
      <c r="B614" t="inlineStr">
        <is>
          <t>C-0046</t>
        </is>
      </c>
      <c r="C614" t="inlineStr">
        <is>
          <t>Retail-Core</t>
        </is>
      </c>
      <c r="D614" t="inlineStr">
        <is>
          <t>app</t>
        </is>
      </c>
      <c r="E614" s="7" t="n">
        <v>46122</v>
      </c>
      <c r="F614" t="n">
        <v>1090</v>
      </c>
      <c r="G614" t="n">
        <v>1090</v>
      </c>
      <c r="H614" t="inlineStr">
        <is>
          <t>2026-04-12</t>
        </is>
      </c>
      <c r="I614">
        <f>IF(MONTH(E614)&lt;=6,"Q1","Q2")</f>
        <v/>
      </c>
      <c r="J614">
        <f>YEAR(E614)*100+MONTH(E614)</f>
        <v/>
      </c>
      <c r="K614">
        <f>IF(COUNTIF($A$2:A614,A614)=1,1,0)</f>
        <v/>
      </c>
      <c r="L614">
        <f>IF(K614=1,IF(COUNTIFS($B$2:B614,B614,$I$2:I614,I614,$K$2:K614,1)=1,1,0),0)</f>
        <v/>
      </c>
      <c r="M614">
        <f>IF(Tree!$C$4="once per order",F614*K614,F614)</f>
        <v/>
      </c>
      <c r="N614">
        <f>IF(Tree!$C$4="once per order",K614,1)</f>
        <v/>
      </c>
      <c r="O614">
        <f>IF(Tree!$C$4="once per order",L614,1)</f>
        <v/>
      </c>
    </row>
    <row r="615">
      <c r="A615" t="inlineStr">
        <is>
          <t>KR-00401</t>
        </is>
      </c>
      <c r="B615" t="inlineStr">
        <is>
          <t>C-0044</t>
        </is>
      </c>
      <c r="C615" t="inlineStr">
        <is>
          <t>Retail-Core</t>
        </is>
      </c>
      <c r="D615" t="inlineStr">
        <is>
          <t>web</t>
        </is>
      </c>
      <c r="E615" s="7" t="n">
        <v>46151</v>
      </c>
      <c r="F615" t="n">
        <v>1340</v>
      </c>
      <c r="G615" t="n">
        <v>1340</v>
      </c>
      <c r="H615" t="inlineStr">
        <is>
          <t>2026-05-11</t>
        </is>
      </c>
      <c r="I615">
        <f>IF(MONTH(E615)&lt;=6,"Q1","Q2")</f>
        <v/>
      </c>
      <c r="J615">
        <f>YEAR(E615)*100+MONTH(E615)</f>
        <v/>
      </c>
      <c r="K615">
        <f>IF(COUNTIF($A$2:A615,A615)=1,1,0)</f>
        <v/>
      </c>
      <c r="L615">
        <f>IF(K615=1,IF(COUNTIFS($B$2:B615,B615,$I$2:I615,I615,$K$2:K615,1)=1,1,0),0)</f>
        <v/>
      </c>
      <c r="M615">
        <f>IF(Tree!$C$4="once per order",F615*K615,F615)</f>
        <v/>
      </c>
      <c r="N615">
        <f>IF(Tree!$C$4="once per order",K615,1)</f>
        <v/>
      </c>
      <c r="O615">
        <f>IF(Tree!$C$4="once per order",L615,1)</f>
        <v/>
      </c>
    </row>
    <row r="616">
      <c r="A616" t="inlineStr">
        <is>
          <t>KR-00402</t>
        </is>
      </c>
      <c r="B616" t="inlineStr">
        <is>
          <t>C-0011</t>
        </is>
      </c>
      <c r="C616" t="inlineStr">
        <is>
          <t>Retail-Core</t>
        </is>
      </c>
      <c r="D616" t="inlineStr">
        <is>
          <t>app</t>
        </is>
      </c>
      <c r="E616" s="7" t="n">
        <v>46187</v>
      </c>
      <c r="F616" t="n">
        <v>2950</v>
      </c>
      <c r="G616" t="n">
        <v>1770</v>
      </c>
      <c r="H616" t="inlineStr">
        <is>
          <t>2026-06-16</t>
        </is>
      </c>
      <c r="I616">
        <f>IF(MONTH(E616)&lt;=6,"Q1","Q2")</f>
        <v/>
      </c>
      <c r="J616">
        <f>YEAR(E616)*100+MONTH(E616)</f>
        <v/>
      </c>
      <c r="K616">
        <f>IF(COUNTIF($A$2:A616,A616)=1,1,0)</f>
        <v/>
      </c>
      <c r="L616">
        <f>IF(K616=1,IF(COUNTIFS($B$2:B616,B616,$I$2:I616,I616,$K$2:K616,1)=1,1,0),0)</f>
        <v/>
      </c>
      <c r="M616">
        <f>IF(Tree!$C$4="once per order",F616*K616,F616)</f>
        <v/>
      </c>
      <c r="N616">
        <f>IF(Tree!$C$4="once per order",K616,1)</f>
        <v/>
      </c>
      <c r="O616">
        <f>IF(Tree!$C$4="once per order",L616,1)</f>
        <v/>
      </c>
    </row>
    <row r="617">
      <c r="A617" t="inlineStr">
        <is>
          <t>KR-00402</t>
        </is>
      </c>
      <c r="B617" t="inlineStr">
        <is>
          <t>C-0011</t>
        </is>
      </c>
      <c r="C617" t="inlineStr">
        <is>
          <t>Retail-Core</t>
        </is>
      </c>
      <c r="D617" t="inlineStr">
        <is>
          <t>app</t>
        </is>
      </c>
      <c r="E617" s="7" t="n">
        <v>46187</v>
      </c>
      <c r="F617" t="n">
        <v>2950</v>
      </c>
      <c r="G617" t="n">
        <v>1180</v>
      </c>
      <c r="H617" t="inlineStr">
        <is>
          <t>2026-06-16</t>
        </is>
      </c>
      <c r="I617">
        <f>IF(MONTH(E617)&lt;=6,"Q1","Q2")</f>
        <v/>
      </c>
      <c r="J617">
        <f>YEAR(E617)*100+MONTH(E617)</f>
        <v/>
      </c>
      <c r="K617">
        <f>IF(COUNTIF($A$2:A617,A617)=1,1,0)</f>
        <v/>
      </c>
      <c r="L617">
        <f>IF(K617=1,IF(COUNTIFS($B$2:B617,B617,$I$2:I617,I617,$K$2:K617,1)=1,1,0),0)</f>
        <v/>
      </c>
      <c r="M617">
        <f>IF(Tree!$C$4="once per order",F617*K617,F617)</f>
        <v/>
      </c>
      <c r="N617">
        <f>IF(Tree!$C$4="once per order",K617,1)</f>
        <v/>
      </c>
      <c r="O617">
        <f>IF(Tree!$C$4="once per order",L617,1)</f>
        <v/>
      </c>
    </row>
    <row r="618">
      <c r="A618" t="inlineStr">
        <is>
          <t>KR-00403</t>
        </is>
      </c>
      <c r="B618" t="inlineStr">
        <is>
          <t>C-0124</t>
        </is>
      </c>
      <c r="C618" t="inlineStr">
        <is>
          <t>Retail-Core</t>
        </is>
      </c>
      <c r="D618" t="inlineStr">
        <is>
          <t>web</t>
        </is>
      </c>
      <c r="E618" s="7" t="n">
        <v>46139</v>
      </c>
      <c r="F618" t="n">
        <v>2460</v>
      </c>
      <c r="G618" t="n">
        <v>2460</v>
      </c>
      <c r="H618" t="inlineStr">
        <is>
          <t>2026-04-28</t>
        </is>
      </c>
      <c r="I618">
        <f>IF(MONTH(E618)&lt;=6,"Q1","Q2")</f>
        <v/>
      </c>
      <c r="J618">
        <f>YEAR(E618)*100+MONTH(E618)</f>
        <v/>
      </c>
      <c r="K618">
        <f>IF(COUNTIF($A$2:A618,A618)=1,1,0)</f>
        <v/>
      </c>
      <c r="L618">
        <f>IF(K618=1,IF(COUNTIFS($B$2:B618,B618,$I$2:I618,I618,$K$2:K618,1)=1,1,0),0)</f>
        <v/>
      </c>
      <c r="M618">
        <f>IF(Tree!$C$4="once per order",F618*K618,F618)</f>
        <v/>
      </c>
      <c r="N618">
        <f>IF(Tree!$C$4="once per order",K618,1)</f>
        <v/>
      </c>
      <c r="O618">
        <f>IF(Tree!$C$4="once per order",L618,1)</f>
        <v/>
      </c>
    </row>
    <row r="619">
      <c r="A619" t="inlineStr">
        <is>
          <t>KR-00404</t>
        </is>
      </c>
      <c r="B619" t="inlineStr">
        <is>
          <t>C-0037</t>
        </is>
      </c>
      <c r="C619" t="inlineStr">
        <is>
          <t>Retail-Core</t>
        </is>
      </c>
      <c r="D619" t="inlineStr">
        <is>
          <t>app</t>
        </is>
      </c>
      <c r="E619" s="7" t="n">
        <v>46150</v>
      </c>
      <c r="F619" t="n">
        <v>2880</v>
      </c>
      <c r="G619" t="n">
        <v>1728</v>
      </c>
      <c r="H619" t="inlineStr">
        <is>
          <t>2026-05-10</t>
        </is>
      </c>
      <c r="I619">
        <f>IF(MONTH(E619)&lt;=6,"Q1","Q2")</f>
        <v/>
      </c>
      <c r="J619">
        <f>YEAR(E619)*100+MONTH(E619)</f>
        <v/>
      </c>
      <c r="K619">
        <f>IF(COUNTIF($A$2:A619,A619)=1,1,0)</f>
        <v/>
      </c>
      <c r="L619">
        <f>IF(K619=1,IF(COUNTIFS($B$2:B619,B619,$I$2:I619,I619,$K$2:K619,1)=1,1,0),0)</f>
        <v/>
      </c>
      <c r="M619">
        <f>IF(Tree!$C$4="once per order",F619*K619,F619)</f>
        <v/>
      </c>
      <c r="N619">
        <f>IF(Tree!$C$4="once per order",K619,1)</f>
        <v/>
      </c>
      <c r="O619">
        <f>IF(Tree!$C$4="once per order",L619,1)</f>
        <v/>
      </c>
    </row>
    <row r="620">
      <c r="A620" t="inlineStr">
        <is>
          <t>KR-00404</t>
        </is>
      </c>
      <c r="B620" t="inlineStr">
        <is>
          <t>C-0037</t>
        </is>
      </c>
      <c r="C620" t="inlineStr">
        <is>
          <t>Retail-Core</t>
        </is>
      </c>
      <c r="D620" t="inlineStr">
        <is>
          <t>app</t>
        </is>
      </c>
      <c r="E620" s="7" t="n">
        <v>46150</v>
      </c>
      <c r="F620" t="n">
        <v>2880</v>
      </c>
      <c r="G620" t="n">
        <v>1152</v>
      </c>
      <c r="H620" t="inlineStr">
        <is>
          <t>2026-05-10</t>
        </is>
      </c>
      <c r="I620">
        <f>IF(MONTH(E620)&lt;=6,"Q1","Q2")</f>
        <v/>
      </c>
      <c r="J620">
        <f>YEAR(E620)*100+MONTH(E620)</f>
        <v/>
      </c>
      <c r="K620">
        <f>IF(COUNTIF($A$2:A620,A620)=1,1,0)</f>
        <v/>
      </c>
      <c r="L620">
        <f>IF(K620=1,IF(COUNTIFS($B$2:B620,B620,$I$2:I620,I620,$K$2:K620,1)=1,1,0),0)</f>
        <v/>
      </c>
      <c r="M620">
        <f>IF(Tree!$C$4="once per order",F620*K620,F620)</f>
        <v/>
      </c>
      <c r="N620">
        <f>IF(Tree!$C$4="once per order",K620,1)</f>
        <v/>
      </c>
      <c r="O620">
        <f>IF(Tree!$C$4="once per order",L620,1)</f>
        <v/>
      </c>
    </row>
    <row r="621">
      <c r="A621" t="inlineStr">
        <is>
          <t>KR-00405</t>
        </is>
      </c>
      <c r="B621" t="inlineStr">
        <is>
          <t>C-0028</t>
        </is>
      </c>
      <c r="C621" t="inlineStr">
        <is>
          <t>Retail-Core</t>
        </is>
      </c>
      <c r="D621" t="inlineStr">
        <is>
          <t>store</t>
        </is>
      </c>
      <c r="E621" s="7" t="n">
        <v>46191</v>
      </c>
      <c r="F621" t="n">
        <v>2620</v>
      </c>
      <c r="G621" t="n">
        <v>2620</v>
      </c>
      <c r="H621" t="inlineStr">
        <is>
          <t>2026-06-20</t>
        </is>
      </c>
      <c r="I621">
        <f>IF(MONTH(E621)&lt;=6,"Q1","Q2")</f>
        <v/>
      </c>
      <c r="J621">
        <f>YEAR(E621)*100+MONTH(E621)</f>
        <v/>
      </c>
      <c r="K621">
        <f>IF(COUNTIF($A$2:A621,A621)=1,1,0)</f>
        <v/>
      </c>
      <c r="L621">
        <f>IF(K621=1,IF(COUNTIFS($B$2:B621,B621,$I$2:I621,I621,$K$2:K621,1)=1,1,0),0)</f>
        <v/>
      </c>
      <c r="M621">
        <f>IF(Tree!$C$4="once per order",F621*K621,F621)</f>
        <v/>
      </c>
      <c r="N621">
        <f>IF(Tree!$C$4="once per order",K621,1)</f>
        <v/>
      </c>
      <c r="O621">
        <f>IF(Tree!$C$4="once per order",L621,1)</f>
        <v/>
      </c>
    </row>
    <row r="622">
      <c r="A622" t="inlineStr">
        <is>
          <t>KR-00406</t>
        </is>
      </c>
      <c r="B622" t="inlineStr">
        <is>
          <t>C-0044</t>
        </is>
      </c>
      <c r="C622" t="inlineStr">
        <is>
          <t>Retail-Core</t>
        </is>
      </c>
      <c r="D622" t="inlineStr">
        <is>
          <t>app</t>
        </is>
      </c>
      <c r="E622" s="7" t="n">
        <v>46127</v>
      </c>
      <c r="F622" t="n">
        <v>1970</v>
      </c>
      <c r="G622" t="n">
        <v>1970</v>
      </c>
      <c r="H622" t="inlineStr">
        <is>
          <t>2026-04-17</t>
        </is>
      </c>
      <c r="I622">
        <f>IF(MONTH(E622)&lt;=6,"Q1","Q2")</f>
        <v/>
      </c>
      <c r="J622">
        <f>YEAR(E622)*100+MONTH(E622)</f>
        <v/>
      </c>
      <c r="K622">
        <f>IF(COUNTIF($A$2:A622,A622)=1,1,0)</f>
        <v/>
      </c>
      <c r="L622">
        <f>IF(K622=1,IF(COUNTIFS($B$2:B622,B622,$I$2:I622,I622,$K$2:K622,1)=1,1,0),0)</f>
        <v/>
      </c>
      <c r="M622">
        <f>IF(Tree!$C$4="once per order",F622*K622,F622)</f>
        <v/>
      </c>
      <c r="N622">
        <f>IF(Tree!$C$4="once per order",K622,1)</f>
        <v/>
      </c>
      <c r="O622">
        <f>IF(Tree!$C$4="once per order",L622,1)</f>
        <v/>
      </c>
    </row>
    <row r="623">
      <c r="A623" t="inlineStr">
        <is>
          <t>KR-00407</t>
        </is>
      </c>
      <c r="B623" t="inlineStr">
        <is>
          <t>C-0075</t>
        </is>
      </c>
      <c r="C623" t="inlineStr">
        <is>
          <t>Retail-Core</t>
        </is>
      </c>
      <c r="D623" t="inlineStr">
        <is>
          <t>store</t>
        </is>
      </c>
      <c r="E623" s="7" t="n">
        <v>46168</v>
      </c>
      <c r="F623" t="n">
        <v>1840</v>
      </c>
      <c r="G623" t="n">
        <v>1840</v>
      </c>
      <c r="H623" t="inlineStr">
        <is>
          <t>2026-05-28</t>
        </is>
      </c>
      <c r="I623">
        <f>IF(MONTH(E623)&lt;=6,"Q1","Q2")</f>
        <v/>
      </c>
      <c r="J623">
        <f>YEAR(E623)*100+MONTH(E623)</f>
        <v/>
      </c>
      <c r="K623">
        <f>IF(COUNTIF($A$2:A623,A623)=1,1,0)</f>
        <v/>
      </c>
      <c r="L623">
        <f>IF(K623=1,IF(COUNTIFS($B$2:B623,B623,$I$2:I623,I623,$K$2:K623,1)=1,1,0),0)</f>
        <v/>
      </c>
      <c r="M623">
        <f>IF(Tree!$C$4="once per order",F623*K623,F623)</f>
        <v/>
      </c>
      <c r="N623">
        <f>IF(Tree!$C$4="once per order",K623,1)</f>
        <v/>
      </c>
      <c r="O623">
        <f>IF(Tree!$C$4="once per order",L623,1)</f>
        <v/>
      </c>
    </row>
    <row r="624">
      <c r="A624" t="inlineStr">
        <is>
          <t>KR-00408</t>
        </is>
      </c>
      <c r="B624" t="inlineStr">
        <is>
          <t>C-0038</t>
        </is>
      </c>
      <c r="C624" t="inlineStr">
        <is>
          <t>Retail-Core</t>
        </is>
      </c>
      <c r="D624" t="inlineStr">
        <is>
          <t>app</t>
        </is>
      </c>
      <c r="E624" s="7" t="n">
        <v>46183</v>
      </c>
      <c r="F624" t="n">
        <v>2430</v>
      </c>
      <c r="G624" t="n">
        <v>2430</v>
      </c>
      <c r="H624" t="inlineStr">
        <is>
          <t>2026-06-12</t>
        </is>
      </c>
      <c r="I624">
        <f>IF(MONTH(E624)&lt;=6,"Q1","Q2")</f>
        <v/>
      </c>
      <c r="J624">
        <f>YEAR(E624)*100+MONTH(E624)</f>
        <v/>
      </c>
      <c r="K624">
        <f>IF(COUNTIF($A$2:A624,A624)=1,1,0)</f>
        <v/>
      </c>
      <c r="L624">
        <f>IF(K624=1,IF(COUNTIFS($B$2:B624,B624,$I$2:I624,I624,$K$2:K624,1)=1,1,0),0)</f>
        <v/>
      </c>
      <c r="M624">
        <f>IF(Tree!$C$4="once per order",F624*K624,F624)</f>
        <v/>
      </c>
      <c r="N624">
        <f>IF(Tree!$C$4="once per order",K624,1)</f>
        <v/>
      </c>
      <c r="O624">
        <f>IF(Tree!$C$4="once per order",L624,1)</f>
        <v/>
      </c>
    </row>
    <row r="625">
      <c r="A625" t="inlineStr">
        <is>
          <t>KR-00409</t>
        </is>
      </c>
      <c r="B625" t="inlineStr">
        <is>
          <t>C-0047</t>
        </is>
      </c>
      <c r="C625" t="inlineStr">
        <is>
          <t>Retail-Core</t>
        </is>
      </c>
      <c r="D625" t="inlineStr">
        <is>
          <t>store</t>
        </is>
      </c>
      <c r="E625" s="7" t="n">
        <v>46125</v>
      </c>
      <c r="F625" t="n">
        <v>1910</v>
      </c>
      <c r="G625" t="n">
        <v>1910</v>
      </c>
      <c r="H625" t="inlineStr">
        <is>
          <t>2026-04-15</t>
        </is>
      </c>
      <c r="I625">
        <f>IF(MONTH(E625)&lt;=6,"Q1","Q2")</f>
        <v/>
      </c>
      <c r="J625">
        <f>YEAR(E625)*100+MONTH(E625)</f>
        <v/>
      </c>
      <c r="K625">
        <f>IF(COUNTIF($A$2:A625,A625)=1,1,0)</f>
        <v/>
      </c>
      <c r="L625">
        <f>IF(K625=1,IF(COUNTIFS($B$2:B625,B625,$I$2:I625,I625,$K$2:K625,1)=1,1,0),0)</f>
        <v/>
      </c>
      <c r="M625">
        <f>IF(Tree!$C$4="once per order",F625*K625,F625)</f>
        <v/>
      </c>
      <c r="N625">
        <f>IF(Tree!$C$4="once per order",K625,1)</f>
        <v/>
      </c>
      <c r="O625">
        <f>IF(Tree!$C$4="once per order",L625,1)</f>
        <v/>
      </c>
    </row>
    <row r="626">
      <c r="A626" t="inlineStr">
        <is>
          <t>KR-00410</t>
        </is>
      </c>
      <c r="B626" t="inlineStr">
        <is>
          <t>C-0112</t>
        </is>
      </c>
      <c r="C626" t="inlineStr">
        <is>
          <t>Retail-Core</t>
        </is>
      </c>
      <c r="D626" t="inlineStr">
        <is>
          <t>app</t>
        </is>
      </c>
      <c r="E626" s="7" t="n">
        <v>46147</v>
      </c>
      <c r="F626" t="n">
        <v>1040</v>
      </c>
      <c r="G626" t="n">
        <v>1040</v>
      </c>
      <c r="H626" t="inlineStr">
        <is>
          <t>2026-05-07</t>
        </is>
      </c>
      <c r="I626">
        <f>IF(MONTH(E626)&lt;=6,"Q1","Q2")</f>
        <v/>
      </c>
      <c r="J626">
        <f>YEAR(E626)*100+MONTH(E626)</f>
        <v/>
      </c>
      <c r="K626">
        <f>IF(COUNTIF($A$2:A626,A626)=1,1,0)</f>
        <v/>
      </c>
      <c r="L626">
        <f>IF(K626=1,IF(COUNTIFS($B$2:B626,B626,$I$2:I626,I626,$K$2:K626,1)=1,1,0),0)</f>
        <v/>
      </c>
      <c r="M626">
        <f>IF(Tree!$C$4="once per order",F626*K626,F626)</f>
        <v/>
      </c>
      <c r="N626">
        <f>IF(Tree!$C$4="once per order",K626,1)</f>
        <v/>
      </c>
      <c r="O626">
        <f>IF(Tree!$C$4="once per order",L626,1)</f>
        <v/>
      </c>
    </row>
    <row r="627">
      <c r="A627" t="inlineStr">
        <is>
          <t>KR-00411</t>
        </is>
      </c>
      <c r="B627" t="inlineStr">
        <is>
          <t>C-0088</t>
        </is>
      </c>
      <c r="C627" t="inlineStr">
        <is>
          <t>Retail-Core</t>
        </is>
      </c>
      <c r="D627" t="inlineStr">
        <is>
          <t>store</t>
        </is>
      </c>
      <c r="E627" s="7" t="n">
        <v>46187</v>
      </c>
      <c r="F627" t="n">
        <v>960</v>
      </c>
      <c r="G627" t="n">
        <v>960</v>
      </c>
      <c r="H627" t="inlineStr">
        <is>
          <t>2026-06-16</t>
        </is>
      </c>
      <c r="I627">
        <f>IF(MONTH(E627)&lt;=6,"Q1","Q2")</f>
        <v/>
      </c>
      <c r="J627">
        <f>YEAR(E627)*100+MONTH(E627)</f>
        <v/>
      </c>
      <c r="K627">
        <f>IF(COUNTIF($A$2:A627,A627)=1,1,0)</f>
        <v/>
      </c>
      <c r="L627">
        <f>IF(K627=1,IF(COUNTIFS($B$2:B627,B627,$I$2:I627,I627,$K$2:K627,1)=1,1,0),0)</f>
        <v/>
      </c>
      <c r="M627">
        <f>IF(Tree!$C$4="once per order",F627*K627,F627)</f>
        <v/>
      </c>
      <c r="N627">
        <f>IF(Tree!$C$4="once per order",K627,1)</f>
        <v/>
      </c>
      <c r="O627">
        <f>IF(Tree!$C$4="once per order",L627,1)</f>
        <v/>
      </c>
    </row>
    <row r="628">
      <c r="A628" t="inlineStr">
        <is>
          <t>KR-00412</t>
        </is>
      </c>
      <c r="B628" t="inlineStr">
        <is>
          <t>C-0005</t>
        </is>
      </c>
      <c r="C628" t="inlineStr">
        <is>
          <t>Retail-Core</t>
        </is>
      </c>
      <c r="D628" t="inlineStr">
        <is>
          <t>app</t>
        </is>
      </c>
      <c r="E628" s="7" t="n">
        <v>46117</v>
      </c>
      <c r="F628" t="n">
        <v>1990</v>
      </c>
      <c r="G628" t="n">
        <v>1990</v>
      </c>
      <c r="H628" t="inlineStr">
        <is>
          <t>2026-04-07</t>
        </is>
      </c>
      <c r="I628">
        <f>IF(MONTH(E628)&lt;=6,"Q1","Q2")</f>
        <v/>
      </c>
      <c r="J628">
        <f>YEAR(E628)*100+MONTH(E628)</f>
        <v/>
      </c>
      <c r="K628">
        <f>IF(COUNTIF($A$2:A628,A628)=1,1,0)</f>
        <v/>
      </c>
      <c r="L628">
        <f>IF(K628=1,IF(COUNTIFS($B$2:B628,B628,$I$2:I628,I628,$K$2:K628,1)=1,1,0),0)</f>
        <v/>
      </c>
      <c r="M628">
        <f>IF(Tree!$C$4="once per order",F628*K628,F628)</f>
        <v/>
      </c>
      <c r="N628">
        <f>IF(Tree!$C$4="once per order",K628,1)</f>
        <v/>
      </c>
      <c r="O628">
        <f>IF(Tree!$C$4="once per order",L628,1)</f>
        <v/>
      </c>
    </row>
    <row r="629">
      <c r="A629" t="inlineStr">
        <is>
          <t>KR-00413</t>
        </is>
      </c>
      <c r="B629" t="inlineStr">
        <is>
          <t>C-0002</t>
        </is>
      </c>
      <c r="C629" t="inlineStr">
        <is>
          <t>Retail-Core</t>
        </is>
      </c>
      <c r="D629" t="inlineStr">
        <is>
          <t>web</t>
        </is>
      </c>
      <c r="E629" s="7" t="n">
        <v>46158</v>
      </c>
      <c r="F629" t="n">
        <v>1560</v>
      </c>
      <c r="G629" t="n">
        <v>1560</v>
      </c>
      <c r="H629" t="inlineStr">
        <is>
          <t>2026-05-18</t>
        </is>
      </c>
      <c r="I629">
        <f>IF(MONTH(E629)&lt;=6,"Q1","Q2")</f>
        <v/>
      </c>
      <c r="J629">
        <f>YEAR(E629)*100+MONTH(E629)</f>
        <v/>
      </c>
      <c r="K629">
        <f>IF(COUNTIF($A$2:A629,A629)=1,1,0)</f>
        <v/>
      </c>
      <c r="L629">
        <f>IF(K629=1,IF(COUNTIFS($B$2:B629,B629,$I$2:I629,I629,$K$2:K629,1)=1,1,0),0)</f>
        <v/>
      </c>
      <c r="M629">
        <f>IF(Tree!$C$4="once per order",F629*K629,F629)</f>
        <v/>
      </c>
      <c r="N629">
        <f>IF(Tree!$C$4="once per order",K629,1)</f>
        <v/>
      </c>
      <c r="O629">
        <f>IF(Tree!$C$4="once per order",L629,1)</f>
        <v/>
      </c>
    </row>
    <row r="630">
      <c r="A630" t="inlineStr">
        <is>
          <t>KR-00414</t>
        </is>
      </c>
      <c r="B630" t="inlineStr">
        <is>
          <t>C-0134</t>
        </is>
      </c>
      <c r="C630" t="inlineStr">
        <is>
          <t>Retail-Core</t>
        </is>
      </c>
      <c r="D630" t="inlineStr">
        <is>
          <t>store</t>
        </is>
      </c>
      <c r="E630" s="7" t="n">
        <v>46193</v>
      </c>
      <c r="F630" t="n">
        <v>890</v>
      </c>
      <c r="G630" t="n">
        <v>890</v>
      </c>
      <c r="H630" t="inlineStr">
        <is>
          <t>2026-06-22</t>
        </is>
      </c>
      <c r="I630">
        <f>IF(MONTH(E630)&lt;=6,"Q1","Q2")</f>
        <v/>
      </c>
      <c r="J630">
        <f>YEAR(E630)*100+MONTH(E630)</f>
        <v/>
      </c>
      <c r="K630">
        <f>IF(COUNTIF($A$2:A630,A630)=1,1,0)</f>
        <v/>
      </c>
      <c r="L630">
        <f>IF(K630=1,IF(COUNTIFS($B$2:B630,B630,$I$2:I630,I630,$K$2:K630,1)=1,1,0),0)</f>
        <v/>
      </c>
      <c r="M630">
        <f>IF(Tree!$C$4="once per order",F630*K630,F630)</f>
        <v/>
      </c>
      <c r="N630">
        <f>IF(Tree!$C$4="once per order",K630,1)</f>
        <v/>
      </c>
      <c r="O630">
        <f>IF(Tree!$C$4="once per order",L630,1)</f>
        <v/>
      </c>
    </row>
    <row r="631">
      <c r="A631" t="inlineStr">
        <is>
          <t>KR-00414</t>
        </is>
      </c>
      <c r="B631" t="inlineStr">
        <is>
          <t>C-0134</t>
        </is>
      </c>
      <c r="C631" t="inlineStr">
        <is>
          <t>Retail-Core</t>
        </is>
      </c>
      <c r="D631" t="inlineStr">
        <is>
          <t>store</t>
        </is>
      </c>
      <c r="E631" s="7" t="n">
        <v>46193</v>
      </c>
      <c r="F631" t="n">
        <v>890</v>
      </c>
      <c r="G631" t="n">
        <v>890</v>
      </c>
      <c r="H631" t="inlineStr">
        <is>
          <t>2026-06-22</t>
        </is>
      </c>
      <c r="I631">
        <f>IF(MONTH(E631)&lt;=6,"Q1","Q2")</f>
        <v/>
      </c>
      <c r="J631">
        <f>YEAR(E631)*100+MONTH(E631)</f>
        <v/>
      </c>
      <c r="K631">
        <f>IF(COUNTIF($A$2:A631,A631)=1,1,0)</f>
        <v/>
      </c>
      <c r="L631">
        <f>IF(K631=1,IF(COUNTIFS($B$2:B631,B631,$I$2:I631,I631,$K$2:K631,1)=1,1,0),0)</f>
        <v/>
      </c>
      <c r="M631">
        <f>IF(Tree!$C$4="once per order",F631*K631,F631)</f>
        <v/>
      </c>
      <c r="N631">
        <f>IF(Tree!$C$4="once per order",K631,1)</f>
        <v/>
      </c>
      <c r="O631">
        <f>IF(Tree!$C$4="once per order",L631,1)</f>
        <v/>
      </c>
    </row>
    <row r="632">
      <c r="A632" t="inlineStr">
        <is>
          <t>KR-00415</t>
        </is>
      </c>
      <c r="B632" t="inlineStr">
        <is>
          <t>C-0117</t>
        </is>
      </c>
      <c r="C632" t="inlineStr">
        <is>
          <t>Retail-Core</t>
        </is>
      </c>
      <c r="D632" t="inlineStr">
        <is>
          <t>web</t>
        </is>
      </c>
      <c r="E632" s="7" t="n">
        <v>46131</v>
      </c>
      <c r="F632" t="n">
        <v>1760</v>
      </c>
      <c r="G632" t="n">
        <v>1760</v>
      </c>
      <c r="H632" t="inlineStr">
        <is>
          <t>2026-04-21</t>
        </is>
      </c>
      <c r="I632">
        <f>IF(MONTH(E632)&lt;=6,"Q1","Q2")</f>
        <v/>
      </c>
      <c r="J632">
        <f>YEAR(E632)*100+MONTH(E632)</f>
        <v/>
      </c>
      <c r="K632">
        <f>IF(COUNTIF($A$2:A632,A632)=1,1,0)</f>
        <v/>
      </c>
      <c r="L632">
        <f>IF(K632=1,IF(COUNTIFS($B$2:B632,B632,$I$2:I632,I632,$K$2:K632,1)=1,1,0),0)</f>
        <v/>
      </c>
      <c r="M632">
        <f>IF(Tree!$C$4="once per order",F632*K632,F632)</f>
        <v/>
      </c>
      <c r="N632">
        <f>IF(Tree!$C$4="once per order",K632,1)</f>
        <v/>
      </c>
      <c r="O632">
        <f>IF(Tree!$C$4="once per order",L632,1)</f>
        <v/>
      </c>
    </row>
    <row r="633">
      <c r="A633" t="inlineStr">
        <is>
          <t>KR-00416</t>
        </is>
      </c>
      <c r="B633" t="inlineStr">
        <is>
          <t>C-0020</t>
        </is>
      </c>
      <c r="C633" t="inlineStr">
        <is>
          <t>Retail-Core</t>
        </is>
      </c>
      <c r="D633" t="inlineStr">
        <is>
          <t>web</t>
        </is>
      </c>
      <c r="E633" s="7" t="n">
        <v>46154</v>
      </c>
      <c r="F633" t="n">
        <v>2940</v>
      </c>
      <c r="G633" t="n">
        <v>1764</v>
      </c>
      <c r="H633" t="inlineStr">
        <is>
          <t>2026-05-14</t>
        </is>
      </c>
      <c r="I633">
        <f>IF(MONTH(E633)&lt;=6,"Q1","Q2")</f>
        <v/>
      </c>
      <c r="J633">
        <f>YEAR(E633)*100+MONTH(E633)</f>
        <v/>
      </c>
      <c r="K633">
        <f>IF(COUNTIF($A$2:A633,A633)=1,1,0)</f>
        <v/>
      </c>
      <c r="L633">
        <f>IF(K633=1,IF(COUNTIFS($B$2:B633,B633,$I$2:I633,I633,$K$2:K633,1)=1,1,0),0)</f>
        <v/>
      </c>
      <c r="M633">
        <f>IF(Tree!$C$4="once per order",F633*K633,F633)</f>
        <v/>
      </c>
      <c r="N633">
        <f>IF(Tree!$C$4="once per order",K633,1)</f>
        <v/>
      </c>
      <c r="O633">
        <f>IF(Tree!$C$4="once per order",L633,1)</f>
        <v/>
      </c>
    </row>
    <row r="634">
      <c r="A634" t="inlineStr">
        <is>
          <t>KR-00416</t>
        </is>
      </c>
      <c r="B634" t="inlineStr">
        <is>
          <t>C-0020</t>
        </is>
      </c>
      <c r="C634" t="inlineStr">
        <is>
          <t>Retail-Core</t>
        </is>
      </c>
      <c r="D634" t="inlineStr">
        <is>
          <t>web</t>
        </is>
      </c>
      <c r="E634" s="7" t="n">
        <v>46154</v>
      </c>
      <c r="F634" t="n">
        <v>2940</v>
      </c>
      <c r="G634" t="n">
        <v>1176</v>
      </c>
      <c r="H634" t="inlineStr">
        <is>
          <t>2026-05-14</t>
        </is>
      </c>
      <c r="I634">
        <f>IF(MONTH(E634)&lt;=6,"Q1","Q2")</f>
        <v/>
      </c>
      <c r="J634">
        <f>YEAR(E634)*100+MONTH(E634)</f>
        <v/>
      </c>
      <c r="K634">
        <f>IF(COUNTIF($A$2:A634,A634)=1,1,0)</f>
        <v/>
      </c>
      <c r="L634">
        <f>IF(K634=1,IF(COUNTIFS($B$2:B634,B634,$I$2:I634,I634,$K$2:K634,1)=1,1,0),0)</f>
        <v/>
      </c>
      <c r="M634">
        <f>IF(Tree!$C$4="once per order",F634*K634,F634)</f>
        <v/>
      </c>
      <c r="N634">
        <f>IF(Tree!$C$4="once per order",K634,1)</f>
        <v/>
      </c>
      <c r="O634">
        <f>IF(Tree!$C$4="once per order",L634,1)</f>
        <v/>
      </c>
    </row>
    <row r="635">
      <c r="A635" t="inlineStr">
        <is>
          <t>KR-00417</t>
        </is>
      </c>
      <c r="B635" t="inlineStr">
        <is>
          <t>C-0044</t>
        </is>
      </c>
      <c r="C635" t="inlineStr">
        <is>
          <t>Retail-Core</t>
        </is>
      </c>
      <c r="D635" t="inlineStr">
        <is>
          <t>web</t>
        </is>
      </c>
      <c r="E635" s="7" t="n">
        <v>46180</v>
      </c>
      <c r="F635" t="n">
        <v>800</v>
      </c>
      <c r="G635" t="n">
        <v>800</v>
      </c>
      <c r="H635" t="inlineStr">
        <is>
          <t>2026-06-09</t>
        </is>
      </c>
      <c r="I635">
        <f>IF(MONTH(E635)&lt;=6,"Q1","Q2")</f>
        <v/>
      </c>
      <c r="J635">
        <f>YEAR(E635)*100+MONTH(E635)</f>
        <v/>
      </c>
      <c r="K635">
        <f>IF(COUNTIF($A$2:A635,A635)=1,1,0)</f>
        <v/>
      </c>
      <c r="L635">
        <f>IF(K635=1,IF(COUNTIFS($B$2:B635,B635,$I$2:I635,I635,$K$2:K635,1)=1,1,0),0)</f>
        <v/>
      </c>
      <c r="M635">
        <f>IF(Tree!$C$4="once per order",F635*K635,F635)</f>
        <v/>
      </c>
      <c r="N635">
        <f>IF(Tree!$C$4="once per order",K635,1)</f>
        <v/>
      </c>
      <c r="O635">
        <f>IF(Tree!$C$4="once per order",L635,1)</f>
        <v/>
      </c>
    </row>
    <row r="636">
      <c r="A636" t="inlineStr">
        <is>
          <t>KR-00417</t>
        </is>
      </c>
      <c r="B636" t="inlineStr">
        <is>
          <t>C-0044</t>
        </is>
      </c>
      <c r="C636" t="inlineStr">
        <is>
          <t>Retail-Core</t>
        </is>
      </c>
      <c r="D636" t="inlineStr">
        <is>
          <t>web</t>
        </is>
      </c>
      <c r="E636" s="7" t="n">
        <v>46180</v>
      </c>
      <c r="F636" t="n">
        <v>800</v>
      </c>
      <c r="G636" t="n">
        <v>800</v>
      </c>
      <c r="H636" t="inlineStr">
        <is>
          <t>2026-06-09</t>
        </is>
      </c>
      <c r="I636">
        <f>IF(MONTH(E636)&lt;=6,"Q1","Q2")</f>
        <v/>
      </c>
      <c r="J636">
        <f>YEAR(E636)*100+MONTH(E636)</f>
        <v/>
      </c>
      <c r="K636">
        <f>IF(COUNTIF($A$2:A636,A636)=1,1,0)</f>
        <v/>
      </c>
      <c r="L636">
        <f>IF(K636=1,IF(COUNTIFS($B$2:B636,B636,$I$2:I636,I636,$K$2:K636,1)=1,1,0),0)</f>
        <v/>
      </c>
      <c r="M636">
        <f>IF(Tree!$C$4="once per order",F636*K636,F636)</f>
        <v/>
      </c>
      <c r="N636">
        <f>IF(Tree!$C$4="once per order",K636,1)</f>
        <v/>
      </c>
      <c r="O636">
        <f>IF(Tree!$C$4="once per order",L636,1)</f>
        <v/>
      </c>
    </row>
    <row r="637">
      <c r="A637" t="inlineStr">
        <is>
          <t>KR-00418</t>
        </is>
      </c>
      <c r="B637" t="inlineStr">
        <is>
          <t>C-0040</t>
        </is>
      </c>
      <c r="C637" t="inlineStr">
        <is>
          <t>Retail-Core</t>
        </is>
      </c>
      <c r="D637" t="inlineStr">
        <is>
          <t>store</t>
        </is>
      </c>
      <c r="E637" s="7" t="n">
        <v>46117</v>
      </c>
      <c r="F637" t="n">
        <v>2930</v>
      </c>
      <c r="G637" t="n">
        <v>1758</v>
      </c>
      <c r="H637" t="inlineStr">
        <is>
          <t>2026-04-07</t>
        </is>
      </c>
      <c r="I637">
        <f>IF(MONTH(E637)&lt;=6,"Q1","Q2")</f>
        <v/>
      </c>
      <c r="J637">
        <f>YEAR(E637)*100+MONTH(E637)</f>
        <v/>
      </c>
      <c r="K637">
        <f>IF(COUNTIF($A$2:A637,A637)=1,1,0)</f>
        <v/>
      </c>
      <c r="L637">
        <f>IF(K637=1,IF(COUNTIFS($B$2:B637,B637,$I$2:I637,I637,$K$2:K637,1)=1,1,0),0)</f>
        <v/>
      </c>
      <c r="M637">
        <f>IF(Tree!$C$4="once per order",F637*K637,F637)</f>
        <v/>
      </c>
      <c r="N637">
        <f>IF(Tree!$C$4="once per order",K637,1)</f>
        <v/>
      </c>
      <c r="O637">
        <f>IF(Tree!$C$4="once per order",L637,1)</f>
        <v/>
      </c>
    </row>
    <row r="638">
      <c r="A638" t="inlineStr">
        <is>
          <t>KR-00418</t>
        </is>
      </c>
      <c r="B638" t="inlineStr">
        <is>
          <t>C-0040</t>
        </is>
      </c>
      <c r="C638" t="inlineStr">
        <is>
          <t>Retail-Core</t>
        </is>
      </c>
      <c r="D638" t="inlineStr">
        <is>
          <t>store</t>
        </is>
      </c>
      <c r="E638" s="7" t="n">
        <v>46117</v>
      </c>
      <c r="F638" t="n">
        <v>2930</v>
      </c>
      <c r="G638" t="n">
        <v>1172</v>
      </c>
      <c r="H638" t="inlineStr">
        <is>
          <t>2026-04-07</t>
        </is>
      </c>
      <c r="I638">
        <f>IF(MONTH(E638)&lt;=6,"Q1","Q2")</f>
        <v/>
      </c>
      <c r="J638">
        <f>YEAR(E638)*100+MONTH(E638)</f>
        <v/>
      </c>
      <c r="K638">
        <f>IF(COUNTIF($A$2:A638,A638)=1,1,0)</f>
        <v/>
      </c>
      <c r="L638">
        <f>IF(K638=1,IF(COUNTIFS($B$2:B638,B638,$I$2:I638,I638,$K$2:K638,1)=1,1,0),0)</f>
        <v/>
      </c>
      <c r="M638">
        <f>IF(Tree!$C$4="once per order",F638*K638,F638)</f>
        <v/>
      </c>
      <c r="N638">
        <f>IF(Tree!$C$4="once per order",K638,1)</f>
        <v/>
      </c>
      <c r="O638">
        <f>IF(Tree!$C$4="once per order",L638,1)</f>
        <v/>
      </c>
    </row>
    <row r="639">
      <c r="A639" t="inlineStr">
        <is>
          <t>KR-00419</t>
        </is>
      </c>
      <c r="B639" t="inlineStr">
        <is>
          <t>C-0008</t>
        </is>
      </c>
      <c r="C639" t="inlineStr">
        <is>
          <t>Retail-Core</t>
        </is>
      </c>
      <c r="D639" t="inlineStr">
        <is>
          <t>web</t>
        </is>
      </c>
      <c r="E639" s="7" t="n">
        <v>46148</v>
      </c>
      <c r="F639" t="n">
        <v>1520</v>
      </c>
      <c r="G639" t="n">
        <v>1520</v>
      </c>
      <c r="H639" t="inlineStr">
        <is>
          <t>2026-05-08</t>
        </is>
      </c>
      <c r="I639">
        <f>IF(MONTH(E639)&lt;=6,"Q1","Q2")</f>
        <v/>
      </c>
      <c r="J639">
        <f>YEAR(E639)*100+MONTH(E639)</f>
        <v/>
      </c>
      <c r="K639">
        <f>IF(COUNTIF($A$2:A639,A639)=1,1,0)</f>
        <v/>
      </c>
      <c r="L639">
        <f>IF(K639=1,IF(COUNTIFS($B$2:B639,B639,$I$2:I639,I639,$K$2:K639,1)=1,1,0),0)</f>
        <v/>
      </c>
      <c r="M639">
        <f>IF(Tree!$C$4="once per order",F639*K639,F639)</f>
        <v/>
      </c>
      <c r="N639">
        <f>IF(Tree!$C$4="once per order",K639,1)</f>
        <v/>
      </c>
      <c r="O639">
        <f>IF(Tree!$C$4="once per order",L639,1)</f>
        <v/>
      </c>
    </row>
    <row r="640">
      <c r="A640" t="inlineStr">
        <is>
          <t>KR-00420</t>
        </is>
      </c>
      <c r="B640" t="inlineStr">
        <is>
          <t>C-0112</t>
        </is>
      </c>
      <c r="C640" t="inlineStr">
        <is>
          <t>Retail-Core</t>
        </is>
      </c>
      <c r="D640" t="inlineStr">
        <is>
          <t>store</t>
        </is>
      </c>
      <c r="E640" s="7" t="n">
        <v>46178</v>
      </c>
      <c r="F640" t="n">
        <v>1280</v>
      </c>
      <c r="G640" t="n">
        <v>1280</v>
      </c>
      <c r="H640" t="inlineStr">
        <is>
          <t>2026-06-07</t>
        </is>
      </c>
      <c r="I640">
        <f>IF(MONTH(E640)&lt;=6,"Q1","Q2")</f>
        <v/>
      </c>
      <c r="J640">
        <f>YEAR(E640)*100+MONTH(E640)</f>
        <v/>
      </c>
      <c r="K640">
        <f>IF(COUNTIF($A$2:A640,A640)=1,1,0)</f>
        <v/>
      </c>
      <c r="L640">
        <f>IF(K640=1,IF(COUNTIFS($B$2:B640,B640,$I$2:I640,I640,$K$2:K640,1)=1,1,0),0)</f>
        <v/>
      </c>
      <c r="M640">
        <f>IF(Tree!$C$4="once per order",F640*K640,F640)</f>
        <v/>
      </c>
      <c r="N640">
        <f>IF(Tree!$C$4="once per order",K640,1)</f>
        <v/>
      </c>
      <c r="O640">
        <f>IF(Tree!$C$4="once per order",L640,1)</f>
        <v/>
      </c>
    </row>
    <row r="641">
      <c r="A641" t="inlineStr">
        <is>
          <t>KR-00421</t>
        </is>
      </c>
      <c r="B641" t="inlineStr">
        <is>
          <t>C-0136</t>
        </is>
      </c>
      <c r="C641" t="inlineStr">
        <is>
          <t>Retail-Core</t>
        </is>
      </c>
      <c r="D641" t="inlineStr">
        <is>
          <t>web</t>
        </is>
      </c>
      <c r="E641" s="7" t="n">
        <v>46127</v>
      </c>
      <c r="F641" t="n">
        <v>1670</v>
      </c>
      <c r="G641" t="n">
        <v>1670</v>
      </c>
      <c r="H641" t="inlineStr">
        <is>
          <t>2026-04-17</t>
        </is>
      </c>
      <c r="I641">
        <f>IF(MONTH(E641)&lt;=6,"Q1","Q2")</f>
        <v/>
      </c>
      <c r="J641">
        <f>YEAR(E641)*100+MONTH(E641)</f>
        <v/>
      </c>
      <c r="K641">
        <f>IF(COUNTIF($A$2:A641,A641)=1,1,0)</f>
        <v/>
      </c>
      <c r="L641">
        <f>IF(K641=1,IF(COUNTIFS($B$2:B641,B641,$I$2:I641,I641,$K$2:K641,1)=1,1,0),0)</f>
        <v/>
      </c>
      <c r="M641">
        <f>IF(Tree!$C$4="once per order",F641*K641,F641)</f>
        <v/>
      </c>
      <c r="N641">
        <f>IF(Tree!$C$4="once per order",K641,1)</f>
        <v/>
      </c>
      <c r="O641">
        <f>IF(Tree!$C$4="once per order",L641,1)</f>
        <v/>
      </c>
    </row>
    <row r="642">
      <c r="A642" t="inlineStr">
        <is>
          <t>KR-00422</t>
        </is>
      </c>
      <c r="B642" t="inlineStr">
        <is>
          <t>C-0060</t>
        </is>
      </c>
      <c r="C642" t="inlineStr">
        <is>
          <t>Retail-Core</t>
        </is>
      </c>
      <c r="D642" t="inlineStr">
        <is>
          <t>app</t>
        </is>
      </c>
      <c r="E642" s="7" t="n">
        <v>46162</v>
      </c>
      <c r="F642" t="n">
        <v>1470</v>
      </c>
      <c r="G642" t="n">
        <v>1470</v>
      </c>
      <c r="H642" t="inlineStr">
        <is>
          <t>2026-05-22</t>
        </is>
      </c>
      <c r="I642">
        <f>IF(MONTH(E642)&lt;=6,"Q1","Q2")</f>
        <v/>
      </c>
      <c r="J642">
        <f>YEAR(E642)*100+MONTH(E642)</f>
        <v/>
      </c>
      <c r="K642">
        <f>IF(COUNTIF($A$2:A642,A642)=1,1,0)</f>
        <v/>
      </c>
      <c r="L642">
        <f>IF(K642=1,IF(COUNTIFS($B$2:B642,B642,$I$2:I642,I642,$K$2:K642,1)=1,1,0),0)</f>
        <v/>
      </c>
      <c r="M642">
        <f>IF(Tree!$C$4="once per order",F642*K642,F642)</f>
        <v/>
      </c>
      <c r="N642">
        <f>IF(Tree!$C$4="once per order",K642,1)</f>
        <v/>
      </c>
      <c r="O642">
        <f>IF(Tree!$C$4="once per order",L642,1)</f>
        <v/>
      </c>
    </row>
    <row r="643">
      <c r="A643" t="inlineStr">
        <is>
          <t>KR-00423</t>
        </is>
      </c>
      <c r="B643" t="inlineStr">
        <is>
          <t>C-0099</t>
        </is>
      </c>
      <c r="C643" t="inlineStr">
        <is>
          <t>Retail-Core</t>
        </is>
      </c>
      <c r="D643" t="inlineStr">
        <is>
          <t>store</t>
        </is>
      </c>
      <c r="E643" s="7" t="n">
        <v>46187</v>
      </c>
      <c r="F643" t="n">
        <v>1180</v>
      </c>
      <c r="G643" t="n">
        <v>1180</v>
      </c>
      <c r="H643" t="inlineStr">
        <is>
          <t>2026-06-16</t>
        </is>
      </c>
      <c r="I643">
        <f>IF(MONTH(E643)&lt;=6,"Q1","Q2")</f>
        <v/>
      </c>
      <c r="J643">
        <f>YEAR(E643)*100+MONTH(E643)</f>
        <v/>
      </c>
      <c r="K643">
        <f>IF(COUNTIF($A$2:A643,A643)=1,1,0)</f>
        <v/>
      </c>
      <c r="L643">
        <f>IF(K643=1,IF(COUNTIFS($B$2:B643,B643,$I$2:I643,I643,$K$2:K643,1)=1,1,0),0)</f>
        <v/>
      </c>
      <c r="M643">
        <f>IF(Tree!$C$4="once per order",F643*K643,F643)</f>
        <v/>
      </c>
      <c r="N643">
        <f>IF(Tree!$C$4="once per order",K643,1)</f>
        <v/>
      </c>
      <c r="O643">
        <f>IF(Tree!$C$4="once per order",L643,1)</f>
        <v/>
      </c>
    </row>
    <row r="644">
      <c r="A644" t="inlineStr">
        <is>
          <t>KR-00424</t>
        </is>
      </c>
      <c r="B644" t="inlineStr">
        <is>
          <t>C-0038</t>
        </is>
      </c>
      <c r="C644" t="inlineStr">
        <is>
          <t>Retail-Core</t>
        </is>
      </c>
      <c r="D644" t="inlineStr">
        <is>
          <t>web</t>
        </is>
      </c>
      <c r="E644" s="7" t="n">
        <v>46133</v>
      </c>
      <c r="F644" t="n">
        <v>1170</v>
      </c>
      <c r="G644" t="n">
        <v>1170</v>
      </c>
      <c r="H644" t="inlineStr">
        <is>
          <t>2026-04-23</t>
        </is>
      </c>
      <c r="I644">
        <f>IF(MONTH(E644)&lt;=6,"Q1","Q2")</f>
        <v/>
      </c>
      <c r="J644">
        <f>YEAR(E644)*100+MONTH(E644)</f>
        <v/>
      </c>
      <c r="K644">
        <f>IF(COUNTIF($A$2:A644,A644)=1,1,0)</f>
        <v/>
      </c>
      <c r="L644">
        <f>IF(K644=1,IF(COUNTIFS($B$2:B644,B644,$I$2:I644,I644,$K$2:K644,1)=1,1,0),0)</f>
        <v/>
      </c>
      <c r="M644">
        <f>IF(Tree!$C$4="once per order",F644*K644,F644)</f>
        <v/>
      </c>
      <c r="N644">
        <f>IF(Tree!$C$4="once per order",K644,1)</f>
        <v/>
      </c>
      <c r="O644">
        <f>IF(Tree!$C$4="once per order",L644,1)</f>
        <v/>
      </c>
    </row>
    <row r="645">
      <c r="A645" t="inlineStr">
        <is>
          <t>KR-00425</t>
        </is>
      </c>
      <c r="B645" t="inlineStr">
        <is>
          <t>C-0060</t>
        </is>
      </c>
      <c r="C645" t="inlineStr">
        <is>
          <t>Retail-Core</t>
        </is>
      </c>
      <c r="D645" t="inlineStr">
        <is>
          <t>app</t>
        </is>
      </c>
      <c r="E645" s="7" t="n">
        <v>46147</v>
      </c>
      <c r="F645" t="n">
        <v>2600</v>
      </c>
      <c r="G645" t="n">
        <v>2600</v>
      </c>
      <c r="H645" t="inlineStr">
        <is>
          <t>2026-05-07</t>
        </is>
      </c>
      <c r="I645">
        <f>IF(MONTH(E645)&lt;=6,"Q1","Q2")</f>
        <v/>
      </c>
      <c r="J645">
        <f>YEAR(E645)*100+MONTH(E645)</f>
        <v/>
      </c>
      <c r="K645">
        <f>IF(COUNTIF($A$2:A645,A645)=1,1,0)</f>
        <v/>
      </c>
      <c r="L645">
        <f>IF(K645=1,IF(COUNTIFS($B$2:B645,B645,$I$2:I645,I645,$K$2:K645,1)=1,1,0),0)</f>
        <v/>
      </c>
      <c r="M645">
        <f>IF(Tree!$C$4="once per order",F645*K645,F645)</f>
        <v/>
      </c>
      <c r="N645">
        <f>IF(Tree!$C$4="once per order",K645,1)</f>
        <v/>
      </c>
      <c r="O645">
        <f>IF(Tree!$C$4="once per order",L645,1)</f>
        <v/>
      </c>
    </row>
    <row r="646">
      <c r="A646" t="inlineStr">
        <is>
          <t>KR-00426</t>
        </is>
      </c>
      <c r="B646" t="inlineStr">
        <is>
          <t>C-0043</t>
        </is>
      </c>
      <c r="C646" t="inlineStr">
        <is>
          <t>Retail-Core</t>
        </is>
      </c>
      <c r="D646" t="inlineStr">
        <is>
          <t>app</t>
        </is>
      </c>
      <c r="E646" s="7" t="n">
        <v>46182</v>
      </c>
      <c r="F646" t="n">
        <v>1660</v>
      </c>
      <c r="G646" t="n">
        <v>1660</v>
      </c>
      <c r="H646" t="inlineStr">
        <is>
          <t>2026-06-11</t>
        </is>
      </c>
      <c r="I646">
        <f>IF(MONTH(E646)&lt;=6,"Q1","Q2")</f>
        <v/>
      </c>
      <c r="J646">
        <f>YEAR(E646)*100+MONTH(E646)</f>
        <v/>
      </c>
      <c r="K646">
        <f>IF(COUNTIF($A$2:A646,A646)=1,1,0)</f>
        <v/>
      </c>
      <c r="L646">
        <f>IF(K646=1,IF(COUNTIFS($B$2:B646,B646,$I$2:I646,I646,$K$2:K646,1)=1,1,0),0)</f>
        <v/>
      </c>
      <c r="M646">
        <f>IF(Tree!$C$4="once per order",F646*K646,F646)</f>
        <v/>
      </c>
      <c r="N646">
        <f>IF(Tree!$C$4="once per order",K646,1)</f>
        <v/>
      </c>
      <c r="O646">
        <f>IF(Tree!$C$4="once per order",L646,1)</f>
        <v/>
      </c>
    </row>
    <row r="647">
      <c r="A647" t="inlineStr">
        <is>
          <t>KR-00427</t>
        </is>
      </c>
      <c r="B647" t="inlineStr">
        <is>
          <t>C-0040</t>
        </is>
      </c>
      <c r="C647" t="inlineStr">
        <is>
          <t>Retail-Core</t>
        </is>
      </c>
      <c r="D647" t="inlineStr">
        <is>
          <t>web</t>
        </is>
      </c>
      <c r="E647" s="7" t="n">
        <v>46139</v>
      </c>
      <c r="F647" t="n">
        <v>2540</v>
      </c>
      <c r="G647" t="n">
        <v>2540</v>
      </c>
      <c r="H647" t="inlineStr">
        <is>
          <t>2026-04-28</t>
        </is>
      </c>
      <c r="I647">
        <f>IF(MONTH(E647)&lt;=6,"Q1","Q2")</f>
        <v/>
      </c>
      <c r="J647">
        <f>YEAR(E647)*100+MONTH(E647)</f>
        <v/>
      </c>
      <c r="K647">
        <f>IF(COUNTIF($A$2:A647,A647)=1,1,0)</f>
        <v/>
      </c>
      <c r="L647">
        <f>IF(K647=1,IF(COUNTIFS($B$2:B647,B647,$I$2:I647,I647,$K$2:K647,1)=1,1,0),0)</f>
        <v/>
      </c>
      <c r="M647">
        <f>IF(Tree!$C$4="once per order",F647*K647,F647)</f>
        <v/>
      </c>
      <c r="N647">
        <f>IF(Tree!$C$4="once per order",K647,1)</f>
        <v/>
      </c>
      <c r="O647">
        <f>IF(Tree!$C$4="once per order",L647,1)</f>
        <v/>
      </c>
    </row>
    <row r="648">
      <c r="A648" t="inlineStr">
        <is>
          <t>KR-00428</t>
        </is>
      </c>
      <c r="B648" t="inlineStr">
        <is>
          <t>C-0017</t>
        </is>
      </c>
      <c r="C648" t="inlineStr">
        <is>
          <t>Retail-Core</t>
        </is>
      </c>
      <c r="D648" t="inlineStr">
        <is>
          <t>web</t>
        </is>
      </c>
      <c r="E648" s="7" t="n">
        <v>46148</v>
      </c>
      <c r="F648" t="n">
        <v>2280</v>
      </c>
      <c r="G648" t="n">
        <v>2280</v>
      </c>
      <c r="H648" t="inlineStr">
        <is>
          <t>2026-05-08</t>
        </is>
      </c>
      <c r="I648">
        <f>IF(MONTH(E648)&lt;=6,"Q1","Q2")</f>
        <v/>
      </c>
      <c r="J648">
        <f>YEAR(E648)*100+MONTH(E648)</f>
        <v/>
      </c>
      <c r="K648">
        <f>IF(COUNTIF($A$2:A648,A648)=1,1,0)</f>
        <v/>
      </c>
      <c r="L648">
        <f>IF(K648=1,IF(COUNTIFS($B$2:B648,B648,$I$2:I648,I648,$K$2:K648,1)=1,1,0),0)</f>
        <v/>
      </c>
      <c r="M648">
        <f>IF(Tree!$C$4="once per order",F648*K648,F648)</f>
        <v/>
      </c>
      <c r="N648">
        <f>IF(Tree!$C$4="once per order",K648,1)</f>
        <v/>
      </c>
      <c r="O648">
        <f>IF(Tree!$C$4="once per order",L648,1)</f>
        <v/>
      </c>
    </row>
    <row r="649">
      <c r="A649" t="inlineStr">
        <is>
          <t>KR-00429</t>
        </is>
      </c>
      <c r="B649" t="inlineStr">
        <is>
          <t>C-0020</t>
        </is>
      </c>
      <c r="C649" t="inlineStr">
        <is>
          <t>Retail-Core</t>
        </is>
      </c>
      <c r="D649" t="inlineStr">
        <is>
          <t>app</t>
        </is>
      </c>
      <c r="E649" s="7" t="n">
        <v>46201</v>
      </c>
      <c r="F649" t="n">
        <v>2900</v>
      </c>
      <c r="G649" t="n">
        <v>1740</v>
      </c>
      <c r="H649" t="inlineStr">
        <is>
          <t>2026-06-28</t>
        </is>
      </c>
      <c r="I649">
        <f>IF(MONTH(E649)&lt;=6,"Q1","Q2")</f>
        <v/>
      </c>
      <c r="J649">
        <f>YEAR(E649)*100+MONTH(E649)</f>
        <v/>
      </c>
      <c r="K649">
        <f>IF(COUNTIF($A$2:A649,A649)=1,1,0)</f>
        <v/>
      </c>
      <c r="L649">
        <f>IF(K649=1,IF(COUNTIFS($B$2:B649,B649,$I$2:I649,I649,$K$2:K649,1)=1,1,0),0)</f>
        <v/>
      </c>
      <c r="M649">
        <f>IF(Tree!$C$4="once per order",F649*K649,F649)</f>
        <v/>
      </c>
      <c r="N649">
        <f>IF(Tree!$C$4="once per order",K649,1)</f>
        <v/>
      </c>
      <c r="O649">
        <f>IF(Tree!$C$4="once per order",L649,1)</f>
        <v/>
      </c>
    </row>
    <row r="650">
      <c r="A650" t="inlineStr">
        <is>
          <t>KR-00429</t>
        </is>
      </c>
      <c r="B650" t="inlineStr">
        <is>
          <t>C-0020</t>
        </is>
      </c>
      <c r="C650" t="inlineStr">
        <is>
          <t>Retail-Core</t>
        </is>
      </c>
      <c r="D650" t="inlineStr">
        <is>
          <t>app</t>
        </is>
      </c>
      <c r="E650" s="7" t="n">
        <v>46201</v>
      </c>
      <c r="F650" t="n">
        <v>2900</v>
      </c>
      <c r="G650" t="n">
        <v>1160</v>
      </c>
      <c r="H650" t="inlineStr">
        <is>
          <t>2026-06-28</t>
        </is>
      </c>
      <c r="I650">
        <f>IF(MONTH(E650)&lt;=6,"Q1","Q2")</f>
        <v/>
      </c>
      <c r="J650">
        <f>YEAR(E650)*100+MONTH(E650)</f>
        <v/>
      </c>
      <c r="K650">
        <f>IF(COUNTIF($A$2:A650,A650)=1,1,0)</f>
        <v/>
      </c>
      <c r="L650">
        <f>IF(K650=1,IF(COUNTIFS($B$2:B650,B650,$I$2:I650,I650,$K$2:K650,1)=1,1,0),0)</f>
        <v/>
      </c>
      <c r="M650">
        <f>IF(Tree!$C$4="once per order",F650*K650,F650)</f>
        <v/>
      </c>
      <c r="N650">
        <f>IF(Tree!$C$4="once per order",K650,1)</f>
        <v/>
      </c>
      <c r="O650">
        <f>IF(Tree!$C$4="once per order",L650,1)</f>
        <v/>
      </c>
    </row>
    <row r="651">
      <c r="A651" t="inlineStr">
        <is>
          <t>KR-00430</t>
        </is>
      </c>
      <c r="B651" t="inlineStr">
        <is>
          <t>C-0076</t>
        </is>
      </c>
      <c r="C651" t="inlineStr">
        <is>
          <t>Retail-Core</t>
        </is>
      </c>
      <c r="D651" t="inlineStr">
        <is>
          <t>store</t>
        </is>
      </c>
      <c r="E651" s="7" t="n">
        <v>46124</v>
      </c>
      <c r="F651" t="n">
        <v>1550</v>
      </c>
      <c r="G651" t="n">
        <v>1550</v>
      </c>
      <c r="H651" t="inlineStr">
        <is>
          <t>2026-04-14</t>
        </is>
      </c>
      <c r="I651">
        <f>IF(MONTH(E651)&lt;=6,"Q1","Q2")</f>
        <v/>
      </c>
      <c r="J651">
        <f>YEAR(E651)*100+MONTH(E651)</f>
        <v/>
      </c>
      <c r="K651">
        <f>IF(COUNTIF($A$2:A651,A651)=1,1,0)</f>
        <v/>
      </c>
      <c r="L651">
        <f>IF(K651=1,IF(COUNTIFS($B$2:B651,B651,$I$2:I651,I651,$K$2:K651,1)=1,1,0),0)</f>
        <v/>
      </c>
      <c r="M651">
        <f>IF(Tree!$C$4="once per order",F651*K651,F651)</f>
        <v/>
      </c>
      <c r="N651">
        <f>IF(Tree!$C$4="once per order",K651,1)</f>
        <v/>
      </c>
      <c r="O651">
        <f>IF(Tree!$C$4="once per order",L651,1)</f>
        <v/>
      </c>
    </row>
    <row r="652">
      <c r="A652" t="inlineStr">
        <is>
          <t>KR-00431</t>
        </is>
      </c>
      <c r="B652" t="inlineStr">
        <is>
          <t>C-0040</t>
        </is>
      </c>
      <c r="C652" t="inlineStr">
        <is>
          <t>Retail-Core</t>
        </is>
      </c>
      <c r="D652" t="inlineStr">
        <is>
          <t>app</t>
        </is>
      </c>
      <c r="E652" s="7" t="n">
        <v>46162</v>
      </c>
      <c r="F652" t="n">
        <v>2110</v>
      </c>
      <c r="G652" t="n">
        <v>2110</v>
      </c>
      <c r="H652" t="inlineStr">
        <is>
          <t>2026-05-22</t>
        </is>
      </c>
      <c r="I652">
        <f>IF(MONTH(E652)&lt;=6,"Q1","Q2")</f>
        <v/>
      </c>
      <c r="J652">
        <f>YEAR(E652)*100+MONTH(E652)</f>
        <v/>
      </c>
      <c r="K652">
        <f>IF(COUNTIF($A$2:A652,A652)=1,1,0)</f>
        <v/>
      </c>
      <c r="L652">
        <f>IF(K652=1,IF(COUNTIFS($B$2:B652,B652,$I$2:I652,I652,$K$2:K652,1)=1,1,0),0)</f>
        <v/>
      </c>
      <c r="M652">
        <f>IF(Tree!$C$4="once per order",F652*K652,F652)</f>
        <v/>
      </c>
      <c r="N652">
        <f>IF(Tree!$C$4="once per order",K652,1)</f>
        <v/>
      </c>
      <c r="O652">
        <f>IF(Tree!$C$4="once per order",L652,1)</f>
        <v/>
      </c>
    </row>
    <row r="653">
      <c r="A653" t="inlineStr">
        <is>
          <t>KR-00432</t>
        </is>
      </c>
      <c r="B653" t="inlineStr">
        <is>
          <t>C-0111</t>
        </is>
      </c>
      <c r="C653" t="inlineStr">
        <is>
          <t>Retail-Core</t>
        </is>
      </c>
      <c r="D653" t="inlineStr">
        <is>
          <t>app</t>
        </is>
      </c>
      <c r="E653" s="7" t="n">
        <v>46201</v>
      </c>
      <c r="F653" t="n">
        <v>2910</v>
      </c>
      <c r="G653" t="n">
        <v>1746</v>
      </c>
      <c r="H653" t="inlineStr">
        <is>
          <t>2026-06-28</t>
        </is>
      </c>
      <c r="I653">
        <f>IF(MONTH(E653)&lt;=6,"Q1","Q2")</f>
        <v/>
      </c>
      <c r="J653">
        <f>YEAR(E653)*100+MONTH(E653)</f>
        <v/>
      </c>
      <c r="K653">
        <f>IF(COUNTIF($A$2:A653,A653)=1,1,0)</f>
        <v/>
      </c>
      <c r="L653">
        <f>IF(K653=1,IF(COUNTIFS($B$2:B653,B653,$I$2:I653,I653,$K$2:K653,1)=1,1,0),0)</f>
        <v/>
      </c>
      <c r="M653">
        <f>IF(Tree!$C$4="once per order",F653*K653,F653)</f>
        <v/>
      </c>
      <c r="N653">
        <f>IF(Tree!$C$4="once per order",K653,1)</f>
        <v/>
      </c>
      <c r="O653">
        <f>IF(Tree!$C$4="once per order",L653,1)</f>
        <v/>
      </c>
    </row>
    <row r="654">
      <c r="A654" t="inlineStr">
        <is>
          <t>KR-00432</t>
        </is>
      </c>
      <c r="B654" t="inlineStr">
        <is>
          <t>C-0111</t>
        </is>
      </c>
      <c r="C654" t="inlineStr">
        <is>
          <t>Retail-Core</t>
        </is>
      </c>
      <c r="D654" t="inlineStr">
        <is>
          <t>app</t>
        </is>
      </c>
      <c r="E654" s="7" t="n">
        <v>46201</v>
      </c>
      <c r="F654" t="n">
        <v>2910</v>
      </c>
      <c r="G654" t="n">
        <v>1164</v>
      </c>
      <c r="H654" t="inlineStr">
        <is>
          <t>2026-06-28</t>
        </is>
      </c>
      <c r="I654">
        <f>IF(MONTH(E654)&lt;=6,"Q1","Q2")</f>
        <v/>
      </c>
      <c r="J654">
        <f>YEAR(E654)*100+MONTH(E654)</f>
        <v/>
      </c>
      <c r="K654">
        <f>IF(COUNTIF($A$2:A654,A654)=1,1,0)</f>
        <v/>
      </c>
      <c r="L654">
        <f>IF(K654=1,IF(COUNTIFS($B$2:B654,B654,$I$2:I654,I654,$K$2:K654,1)=1,1,0),0)</f>
        <v/>
      </c>
      <c r="M654">
        <f>IF(Tree!$C$4="once per order",F654*K654,F654)</f>
        <v/>
      </c>
      <c r="N654">
        <f>IF(Tree!$C$4="once per order",K654,1)</f>
        <v/>
      </c>
      <c r="O654">
        <f>IF(Tree!$C$4="once per order",L654,1)</f>
        <v/>
      </c>
    </row>
    <row r="655">
      <c r="A655" t="inlineStr">
        <is>
          <t>KR-00433</t>
        </is>
      </c>
      <c r="B655" t="inlineStr">
        <is>
          <t>C-0027</t>
        </is>
      </c>
      <c r="C655" t="inlineStr">
        <is>
          <t>Retail-Core</t>
        </is>
      </c>
      <c r="D655" t="inlineStr">
        <is>
          <t>store</t>
        </is>
      </c>
      <c r="E655" s="7" t="n">
        <v>46126</v>
      </c>
      <c r="F655" t="n">
        <v>1920</v>
      </c>
      <c r="G655" t="n">
        <v>1920</v>
      </c>
      <c r="H655" t="inlineStr">
        <is>
          <t>2026-04-16</t>
        </is>
      </c>
      <c r="I655">
        <f>IF(MONTH(E655)&lt;=6,"Q1","Q2")</f>
        <v/>
      </c>
      <c r="J655">
        <f>YEAR(E655)*100+MONTH(E655)</f>
        <v/>
      </c>
      <c r="K655">
        <f>IF(COUNTIF($A$2:A655,A655)=1,1,0)</f>
        <v/>
      </c>
      <c r="L655">
        <f>IF(K655=1,IF(COUNTIFS($B$2:B655,B655,$I$2:I655,I655,$K$2:K655,1)=1,1,0),0)</f>
        <v/>
      </c>
      <c r="M655">
        <f>IF(Tree!$C$4="once per order",F655*K655,F655)</f>
        <v/>
      </c>
      <c r="N655">
        <f>IF(Tree!$C$4="once per order",K655,1)</f>
        <v/>
      </c>
      <c r="O655">
        <f>IF(Tree!$C$4="once per order",L655,1)</f>
        <v/>
      </c>
    </row>
    <row r="656">
      <c r="A656" t="inlineStr">
        <is>
          <t>KR-00434</t>
        </is>
      </c>
      <c r="B656" t="inlineStr">
        <is>
          <t>C-0031</t>
        </is>
      </c>
      <c r="C656" t="inlineStr">
        <is>
          <t>Retail-Core</t>
        </is>
      </c>
      <c r="D656" t="inlineStr">
        <is>
          <t>app</t>
        </is>
      </c>
      <c r="E656" s="7" t="n">
        <v>46153</v>
      </c>
      <c r="F656" t="n">
        <v>1840</v>
      </c>
      <c r="G656" t="n">
        <v>1840</v>
      </c>
      <c r="H656" t="inlineStr">
        <is>
          <t>2026-05-13</t>
        </is>
      </c>
      <c r="I656">
        <f>IF(MONTH(E656)&lt;=6,"Q1","Q2")</f>
        <v/>
      </c>
      <c r="J656">
        <f>YEAR(E656)*100+MONTH(E656)</f>
        <v/>
      </c>
      <c r="K656">
        <f>IF(COUNTIF($A$2:A656,A656)=1,1,0)</f>
        <v/>
      </c>
      <c r="L656">
        <f>IF(K656=1,IF(COUNTIFS($B$2:B656,B656,$I$2:I656,I656,$K$2:K656,1)=1,1,0),0)</f>
        <v/>
      </c>
      <c r="M656">
        <f>IF(Tree!$C$4="once per order",F656*K656,F656)</f>
        <v/>
      </c>
      <c r="N656">
        <f>IF(Tree!$C$4="once per order",K656,1)</f>
        <v/>
      </c>
      <c r="O656">
        <f>IF(Tree!$C$4="once per order",L656,1)</f>
        <v/>
      </c>
    </row>
    <row r="657">
      <c r="A657" t="inlineStr">
        <is>
          <t>KR-00435</t>
        </is>
      </c>
      <c r="B657" t="inlineStr">
        <is>
          <t>C-0023</t>
        </is>
      </c>
      <c r="C657" t="inlineStr">
        <is>
          <t>Retail-Core</t>
        </is>
      </c>
      <c r="D657" t="inlineStr">
        <is>
          <t>web</t>
        </is>
      </c>
      <c r="E657" s="7" t="n">
        <v>46177</v>
      </c>
      <c r="F657" t="n">
        <v>1630</v>
      </c>
      <c r="G657" t="n">
        <v>1630</v>
      </c>
      <c r="H657" t="inlineStr">
        <is>
          <t>2026-06-06</t>
        </is>
      </c>
      <c r="I657">
        <f>IF(MONTH(E657)&lt;=6,"Q1","Q2")</f>
        <v/>
      </c>
      <c r="J657">
        <f>YEAR(E657)*100+MONTH(E657)</f>
        <v/>
      </c>
      <c r="K657">
        <f>IF(COUNTIF($A$2:A657,A657)=1,1,0)</f>
        <v/>
      </c>
      <c r="L657">
        <f>IF(K657=1,IF(COUNTIFS($B$2:B657,B657,$I$2:I657,I657,$K$2:K657,1)=1,1,0),0)</f>
        <v/>
      </c>
      <c r="M657">
        <f>IF(Tree!$C$4="once per order",F657*K657,F657)</f>
        <v/>
      </c>
      <c r="N657">
        <f>IF(Tree!$C$4="once per order",K657,1)</f>
        <v/>
      </c>
      <c r="O657">
        <f>IF(Tree!$C$4="once per order",L657,1)</f>
        <v/>
      </c>
    </row>
    <row r="658">
      <c r="A658" t="inlineStr">
        <is>
          <t>KR-00436</t>
        </is>
      </c>
      <c r="B658" t="inlineStr">
        <is>
          <t>C-0038</t>
        </is>
      </c>
      <c r="C658" t="inlineStr">
        <is>
          <t>Retail-Core</t>
        </is>
      </c>
      <c r="D658" t="inlineStr">
        <is>
          <t>web</t>
        </is>
      </c>
      <c r="E658" s="7" t="n">
        <v>46140</v>
      </c>
      <c r="F658" t="n">
        <v>1090</v>
      </c>
      <c r="G658" t="n">
        <v>1090</v>
      </c>
      <c r="H658" t="inlineStr">
        <is>
          <t>2026-04-28</t>
        </is>
      </c>
      <c r="I658">
        <f>IF(MONTH(E658)&lt;=6,"Q1","Q2")</f>
        <v/>
      </c>
      <c r="J658">
        <f>YEAR(E658)*100+MONTH(E658)</f>
        <v/>
      </c>
      <c r="K658">
        <f>IF(COUNTIF($A$2:A658,A658)=1,1,0)</f>
        <v/>
      </c>
      <c r="L658">
        <f>IF(K658=1,IF(COUNTIFS($B$2:B658,B658,$I$2:I658,I658,$K$2:K658,1)=1,1,0),0)</f>
        <v/>
      </c>
      <c r="M658">
        <f>IF(Tree!$C$4="once per order",F658*K658,F658)</f>
        <v/>
      </c>
      <c r="N658">
        <f>IF(Tree!$C$4="once per order",K658,1)</f>
        <v/>
      </c>
      <c r="O658">
        <f>IF(Tree!$C$4="once per order",L658,1)</f>
        <v/>
      </c>
    </row>
    <row r="659">
      <c r="A659" t="inlineStr">
        <is>
          <t>KR-00437</t>
        </is>
      </c>
      <c r="B659" t="inlineStr">
        <is>
          <t>C-0026</t>
        </is>
      </c>
      <c r="C659" t="inlineStr">
        <is>
          <t>Retail-Core</t>
        </is>
      </c>
      <c r="D659" t="inlineStr">
        <is>
          <t>app</t>
        </is>
      </c>
      <c r="E659" s="7" t="n">
        <v>46165</v>
      </c>
      <c r="F659" t="n">
        <v>2500</v>
      </c>
      <c r="G659" t="n">
        <v>2500</v>
      </c>
      <c r="H659" t="inlineStr">
        <is>
          <t>2026-05-25</t>
        </is>
      </c>
      <c r="I659">
        <f>IF(MONTH(E659)&lt;=6,"Q1","Q2")</f>
        <v/>
      </c>
      <c r="J659">
        <f>YEAR(E659)*100+MONTH(E659)</f>
        <v/>
      </c>
      <c r="K659">
        <f>IF(COUNTIF($A$2:A659,A659)=1,1,0)</f>
        <v/>
      </c>
      <c r="L659">
        <f>IF(K659=1,IF(COUNTIFS($B$2:B659,B659,$I$2:I659,I659,$K$2:K659,1)=1,1,0),0)</f>
        <v/>
      </c>
      <c r="M659">
        <f>IF(Tree!$C$4="once per order",F659*K659,F659)</f>
        <v/>
      </c>
      <c r="N659">
        <f>IF(Tree!$C$4="once per order",K659,1)</f>
        <v/>
      </c>
      <c r="O659">
        <f>IF(Tree!$C$4="once per order",L659,1)</f>
        <v/>
      </c>
    </row>
    <row r="660">
      <c r="A660" t="inlineStr">
        <is>
          <t>KR-00438</t>
        </is>
      </c>
      <c r="B660" t="inlineStr">
        <is>
          <t>C-0012</t>
        </is>
      </c>
      <c r="C660" t="inlineStr">
        <is>
          <t>Retail-Core</t>
        </is>
      </c>
      <c r="D660" t="inlineStr">
        <is>
          <t>app</t>
        </is>
      </c>
      <c r="E660" s="7" t="n">
        <v>46177</v>
      </c>
      <c r="F660" t="n">
        <v>1800</v>
      </c>
      <c r="G660" t="n">
        <v>1800</v>
      </c>
      <c r="H660" t="inlineStr">
        <is>
          <t>2026-06-06</t>
        </is>
      </c>
      <c r="I660">
        <f>IF(MONTH(E660)&lt;=6,"Q1","Q2")</f>
        <v/>
      </c>
      <c r="J660">
        <f>YEAR(E660)*100+MONTH(E660)</f>
        <v/>
      </c>
      <c r="K660">
        <f>IF(COUNTIF($A$2:A660,A660)=1,1,0)</f>
        <v/>
      </c>
      <c r="L660">
        <f>IF(K660=1,IF(COUNTIFS($B$2:B660,B660,$I$2:I660,I660,$K$2:K660,1)=1,1,0),0)</f>
        <v/>
      </c>
      <c r="M660">
        <f>IF(Tree!$C$4="once per order",F660*K660,F660)</f>
        <v/>
      </c>
      <c r="N660">
        <f>IF(Tree!$C$4="once per order",K660,1)</f>
        <v/>
      </c>
      <c r="O660">
        <f>IF(Tree!$C$4="once per order",L660,1)</f>
        <v/>
      </c>
    </row>
    <row r="661">
      <c r="A661" t="inlineStr">
        <is>
          <t>KR-00439</t>
        </is>
      </c>
      <c r="B661" t="inlineStr">
        <is>
          <t>C-0051</t>
        </is>
      </c>
      <c r="C661" t="inlineStr">
        <is>
          <t>Retail-Core</t>
        </is>
      </c>
      <c r="D661" t="inlineStr">
        <is>
          <t>web</t>
        </is>
      </c>
      <c r="E661" s="7" t="n">
        <v>46127</v>
      </c>
      <c r="F661" t="n">
        <v>1960</v>
      </c>
      <c r="G661" t="n">
        <v>1960</v>
      </c>
      <c r="H661" t="inlineStr">
        <is>
          <t>2026-04-17</t>
        </is>
      </c>
      <c r="I661">
        <f>IF(MONTH(E661)&lt;=6,"Q1","Q2")</f>
        <v/>
      </c>
      <c r="J661">
        <f>YEAR(E661)*100+MONTH(E661)</f>
        <v/>
      </c>
      <c r="K661">
        <f>IF(COUNTIF($A$2:A661,A661)=1,1,0)</f>
        <v/>
      </c>
      <c r="L661">
        <f>IF(K661=1,IF(COUNTIFS($B$2:B661,B661,$I$2:I661,I661,$K$2:K661,1)=1,1,0),0)</f>
        <v/>
      </c>
      <c r="M661">
        <f>IF(Tree!$C$4="once per order",F661*K661,F661)</f>
        <v/>
      </c>
      <c r="N661">
        <f>IF(Tree!$C$4="once per order",K661,1)</f>
        <v/>
      </c>
      <c r="O661">
        <f>IF(Tree!$C$4="once per order",L661,1)</f>
        <v/>
      </c>
    </row>
    <row r="662">
      <c r="A662" t="inlineStr">
        <is>
          <t>KR-00440</t>
        </is>
      </c>
      <c r="B662" t="inlineStr">
        <is>
          <t>C-0020</t>
        </is>
      </c>
      <c r="C662" t="inlineStr">
        <is>
          <t>Retail-Core</t>
        </is>
      </c>
      <c r="D662" t="inlineStr">
        <is>
          <t>app</t>
        </is>
      </c>
      <c r="E662" s="7" t="n">
        <v>46161</v>
      </c>
      <c r="F662" t="n">
        <v>850</v>
      </c>
      <c r="G662" t="n">
        <v>850</v>
      </c>
      <c r="H662" t="inlineStr">
        <is>
          <t>2026-05-21</t>
        </is>
      </c>
      <c r="I662">
        <f>IF(MONTH(E662)&lt;=6,"Q1","Q2")</f>
        <v/>
      </c>
      <c r="J662">
        <f>YEAR(E662)*100+MONTH(E662)</f>
        <v/>
      </c>
      <c r="K662">
        <f>IF(COUNTIF($A$2:A662,A662)=1,1,0)</f>
        <v/>
      </c>
      <c r="L662">
        <f>IF(K662=1,IF(COUNTIFS($B$2:B662,B662,$I$2:I662,I662,$K$2:K662,1)=1,1,0),0)</f>
        <v/>
      </c>
      <c r="M662">
        <f>IF(Tree!$C$4="once per order",F662*K662,F662)</f>
        <v/>
      </c>
      <c r="N662">
        <f>IF(Tree!$C$4="once per order",K662,1)</f>
        <v/>
      </c>
      <c r="O662">
        <f>IF(Tree!$C$4="once per order",L662,1)</f>
        <v/>
      </c>
    </row>
    <row r="663">
      <c r="A663" t="inlineStr">
        <is>
          <t>KR-00440</t>
        </is>
      </c>
      <c r="B663" t="inlineStr">
        <is>
          <t>C-0020</t>
        </is>
      </c>
      <c r="C663" t="inlineStr">
        <is>
          <t>Retail-Core</t>
        </is>
      </c>
      <c r="D663" t="inlineStr">
        <is>
          <t>app</t>
        </is>
      </c>
      <c r="E663" s="7" t="n">
        <v>46161</v>
      </c>
      <c r="F663" t="n">
        <v>850</v>
      </c>
      <c r="G663" t="n">
        <v>850</v>
      </c>
      <c r="H663" t="inlineStr">
        <is>
          <t>2026-05-21</t>
        </is>
      </c>
      <c r="I663">
        <f>IF(MONTH(E663)&lt;=6,"Q1","Q2")</f>
        <v/>
      </c>
      <c r="J663">
        <f>YEAR(E663)*100+MONTH(E663)</f>
        <v/>
      </c>
      <c r="K663">
        <f>IF(COUNTIF($A$2:A663,A663)=1,1,0)</f>
        <v/>
      </c>
      <c r="L663">
        <f>IF(K663=1,IF(COUNTIFS($B$2:B663,B663,$I$2:I663,I663,$K$2:K663,1)=1,1,0),0)</f>
        <v/>
      </c>
      <c r="M663">
        <f>IF(Tree!$C$4="once per order",F663*K663,F663)</f>
        <v/>
      </c>
      <c r="N663">
        <f>IF(Tree!$C$4="once per order",K663,1)</f>
        <v/>
      </c>
      <c r="O663">
        <f>IF(Tree!$C$4="once per order",L663,1)</f>
        <v/>
      </c>
    </row>
    <row r="664">
      <c r="A664" t="inlineStr">
        <is>
          <t>KR-00441</t>
        </is>
      </c>
      <c r="B664" t="inlineStr">
        <is>
          <t>C-0102</t>
        </is>
      </c>
      <c r="C664" t="inlineStr">
        <is>
          <t>Retail-Core</t>
        </is>
      </c>
      <c r="D664" t="inlineStr">
        <is>
          <t>app</t>
        </is>
      </c>
      <c r="E664" s="7" t="n">
        <v>46180</v>
      </c>
      <c r="F664" t="n">
        <v>2190</v>
      </c>
      <c r="G664" t="n">
        <v>2190</v>
      </c>
      <c r="H664" t="inlineStr">
        <is>
          <t>2026-06-09</t>
        </is>
      </c>
      <c r="I664">
        <f>IF(MONTH(E664)&lt;=6,"Q1","Q2")</f>
        <v/>
      </c>
      <c r="J664">
        <f>YEAR(E664)*100+MONTH(E664)</f>
        <v/>
      </c>
      <c r="K664">
        <f>IF(COUNTIF($A$2:A664,A664)=1,1,0)</f>
        <v/>
      </c>
      <c r="L664">
        <f>IF(K664=1,IF(COUNTIFS($B$2:B664,B664,$I$2:I664,I664,$K$2:K664,1)=1,1,0),0)</f>
        <v/>
      </c>
      <c r="M664">
        <f>IF(Tree!$C$4="once per order",F664*K664,F664)</f>
        <v/>
      </c>
      <c r="N664">
        <f>IF(Tree!$C$4="once per order",K664,1)</f>
        <v/>
      </c>
      <c r="O664">
        <f>IF(Tree!$C$4="once per order",L664,1)</f>
        <v/>
      </c>
    </row>
    <row r="665">
      <c r="A665" t="inlineStr">
        <is>
          <t>KR-00442</t>
        </is>
      </c>
      <c r="B665" t="inlineStr">
        <is>
          <t>C-0100</t>
        </is>
      </c>
      <c r="C665" t="inlineStr">
        <is>
          <t>Retail-Core</t>
        </is>
      </c>
      <c r="D665" t="inlineStr">
        <is>
          <t>app</t>
        </is>
      </c>
      <c r="E665" s="7" t="n">
        <v>46140</v>
      </c>
      <c r="F665" t="n">
        <v>2240</v>
      </c>
      <c r="G665" t="n">
        <v>2240</v>
      </c>
      <c r="H665" t="inlineStr">
        <is>
          <t>2026-04-28</t>
        </is>
      </c>
      <c r="I665">
        <f>IF(MONTH(E665)&lt;=6,"Q1","Q2")</f>
        <v/>
      </c>
      <c r="J665">
        <f>YEAR(E665)*100+MONTH(E665)</f>
        <v/>
      </c>
      <c r="K665">
        <f>IF(COUNTIF($A$2:A665,A665)=1,1,0)</f>
        <v/>
      </c>
      <c r="L665">
        <f>IF(K665=1,IF(COUNTIFS($B$2:B665,B665,$I$2:I665,I665,$K$2:K665,1)=1,1,0),0)</f>
        <v/>
      </c>
      <c r="M665">
        <f>IF(Tree!$C$4="once per order",F665*K665,F665)</f>
        <v/>
      </c>
      <c r="N665">
        <f>IF(Tree!$C$4="once per order",K665,1)</f>
        <v/>
      </c>
      <c r="O665">
        <f>IF(Tree!$C$4="once per order",L665,1)</f>
        <v/>
      </c>
    </row>
    <row r="666">
      <c r="A666" t="inlineStr">
        <is>
          <t>KR-00443</t>
        </is>
      </c>
      <c r="B666" t="inlineStr">
        <is>
          <t>C-0073</t>
        </is>
      </c>
      <c r="C666" t="inlineStr">
        <is>
          <t>Retail-Core</t>
        </is>
      </c>
      <c r="D666" t="inlineStr">
        <is>
          <t>web</t>
        </is>
      </c>
      <c r="E666" s="7" t="n">
        <v>46156</v>
      </c>
      <c r="F666" t="n">
        <v>1460</v>
      </c>
      <c r="G666" t="n">
        <v>1460</v>
      </c>
      <c r="H666" t="inlineStr">
        <is>
          <t>2026-05-16</t>
        </is>
      </c>
      <c r="I666">
        <f>IF(MONTH(E666)&lt;=6,"Q1","Q2")</f>
        <v/>
      </c>
      <c r="J666">
        <f>YEAR(E666)*100+MONTH(E666)</f>
        <v/>
      </c>
      <c r="K666">
        <f>IF(COUNTIF($A$2:A666,A666)=1,1,0)</f>
        <v/>
      </c>
      <c r="L666">
        <f>IF(K666=1,IF(COUNTIFS($B$2:B666,B666,$I$2:I666,I666,$K$2:K666,1)=1,1,0),0)</f>
        <v/>
      </c>
      <c r="M666">
        <f>IF(Tree!$C$4="once per order",F666*K666,F666)</f>
        <v/>
      </c>
      <c r="N666">
        <f>IF(Tree!$C$4="once per order",K666,1)</f>
        <v/>
      </c>
      <c r="O666">
        <f>IF(Tree!$C$4="once per order",L666,1)</f>
        <v/>
      </c>
    </row>
    <row r="667">
      <c r="A667" t="inlineStr">
        <is>
          <t>KR-00444</t>
        </is>
      </c>
      <c r="B667" t="inlineStr">
        <is>
          <t>C-0110</t>
        </is>
      </c>
      <c r="C667" t="inlineStr">
        <is>
          <t>Retail-Core</t>
        </is>
      </c>
      <c r="D667" t="inlineStr">
        <is>
          <t>web</t>
        </is>
      </c>
      <c r="E667" s="7" t="n">
        <v>46187</v>
      </c>
      <c r="F667" t="n">
        <v>1310</v>
      </c>
      <c r="G667" t="n">
        <v>1310</v>
      </c>
      <c r="H667" t="inlineStr">
        <is>
          <t>2026-06-16</t>
        </is>
      </c>
      <c r="I667">
        <f>IF(MONTH(E667)&lt;=6,"Q1","Q2")</f>
        <v/>
      </c>
      <c r="J667">
        <f>YEAR(E667)*100+MONTH(E667)</f>
        <v/>
      </c>
      <c r="K667">
        <f>IF(COUNTIF($A$2:A667,A667)=1,1,0)</f>
        <v/>
      </c>
      <c r="L667">
        <f>IF(K667=1,IF(COUNTIFS($B$2:B667,B667,$I$2:I667,I667,$K$2:K667,1)=1,1,0),0)</f>
        <v/>
      </c>
      <c r="M667">
        <f>IF(Tree!$C$4="once per order",F667*K667,F667)</f>
        <v/>
      </c>
      <c r="N667">
        <f>IF(Tree!$C$4="once per order",K667,1)</f>
        <v/>
      </c>
      <c r="O667">
        <f>IF(Tree!$C$4="once per order",L667,1)</f>
        <v/>
      </c>
    </row>
    <row r="668">
      <c r="A668" t="inlineStr">
        <is>
          <t>KR-00445</t>
        </is>
      </c>
      <c r="B668" t="inlineStr">
        <is>
          <t>C-0146</t>
        </is>
      </c>
      <c r="C668" t="inlineStr">
        <is>
          <t>Retail-Core</t>
        </is>
      </c>
      <c r="D668" t="inlineStr">
        <is>
          <t>web</t>
        </is>
      </c>
      <c r="E668" s="7" t="n">
        <v>46119</v>
      </c>
      <c r="F668" t="n">
        <v>2130</v>
      </c>
      <c r="G668" t="n">
        <v>2130</v>
      </c>
      <c r="H668" t="inlineStr">
        <is>
          <t>2026-04-09</t>
        </is>
      </c>
      <c r="I668">
        <f>IF(MONTH(E668)&lt;=6,"Q1","Q2")</f>
        <v/>
      </c>
      <c r="J668">
        <f>YEAR(E668)*100+MONTH(E668)</f>
        <v/>
      </c>
      <c r="K668">
        <f>IF(COUNTIF($A$2:A668,A668)=1,1,0)</f>
        <v/>
      </c>
      <c r="L668">
        <f>IF(K668=1,IF(COUNTIFS($B$2:B668,B668,$I$2:I668,I668,$K$2:K668,1)=1,1,0),0)</f>
        <v/>
      </c>
      <c r="M668">
        <f>IF(Tree!$C$4="once per order",F668*K668,F668)</f>
        <v/>
      </c>
      <c r="N668">
        <f>IF(Tree!$C$4="once per order",K668,1)</f>
        <v/>
      </c>
      <c r="O668">
        <f>IF(Tree!$C$4="once per order",L668,1)</f>
        <v/>
      </c>
    </row>
    <row r="669">
      <c r="A669" t="inlineStr">
        <is>
          <t>KR-00446</t>
        </is>
      </c>
      <c r="B669" t="inlineStr">
        <is>
          <t>C-0019</t>
        </is>
      </c>
      <c r="C669" t="inlineStr">
        <is>
          <t>Retail-Core</t>
        </is>
      </c>
      <c r="D669" t="inlineStr">
        <is>
          <t>web</t>
        </is>
      </c>
      <c r="E669" s="7" t="n">
        <v>46167</v>
      </c>
      <c r="F669" t="n">
        <v>1120</v>
      </c>
      <c r="G669" t="n">
        <v>1120</v>
      </c>
      <c r="H669" t="inlineStr">
        <is>
          <t>2026-05-27</t>
        </is>
      </c>
      <c r="I669">
        <f>IF(MONTH(E669)&lt;=6,"Q1","Q2")</f>
        <v/>
      </c>
      <c r="J669">
        <f>YEAR(E669)*100+MONTH(E669)</f>
        <v/>
      </c>
      <c r="K669">
        <f>IF(COUNTIF($A$2:A669,A669)=1,1,0)</f>
        <v/>
      </c>
      <c r="L669">
        <f>IF(K669=1,IF(COUNTIFS($B$2:B669,B669,$I$2:I669,I669,$K$2:K669,1)=1,1,0),0)</f>
        <v/>
      </c>
      <c r="M669">
        <f>IF(Tree!$C$4="once per order",F669*K669,F669)</f>
        <v/>
      </c>
      <c r="N669">
        <f>IF(Tree!$C$4="once per order",K669,1)</f>
        <v/>
      </c>
      <c r="O669">
        <f>IF(Tree!$C$4="once per order",L669,1)</f>
        <v/>
      </c>
    </row>
    <row r="670">
      <c r="A670" t="inlineStr">
        <is>
          <t>KR-00447</t>
        </is>
      </c>
      <c r="B670" t="inlineStr">
        <is>
          <t>C-0003</t>
        </is>
      </c>
      <c r="C670" t="inlineStr">
        <is>
          <t>Retail-Core</t>
        </is>
      </c>
      <c r="D670" t="inlineStr">
        <is>
          <t>web</t>
        </is>
      </c>
      <c r="E670" s="7" t="n">
        <v>46178</v>
      </c>
      <c r="F670" t="n">
        <v>990</v>
      </c>
      <c r="G670" t="n">
        <v>990</v>
      </c>
      <c r="H670" t="inlineStr">
        <is>
          <t>2026-06-07</t>
        </is>
      </c>
      <c r="I670">
        <f>IF(MONTH(E670)&lt;=6,"Q1","Q2")</f>
        <v/>
      </c>
      <c r="J670">
        <f>YEAR(E670)*100+MONTH(E670)</f>
        <v/>
      </c>
      <c r="K670">
        <f>IF(COUNTIF($A$2:A670,A670)=1,1,0)</f>
        <v/>
      </c>
      <c r="L670">
        <f>IF(K670=1,IF(COUNTIFS($B$2:B670,B670,$I$2:I670,I670,$K$2:K670,1)=1,1,0),0)</f>
        <v/>
      </c>
      <c r="M670">
        <f>IF(Tree!$C$4="once per order",F670*K670,F670)</f>
        <v/>
      </c>
      <c r="N670">
        <f>IF(Tree!$C$4="once per order",K670,1)</f>
        <v/>
      </c>
      <c r="O670">
        <f>IF(Tree!$C$4="once per order",L670,1)</f>
        <v/>
      </c>
    </row>
    <row r="671">
      <c r="A671" t="inlineStr">
        <is>
          <t>KR-00448</t>
        </is>
      </c>
      <c r="B671" t="inlineStr">
        <is>
          <t>C-0104</t>
        </is>
      </c>
      <c r="C671" t="inlineStr">
        <is>
          <t>Retail-Core</t>
        </is>
      </c>
      <c r="D671" t="inlineStr">
        <is>
          <t>web</t>
        </is>
      </c>
      <c r="E671" s="7" t="n">
        <v>46128</v>
      </c>
      <c r="F671" t="n">
        <v>2670</v>
      </c>
      <c r="G671" t="n">
        <v>2670</v>
      </c>
      <c r="H671" t="inlineStr">
        <is>
          <t>2026-04-18</t>
        </is>
      </c>
      <c r="I671">
        <f>IF(MONTH(E671)&lt;=6,"Q1","Q2")</f>
        <v/>
      </c>
      <c r="J671">
        <f>YEAR(E671)*100+MONTH(E671)</f>
        <v/>
      </c>
      <c r="K671">
        <f>IF(COUNTIF($A$2:A671,A671)=1,1,0)</f>
        <v/>
      </c>
      <c r="L671">
        <f>IF(K671=1,IF(COUNTIFS($B$2:B671,B671,$I$2:I671,I671,$K$2:K671,1)=1,1,0),0)</f>
        <v/>
      </c>
      <c r="M671">
        <f>IF(Tree!$C$4="once per order",F671*K671,F671)</f>
        <v/>
      </c>
      <c r="N671">
        <f>IF(Tree!$C$4="once per order",K671,1)</f>
        <v/>
      </c>
      <c r="O671">
        <f>IF(Tree!$C$4="once per order",L671,1)</f>
        <v/>
      </c>
    </row>
    <row r="672">
      <c r="A672" t="inlineStr">
        <is>
          <t>KR-00449</t>
        </is>
      </c>
      <c r="B672" t="inlineStr">
        <is>
          <t>C-0035</t>
        </is>
      </c>
      <c r="C672" t="inlineStr">
        <is>
          <t>Retail-Core</t>
        </is>
      </c>
      <c r="D672" t="inlineStr">
        <is>
          <t>app</t>
        </is>
      </c>
      <c r="E672" s="7" t="n">
        <v>46150</v>
      </c>
      <c r="F672" t="n">
        <v>2150</v>
      </c>
      <c r="G672" t="n">
        <v>2150</v>
      </c>
      <c r="H672" t="inlineStr">
        <is>
          <t>2026-05-10</t>
        </is>
      </c>
      <c r="I672">
        <f>IF(MONTH(E672)&lt;=6,"Q1","Q2")</f>
        <v/>
      </c>
      <c r="J672">
        <f>YEAR(E672)*100+MONTH(E672)</f>
        <v/>
      </c>
      <c r="K672">
        <f>IF(COUNTIF($A$2:A672,A672)=1,1,0)</f>
        <v/>
      </c>
      <c r="L672">
        <f>IF(K672=1,IF(COUNTIFS($B$2:B672,B672,$I$2:I672,I672,$K$2:K672,1)=1,1,0),0)</f>
        <v/>
      </c>
      <c r="M672">
        <f>IF(Tree!$C$4="once per order",F672*K672,F672)</f>
        <v/>
      </c>
      <c r="N672">
        <f>IF(Tree!$C$4="once per order",K672,1)</f>
        <v/>
      </c>
      <c r="O672">
        <f>IF(Tree!$C$4="once per order",L672,1)</f>
        <v/>
      </c>
    </row>
    <row r="673">
      <c r="A673" t="inlineStr">
        <is>
          <t>KR-00450</t>
        </is>
      </c>
      <c r="B673" t="inlineStr">
        <is>
          <t>C-0047</t>
        </is>
      </c>
      <c r="C673" t="inlineStr">
        <is>
          <t>Retail-Core</t>
        </is>
      </c>
      <c r="D673" t="inlineStr">
        <is>
          <t>app</t>
        </is>
      </c>
      <c r="E673" s="7" t="n">
        <v>46187</v>
      </c>
      <c r="F673" t="n">
        <v>2760</v>
      </c>
      <c r="G673" t="n">
        <v>2760</v>
      </c>
      <c r="H673" t="inlineStr">
        <is>
          <t>2026-06-16</t>
        </is>
      </c>
      <c r="I673">
        <f>IF(MONTH(E673)&lt;=6,"Q1","Q2")</f>
        <v/>
      </c>
      <c r="J673">
        <f>YEAR(E673)*100+MONTH(E673)</f>
        <v/>
      </c>
      <c r="K673">
        <f>IF(COUNTIF($A$2:A673,A673)=1,1,0)</f>
        <v/>
      </c>
      <c r="L673">
        <f>IF(K673=1,IF(COUNTIFS($B$2:B673,B673,$I$2:I673,I673,$K$2:K673,1)=1,1,0),0)</f>
        <v/>
      </c>
      <c r="M673">
        <f>IF(Tree!$C$4="once per order",F673*K673,F673)</f>
        <v/>
      </c>
      <c r="N673">
        <f>IF(Tree!$C$4="once per order",K673,1)</f>
        <v/>
      </c>
      <c r="O673">
        <f>IF(Tree!$C$4="once per order",L673,1)</f>
        <v/>
      </c>
    </row>
    <row r="674">
      <c r="A674" t="inlineStr">
        <is>
          <t>KR-00451</t>
        </is>
      </c>
      <c r="B674" t="inlineStr">
        <is>
          <t>C-0125</t>
        </is>
      </c>
      <c r="C674" t="inlineStr">
        <is>
          <t>Retail-Core</t>
        </is>
      </c>
      <c r="D674" t="inlineStr">
        <is>
          <t>web</t>
        </is>
      </c>
      <c r="E674" s="7" t="n">
        <v>46129</v>
      </c>
      <c r="F674" t="n">
        <v>820</v>
      </c>
      <c r="G674" t="n">
        <v>820</v>
      </c>
      <c r="H674" t="inlineStr">
        <is>
          <t>2026-04-19</t>
        </is>
      </c>
      <c r="I674">
        <f>IF(MONTH(E674)&lt;=6,"Q1","Q2")</f>
        <v/>
      </c>
      <c r="J674">
        <f>YEAR(E674)*100+MONTH(E674)</f>
        <v/>
      </c>
      <c r="K674">
        <f>IF(COUNTIF($A$2:A674,A674)=1,1,0)</f>
        <v/>
      </c>
      <c r="L674">
        <f>IF(K674=1,IF(COUNTIFS($B$2:B674,B674,$I$2:I674,I674,$K$2:K674,1)=1,1,0),0)</f>
        <v/>
      </c>
      <c r="M674">
        <f>IF(Tree!$C$4="once per order",F674*K674,F674)</f>
        <v/>
      </c>
      <c r="N674">
        <f>IF(Tree!$C$4="once per order",K674,1)</f>
        <v/>
      </c>
      <c r="O674">
        <f>IF(Tree!$C$4="once per order",L674,1)</f>
        <v/>
      </c>
    </row>
    <row r="675">
      <c r="A675" t="inlineStr">
        <is>
          <t>KR-00451</t>
        </is>
      </c>
      <c r="B675" t="inlineStr">
        <is>
          <t>C-0125</t>
        </is>
      </c>
      <c r="C675" t="inlineStr">
        <is>
          <t>Retail-Core</t>
        </is>
      </c>
      <c r="D675" t="inlineStr">
        <is>
          <t>web</t>
        </is>
      </c>
      <c r="E675" s="7" t="n">
        <v>46129</v>
      </c>
      <c r="F675" t="n">
        <v>820</v>
      </c>
      <c r="G675" t="n">
        <v>820</v>
      </c>
      <c r="H675" t="inlineStr">
        <is>
          <t>2026-04-19</t>
        </is>
      </c>
      <c r="I675">
        <f>IF(MONTH(E675)&lt;=6,"Q1","Q2")</f>
        <v/>
      </c>
      <c r="J675">
        <f>YEAR(E675)*100+MONTH(E675)</f>
        <v/>
      </c>
      <c r="K675">
        <f>IF(COUNTIF($A$2:A675,A675)=1,1,0)</f>
        <v/>
      </c>
      <c r="L675">
        <f>IF(K675=1,IF(COUNTIFS($B$2:B675,B675,$I$2:I675,I675,$K$2:K675,1)=1,1,0),0)</f>
        <v/>
      </c>
      <c r="M675">
        <f>IF(Tree!$C$4="once per order",F675*K675,F675)</f>
        <v/>
      </c>
      <c r="N675">
        <f>IF(Tree!$C$4="once per order",K675,1)</f>
        <v/>
      </c>
      <c r="O675">
        <f>IF(Tree!$C$4="once per order",L675,1)</f>
        <v/>
      </c>
    </row>
    <row r="676">
      <c r="A676" t="inlineStr">
        <is>
          <t>KR-00452</t>
        </is>
      </c>
      <c r="B676" t="inlineStr">
        <is>
          <t>C-0025</t>
        </is>
      </c>
      <c r="C676" t="inlineStr">
        <is>
          <t>Retail-Core</t>
        </is>
      </c>
      <c r="D676" t="inlineStr">
        <is>
          <t>store</t>
        </is>
      </c>
      <c r="E676" s="7" t="n">
        <v>46147</v>
      </c>
      <c r="F676" t="n">
        <v>2340</v>
      </c>
      <c r="G676" t="n">
        <v>2340</v>
      </c>
      <c r="H676" t="inlineStr">
        <is>
          <t>2026-05-07</t>
        </is>
      </c>
      <c r="I676">
        <f>IF(MONTH(E676)&lt;=6,"Q1","Q2")</f>
        <v/>
      </c>
      <c r="J676">
        <f>YEAR(E676)*100+MONTH(E676)</f>
        <v/>
      </c>
      <c r="K676">
        <f>IF(COUNTIF($A$2:A676,A676)=1,1,0)</f>
        <v/>
      </c>
      <c r="L676">
        <f>IF(K676=1,IF(COUNTIFS($B$2:B676,B676,$I$2:I676,I676,$K$2:K676,1)=1,1,0),0)</f>
        <v/>
      </c>
      <c r="M676">
        <f>IF(Tree!$C$4="once per order",F676*K676,F676)</f>
        <v/>
      </c>
      <c r="N676">
        <f>IF(Tree!$C$4="once per order",K676,1)</f>
        <v/>
      </c>
      <c r="O676">
        <f>IF(Tree!$C$4="once per order",L676,1)</f>
        <v/>
      </c>
    </row>
    <row r="677">
      <c r="A677" t="inlineStr">
        <is>
          <t>KR-00453</t>
        </is>
      </c>
      <c r="B677" t="inlineStr">
        <is>
          <t>C-0020</t>
        </is>
      </c>
      <c r="C677" t="inlineStr">
        <is>
          <t>Retail-Core</t>
        </is>
      </c>
      <c r="D677" t="inlineStr">
        <is>
          <t>app</t>
        </is>
      </c>
      <c r="E677" s="7" t="n">
        <v>46195</v>
      </c>
      <c r="F677" t="n">
        <v>2930</v>
      </c>
      <c r="G677" t="n">
        <v>1758</v>
      </c>
      <c r="H677" t="inlineStr">
        <is>
          <t>2026-06-24</t>
        </is>
      </c>
      <c r="I677">
        <f>IF(MONTH(E677)&lt;=6,"Q1","Q2")</f>
        <v/>
      </c>
      <c r="J677">
        <f>YEAR(E677)*100+MONTH(E677)</f>
        <v/>
      </c>
      <c r="K677">
        <f>IF(COUNTIF($A$2:A677,A677)=1,1,0)</f>
        <v/>
      </c>
      <c r="L677">
        <f>IF(K677=1,IF(COUNTIFS($B$2:B677,B677,$I$2:I677,I677,$K$2:K677,1)=1,1,0),0)</f>
        <v/>
      </c>
      <c r="M677">
        <f>IF(Tree!$C$4="once per order",F677*K677,F677)</f>
        <v/>
      </c>
      <c r="N677">
        <f>IF(Tree!$C$4="once per order",K677,1)</f>
        <v/>
      </c>
      <c r="O677">
        <f>IF(Tree!$C$4="once per order",L677,1)</f>
        <v/>
      </c>
    </row>
    <row r="678">
      <c r="A678" t="inlineStr">
        <is>
          <t>KR-00453</t>
        </is>
      </c>
      <c r="B678" t="inlineStr">
        <is>
          <t>C-0020</t>
        </is>
      </c>
      <c r="C678" t="inlineStr">
        <is>
          <t>Retail-Core</t>
        </is>
      </c>
      <c r="D678" t="inlineStr">
        <is>
          <t>app</t>
        </is>
      </c>
      <c r="E678" s="7" t="n">
        <v>46195</v>
      </c>
      <c r="F678" t="n">
        <v>2930</v>
      </c>
      <c r="G678" t="n">
        <v>1172</v>
      </c>
      <c r="H678" t="inlineStr">
        <is>
          <t>2026-06-24</t>
        </is>
      </c>
      <c r="I678">
        <f>IF(MONTH(E678)&lt;=6,"Q1","Q2")</f>
        <v/>
      </c>
      <c r="J678">
        <f>YEAR(E678)*100+MONTH(E678)</f>
        <v/>
      </c>
      <c r="K678">
        <f>IF(COUNTIF($A$2:A678,A678)=1,1,0)</f>
        <v/>
      </c>
      <c r="L678">
        <f>IF(K678=1,IF(COUNTIFS($B$2:B678,B678,$I$2:I678,I678,$K$2:K678,1)=1,1,0),0)</f>
        <v/>
      </c>
      <c r="M678">
        <f>IF(Tree!$C$4="once per order",F678*K678,F678)</f>
        <v/>
      </c>
      <c r="N678">
        <f>IF(Tree!$C$4="once per order",K678,1)</f>
        <v/>
      </c>
      <c r="O678">
        <f>IF(Tree!$C$4="once per order",L678,1)</f>
        <v/>
      </c>
    </row>
    <row r="679">
      <c r="A679" t="inlineStr">
        <is>
          <t>KR-00454</t>
        </is>
      </c>
      <c r="B679" t="inlineStr">
        <is>
          <t>C-0007</t>
        </is>
      </c>
      <c r="C679" t="inlineStr">
        <is>
          <t>Retail-Core</t>
        </is>
      </c>
      <c r="D679" t="inlineStr">
        <is>
          <t>store</t>
        </is>
      </c>
      <c r="E679" s="7" t="n">
        <v>46127</v>
      </c>
      <c r="F679" t="n">
        <v>2230</v>
      </c>
      <c r="G679" t="n">
        <v>2230</v>
      </c>
      <c r="H679" t="inlineStr">
        <is>
          <t>2026-04-17</t>
        </is>
      </c>
      <c r="I679">
        <f>IF(MONTH(E679)&lt;=6,"Q1","Q2")</f>
        <v/>
      </c>
      <c r="J679">
        <f>YEAR(E679)*100+MONTH(E679)</f>
        <v/>
      </c>
      <c r="K679">
        <f>IF(COUNTIF($A$2:A679,A679)=1,1,0)</f>
        <v/>
      </c>
      <c r="L679">
        <f>IF(K679=1,IF(COUNTIFS($B$2:B679,B679,$I$2:I679,I679,$K$2:K679,1)=1,1,0),0)</f>
        <v/>
      </c>
      <c r="M679">
        <f>IF(Tree!$C$4="once per order",F679*K679,F679)</f>
        <v/>
      </c>
      <c r="N679">
        <f>IF(Tree!$C$4="once per order",K679,1)</f>
        <v/>
      </c>
      <c r="O679">
        <f>IF(Tree!$C$4="once per order",L679,1)</f>
        <v/>
      </c>
    </row>
    <row r="680">
      <c r="A680" t="inlineStr">
        <is>
          <t>KR-00455</t>
        </is>
      </c>
      <c r="B680" t="inlineStr">
        <is>
          <t>C-0025</t>
        </is>
      </c>
      <c r="C680" t="inlineStr">
        <is>
          <t>Retail-Core</t>
        </is>
      </c>
      <c r="D680" t="inlineStr">
        <is>
          <t>store</t>
        </is>
      </c>
      <c r="E680" s="7" t="n">
        <v>46152</v>
      </c>
      <c r="F680" t="n">
        <v>2420</v>
      </c>
      <c r="G680" t="n">
        <v>2420</v>
      </c>
      <c r="H680" t="inlineStr">
        <is>
          <t>2026-05-12</t>
        </is>
      </c>
      <c r="I680">
        <f>IF(MONTH(E680)&lt;=6,"Q1","Q2")</f>
        <v/>
      </c>
      <c r="J680">
        <f>YEAR(E680)*100+MONTH(E680)</f>
        <v/>
      </c>
      <c r="K680">
        <f>IF(COUNTIF($A$2:A680,A680)=1,1,0)</f>
        <v/>
      </c>
      <c r="L680">
        <f>IF(K680=1,IF(COUNTIFS($B$2:B680,B680,$I$2:I680,I680,$K$2:K680,1)=1,1,0),0)</f>
        <v/>
      </c>
      <c r="M680">
        <f>IF(Tree!$C$4="once per order",F680*K680,F680)</f>
        <v/>
      </c>
      <c r="N680">
        <f>IF(Tree!$C$4="once per order",K680,1)</f>
        <v/>
      </c>
      <c r="O680">
        <f>IF(Tree!$C$4="once per order",L680,1)</f>
        <v/>
      </c>
    </row>
    <row r="681">
      <c r="A681" t="inlineStr">
        <is>
          <t>KR-00456</t>
        </is>
      </c>
      <c r="B681" t="inlineStr">
        <is>
          <t>C-0058</t>
        </is>
      </c>
      <c r="C681" t="inlineStr">
        <is>
          <t>Retail-Core</t>
        </is>
      </c>
      <c r="D681" t="inlineStr">
        <is>
          <t>app</t>
        </is>
      </c>
      <c r="E681" s="7" t="n">
        <v>46191</v>
      </c>
      <c r="F681" t="n">
        <v>810</v>
      </c>
      <c r="G681" t="n">
        <v>810</v>
      </c>
      <c r="H681" t="inlineStr">
        <is>
          <t>2026-06-20</t>
        </is>
      </c>
      <c r="I681">
        <f>IF(MONTH(E681)&lt;=6,"Q1","Q2")</f>
        <v/>
      </c>
      <c r="J681">
        <f>YEAR(E681)*100+MONTH(E681)</f>
        <v/>
      </c>
      <c r="K681">
        <f>IF(COUNTIF($A$2:A681,A681)=1,1,0)</f>
        <v/>
      </c>
      <c r="L681">
        <f>IF(K681=1,IF(COUNTIFS($B$2:B681,B681,$I$2:I681,I681,$K$2:K681,1)=1,1,0),0)</f>
        <v/>
      </c>
      <c r="M681">
        <f>IF(Tree!$C$4="once per order",F681*K681,F681)</f>
        <v/>
      </c>
      <c r="N681">
        <f>IF(Tree!$C$4="once per order",K681,1)</f>
        <v/>
      </c>
      <c r="O681">
        <f>IF(Tree!$C$4="once per order",L681,1)</f>
        <v/>
      </c>
    </row>
    <row r="682">
      <c r="A682" t="inlineStr">
        <is>
          <t>KR-00456</t>
        </is>
      </c>
      <c r="B682" t="inlineStr">
        <is>
          <t>C-0058</t>
        </is>
      </c>
      <c r="C682" t="inlineStr">
        <is>
          <t>Retail-Core</t>
        </is>
      </c>
      <c r="D682" t="inlineStr">
        <is>
          <t>app</t>
        </is>
      </c>
      <c r="E682" s="7" t="n">
        <v>46191</v>
      </c>
      <c r="F682" t="n">
        <v>810</v>
      </c>
      <c r="G682" t="n">
        <v>810</v>
      </c>
      <c r="H682" t="inlineStr">
        <is>
          <t>2026-06-20</t>
        </is>
      </c>
      <c r="I682">
        <f>IF(MONTH(E682)&lt;=6,"Q1","Q2")</f>
        <v/>
      </c>
      <c r="J682">
        <f>YEAR(E682)*100+MONTH(E682)</f>
        <v/>
      </c>
      <c r="K682">
        <f>IF(COUNTIF($A$2:A682,A682)=1,1,0)</f>
        <v/>
      </c>
      <c r="L682">
        <f>IF(K682=1,IF(COUNTIFS($B$2:B682,B682,$I$2:I682,I682,$K$2:K682,1)=1,1,0),0)</f>
        <v/>
      </c>
      <c r="M682">
        <f>IF(Tree!$C$4="once per order",F682*K682,F682)</f>
        <v/>
      </c>
      <c r="N682">
        <f>IF(Tree!$C$4="once per order",K682,1)</f>
        <v/>
      </c>
      <c r="O682">
        <f>IF(Tree!$C$4="once per order",L682,1)</f>
        <v/>
      </c>
    </row>
    <row r="683">
      <c r="A683" t="inlineStr">
        <is>
          <t>KR-00457</t>
        </is>
      </c>
      <c r="B683" t="inlineStr">
        <is>
          <t>C-0145</t>
        </is>
      </c>
      <c r="C683" t="inlineStr">
        <is>
          <t>Retail-Core</t>
        </is>
      </c>
      <c r="D683" t="inlineStr">
        <is>
          <t>store</t>
        </is>
      </c>
      <c r="E683" s="7" t="n">
        <v>46137</v>
      </c>
      <c r="F683" t="n">
        <v>2690</v>
      </c>
      <c r="G683" t="n">
        <v>2690</v>
      </c>
      <c r="H683" t="inlineStr">
        <is>
          <t>2026-04-27</t>
        </is>
      </c>
      <c r="I683">
        <f>IF(MONTH(E683)&lt;=6,"Q1","Q2")</f>
        <v/>
      </c>
      <c r="J683">
        <f>YEAR(E683)*100+MONTH(E683)</f>
        <v/>
      </c>
      <c r="K683">
        <f>IF(COUNTIF($A$2:A683,A683)=1,1,0)</f>
        <v/>
      </c>
      <c r="L683">
        <f>IF(K683=1,IF(COUNTIFS($B$2:B683,B683,$I$2:I683,I683,$K$2:K683,1)=1,1,0),0)</f>
        <v/>
      </c>
      <c r="M683">
        <f>IF(Tree!$C$4="once per order",F683*K683,F683)</f>
        <v/>
      </c>
      <c r="N683">
        <f>IF(Tree!$C$4="once per order",K683,1)</f>
        <v/>
      </c>
      <c r="O683">
        <f>IF(Tree!$C$4="once per order",L683,1)</f>
        <v/>
      </c>
    </row>
    <row r="684">
      <c r="A684" t="inlineStr">
        <is>
          <t>KR-00458</t>
        </is>
      </c>
      <c r="B684" t="inlineStr">
        <is>
          <t>C-0044</t>
        </is>
      </c>
      <c r="C684" t="inlineStr">
        <is>
          <t>Retail-Core</t>
        </is>
      </c>
      <c r="D684" t="inlineStr">
        <is>
          <t>store</t>
        </is>
      </c>
      <c r="E684" s="7" t="n">
        <v>46168</v>
      </c>
      <c r="F684" t="n">
        <v>1190</v>
      </c>
      <c r="G684" t="n">
        <v>1190</v>
      </c>
      <c r="H684" t="inlineStr">
        <is>
          <t>2026-05-28</t>
        </is>
      </c>
      <c r="I684">
        <f>IF(MONTH(E684)&lt;=6,"Q1","Q2")</f>
        <v/>
      </c>
      <c r="J684">
        <f>YEAR(E684)*100+MONTH(E684)</f>
        <v/>
      </c>
      <c r="K684">
        <f>IF(COUNTIF($A$2:A684,A684)=1,1,0)</f>
        <v/>
      </c>
      <c r="L684">
        <f>IF(K684=1,IF(COUNTIFS($B$2:B684,B684,$I$2:I684,I684,$K$2:K684,1)=1,1,0),0)</f>
        <v/>
      </c>
      <c r="M684">
        <f>IF(Tree!$C$4="once per order",F684*K684,F684)</f>
        <v/>
      </c>
      <c r="N684">
        <f>IF(Tree!$C$4="once per order",K684,1)</f>
        <v/>
      </c>
      <c r="O684">
        <f>IF(Tree!$C$4="once per order",L684,1)</f>
        <v/>
      </c>
    </row>
    <row r="685">
      <c r="A685" t="inlineStr">
        <is>
          <t>KR-00459</t>
        </is>
      </c>
      <c r="B685" t="inlineStr">
        <is>
          <t>C-0033</t>
        </is>
      </c>
      <c r="C685" t="inlineStr">
        <is>
          <t>Retail-Core</t>
        </is>
      </c>
      <c r="D685" t="inlineStr">
        <is>
          <t>app</t>
        </is>
      </c>
      <c r="E685" s="7" t="n">
        <v>46193</v>
      </c>
      <c r="F685" t="n">
        <v>2180</v>
      </c>
      <c r="G685" t="n">
        <v>2180</v>
      </c>
      <c r="H685" t="inlineStr">
        <is>
          <t>2026-06-22</t>
        </is>
      </c>
      <c r="I685">
        <f>IF(MONTH(E685)&lt;=6,"Q1","Q2")</f>
        <v/>
      </c>
      <c r="J685">
        <f>YEAR(E685)*100+MONTH(E685)</f>
        <v/>
      </c>
      <c r="K685">
        <f>IF(COUNTIF($A$2:A685,A685)=1,1,0)</f>
        <v/>
      </c>
      <c r="L685">
        <f>IF(K685=1,IF(COUNTIFS($B$2:B685,B685,$I$2:I685,I685,$K$2:K685,1)=1,1,0),0)</f>
        <v/>
      </c>
      <c r="M685">
        <f>IF(Tree!$C$4="once per order",F685*K685,F685)</f>
        <v/>
      </c>
      <c r="N685">
        <f>IF(Tree!$C$4="once per order",K685,1)</f>
        <v/>
      </c>
      <c r="O685">
        <f>IF(Tree!$C$4="once per order",L685,1)</f>
        <v/>
      </c>
    </row>
    <row r="686">
      <c r="A686" t="inlineStr">
        <is>
          <t>KR-00460</t>
        </is>
      </c>
      <c r="B686" t="inlineStr">
        <is>
          <t>C-0136</t>
        </is>
      </c>
      <c r="C686" t="inlineStr">
        <is>
          <t>Retail-Core</t>
        </is>
      </c>
      <c r="D686" t="inlineStr">
        <is>
          <t>store</t>
        </is>
      </c>
      <c r="E686" s="7" t="n">
        <v>46126</v>
      </c>
      <c r="F686" t="n">
        <v>2700</v>
      </c>
      <c r="G686" t="n">
        <v>2700</v>
      </c>
      <c r="H686" t="inlineStr">
        <is>
          <t>2026-04-16</t>
        </is>
      </c>
      <c r="I686">
        <f>IF(MONTH(E686)&lt;=6,"Q1","Q2")</f>
        <v/>
      </c>
      <c r="J686">
        <f>YEAR(E686)*100+MONTH(E686)</f>
        <v/>
      </c>
      <c r="K686">
        <f>IF(COUNTIF($A$2:A686,A686)=1,1,0)</f>
        <v/>
      </c>
      <c r="L686">
        <f>IF(K686=1,IF(COUNTIFS($B$2:B686,B686,$I$2:I686,I686,$K$2:K686,1)=1,1,0),0)</f>
        <v/>
      </c>
      <c r="M686">
        <f>IF(Tree!$C$4="once per order",F686*K686,F686)</f>
        <v/>
      </c>
      <c r="N686">
        <f>IF(Tree!$C$4="once per order",K686,1)</f>
        <v/>
      </c>
      <c r="O686">
        <f>IF(Tree!$C$4="once per order",L686,1)</f>
        <v/>
      </c>
    </row>
    <row r="687">
      <c r="A687" t="inlineStr">
        <is>
          <t>KR-00461</t>
        </is>
      </c>
      <c r="B687" t="inlineStr">
        <is>
          <t>C-0075</t>
        </is>
      </c>
      <c r="C687" t="inlineStr">
        <is>
          <t>Retail-Core</t>
        </is>
      </c>
      <c r="D687" t="inlineStr">
        <is>
          <t>app</t>
        </is>
      </c>
      <c r="E687" s="7" t="n">
        <v>46154</v>
      </c>
      <c r="F687" t="n">
        <v>1490</v>
      </c>
      <c r="G687" t="n">
        <v>1490</v>
      </c>
      <c r="H687" t="inlineStr">
        <is>
          <t>2026-05-14</t>
        </is>
      </c>
      <c r="I687">
        <f>IF(MONTH(E687)&lt;=6,"Q1","Q2")</f>
        <v/>
      </c>
      <c r="J687">
        <f>YEAR(E687)*100+MONTH(E687)</f>
        <v/>
      </c>
      <c r="K687">
        <f>IF(COUNTIF($A$2:A687,A687)=1,1,0)</f>
        <v/>
      </c>
      <c r="L687">
        <f>IF(K687=1,IF(COUNTIFS($B$2:B687,B687,$I$2:I687,I687,$K$2:K687,1)=1,1,0),0)</f>
        <v/>
      </c>
      <c r="M687">
        <f>IF(Tree!$C$4="once per order",F687*K687,F687)</f>
        <v/>
      </c>
      <c r="N687">
        <f>IF(Tree!$C$4="once per order",K687,1)</f>
        <v/>
      </c>
      <c r="O687">
        <f>IF(Tree!$C$4="once per order",L687,1)</f>
        <v/>
      </c>
    </row>
    <row r="688">
      <c r="A688" t="inlineStr">
        <is>
          <t>KR-00462</t>
        </is>
      </c>
      <c r="B688" t="inlineStr">
        <is>
          <t>C-0002</t>
        </is>
      </c>
      <c r="C688" t="inlineStr">
        <is>
          <t>Retail-Core</t>
        </is>
      </c>
      <c r="D688" t="inlineStr">
        <is>
          <t>web</t>
        </is>
      </c>
      <c r="E688" s="7" t="n">
        <v>46180</v>
      </c>
      <c r="F688" t="n">
        <v>1670</v>
      </c>
      <c r="G688" t="n">
        <v>1670</v>
      </c>
      <c r="H688" t="inlineStr">
        <is>
          <t>2026-06-09</t>
        </is>
      </c>
      <c r="I688">
        <f>IF(MONTH(E688)&lt;=6,"Q1","Q2")</f>
        <v/>
      </c>
      <c r="J688">
        <f>YEAR(E688)*100+MONTH(E688)</f>
        <v/>
      </c>
      <c r="K688">
        <f>IF(COUNTIF($A$2:A688,A688)=1,1,0)</f>
        <v/>
      </c>
      <c r="L688">
        <f>IF(K688=1,IF(COUNTIFS($B$2:B688,B688,$I$2:I688,I688,$K$2:K688,1)=1,1,0),0)</f>
        <v/>
      </c>
      <c r="M688">
        <f>IF(Tree!$C$4="once per order",F688*K688,F688)</f>
        <v/>
      </c>
      <c r="N688">
        <f>IF(Tree!$C$4="once per order",K688,1)</f>
        <v/>
      </c>
      <c r="O688">
        <f>IF(Tree!$C$4="once per order",L688,1)</f>
        <v/>
      </c>
    </row>
    <row r="689">
      <c r="A689" t="inlineStr">
        <is>
          <t>KR-00463</t>
        </is>
      </c>
      <c r="B689" t="inlineStr">
        <is>
          <t>C-0029</t>
        </is>
      </c>
      <c r="C689" t="inlineStr">
        <is>
          <t>Retail-Core</t>
        </is>
      </c>
      <c r="D689" t="inlineStr">
        <is>
          <t>store</t>
        </is>
      </c>
      <c r="E689" s="7" t="n">
        <v>46130</v>
      </c>
      <c r="F689" t="n">
        <v>2600</v>
      </c>
      <c r="G689" t="n">
        <v>2600</v>
      </c>
      <c r="H689" t="inlineStr">
        <is>
          <t>2026-04-20</t>
        </is>
      </c>
      <c r="I689">
        <f>IF(MONTH(E689)&lt;=6,"Q1","Q2")</f>
        <v/>
      </c>
      <c r="J689">
        <f>YEAR(E689)*100+MONTH(E689)</f>
        <v/>
      </c>
      <c r="K689">
        <f>IF(COUNTIF($A$2:A689,A689)=1,1,0)</f>
        <v/>
      </c>
      <c r="L689">
        <f>IF(K689=1,IF(COUNTIFS($B$2:B689,B689,$I$2:I689,I689,$K$2:K689,1)=1,1,0),0)</f>
        <v/>
      </c>
      <c r="M689">
        <f>IF(Tree!$C$4="once per order",F689*K689,F689)</f>
        <v/>
      </c>
      <c r="N689">
        <f>IF(Tree!$C$4="once per order",K689,1)</f>
        <v/>
      </c>
      <c r="O689">
        <f>IF(Tree!$C$4="once per order",L689,1)</f>
        <v/>
      </c>
    </row>
    <row r="690">
      <c r="A690" t="inlineStr">
        <is>
          <t>KR-00464</t>
        </is>
      </c>
      <c r="B690" t="inlineStr">
        <is>
          <t>C-0021</t>
        </is>
      </c>
      <c r="C690" t="inlineStr">
        <is>
          <t>Retail-Core</t>
        </is>
      </c>
      <c r="D690" t="inlineStr">
        <is>
          <t>store</t>
        </is>
      </c>
      <c r="E690" s="7" t="n">
        <v>46160</v>
      </c>
      <c r="F690" t="n">
        <v>2560</v>
      </c>
      <c r="G690" t="n">
        <v>2560</v>
      </c>
      <c r="H690" t="inlineStr">
        <is>
          <t>2026-05-20</t>
        </is>
      </c>
      <c r="I690">
        <f>IF(MONTH(E690)&lt;=6,"Q1","Q2")</f>
        <v/>
      </c>
      <c r="J690">
        <f>YEAR(E690)*100+MONTH(E690)</f>
        <v/>
      </c>
      <c r="K690">
        <f>IF(COUNTIF($A$2:A690,A690)=1,1,0)</f>
        <v/>
      </c>
      <c r="L690">
        <f>IF(K690=1,IF(COUNTIFS($B$2:B690,B690,$I$2:I690,I690,$K$2:K690,1)=1,1,0),0)</f>
        <v/>
      </c>
      <c r="M690">
        <f>IF(Tree!$C$4="once per order",F690*K690,F690)</f>
        <v/>
      </c>
      <c r="N690">
        <f>IF(Tree!$C$4="once per order",K690,1)</f>
        <v/>
      </c>
      <c r="O690">
        <f>IF(Tree!$C$4="once per order",L690,1)</f>
        <v/>
      </c>
    </row>
    <row r="691">
      <c r="A691" t="inlineStr">
        <is>
          <t>KR-00465</t>
        </is>
      </c>
      <c r="B691" t="inlineStr">
        <is>
          <t>C-0019</t>
        </is>
      </c>
      <c r="C691" t="inlineStr">
        <is>
          <t>Retail-Core</t>
        </is>
      </c>
      <c r="D691" t="inlineStr">
        <is>
          <t>app</t>
        </is>
      </c>
      <c r="E691" s="7" t="n">
        <v>46190</v>
      </c>
      <c r="F691" t="n">
        <v>1880</v>
      </c>
      <c r="G691" t="n">
        <v>1880</v>
      </c>
      <c r="H691" t="inlineStr">
        <is>
          <t>2026-06-19</t>
        </is>
      </c>
      <c r="I691">
        <f>IF(MONTH(E691)&lt;=6,"Q1","Q2")</f>
        <v/>
      </c>
      <c r="J691">
        <f>YEAR(E691)*100+MONTH(E691)</f>
        <v/>
      </c>
      <c r="K691">
        <f>IF(COUNTIF($A$2:A691,A691)=1,1,0)</f>
        <v/>
      </c>
      <c r="L691">
        <f>IF(K691=1,IF(COUNTIFS($B$2:B691,B691,$I$2:I691,I691,$K$2:K691,1)=1,1,0),0)</f>
        <v/>
      </c>
      <c r="M691">
        <f>IF(Tree!$C$4="once per order",F691*K691,F691)</f>
        <v/>
      </c>
      <c r="N691">
        <f>IF(Tree!$C$4="once per order",K691,1)</f>
        <v/>
      </c>
      <c r="O691">
        <f>IF(Tree!$C$4="once per order",L691,1)</f>
        <v/>
      </c>
    </row>
    <row r="692">
      <c r="A692" t="inlineStr">
        <is>
          <t>KR-00466</t>
        </is>
      </c>
      <c r="B692" t="inlineStr">
        <is>
          <t>C-0003</t>
        </is>
      </c>
      <c r="C692" t="inlineStr">
        <is>
          <t>Retail-Core</t>
        </is>
      </c>
      <c r="D692" t="inlineStr">
        <is>
          <t>store</t>
        </is>
      </c>
      <c r="E692" s="7" t="n">
        <v>46123</v>
      </c>
      <c r="F692" t="n">
        <v>1380</v>
      </c>
      <c r="G692" t="n">
        <v>1380</v>
      </c>
      <c r="H692" t="inlineStr">
        <is>
          <t>2026-04-13</t>
        </is>
      </c>
      <c r="I692">
        <f>IF(MONTH(E692)&lt;=6,"Q1","Q2")</f>
        <v/>
      </c>
      <c r="J692">
        <f>YEAR(E692)*100+MONTH(E692)</f>
        <v/>
      </c>
      <c r="K692">
        <f>IF(COUNTIF($A$2:A692,A692)=1,1,0)</f>
        <v/>
      </c>
      <c r="L692">
        <f>IF(K692=1,IF(COUNTIFS($B$2:B692,B692,$I$2:I692,I692,$K$2:K692,1)=1,1,0),0)</f>
        <v/>
      </c>
      <c r="M692">
        <f>IF(Tree!$C$4="once per order",F692*K692,F692)</f>
        <v/>
      </c>
      <c r="N692">
        <f>IF(Tree!$C$4="once per order",K692,1)</f>
        <v/>
      </c>
      <c r="O692">
        <f>IF(Tree!$C$4="once per order",L692,1)</f>
        <v/>
      </c>
    </row>
    <row r="693">
      <c r="A693" t="inlineStr">
        <is>
          <t>KR-00467</t>
        </is>
      </c>
      <c r="B693" t="inlineStr">
        <is>
          <t>C-0081</t>
        </is>
      </c>
      <c r="C693" t="inlineStr">
        <is>
          <t>Retail-Core</t>
        </is>
      </c>
      <c r="D693" t="inlineStr">
        <is>
          <t>web</t>
        </is>
      </c>
      <c r="E693" s="7" t="n">
        <v>46163</v>
      </c>
      <c r="F693" t="n">
        <v>1070</v>
      </c>
      <c r="G693" t="n">
        <v>1070</v>
      </c>
      <c r="H693" t="inlineStr">
        <is>
          <t>2026-05-23</t>
        </is>
      </c>
      <c r="I693">
        <f>IF(MONTH(E693)&lt;=6,"Q1","Q2")</f>
        <v/>
      </c>
      <c r="J693">
        <f>YEAR(E693)*100+MONTH(E693)</f>
        <v/>
      </c>
      <c r="K693">
        <f>IF(COUNTIF($A$2:A693,A693)=1,1,0)</f>
        <v/>
      </c>
      <c r="L693">
        <f>IF(K693=1,IF(COUNTIFS($B$2:B693,B693,$I$2:I693,I693,$K$2:K693,1)=1,1,0),0)</f>
        <v/>
      </c>
      <c r="M693">
        <f>IF(Tree!$C$4="once per order",F693*K693,F693)</f>
        <v/>
      </c>
      <c r="N693">
        <f>IF(Tree!$C$4="once per order",K693,1)</f>
        <v/>
      </c>
      <c r="O693">
        <f>IF(Tree!$C$4="once per order",L693,1)</f>
        <v/>
      </c>
    </row>
    <row r="694">
      <c r="A694" t="inlineStr">
        <is>
          <t>KR-00468</t>
        </is>
      </c>
      <c r="B694" t="inlineStr">
        <is>
          <t>C-0078</t>
        </is>
      </c>
      <c r="C694" t="inlineStr">
        <is>
          <t>Retail-Core</t>
        </is>
      </c>
      <c r="D694" t="inlineStr">
        <is>
          <t>web</t>
        </is>
      </c>
      <c r="E694" s="7" t="n">
        <v>46191</v>
      </c>
      <c r="F694" t="n">
        <v>1750</v>
      </c>
      <c r="G694" t="n">
        <v>1750</v>
      </c>
      <c r="H694" t="inlineStr">
        <is>
          <t>2026-06-20</t>
        </is>
      </c>
      <c r="I694">
        <f>IF(MONTH(E694)&lt;=6,"Q1","Q2")</f>
        <v/>
      </c>
      <c r="J694">
        <f>YEAR(E694)*100+MONTH(E694)</f>
        <v/>
      </c>
      <c r="K694">
        <f>IF(COUNTIF($A$2:A694,A694)=1,1,0)</f>
        <v/>
      </c>
      <c r="L694">
        <f>IF(K694=1,IF(COUNTIFS($B$2:B694,B694,$I$2:I694,I694,$K$2:K694,1)=1,1,0),0)</f>
        <v/>
      </c>
      <c r="M694">
        <f>IF(Tree!$C$4="once per order",F694*K694,F694)</f>
        <v/>
      </c>
      <c r="N694">
        <f>IF(Tree!$C$4="once per order",K694,1)</f>
        <v/>
      </c>
      <c r="O694">
        <f>IF(Tree!$C$4="once per order",L694,1)</f>
        <v/>
      </c>
    </row>
    <row r="695">
      <c r="A695" t="inlineStr">
        <is>
          <t>KR-00469</t>
        </is>
      </c>
      <c r="B695" t="inlineStr">
        <is>
          <t>C-0060</t>
        </is>
      </c>
      <c r="C695" t="inlineStr">
        <is>
          <t>Retail-Core</t>
        </is>
      </c>
      <c r="D695" t="inlineStr">
        <is>
          <t>store</t>
        </is>
      </c>
      <c r="E695" s="7" t="n">
        <v>46128</v>
      </c>
      <c r="F695" t="n">
        <v>1310</v>
      </c>
      <c r="G695" t="n">
        <v>1310</v>
      </c>
      <c r="H695" t="inlineStr">
        <is>
          <t>2026-04-18</t>
        </is>
      </c>
      <c r="I695">
        <f>IF(MONTH(E695)&lt;=6,"Q1","Q2")</f>
        <v/>
      </c>
      <c r="J695">
        <f>YEAR(E695)*100+MONTH(E695)</f>
        <v/>
      </c>
      <c r="K695">
        <f>IF(COUNTIF($A$2:A695,A695)=1,1,0)</f>
        <v/>
      </c>
      <c r="L695">
        <f>IF(K695=1,IF(COUNTIFS($B$2:B695,B695,$I$2:I695,I695,$K$2:K695,1)=1,1,0),0)</f>
        <v/>
      </c>
      <c r="M695">
        <f>IF(Tree!$C$4="once per order",F695*K695,F695)</f>
        <v/>
      </c>
      <c r="N695">
        <f>IF(Tree!$C$4="once per order",K695,1)</f>
        <v/>
      </c>
      <c r="O695">
        <f>IF(Tree!$C$4="once per order",L695,1)</f>
        <v/>
      </c>
    </row>
    <row r="696">
      <c r="A696" t="inlineStr">
        <is>
          <t>KR-00470</t>
        </is>
      </c>
      <c r="B696" t="inlineStr">
        <is>
          <t>C-0021</t>
        </is>
      </c>
      <c r="C696" t="inlineStr">
        <is>
          <t>Retail-Core</t>
        </is>
      </c>
      <c r="D696" t="inlineStr">
        <is>
          <t>app</t>
        </is>
      </c>
      <c r="E696" s="7" t="n">
        <v>46168</v>
      </c>
      <c r="F696" t="n">
        <v>2300</v>
      </c>
      <c r="G696" t="n">
        <v>2300</v>
      </c>
      <c r="H696" t="inlineStr">
        <is>
          <t>2026-05-28</t>
        </is>
      </c>
      <c r="I696">
        <f>IF(MONTH(E696)&lt;=6,"Q1","Q2")</f>
        <v/>
      </c>
      <c r="J696">
        <f>YEAR(E696)*100+MONTH(E696)</f>
        <v/>
      </c>
      <c r="K696">
        <f>IF(COUNTIF($A$2:A696,A696)=1,1,0)</f>
        <v/>
      </c>
      <c r="L696">
        <f>IF(K696=1,IF(COUNTIFS($B$2:B696,B696,$I$2:I696,I696,$K$2:K696,1)=1,1,0),0)</f>
        <v/>
      </c>
      <c r="M696">
        <f>IF(Tree!$C$4="once per order",F696*K696,F696)</f>
        <v/>
      </c>
      <c r="N696">
        <f>IF(Tree!$C$4="once per order",K696,1)</f>
        <v/>
      </c>
      <c r="O696">
        <f>IF(Tree!$C$4="once per order",L696,1)</f>
        <v/>
      </c>
    </row>
    <row r="697">
      <c r="A697" t="inlineStr">
        <is>
          <t>KR-00471</t>
        </is>
      </c>
      <c r="B697" t="inlineStr">
        <is>
          <t>C-0133</t>
        </is>
      </c>
      <c r="C697" t="inlineStr">
        <is>
          <t>Retail-Core</t>
        </is>
      </c>
      <c r="D697" t="inlineStr">
        <is>
          <t>app</t>
        </is>
      </c>
      <c r="E697" s="7" t="n">
        <v>46197</v>
      </c>
      <c r="F697" t="n">
        <v>2660</v>
      </c>
      <c r="G697" t="n">
        <v>2660</v>
      </c>
      <c r="H697" t="inlineStr">
        <is>
          <t>2026-06-26</t>
        </is>
      </c>
      <c r="I697">
        <f>IF(MONTH(E697)&lt;=6,"Q1","Q2")</f>
        <v/>
      </c>
      <c r="J697">
        <f>YEAR(E697)*100+MONTH(E697)</f>
        <v/>
      </c>
      <c r="K697">
        <f>IF(COUNTIF($A$2:A697,A697)=1,1,0)</f>
        <v/>
      </c>
      <c r="L697">
        <f>IF(K697=1,IF(COUNTIFS($B$2:B697,B697,$I$2:I697,I697,$K$2:K697,1)=1,1,0),0)</f>
        <v/>
      </c>
      <c r="M697">
        <f>IF(Tree!$C$4="once per order",F697*K697,F697)</f>
        <v/>
      </c>
      <c r="N697">
        <f>IF(Tree!$C$4="once per order",K697,1)</f>
        <v/>
      </c>
      <c r="O697">
        <f>IF(Tree!$C$4="once per order",L697,1)</f>
        <v/>
      </c>
    </row>
    <row r="698">
      <c r="A698" t="inlineStr">
        <is>
          <t>KR-00472</t>
        </is>
      </c>
      <c r="B698" t="inlineStr">
        <is>
          <t>C-0094</t>
        </is>
      </c>
      <c r="C698" t="inlineStr">
        <is>
          <t>Retail-Core</t>
        </is>
      </c>
      <c r="D698" t="inlineStr">
        <is>
          <t>web</t>
        </is>
      </c>
      <c r="E698" s="7" t="n">
        <v>46135</v>
      </c>
      <c r="F698" t="n">
        <v>2250</v>
      </c>
      <c r="G698" t="n">
        <v>2250</v>
      </c>
      <c r="H698" t="inlineStr">
        <is>
          <t>2026-04-25</t>
        </is>
      </c>
      <c r="I698">
        <f>IF(MONTH(E698)&lt;=6,"Q1","Q2")</f>
        <v/>
      </c>
      <c r="J698">
        <f>YEAR(E698)*100+MONTH(E698)</f>
        <v/>
      </c>
      <c r="K698">
        <f>IF(COUNTIF($A$2:A698,A698)=1,1,0)</f>
        <v/>
      </c>
      <c r="L698">
        <f>IF(K698=1,IF(COUNTIFS($B$2:B698,B698,$I$2:I698,I698,$K$2:K698,1)=1,1,0),0)</f>
        <v/>
      </c>
      <c r="M698">
        <f>IF(Tree!$C$4="once per order",F698*K698,F698)</f>
        <v/>
      </c>
      <c r="N698">
        <f>IF(Tree!$C$4="once per order",K698,1)</f>
        <v/>
      </c>
      <c r="O698">
        <f>IF(Tree!$C$4="once per order",L698,1)</f>
        <v/>
      </c>
    </row>
    <row r="699">
      <c r="A699" t="inlineStr">
        <is>
          <t>KR-00473</t>
        </is>
      </c>
      <c r="B699" t="inlineStr">
        <is>
          <t>C-0096</t>
        </is>
      </c>
      <c r="C699" t="inlineStr">
        <is>
          <t>Retail-Core</t>
        </is>
      </c>
      <c r="D699" t="inlineStr">
        <is>
          <t>web</t>
        </is>
      </c>
      <c r="E699" s="7" t="n">
        <v>46150</v>
      </c>
      <c r="F699" t="n">
        <v>1560</v>
      </c>
      <c r="G699" t="n">
        <v>1560</v>
      </c>
      <c r="H699" t="inlineStr">
        <is>
          <t>2026-05-10</t>
        </is>
      </c>
      <c r="I699">
        <f>IF(MONTH(E699)&lt;=6,"Q1","Q2")</f>
        <v/>
      </c>
      <c r="J699">
        <f>YEAR(E699)*100+MONTH(E699)</f>
        <v/>
      </c>
      <c r="K699">
        <f>IF(COUNTIF($A$2:A699,A699)=1,1,0)</f>
        <v/>
      </c>
      <c r="L699">
        <f>IF(K699=1,IF(COUNTIFS($B$2:B699,B699,$I$2:I699,I699,$K$2:K699,1)=1,1,0),0)</f>
        <v/>
      </c>
      <c r="M699">
        <f>IF(Tree!$C$4="once per order",F699*K699,F699)</f>
        <v/>
      </c>
      <c r="N699">
        <f>IF(Tree!$C$4="once per order",K699,1)</f>
        <v/>
      </c>
      <c r="O699">
        <f>IF(Tree!$C$4="once per order",L699,1)</f>
        <v/>
      </c>
    </row>
    <row r="700">
      <c r="A700" t="inlineStr">
        <is>
          <t>KR-00474</t>
        </is>
      </c>
      <c r="B700" t="inlineStr">
        <is>
          <t>C-0020</t>
        </is>
      </c>
      <c r="C700" t="inlineStr">
        <is>
          <t>Retail-Core</t>
        </is>
      </c>
      <c r="D700" t="inlineStr">
        <is>
          <t>store</t>
        </is>
      </c>
      <c r="E700" s="7" t="n">
        <v>46194</v>
      </c>
      <c r="F700" t="n">
        <v>1740</v>
      </c>
      <c r="G700" t="n">
        <v>1740</v>
      </c>
      <c r="H700" t="inlineStr">
        <is>
          <t>2026-06-23</t>
        </is>
      </c>
      <c r="I700">
        <f>IF(MONTH(E700)&lt;=6,"Q1","Q2")</f>
        <v/>
      </c>
      <c r="J700">
        <f>YEAR(E700)*100+MONTH(E700)</f>
        <v/>
      </c>
      <c r="K700">
        <f>IF(COUNTIF($A$2:A700,A700)=1,1,0)</f>
        <v/>
      </c>
      <c r="L700">
        <f>IF(K700=1,IF(COUNTIFS($B$2:B700,B700,$I$2:I700,I700,$K$2:K700,1)=1,1,0),0)</f>
        <v/>
      </c>
      <c r="M700">
        <f>IF(Tree!$C$4="once per order",F700*K700,F700)</f>
        <v/>
      </c>
      <c r="N700">
        <f>IF(Tree!$C$4="once per order",K700,1)</f>
        <v/>
      </c>
      <c r="O700">
        <f>IF(Tree!$C$4="once per order",L700,1)</f>
        <v/>
      </c>
    </row>
    <row r="701">
      <c r="A701" t="inlineStr">
        <is>
          <t>KR-00475</t>
        </is>
      </c>
      <c r="B701" t="inlineStr">
        <is>
          <t>C-0037</t>
        </is>
      </c>
      <c r="C701" t="inlineStr">
        <is>
          <t>Retail-Core</t>
        </is>
      </c>
      <c r="D701" t="inlineStr">
        <is>
          <t>store</t>
        </is>
      </c>
      <c r="E701" s="7" t="n">
        <v>46129</v>
      </c>
      <c r="F701" t="n">
        <v>1650</v>
      </c>
      <c r="G701" t="n">
        <v>1650</v>
      </c>
      <c r="H701" t="inlineStr">
        <is>
          <t>2026-04-19</t>
        </is>
      </c>
      <c r="I701">
        <f>IF(MONTH(E701)&lt;=6,"Q1","Q2")</f>
        <v/>
      </c>
      <c r="J701">
        <f>YEAR(E701)*100+MONTH(E701)</f>
        <v/>
      </c>
      <c r="K701">
        <f>IF(COUNTIF($A$2:A701,A701)=1,1,0)</f>
        <v/>
      </c>
      <c r="L701">
        <f>IF(K701=1,IF(COUNTIFS($B$2:B701,B701,$I$2:I701,I701,$K$2:K701,1)=1,1,0),0)</f>
        <v/>
      </c>
      <c r="M701">
        <f>IF(Tree!$C$4="once per order",F701*K701,F701)</f>
        <v/>
      </c>
      <c r="N701">
        <f>IF(Tree!$C$4="once per order",K701,1)</f>
        <v/>
      </c>
      <c r="O701">
        <f>IF(Tree!$C$4="once per order",L701,1)</f>
        <v/>
      </c>
    </row>
    <row r="702">
      <c r="A702" t="inlineStr">
        <is>
          <t>KR-00476</t>
        </is>
      </c>
      <c r="B702" t="inlineStr">
        <is>
          <t>C-0077</t>
        </is>
      </c>
      <c r="C702" t="inlineStr">
        <is>
          <t>Retail-Core</t>
        </is>
      </c>
      <c r="D702" t="inlineStr">
        <is>
          <t>store</t>
        </is>
      </c>
      <c r="E702" s="7" t="n">
        <v>46154</v>
      </c>
      <c r="F702" t="n">
        <v>1620</v>
      </c>
      <c r="G702" t="n">
        <v>1620</v>
      </c>
      <c r="H702" t="inlineStr">
        <is>
          <t>2026-05-14</t>
        </is>
      </c>
      <c r="I702">
        <f>IF(MONTH(E702)&lt;=6,"Q1","Q2")</f>
        <v/>
      </c>
      <c r="J702">
        <f>YEAR(E702)*100+MONTH(E702)</f>
        <v/>
      </c>
      <c r="K702">
        <f>IF(COUNTIF($A$2:A702,A702)=1,1,0)</f>
        <v/>
      </c>
      <c r="L702">
        <f>IF(K702=1,IF(COUNTIFS($B$2:B702,B702,$I$2:I702,I702,$K$2:K702,1)=1,1,0),0)</f>
        <v/>
      </c>
      <c r="M702">
        <f>IF(Tree!$C$4="once per order",F702*K702,F702)</f>
        <v/>
      </c>
      <c r="N702">
        <f>IF(Tree!$C$4="once per order",K702,1)</f>
        <v/>
      </c>
      <c r="O702">
        <f>IF(Tree!$C$4="once per order",L702,1)</f>
        <v/>
      </c>
    </row>
    <row r="703">
      <c r="A703" t="inlineStr">
        <is>
          <t>KR-00477</t>
        </is>
      </c>
      <c r="B703" t="inlineStr">
        <is>
          <t>C-0086</t>
        </is>
      </c>
      <c r="C703" t="inlineStr">
        <is>
          <t>Retail-Core</t>
        </is>
      </c>
      <c r="D703" t="inlineStr">
        <is>
          <t>web</t>
        </is>
      </c>
      <c r="E703" s="7" t="n">
        <v>46180</v>
      </c>
      <c r="F703" t="n">
        <v>1110</v>
      </c>
      <c r="G703" t="n">
        <v>1110</v>
      </c>
      <c r="H703" t="inlineStr">
        <is>
          <t>2026-06-09</t>
        </is>
      </c>
      <c r="I703">
        <f>IF(MONTH(E703)&lt;=6,"Q1","Q2")</f>
        <v/>
      </c>
      <c r="J703">
        <f>YEAR(E703)*100+MONTH(E703)</f>
        <v/>
      </c>
      <c r="K703">
        <f>IF(COUNTIF($A$2:A703,A703)=1,1,0)</f>
        <v/>
      </c>
      <c r="L703">
        <f>IF(K703=1,IF(COUNTIFS($B$2:B703,B703,$I$2:I703,I703,$K$2:K703,1)=1,1,0),0)</f>
        <v/>
      </c>
      <c r="M703">
        <f>IF(Tree!$C$4="once per order",F703*K703,F703)</f>
        <v/>
      </c>
      <c r="N703">
        <f>IF(Tree!$C$4="once per order",K703,1)</f>
        <v/>
      </c>
      <c r="O703">
        <f>IF(Tree!$C$4="once per order",L703,1)</f>
        <v/>
      </c>
    </row>
    <row r="704">
      <c r="A704" t="inlineStr">
        <is>
          <t>KR-00478</t>
        </is>
      </c>
      <c r="B704" t="inlineStr">
        <is>
          <t>C-0084</t>
        </is>
      </c>
      <c r="C704" t="inlineStr">
        <is>
          <t>Retail-Core</t>
        </is>
      </c>
      <c r="D704" t="inlineStr">
        <is>
          <t>store</t>
        </is>
      </c>
      <c r="E704" s="7" t="n">
        <v>46128</v>
      </c>
      <c r="F704" t="n">
        <v>2670</v>
      </c>
      <c r="G704" t="n">
        <v>2670</v>
      </c>
      <c r="H704" t="inlineStr">
        <is>
          <t>2026-04-18</t>
        </is>
      </c>
      <c r="I704">
        <f>IF(MONTH(E704)&lt;=6,"Q1","Q2")</f>
        <v/>
      </c>
      <c r="J704">
        <f>YEAR(E704)*100+MONTH(E704)</f>
        <v/>
      </c>
      <c r="K704">
        <f>IF(COUNTIF($A$2:A704,A704)=1,1,0)</f>
        <v/>
      </c>
      <c r="L704">
        <f>IF(K704=1,IF(COUNTIFS($B$2:B704,B704,$I$2:I704,I704,$K$2:K704,1)=1,1,0),0)</f>
        <v/>
      </c>
      <c r="M704">
        <f>IF(Tree!$C$4="once per order",F704*K704,F704)</f>
        <v/>
      </c>
      <c r="N704">
        <f>IF(Tree!$C$4="once per order",K704,1)</f>
        <v/>
      </c>
      <c r="O704">
        <f>IF(Tree!$C$4="once per order",L704,1)</f>
        <v/>
      </c>
    </row>
    <row r="705">
      <c r="A705" t="inlineStr">
        <is>
          <t>KR-00479</t>
        </is>
      </c>
      <c r="B705" t="inlineStr">
        <is>
          <t>C-0127</t>
        </is>
      </c>
      <c r="C705" t="inlineStr">
        <is>
          <t>Retail-Core</t>
        </is>
      </c>
      <c r="D705" t="inlineStr">
        <is>
          <t>app</t>
        </is>
      </c>
      <c r="E705" s="7" t="n">
        <v>46148</v>
      </c>
      <c r="F705" t="n">
        <v>1080</v>
      </c>
      <c r="G705" t="n">
        <v>1080</v>
      </c>
      <c r="H705" t="inlineStr">
        <is>
          <t>2026-05-08</t>
        </is>
      </c>
      <c r="I705">
        <f>IF(MONTH(E705)&lt;=6,"Q1","Q2")</f>
        <v/>
      </c>
      <c r="J705">
        <f>YEAR(E705)*100+MONTH(E705)</f>
        <v/>
      </c>
      <c r="K705">
        <f>IF(COUNTIF($A$2:A705,A705)=1,1,0)</f>
        <v/>
      </c>
      <c r="L705">
        <f>IF(K705=1,IF(COUNTIFS($B$2:B705,B705,$I$2:I705,I705,$K$2:K705,1)=1,1,0),0)</f>
        <v/>
      </c>
      <c r="M705">
        <f>IF(Tree!$C$4="once per order",F705*K705,F705)</f>
        <v/>
      </c>
      <c r="N705">
        <f>IF(Tree!$C$4="once per order",K705,1)</f>
        <v/>
      </c>
      <c r="O705">
        <f>IF(Tree!$C$4="once per order",L705,1)</f>
        <v/>
      </c>
    </row>
    <row r="706">
      <c r="A706" t="inlineStr">
        <is>
          <t>KR-00480</t>
        </is>
      </c>
      <c r="B706" t="inlineStr">
        <is>
          <t>C-0058</t>
        </is>
      </c>
      <c r="C706" t="inlineStr">
        <is>
          <t>Retail-Core</t>
        </is>
      </c>
      <c r="D706" t="inlineStr">
        <is>
          <t>app</t>
        </is>
      </c>
      <c r="E706" s="7" t="n">
        <v>46187</v>
      </c>
      <c r="F706" t="n">
        <v>2040</v>
      </c>
      <c r="G706" t="n">
        <v>2040</v>
      </c>
      <c r="H706" t="inlineStr">
        <is>
          <t>2026-06-16</t>
        </is>
      </c>
      <c r="I706">
        <f>IF(MONTH(E706)&lt;=6,"Q1","Q2")</f>
        <v/>
      </c>
      <c r="J706">
        <f>YEAR(E706)*100+MONTH(E706)</f>
        <v/>
      </c>
      <c r="K706">
        <f>IF(COUNTIF($A$2:A706,A706)=1,1,0)</f>
        <v/>
      </c>
      <c r="L706">
        <f>IF(K706=1,IF(COUNTIFS($B$2:B706,B706,$I$2:I706,I706,$K$2:K706,1)=1,1,0),0)</f>
        <v/>
      </c>
      <c r="M706">
        <f>IF(Tree!$C$4="once per order",F706*K706,F706)</f>
        <v/>
      </c>
      <c r="N706">
        <f>IF(Tree!$C$4="once per order",K706,1)</f>
        <v/>
      </c>
      <c r="O706">
        <f>IF(Tree!$C$4="once per order",L706,1)</f>
        <v/>
      </c>
    </row>
    <row r="707">
      <c r="A707" t="inlineStr">
        <is>
          <t>KR-00481</t>
        </is>
      </c>
      <c r="B707" t="inlineStr">
        <is>
          <t>C-0071</t>
        </is>
      </c>
      <c r="C707" t="inlineStr">
        <is>
          <t>Retail-Core</t>
        </is>
      </c>
      <c r="D707" t="inlineStr">
        <is>
          <t>web</t>
        </is>
      </c>
      <c r="E707" s="7" t="n">
        <v>46125</v>
      </c>
      <c r="F707" t="n">
        <v>2090</v>
      </c>
      <c r="G707" t="n">
        <v>2090</v>
      </c>
      <c r="H707" t="inlineStr">
        <is>
          <t>2026-04-15</t>
        </is>
      </c>
      <c r="I707">
        <f>IF(MONTH(E707)&lt;=6,"Q1","Q2")</f>
        <v/>
      </c>
      <c r="J707">
        <f>YEAR(E707)*100+MONTH(E707)</f>
        <v/>
      </c>
      <c r="K707">
        <f>IF(COUNTIF($A$2:A707,A707)=1,1,0)</f>
        <v/>
      </c>
      <c r="L707">
        <f>IF(K707=1,IF(COUNTIFS($B$2:B707,B707,$I$2:I707,I707,$K$2:K707,1)=1,1,0),0)</f>
        <v/>
      </c>
      <c r="M707">
        <f>IF(Tree!$C$4="once per order",F707*K707,F707)</f>
        <v/>
      </c>
      <c r="N707">
        <f>IF(Tree!$C$4="once per order",K707,1)</f>
        <v/>
      </c>
      <c r="O707">
        <f>IF(Tree!$C$4="once per order",L707,1)</f>
        <v/>
      </c>
    </row>
    <row r="708">
      <c r="A708" t="inlineStr">
        <is>
          <t>KR-00482</t>
        </is>
      </c>
      <c r="B708" t="inlineStr">
        <is>
          <t>C-0089</t>
        </is>
      </c>
      <c r="C708" t="inlineStr">
        <is>
          <t>Retail-Core</t>
        </is>
      </c>
      <c r="D708" t="inlineStr">
        <is>
          <t>web</t>
        </is>
      </c>
      <c r="E708" s="7" t="n">
        <v>46170</v>
      </c>
      <c r="F708" t="n">
        <v>2560</v>
      </c>
      <c r="G708" t="n">
        <v>2560</v>
      </c>
      <c r="H708" t="inlineStr">
        <is>
          <t>2026-05-28</t>
        </is>
      </c>
      <c r="I708">
        <f>IF(MONTH(E708)&lt;=6,"Q1","Q2")</f>
        <v/>
      </c>
      <c r="J708">
        <f>YEAR(E708)*100+MONTH(E708)</f>
        <v/>
      </c>
      <c r="K708">
        <f>IF(COUNTIF($A$2:A708,A708)=1,1,0)</f>
        <v/>
      </c>
      <c r="L708">
        <f>IF(K708=1,IF(COUNTIFS($B$2:B708,B708,$I$2:I708,I708,$K$2:K708,1)=1,1,0),0)</f>
        <v/>
      </c>
      <c r="M708">
        <f>IF(Tree!$C$4="once per order",F708*K708,F708)</f>
        <v/>
      </c>
      <c r="N708">
        <f>IF(Tree!$C$4="once per order",K708,1)</f>
        <v/>
      </c>
      <c r="O708">
        <f>IF(Tree!$C$4="once per order",L708,1)</f>
        <v/>
      </c>
    </row>
    <row r="709">
      <c r="A709" t="inlineStr">
        <is>
          <t>KR-00483</t>
        </is>
      </c>
      <c r="B709" t="inlineStr">
        <is>
          <t>C-0033</t>
        </is>
      </c>
      <c r="C709" t="inlineStr">
        <is>
          <t>Retail-Core</t>
        </is>
      </c>
      <c r="D709" t="inlineStr">
        <is>
          <t>store</t>
        </is>
      </c>
      <c r="E709" s="7" t="n">
        <v>46174</v>
      </c>
      <c r="F709" t="n">
        <v>2930</v>
      </c>
      <c r="G709" t="n">
        <v>1758</v>
      </c>
      <c r="H709" t="inlineStr">
        <is>
          <t>2026-06-03</t>
        </is>
      </c>
      <c r="I709">
        <f>IF(MONTH(E709)&lt;=6,"Q1","Q2")</f>
        <v/>
      </c>
      <c r="J709">
        <f>YEAR(E709)*100+MONTH(E709)</f>
        <v/>
      </c>
      <c r="K709">
        <f>IF(COUNTIF($A$2:A709,A709)=1,1,0)</f>
        <v/>
      </c>
      <c r="L709">
        <f>IF(K709=1,IF(COUNTIFS($B$2:B709,B709,$I$2:I709,I709,$K$2:K709,1)=1,1,0),0)</f>
        <v/>
      </c>
      <c r="M709">
        <f>IF(Tree!$C$4="once per order",F709*K709,F709)</f>
        <v/>
      </c>
      <c r="N709">
        <f>IF(Tree!$C$4="once per order",K709,1)</f>
        <v/>
      </c>
      <c r="O709">
        <f>IF(Tree!$C$4="once per order",L709,1)</f>
        <v/>
      </c>
    </row>
    <row r="710">
      <c r="A710" t="inlineStr">
        <is>
          <t>KR-00483</t>
        </is>
      </c>
      <c r="B710" t="inlineStr">
        <is>
          <t>C-0033</t>
        </is>
      </c>
      <c r="C710" t="inlineStr">
        <is>
          <t>Retail-Core</t>
        </is>
      </c>
      <c r="D710" t="inlineStr">
        <is>
          <t>store</t>
        </is>
      </c>
      <c r="E710" s="7" t="n">
        <v>46174</v>
      </c>
      <c r="F710" t="n">
        <v>2930</v>
      </c>
      <c r="G710" t="n">
        <v>1172</v>
      </c>
      <c r="H710" t="inlineStr">
        <is>
          <t>2026-06-03</t>
        </is>
      </c>
      <c r="I710">
        <f>IF(MONTH(E710)&lt;=6,"Q1","Q2")</f>
        <v/>
      </c>
      <c r="J710">
        <f>YEAR(E710)*100+MONTH(E710)</f>
        <v/>
      </c>
      <c r="K710">
        <f>IF(COUNTIF($A$2:A710,A710)=1,1,0)</f>
        <v/>
      </c>
      <c r="L710">
        <f>IF(K710=1,IF(COUNTIFS($B$2:B710,B710,$I$2:I710,I710,$K$2:K710,1)=1,1,0),0)</f>
        <v/>
      </c>
      <c r="M710">
        <f>IF(Tree!$C$4="once per order",F710*K710,F710)</f>
        <v/>
      </c>
      <c r="N710">
        <f>IF(Tree!$C$4="once per order",K710,1)</f>
        <v/>
      </c>
      <c r="O710">
        <f>IF(Tree!$C$4="once per order",L710,1)</f>
        <v/>
      </c>
    </row>
    <row r="711">
      <c r="A711" t="inlineStr">
        <is>
          <t>KR-00484</t>
        </is>
      </c>
      <c r="B711" t="inlineStr">
        <is>
          <t>C-0003</t>
        </is>
      </c>
      <c r="C711" t="inlineStr">
        <is>
          <t>Retail-Core</t>
        </is>
      </c>
      <c r="D711" t="inlineStr">
        <is>
          <t>store</t>
        </is>
      </c>
      <c r="E711" s="7" t="n">
        <v>46115</v>
      </c>
      <c r="F711" t="n">
        <v>2470</v>
      </c>
      <c r="G711" t="n">
        <v>2470</v>
      </c>
      <c r="H711" t="inlineStr">
        <is>
          <t>2026-04-05</t>
        </is>
      </c>
      <c r="I711">
        <f>IF(MONTH(E711)&lt;=6,"Q1","Q2")</f>
        <v/>
      </c>
      <c r="J711">
        <f>YEAR(E711)*100+MONTH(E711)</f>
        <v/>
      </c>
      <c r="K711">
        <f>IF(COUNTIF($A$2:A711,A711)=1,1,0)</f>
        <v/>
      </c>
      <c r="L711">
        <f>IF(K711=1,IF(COUNTIFS($B$2:B711,B711,$I$2:I711,I711,$K$2:K711,1)=1,1,0),0)</f>
        <v/>
      </c>
      <c r="M711">
        <f>IF(Tree!$C$4="once per order",F711*K711,F711)</f>
        <v/>
      </c>
      <c r="N711">
        <f>IF(Tree!$C$4="once per order",K711,1)</f>
        <v/>
      </c>
      <c r="O711">
        <f>IF(Tree!$C$4="once per order",L711,1)</f>
        <v/>
      </c>
    </row>
    <row r="712">
      <c r="A712" t="inlineStr">
        <is>
          <t>KR-00485</t>
        </is>
      </c>
      <c r="B712" t="inlineStr">
        <is>
          <t>C-0147</t>
        </is>
      </c>
      <c r="C712" t="inlineStr">
        <is>
          <t>Retail-Core</t>
        </is>
      </c>
      <c r="D712" t="inlineStr">
        <is>
          <t>web</t>
        </is>
      </c>
      <c r="E712" s="7" t="n">
        <v>46166</v>
      </c>
      <c r="F712" t="n">
        <v>1590</v>
      </c>
      <c r="G712" t="n">
        <v>1590</v>
      </c>
      <c r="H712" t="inlineStr">
        <is>
          <t>2026-05-26</t>
        </is>
      </c>
      <c r="I712">
        <f>IF(MONTH(E712)&lt;=6,"Q1","Q2")</f>
        <v/>
      </c>
      <c r="J712">
        <f>YEAR(E712)*100+MONTH(E712)</f>
        <v/>
      </c>
      <c r="K712">
        <f>IF(COUNTIF($A$2:A712,A712)=1,1,0)</f>
        <v/>
      </c>
      <c r="L712">
        <f>IF(K712=1,IF(COUNTIFS($B$2:B712,B712,$I$2:I712,I712,$K$2:K712,1)=1,1,0),0)</f>
        <v/>
      </c>
      <c r="M712">
        <f>IF(Tree!$C$4="once per order",F712*K712,F712)</f>
        <v/>
      </c>
      <c r="N712">
        <f>IF(Tree!$C$4="once per order",K712,1)</f>
        <v/>
      </c>
      <c r="O712">
        <f>IF(Tree!$C$4="once per order",L712,1)</f>
        <v/>
      </c>
    </row>
    <row r="713">
      <c r="A713" t="inlineStr">
        <is>
          <t>KR-00486</t>
        </is>
      </c>
      <c r="B713" t="inlineStr">
        <is>
          <t>C-0026</t>
        </is>
      </c>
      <c r="C713" t="inlineStr">
        <is>
          <t>Retail-Core</t>
        </is>
      </c>
      <c r="D713" t="inlineStr">
        <is>
          <t>app</t>
        </is>
      </c>
      <c r="E713" s="7" t="n">
        <v>46185</v>
      </c>
      <c r="F713" t="n">
        <v>2110</v>
      </c>
      <c r="G713" t="n">
        <v>2110</v>
      </c>
      <c r="H713" t="inlineStr">
        <is>
          <t>2026-06-14</t>
        </is>
      </c>
      <c r="I713">
        <f>IF(MONTH(E713)&lt;=6,"Q1","Q2")</f>
        <v/>
      </c>
      <c r="J713">
        <f>YEAR(E713)*100+MONTH(E713)</f>
        <v/>
      </c>
      <c r="K713">
        <f>IF(COUNTIF($A$2:A713,A713)=1,1,0)</f>
        <v/>
      </c>
      <c r="L713">
        <f>IF(K713=1,IF(COUNTIFS($B$2:B713,B713,$I$2:I713,I713,$K$2:K713,1)=1,1,0),0)</f>
        <v/>
      </c>
      <c r="M713">
        <f>IF(Tree!$C$4="once per order",F713*K713,F713)</f>
        <v/>
      </c>
      <c r="N713">
        <f>IF(Tree!$C$4="once per order",K713,1)</f>
        <v/>
      </c>
      <c r="O713">
        <f>IF(Tree!$C$4="once per order",L713,1)</f>
        <v/>
      </c>
    </row>
    <row r="714">
      <c r="A714" t="inlineStr">
        <is>
          <t>KR-00487</t>
        </is>
      </c>
      <c r="B714" t="inlineStr">
        <is>
          <t>C-0029</t>
        </is>
      </c>
      <c r="C714" t="inlineStr">
        <is>
          <t>Retail-Core</t>
        </is>
      </c>
      <c r="D714" t="inlineStr">
        <is>
          <t>app</t>
        </is>
      </c>
      <c r="E714" s="7" t="n">
        <v>46122</v>
      </c>
      <c r="F714" t="n">
        <v>1480</v>
      </c>
      <c r="G714" t="n">
        <v>1480</v>
      </c>
      <c r="H714" t="inlineStr">
        <is>
          <t>2026-04-12</t>
        </is>
      </c>
      <c r="I714">
        <f>IF(MONTH(E714)&lt;=6,"Q1","Q2")</f>
        <v/>
      </c>
      <c r="J714">
        <f>YEAR(E714)*100+MONTH(E714)</f>
        <v/>
      </c>
      <c r="K714">
        <f>IF(COUNTIF($A$2:A714,A714)=1,1,0)</f>
        <v/>
      </c>
      <c r="L714">
        <f>IF(K714=1,IF(COUNTIFS($B$2:B714,B714,$I$2:I714,I714,$K$2:K714,1)=1,1,0),0)</f>
        <v/>
      </c>
      <c r="M714">
        <f>IF(Tree!$C$4="once per order",F714*K714,F714)</f>
        <v/>
      </c>
      <c r="N714">
        <f>IF(Tree!$C$4="once per order",K714,1)</f>
        <v/>
      </c>
      <c r="O714">
        <f>IF(Tree!$C$4="once per order",L714,1)</f>
        <v/>
      </c>
    </row>
    <row r="715">
      <c r="A715" t="inlineStr">
        <is>
          <t>KR-00488</t>
        </is>
      </c>
      <c r="B715" t="inlineStr">
        <is>
          <t>C-0095</t>
        </is>
      </c>
      <c r="C715" t="inlineStr">
        <is>
          <t>Retail-Core</t>
        </is>
      </c>
      <c r="D715" t="inlineStr">
        <is>
          <t>store</t>
        </is>
      </c>
      <c r="E715" s="7" t="n">
        <v>46153</v>
      </c>
      <c r="F715" t="n">
        <v>2940</v>
      </c>
      <c r="G715" t="n">
        <v>1764</v>
      </c>
      <c r="H715" t="inlineStr">
        <is>
          <t>2026-05-13</t>
        </is>
      </c>
      <c r="I715">
        <f>IF(MONTH(E715)&lt;=6,"Q1","Q2")</f>
        <v/>
      </c>
      <c r="J715">
        <f>YEAR(E715)*100+MONTH(E715)</f>
        <v/>
      </c>
      <c r="K715">
        <f>IF(COUNTIF($A$2:A715,A715)=1,1,0)</f>
        <v/>
      </c>
      <c r="L715">
        <f>IF(K715=1,IF(COUNTIFS($B$2:B715,B715,$I$2:I715,I715,$K$2:K715,1)=1,1,0),0)</f>
        <v/>
      </c>
      <c r="M715">
        <f>IF(Tree!$C$4="once per order",F715*K715,F715)</f>
        <v/>
      </c>
      <c r="N715">
        <f>IF(Tree!$C$4="once per order",K715,1)</f>
        <v/>
      </c>
      <c r="O715">
        <f>IF(Tree!$C$4="once per order",L715,1)</f>
        <v/>
      </c>
    </row>
    <row r="716">
      <c r="A716" t="inlineStr">
        <is>
          <t>KR-00488</t>
        </is>
      </c>
      <c r="B716" t="inlineStr">
        <is>
          <t>C-0095</t>
        </is>
      </c>
      <c r="C716" t="inlineStr">
        <is>
          <t>Retail-Core</t>
        </is>
      </c>
      <c r="D716" t="inlineStr">
        <is>
          <t>store</t>
        </is>
      </c>
      <c r="E716" s="7" t="n">
        <v>46153</v>
      </c>
      <c r="F716" t="n">
        <v>2940</v>
      </c>
      <c r="G716" t="n">
        <v>1176</v>
      </c>
      <c r="H716" t="inlineStr">
        <is>
          <t>2026-05-13</t>
        </is>
      </c>
      <c r="I716">
        <f>IF(MONTH(E716)&lt;=6,"Q1","Q2")</f>
        <v/>
      </c>
      <c r="J716">
        <f>YEAR(E716)*100+MONTH(E716)</f>
        <v/>
      </c>
      <c r="K716">
        <f>IF(COUNTIF($A$2:A716,A716)=1,1,0)</f>
        <v/>
      </c>
      <c r="L716">
        <f>IF(K716=1,IF(COUNTIFS($B$2:B716,B716,$I$2:I716,I716,$K$2:K716,1)=1,1,0),0)</f>
        <v/>
      </c>
      <c r="M716">
        <f>IF(Tree!$C$4="once per order",F716*K716,F716)</f>
        <v/>
      </c>
      <c r="N716">
        <f>IF(Tree!$C$4="once per order",K716,1)</f>
        <v/>
      </c>
      <c r="O716">
        <f>IF(Tree!$C$4="once per order",L716,1)</f>
        <v/>
      </c>
    </row>
    <row r="717">
      <c r="A717" t="inlineStr">
        <is>
          <t>KR-00489</t>
        </is>
      </c>
      <c r="B717" t="inlineStr">
        <is>
          <t>C-0020</t>
        </is>
      </c>
      <c r="C717" t="inlineStr">
        <is>
          <t>Retail-Core</t>
        </is>
      </c>
      <c r="D717" t="inlineStr">
        <is>
          <t>web</t>
        </is>
      </c>
      <c r="E717" s="7" t="n">
        <v>46179</v>
      </c>
      <c r="F717" t="n">
        <v>2570</v>
      </c>
      <c r="G717" t="n">
        <v>2570</v>
      </c>
      <c r="H717" t="inlineStr">
        <is>
          <t>2026-06-08</t>
        </is>
      </c>
      <c r="I717">
        <f>IF(MONTH(E717)&lt;=6,"Q1","Q2")</f>
        <v/>
      </c>
      <c r="J717">
        <f>YEAR(E717)*100+MONTH(E717)</f>
        <v/>
      </c>
      <c r="K717">
        <f>IF(COUNTIF($A$2:A717,A717)=1,1,0)</f>
        <v/>
      </c>
      <c r="L717">
        <f>IF(K717=1,IF(COUNTIFS($B$2:B717,B717,$I$2:I717,I717,$K$2:K717,1)=1,1,0),0)</f>
        <v/>
      </c>
      <c r="M717">
        <f>IF(Tree!$C$4="once per order",F717*K717,F717)</f>
        <v/>
      </c>
      <c r="N717">
        <f>IF(Tree!$C$4="once per order",K717,1)</f>
        <v/>
      </c>
      <c r="O717">
        <f>IF(Tree!$C$4="once per order",L717,1)</f>
        <v/>
      </c>
    </row>
    <row r="718">
      <c r="A718" t="inlineStr">
        <is>
          <t>KR-00490</t>
        </is>
      </c>
      <c r="B718" t="inlineStr">
        <is>
          <t>C-0012</t>
        </is>
      </c>
      <c r="C718" t="inlineStr">
        <is>
          <t>Retail-Core</t>
        </is>
      </c>
      <c r="D718" t="inlineStr">
        <is>
          <t>web</t>
        </is>
      </c>
      <c r="E718" s="7" t="n">
        <v>46124</v>
      </c>
      <c r="F718" t="n">
        <v>970</v>
      </c>
      <c r="G718" t="n">
        <v>970</v>
      </c>
      <c r="H718" t="inlineStr">
        <is>
          <t>2026-04-14</t>
        </is>
      </c>
      <c r="I718">
        <f>IF(MONTH(E718)&lt;=6,"Q1","Q2")</f>
        <v/>
      </c>
      <c r="J718">
        <f>YEAR(E718)*100+MONTH(E718)</f>
        <v/>
      </c>
      <c r="K718">
        <f>IF(COUNTIF($A$2:A718,A718)=1,1,0)</f>
        <v/>
      </c>
      <c r="L718">
        <f>IF(K718=1,IF(COUNTIFS($B$2:B718,B718,$I$2:I718,I718,$K$2:K718,1)=1,1,0),0)</f>
        <v/>
      </c>
      <c r="M718">
        <f>IF(Tree!$C$4="once per order",F718*K718,F718)</f>
        <v/>
      </c>
      <c r="N718">
        <f>IF(Tree!$C$4="once per order",K718,1)</f>
        <v/>
      </c>
      <c r="O718">
        <f>IF(Tree!$C$4="once per order",L718,1)</f>
        <v/>
      </c>
    </row>
    <row r="719">
      <c r="A719" t="inlineStr">
        <is>
          <t>KR-00491</t>
        </is>
      </c>
      <c r="B719" t="inlineStr">
        <is>
          <t>C-0146</t>
        </is>
      </c>
      <c r="C719" t="inlineStr">
        <is>
          <t>Retail-Core</t>
        </is>
      </c>
      <c r="D719" t="inlineStr">
        <is>
          <t>store</t>
        </is>
      </c>
      <c r="E719" s="7" t="n">
        <v>46150</v>
      </c>
      <c r="F719" t="n">
        <v>2150</v>
      </c>
      <c r="G719" t="n">
        <v>2150</v>
      </c>
      <c r="H719" t="inlineStr">
        <is>
          <t>2026-05-10</t>
        </is>
      </c>
      <c r="I719">
        <f>IF(MONTH(E719)&lt;=6,"Q1","Q2")</f>
        <v/>
      </c>
      <c r="J719">
        <f>YEAR(E719)*100+MONTH(E719)</f>
        <v/>
      </c>
      <c r="K719">
        <f>IF(COUNTIF($A$2:A719,A719)=1,1,0)</f>
        <v/>
      </c>
      <c r="L719">
        <f>IF(K719=1,IF(COUNTIFS($B$2:B719,B719,$I$2:I719,I719,$K$2:K719,1)=1,1,0),0)</f>
        <v/>
      </c>
      <c r="M719">
        <f>IF(Tree!$C$4="once per order",F719*K719,F719)</f>
        <v/>
      </c>
      <c r="N719">
        <f>IF(Tree!$C$4="once per order",K719,1)</f>
        <v/>
      </c>
      <c r="O719">
        <f>IF(Tree!$C$4="once per order",L719,1)</f>
        <v/>
      </c>
    </row>
    <row r="720">
      <c r="A720" t="inlineStr">
        <is>
          <t>KR-00492</t>
        </is>
      </c>
      <c r="B720" t="inlineStr">
        <is>
          <t>C-0144</t>
        </is>
      </c>
      <c r="C720" t="inlineStr">
        <is>
          <t>Retail-Core</t>
        </is>
      </c>
      <c r="D720" t="inlineStr">
        <is>
          <t>web</t>
        </is>
      </c>
      <c r="E720" s="7" t="n">
        <v>46177</v>
      </c>
      <c r="F720" t="n">
        <v>1320</v>
      </c>
      <c r="G720" t="n">
        <v>1320</v>
      </c>
      <c r="H720" t="inlineStr">
        <is>
          <t>2026-06-06</t>
        </is>
      </c>
      <c r="I720">
        <f>IF(MONTH(E720)&lt;=6,"Q1","Q2")</f>
        <v/>
      </c>
      <c r="J720">
        <f>YEAR(E720)*100+MONTH(E720)</f>
        <v/>
      </c>
      <c r="K720">
        <f>IF(COUNTIF($A$2:A720,A720)=1,1,0)</f>
        <v/>
      </c>
      <c r="L720">
        <f>IF(K720=1,IF(COUNTIFS($B$2:B720,B720,$I$2:I720,I720,$K$2:K720,1)=1,1,0),0)</f>
        <v/>
      </c>
      <c r="M720">
        <f>IF(Tree!$C$4="once per order",F720*K720,F720)</f>
        <v/>
      </c>
      <c r="N720">
        <f>IF(Tree!$C$4="once per order",K720,1)</f>
        <v/>
      </c>
      <c r="O720">
        <f>IF(Tree!$C$4="once per order",L720,1)</f>
        <v/>
      </c>
    </row>
    <row r="721">
      <c r="A721" t="inlineStr">
        <is>
          <t>KR-00493</t>
        </is>
      </c>
      <c r="B721" t="inlineStr">
        <is>
          <t>C-0108</t>
        </is>
      </c>
      <c r="C721" t="inlineStr">
        <is>
          <t>Retail-Core</t>
        </is>
      </c>
      <c r="D721" t="inlineStr">
        <is>
          <t>web</t>
        </is>
      </c>
      <c r="E721" s="7" t="n">
        <v>46123</v>
      </c>
      <c r="F721" t="n">
        <v>1270</v>
      </c>
      <c r="G721" t="n">
        <v>1270</v>
      </c>
      <c r="H721" t="inlineStr">
        <is>
          <t>2026-04-13</t>
        </is>
      </c>
      <c r="I721">
        <f>IF(MONTH(E721)&lt;=6,"Q1","Q2")</f>
        <v/>
      </c>
      <c r="J721">
        <f>YEAR(E721)*100+MONTH(E721)</f>
        <v/>
      </c>
      <c r="K721">
        <f>IF(COUNTIF($A$2:A721,A721)=1,1,0)</f>
        <v/>
      </c>
      <c r="L721">
        <f>IF(K721=1,IF(COUNTIFS($B$2:B721,B721,$I$2:I721,I721,$K$2:K721,1)=1,1,0),0)</f>
        <v/>
      </c>
      <c r="M721">
        <f>IF(Tree!$C$4="once per order",F721*K721,F721)</f>
        <v/>
      </c>
      <c r="N721">
        <f>IF(Tree!$C$4="once per order",K721,1)</f>
        <v/>
      </c>
      <c r="O721">
        <f>IF(Tree!$C$4="once per order",L721,1)</f>
        <v/>
      </c>
    </row>
    <row r="722">
      <c r="A722" t="inlineStr">
        <is>
          <t>KR-00494</t>
        </is>
      </c>
      <c r="B722" t="inlineStr">
        <is>
          <t>C-0007</t>
        </is>
      </c>
      <c r="C722" t="inlineStr">
        <is>
          <t>Retail-Core</t>
        </is>
      </c>
      <c r="D722" t="inlineStr">
        <is>
          <t>store</t>
        </is>
      </c>
      <c r="E722" s="7" t="n">
        <v>46145</v>
      </c>
      <c r="F722" t="n">
        <v>1650</v>
      </c>
      <c r="G722" t="n">
        <v>1650</v>
      </c>
      <c r="H722" t="inlineStr">
        <is>
          <t>2026-05-05</t>
        </is>
      </c>
      <c r="I722">
        <f>IF(MONTH(E722)&lt;=6,"Q1","Q2")</f>
        <v/>
      </c>
      <c r="J722">
        <f>YEAR(E722)*100+MONTH(E722)</f>
        <v/>
      </c>
      <c r="K722">
        <f>IF(COUNTIF($A$2:A722,A722)=1,1,0)</f>
        <v/>
      </c>
      <c r="L722">
        <f>IF(K722=1,IF(COUNTIFS($B$2:B722,B722,$I$2:I722,I722,$K$2:K722,1)=1,1,0),0)</f>
        <v/>
      </c>
      <c r="M722">
        <f>IF(Tree!$C$4="once per order",F722*K722,F722)</f>
        <v/>
      </c>
      <c r="N722">
        <f>IF(Tree!$C$4="once per order",K722,1)</f>
        <v/>
      </c>
      <c r="O722">
        <f>IF(Tree!$C$4="once per order",L722,1)</f>
        <v/>
      </c>
    </row>
    <row r="723">
      <c r="A723" t="inlineStr">
        <is>
          <t>KR-00495</t>
        </is>
      </c>
      <c r="B723" t="inlineStr">
        <is>
          <t>C-0079</t>
        </is>
      </c>
      <c r="C723" t="inlineStr">
        <is>
          <t>Retail-Core</t>
        </is>
      </c>
      <c r="D723" t="inlineStr">
        <is>
          <t>web</t>
        </is>
      </c>
      <c r="E723" s="7" t="n">
        <v>46192</v>
      </c>
      <c r="F723" t="n">
        <v>1680</v>
      </c>
      <c r="G723" t="n">
        <v>1680</v>
      </c>
      <c r="H723" t="inlineStr">
        <is>
          <t>2026-06-21</t>
        </is>
      </c>
      <c r="I723">
        <f>IF(MONTH(E723)&lt;=6,"Q1","Q2")</f>
        <v/>
      </c>
      <c r="J723">
        <f>YEAR(E723)*100+MONTH(E723)</f>
        <v/>
      </c>
      <c r="K723">
        <f>IF(COUNTIF($A$2:A723,A723)=1,1,0)</f>
        <v/>
      </c>
      <c r="L723">
        <f>IF(K723=1,IF(COUNTIFS($B$2:B723,B723,$I$2:I723,I723,$K$2:K723,1)=1,1,0),0)</f>
        <v/>
      </c>
      <c r="M723">
        <f>IF(Tree!$C$4="once per order",F723*K723,F723)</f>
        <v/>
      </c>
      <c r="N723">
        <f>IF(Tree!$C$4="once per order",K723,1)</f>
        <v/>
      </c>
      <c r="O723">
        <f>IF(Tree!$C$4="once per order",L723,1)</f>
        <v/>
      </c>
    </row>
    <row r="724">
      <c r="A724" t="inlineStr">
        <is>
          <t>KR-00496</t>
        </is>
      </c>
      <c r="B724" t="inlineStr">
        <is>
          <t>C-0060</t>
        </is>
      </c>
      <c r="C724" t="inlineStr">
        <is>
          <t>Retail-Core</t>
        </is>
      </c>
      <c r="D724" t="inlineStr">
        <is>
          <t>store</t>
        </is>
      </c>
      <c r="E724" s="7" t="n">
        <v>46115</v>
      </c>
      <c r="F724" t="n">
        <v>2050</v>
      </c>
      <c r="G724" t="n">
        <v>2050</v>
      </c>
      <c r="H724" t="inlineStr">
        <is>
          <t>2026-04-05</t>
        </is>
      </c>
      <c r="I724">
        <f>IF(MONTH(E724)&lt;=6,"Q1","Q2")</f>
        <v/>
      </c>
      <c r="J724">
        <f>YEAR(E724)*100+MONTH(E724)</f>
        <v/>
      </c>
      <c r="K724">
        <f>IF(COUNTIF($A$2:A724,A724)=1,1,0)</f>
        <v/>
      </c>
      <c r="L724">
        <f>IF(K724=1,IF(COUNTIFS($B$2:B724,B724,$I$2:I724,I724,$K$2:K724,1)=1,1,0),0)</f>
        <v/>
      </c>
      <c r="M724">
        <f>IF(Tree!$C$4="once per order",F724*K724,F724)</f>
        <v/>
      </c>
      <c r="N724">
        <f>IF(Tree!$C$4="once per order",K724,1)</f>
        <v/>
      </c>
      <c r="O724">
        <f>IF(Tree!$C$4="once per order",L724,1)</f>
        <v/>
      </c>
    </row>
    <row r="725">
      <c r="A725" t="inlineStr">
        <is>
          <t>KR-00497</t>
        </is>
      </c>
      <c r="B725" t="inlineStr">
        <is>
          <t>C-0008</t>
        </is>
      </c>
      <c r="C725" t="inlineStr">
        <is>
          <t>Retail-Core</t>
        </is>
      </c>
      <c r="D725" t="inlineStr">
        <is>
          <t>store</t>
        </is>
      </c>
      <c r="E725" s="7" t="n">
        <v>46159</v>
      </c>
      <c r="F725" t="n">
        <v>2330</v>
      </c>
      <c r="G725" t="n">
        <v>2330</v>
      </c>
      <c r="H725" t="inlineStr">
        <is>
          <t>2026-05-19</t>
        </is>
      </c>
      <c r="I725">
        <f>IF(MONTH(E725)&lt;=6,"Q1","Q2")</f>
        <v/>
      </c>
      <c r="J725">
        <f>YEAR(E725)*100+MONTH(E725)</f>
        <v/>
      </c>
      <c r="K725">
        <f>IF(COUNTIF($A$2:A725,A725)=1,1,0)</f>
        <v/>
      </c>
      <c r="L725">
        <f>IF(K725=1,IF(COUNTIFS($B$2:B725,B725,$I$2:I725,I725,$K$2:K725,1)=1,1,0),0)</f>
        <v/>
      </c>
      <c r="M725">
        <f>IF(Tree!$C$4="once per order",F725*K725,F725)</f>
        <v/>
      </c>
      <c r="N725">
        <f>IF(Tree!$C$4="once per order",K725,1)</f>
        <v/>
      </c>
      <c r="O725">
        <f>IF(Tree!$C$4="once per order",L725,1)</f>
        <v/>
      </c>
    </row>
    <row r="726">
      <c r="A726" t="inlineStr">
        <is>
          <t>KR-00498</t>
        </is>
      </c>
      <c r="B726" t="inlineStr">
        <is>
          <t>C-0128</t>
        </is>
      </c>
      <c r="C726" t="inlineStr">
        <is>
          <t>Retail-Core</t>
        </is>
      </c>
      <c r="D726" t="inlineStr">
        <is>
          <t>app</t>
        </is>
      </c>
      <c r="E726" s="7" t="n">
        <v>46197</v>
      </c>
      <c r="F726" t="n">
        <v>2170</v>
      </c>
      <c r="G726" t="n">
        <v>2170</v>
      </c>
      <c r="H726" t="inlineStr">
        <is>
          <t>2026-06-26</t>
        </is>
      </c>
      <c r="I726">
        <f>IF(MONTH(E726)&lt;=6,"Q1","Q2")</f>
        <v/>
      </c>
      <c r="J726">
        <f>YEAR(E726)*100+MONTH(E726)</f>
        <v/>
      </c>
      <c r="K726">
        <f>IF(COUNTIF($A$2:A726,A726)=1,1,0)</f>
        <v/>
      </c>
      <c r="L726">
        <f>IF(K726=1,IF(COUNTIFS($B$2:B726,B726,$I$2:I726,I726,$K$2:K726,1)=1,1,0),0)</f>
        <v/>
      </c>
      <c r="M726">
        <f>IF(Tree!$C$4="once per order",F726*K726,F726)</f>
        <v/>
      </c>
      <c r="N726">
        <f>IF(Tree!$C$4="once per order",K726,1)</f>
        <v/>
      </c>
      <c r="O726">
        <f>IF(Tree!$C$4="once per order",L726,1)</f>
        <v/>
      </c>
    </row>
    <row r="727">
      <c r="A727" t="inlineStr">
        <is>
          <t>KR-00499</t>
        </is>
      </c>
      <c r="B727" t="inlineStr">
        <is>
          <t>C-0084</t>
        </is>
      </c>
      <c r="C727" t="inlineStr">
        <is>
          <t>Retail-Core</t>
        </is>
      </c>
      <c r="D727" t="inlineStr">
        <is>
          <t>app</t>
        </is>
      </c>
      <c r="E727" s="7" t="n">
        <v>46138</v>
      </c>
      <c r="F727" t="n">
        <v>1950</v>
      </c>
      <c r="G727" t="n">
        <v>1950</v>
      </c>
      <c r="H727" t="inlineStr">
        <is>
          <t>2026-04-28</t>
        </is>
      </c>
      <c r="I727">
        <f>IF(MONTH(E727)&lt;=6,"Q1","Q2")</f>
        <v/>
      </c>
      <c r="J727">
        <f>YEAR(E727)*100+MONTH(E727)</f>
        <v/>
      </c>
      <c r="K727">
        <f>IF(COUNTIF($A$2:A727,A727)=1,1,0)</f>
        <v/>
      </c>
      <c r="L727">
        <f>IF(K727=1,IF(COUNTIFS($B$2:B727,B727,$I$2:I727,I727,$K$2:K727,1)=1,1,0),0)</f>
        <v/>
      </c>
      <c r="M727">
        <f>IF(Tree!$C$4="once per order",F727*K727,F727)</f>
        <v/>
      </c>
      <c r="N727">
        <f>IF(Tree!$C$4="once per order",K727,1)</f>
        <v/>
      </c>
      <c r="O727">
        <f>IF(Tree!$C$4="once per order",L727,1)</f>
        <v/>
      </c>
    </row>
    <row r="728">
      <c r="A728" t="inlineStr">
        <is>
          <t>KR-00500</t>
        </is>
      </c>
      <c r="B728" t="inlineStr">
        <is>
          <t>C-0046</t>
        </is>
      </c>
      <c r="C728" t="inlineStr">
        <is>
          <t>Retail-Core</t>
        </is>
      </c>
      <c r="D728" t="inlineStr">
        <is>
          <t>web</t>
        </is>
      </c>
      <c r="E728" s="7" t="n">
        <v>46145</v>
      </c>
      <c r="F728" t="n">
        <v>1220</v>
      </c>
      <c r="G728" t="n">
        <v>1220</v>
      </c>
      <c r="H728" t="inlineStr">
        <is>
          <t>2026-05-05</t>
        </is>
      </c>
      <c r="I728">
        <f>IF(MONTH(E728)&lt;=6,"Q1","Q2")</f>
        <v/>
      </c>
      <c r="J728">
        <f>YEAR(E728)*100+MONTH(E728)</f>
        <v/>
      </c>
      <c r="K728">
        <f>IF(COUNTIF($A$2:A728,A728)=1,1,0)</f>
        <v/>
      </c>
      <c r="L728">
        <f>IF(K728=1,IF(COUNTIFS($B$2:B728,B728,$I$2:I728,I728,$K$2:K728,1)=1,1,0),0)</f>
        <v/>
      </c>
      <c r="M728">
        <f>IF(Tree!$C$4="once per order",F728*K728,F728)</f>
        <v/>
      </c>
      <c r="N728">
        <f>IF(Tree!$C$4="once per order",K728,1)</f>
        <v/>
      </c>
      <c r="O728">
        <f>IF(Tree!$C$4="once per order",L728,1)</f>
        <v/>
      </c>
    </row>
    <row r="729">
      <c r="A729" t="inlineStr">
        <is>
          <t>KR-00501</t>
        </is>
      </c>
      <c r="B729" t="inlineStr">
        <is>
          <t>C-0040</t>
        </is>
      </c>
      <c r="C729" t="inlineStr">
        <is>
          <t>Retail-Core</t>
        </is>
      </c>
      <c r="D729" t="inlineStr">
        <is>
          <t>web</t>
        </is>
      </c>
      <c r="E729" s="7" t="n">
        <v>46182</v>
      </c>
      <c r="F729" t="n">
        <v>1320</v>
      </c>
      <c r="G729" t="n">
        <v>1320</v>
      </c>
      <c r="H729" t="inlineStr">
        <is>
          <t>2026-06-11</t>
        </is>
      </c>
      <c r="I729">
        <f>IF(MONTH(E729)&lt;=6,"Q1","Q2")</f>
        <v/>
      </c>
      <c r="J729">
        <f>YEAR(E729)*100+MONTH(E729)</f>
        <v/>
      </c>
      <c r="K729">
        <f>IF(COUNTIF($A$2:A729,A729)=1,1,0)</f>
        <v/>
      </c>
      <c r="L729">
        <f>IF(K729=1,IF(COUNTIFS($B$2:B729,B729,$I$2:I729,I729,$K$2:K729,1)=1,1,0),0)</f>
        <v/>
      </c>
      <c r="M729">
        <f>IF(Tree!$C$4="once per order",F729*K729,F729)</f>
        <v/>
      </c>
      <c r="N729">
        <f>IF(Tree!$C$4="once per order",K729,1)</f>
        <v/>
      </c>
      <c r="O729">
        <f>IF(Tree!$C$4="once per order",L729,1)</f>
        <v/>
      </c>
    </row>
    <row r="730">
      <c r="A730" t="inlineStr">
        <is>
          <t>KR-00502</t>
        </is>
      </c>
      <c r="B730" t="inlineStr">
        <is>
          <t>C-0024</t>
        </is>
      </c>
      <c r="C730" t="inlineStr">
        <is>
          <t>Retail-Core</t>
        </is>
      </c>
      <c r="D730" t="inlineStr">
        <is>
          <t>store</t>
        </is>
      </c>
      <c r="E730" s="7" t="n">
        <v>46121</v>
      </c>
      <c r="F730" t="n">
        <v>2710</v>
      </c>
      <c r="G730" t="n">
        <v>2710</v>
      </c>
      <c r="H730" t="inlineStr">
        <is>
          <t>2026-04-11</t>
        </is>
      </c>
      <c r="I730">
        <f>IF(MONTH(E730)&lt;=6,"Q1","Q2")</f>
        <v/>
      </c>
      <c r="J730">
        <f>YEAR(E730)*100+MONTH(E730)</f>
        <v/>
      </c>
      <c r="K730">
        <f>IF(COUNTIF($A$2:A730,A730)=1,1,0)</f>
        <v/>
      </c>
      <c r="L730">
        <f>IF(K730=1,IF(COUNTIFS($B$2:B730,B730,$I$2:I730,I730,$K$2:K730,1)=1,1,0),0)</f>
        <v/>
      </c>
      <c r="M730">
        <f>IF(Tree!$C$4="once per order",F730*K730,F730)</f>
        <v/>
      </c>
      <c r="N730">
        <f>IF(Tree!$C$4="once per order",K730,1)</f>
        <v/>
      </c>
      <c r="O730">
        <f>IF(Tree!$C$4="once per order",L730,1)</f>
        <v/>
      </c>
    </row>
    <row r="731">
      <c r="A731" t="inlineStr">
        <is>
          <t>KR-00503</t>
        </is>
      </c>
      <c r="B731" t="inlineStr">
        <is>
          <t>C-0022</t>
        </is>
      </c>
      <c r="C731" t="inlineStr">
        <is>
          <t>Retail-Core</t>
        </is>
      </c>
      <c r="D731" t="inlineStr">
        <is>
          <t>store</t>
        </is>
      </c>
      <c r="E731" s="7" t="n">
        <v>46145</v>
      </c>
      <c r="F731" t="n">
        <v>1260</v>
      </c>
      <c r="G731" t="n">
        <v>1260</v>
      </c>
      <c r="H731" t="inlineStr">
        <is>
          <t>2026-05-05</t>
        </is>
      </c>
      <c r="I731">
        <f>IF(MONTH(E731)&lt;=6,"Q1","Q2")</f>
        <v/>
      </c>
      <c r="J731">
        <f>YEAR(E731)*100+MONTH(E731)</f>
        <v/>
      </c>
      <c r="K731">
        <f>IF(COUNTIF($A$2:A731,A731)=1,1,0)</f>
        <v/>
      </c>
      <c r="L731">
        <f>IF(K731=1,IF(COUNTIFS($B$2:B731,B731,$I$2:I731,I731,$K$2:K731,1)=1,1,0),0)</f>
        <v/>
      </c>
      <c r="M731">
        <f>IF(Tree!$C$4="once per order",F731*K731,F731)</f>
        <v/>
      </c>
      <c r="N731">
        <f>IF(Tree!$C$4="once per order",K731,1)</f>
        <v/>
      </c>
      <c r="O731">
        <f>IF(Tree!$C$4="once per order",L731,1)</f>
        <v/>
      </c>
    </row>
    <row r="732">
      <c r="A732" t="inlineStr">
        <is>
          <t>KR-00504</t>
        </is>
      </c>
      <c r="B732" t="inlineStr">
        <is>
          <t>C-0003</t>
        </is>
      </c>
      <c r="C732" t="inlineStr">
        <is>
          <t>Retail-Core</t>
        </is>
      </c>
      <c r="D732" t="inlineStr">
        <is>
          <t>web</t>
        </is>
      </c>
      <c r="E732" s="7" t="n">
        <v>46192</v>
      </c>
      <c r="F732" t="n">
        <v>1430</v>
      </c>
      <c r="G732" t="n">
        <v>1430</v>
      </c>
      <c r="H732" t="inlineStr">
        <is>
          <t>2026-06-21</t>
        </is>
      </c>
      <c r="I732">
        <f>IF(MONTH(E732)&lt;=6,"Q1","Q2")</f>
        <v/>
      </c>
      <c r="J732">
        <f>YEAR(E732)*100+MONTH(E732)</f>
        <v/>
      </c>
      <c r="K732">
        <f>IF(COUNTIF($A$2:A732,A732)=1,1,0)</f>
        <v/>
      </c>
      <c r="L732">
        <f>IF(K732=1,IF(COUNTIFS($B$2:B732,B732,$I$2:I732,I732,$K$2:K732,1)=1,1,0),0)</f>
        <v/>
      </c>
      <c r="M732">
        <f>IF(Tree!$C$4="once per order",F732*K732,F732)</f>
        <v/>
      </c>
      <c r="N732">
        <f>IF(Tree!$C$4="once per order",K732,1)</f>
        <v/>
      </c>
      <c r="O732">
        <f>IF(Tree!$C$4="once per order",L732,1)</f>
        <v/>
      </c>
    </row>
    <row r="733">
      <c r="A733" t="inlineStr">
        <is>
          <t>KR-00505</t>
        </is>
      </c>
      <c r="B733" t="inlineStr">
        <is>
          <t>C-0012</t>
        </is>
      </c>
      <c r="C733" t="inlineStr">
        <is>
          <t>Retail-Core</t>
        </is>
      </c>
      <c r="D733" t="inlineStr">
        <is>
          <t>store</t>
        </is>
      </c>
      <c r="E733" s="7" t="n">
        <v>46119</v>
      </c>
      <c r="F733" t="n">
        <v>2410</v>
      </c>
      <c r="G733" t="n">
        <v>2410</v>
      </c>
      <c r="H733" t="inlineStr">
        <is>
          <t>2026-04-09</t>
        </is>
      </c>
      <c r="I733">
        <f>IF(MONTH(E733)&lt;=6,"Q1","Q2")</f>
        <v/>
      </c>
      <c r="J733">
        <f>YEAR(E733)*100+MONTH(E733)</f>
        <v/>
      </c>
      <c r="K733">
        <f>IF(COUNTIF($A$2:A733,A733)=1,1,0)</f>
        <v/>
      </c>
      <c r="L733">
        <f>IF(K733=1,IF(COUNTIFS($B$2:B733,B733,$I$2:I733,I733,$K$2:K733,1)=1,1,0),0)</f>
        <v/>
      </c>
      <c r="M733">
        <f>IF(Tree!$C$4="once per order",F733*K733,F733)</f>
        <v/>
      </c>
      <c r="N733">
        <f>IF(Tree!$C$4="once per order",K733,1)</f>
        <v/>
      </c>
      <c r="O733">
        <f>IF(Tree!$C$4="once per order",L733,1)</f>
        <v/>
      </c>
    </row>
    <row r="734">
      <c r="A734" t="inlineStr">
        <is>
          <t>KR-00506</t>
        </is>
      </c>
      <c r="B734" t="inlineStr">
        <is>
          <t>C-0136</t>
        </is>
      </c>
      <c r="C734" t="inlineStr">
        <is>
          <t>Retail-Core</t>
        </is>
      </c>
      <c r="D734" t="inlineStr">
        <is>
          <t>web</t>
        </is>
      </c>
      <c r="E734" s="7" t="n">
        <v>46164</v>
      </c>
      <c r="F734" t="n">
        <v>2540</v>
      </c>
      <c r="G734" t="n">
        <v>2540</v>
      </c>
      <c r="H734" t="inlineStr">
        <is>
          <t>2026-05-24</t>
        </is>
      </c>
      <c r="I734">
        <f>IF(MONTH(E734)&lt;=6,"Q1","Q2")</f>
        <v/>
      </c>
      <c r="J734">
        <f>YEAR(E734)*100+MONTH(E734)</f>
        <v/>
      </c>
      <c r="K734">
        <f>IF(COUNTIF($A$2:A734,A734)=1,1,0)</f>
        <v/>
      </c>
      <c r="L734">
        <f>IF(K734=1,IF(COUNTIFS($B$2:B734,B734,$I$2:I734,I734,$K$2:K734,1)=1,1,0),0)</f>
        <v/>
      </c>
      <c r="M734">
        <f>IF(Tree!$C$4="once per order",F734*K734,F734)</f>
        <v/>
      </c>
      <c r="N734">
        <f>IF(Tree!$C$4="once per order",K734,1)</f>
        <v/>
      </c>
      <c r="O734">
        <f>IF(Tree!$C$4="once per order",L734,1)</f>
        <v/>
      </c>
    </row>
    <row r="735">
      <c r="A735" t="inlineStr">
        <is>
          <t>KR-00507</t>
        </is>
      </c>
      <c r="B735" t="inlineStr">
        <is>
          <t>C-0037</t>
        </is>
      </c>
      <c r="C735" t="inlineStr">
        <is>
          <t>Retail-Core</t>
        </is>
      </c>
      <c r="D735" t="inlineStr">
        <is>
          <t>web</t>
        </is>
      </c>
      <c r="E735" s="7" t="n">
        <v>46198</v>
      </c>
      <c r="F735" t="n">
        <v>2300</v>
      </c>
      <c r="G735" t="n">
        <v>2300</v>
      </c>
      <c r="H735" t="inlineStr">
        <is>
          <t>2026-06-27</t>
        </is>
      </c>
      <c r="I735">
        <f>IF(MONTH(E735)&lt;=6,"Q1","Q2")</f>
        <v/>
      </c>
      <c r="J735">
        <f>YEAR(E735)*100+MONTH(E735)</f>
        <v/>
      </c>
      <c r="K735">
        <f>IF(COUNTIF($A$2:A735,A735)=1,1,0)</f>
        <v/>
      </c>
      <c r="L735">
        <f>IF(K735=1,IF(COUNTIFS($B$2:B735,B735,$I$2:I735,I735,$K$2:K735,1)=1,1,0),0)</f>
        <v/>
      </c>
      <c r="M735">
        <f>IF(Tree!$C$4="once per order",F735*K735,F735)</f>
        <v/>
      </c>
      <c r="N735">
        <f>IF(Tree!$C$4="once per order",K735,1)</f>
        <v/>
      </c>
      <c r="O735">
        <f>IF(Tree!$C$4="once per order",L735,1)</f>
        <v/>
      </c>
    </row>
    <row r="736">
      <c r="A736" t="inlineStr">
        <is>
          <t>KR-00508</t>
        </is>
      </c>
      <c r="B736" t="inlineStr">
        <is>
          <t>C-0103</t>
        </is>
      </c>
      <c r="C736" t="inlineStr">
        <is>
          <t>Retail-Core</t>
        </is>
      </c>
      <c r="D736" t="inlineStr">
        <is>
          <t>web</t>
        </is>
      </c>
      <c r="E736" s="7" t="n">
        <v>46119</v>
      </c>
      <c r="F736" t="n">
        <v>1660</v>
      </c>
      <c r="G736" t="n">
        <v>1660</v>
      </c>
      <c r="H736" t="inlineStr">
        <is>
          <t>2026-04-09</t>
        </is>
      </c>
      <c r="I736">
        <f>IF(MONTH(E736)&lt;=6,"Q1","Q2")</f>
        <v/>
      </c>
      <c r="J736">
        <f>YEAR(E736)*100+MONTH(E736)</f>
        <v/>
      </c>
      <c r="K736">
        <f>IF(COUNTIF($A$2:A736,A736)=1,1,0)</f>
        <v/>
      </c>
      <c r="L736">
        <f>IF(K736=1,IF(COUNTIFS($B$2:B736,B736,$I$2:I736,I736,$K$2:K736,1)=1,1,0),0)</f>
        <v/>
      </c>
      <c r="M736">
        <f>IF(Tree!$C$4="once per order",F736*K736,F736)</f>
        <v/>
      </c>
      <c r="N736">
        <f>IF(Tree!$C$4="once per order",K736,1)</f>
        <v/>
      </c>
      <c r="O736">
        <f>IF(Tree!$C$4="once per order",L736,1)</f>
        <v/>
      </c>
    </row>
    <row r="737">
      <c r="A737" t="inlineStr">
        <is>
          <t>KR-00509</t>
        </is>
      </c>
      <c r="B737" t="inlineStr">
        <is>
          <t>C-0091</t>
        </is>
      </c>
      <c r="C737" t="inlineStr">
        <is>
          <t>Retail-Core</t>
        </is>
      </c>
      <c r="D737" t="inlineStr">
        <is>
          <t>web</t>
        </is>
      </c>
      <c r="E737" s="7" t="n">
        <v>46165</v>
      </c>
      <c r="F737" t="n">
        <v>1050</v>
      </c>
      <c r="G737" t="n">
        <v>1050</v>
      </c>
      <c r="H737" t="inlineStr">
        <is>
          <t>2026-05-25</t>
        </is>
      </c>
      <c r="I737">
        <f>IF(MONTH(E737)&lt;=6,"Q1","Q2")</f>
        <v/>
      </c>
      <c r="J737">
        <f>YEAR(E737)*100+MONTH(E737)</f>
        <v/>
      </c>
      <c r="K737">
        <f>IF(COUNTIF($A$2:A737,A737)=1,1,0)</f>
        <v/>
      </c>
      <c r="L737">
        <f>IF(K737=1,IF(COUNTIFS($B$2:B737,B737,$I$2:I737,I737,$K$2:K737,1)=1,1,0),0)</f>
        <v/>
      </c>
      <c r="M737">
        <f>IF(Tree!$C$4="once per order",F737*K737,F737)</f>
        <v/>
      </c>
      <c r="N737">
        <f>IF(Tree!$C$4="once per order",K737,1)</f>
        <v/>
      </c>
      <c r="O737">
        <f>IF(Tree!$C$4="once per order",L737,1)</f>
        <v/>
      </c>
    </row>
    <row r="738">
      <c r="A738" t="inlineStr">
        <is>
          <t>KR-00510</t>
        </is>
      </c>
      <c r="B738" t="inlineStr">
        <is>
          <t>C-0083</t>
        </is>
      </c>
      <c r="C738" t="inlineStr">
        <is>
          <t>Retail-Core</t>
        </is>
      </c>
      <c r="D738" t="inlineStr">
        <is>
          <t>web</t>
        </is>
      </c>
      <c r="E738" s="7" t="n">
        <v>46198</v>
      </c>
      <c r="F738" t="n">
        <v>1480</v>
      </c>
      <c r="G738" t="n">
        <v>1480</v>
      </c>
      <c r="H738" t="inlineStr">
        <is>
          <t>2026-06-27</t>
        </is>
      </c>
      <c r="I738">
        <f>IF(MONTH(E738)&lt;=6,"Q1","Q2")</f>
        <v/>
      </c>
      <c r="J738">
        <f>YEAR(E738)*100+MONTH(E738)</f>
        <v/>
      </c>
      <c r="K738">
        <f>IF(COUNTIF($A$2:A738,A738)=1,1,0)</f>
        <v/>
      </c>
      <c r="L738">
        <f>IF(K738=1,IF(COUNTIFS($B$2:B738,B738,$I$2:I738,I738,$K$2:K738,1)=1,1,0),0)</f>
        <v/>
      </c>
      <c r="M738">
        <f>IF(Tree!$C$4="once per order",F738*K738,F738)</f>
        <v/>
      </c>
      <c r="N738">
        <f>IF(Tree!$C$4="once per order",K738,1)</f>
        <v/>
      </c>
      <c r="O738">
        <f>IF(Tree!$C$4="once per order",L738,1)</f>
        <v/>
      </c>
    </row>
    <row r="739">
      <c r="A739" t="inlineStr">
        <is>
          <t>KR-00511</t>
        </is>
      </c>
      <c r="B739" t="inlineStr">
        <is>
          <t>C-0010</t>
        </is>
      </c>
      <c r="C739" t="inlineStr">
        <is>
          <t>Retail-Core</t>
        </is>
      </c>
      <c r="D739" t="inlineStr">
        <is>
          <t>store</t>
        </is>
      </c>
      <c r="E739" s="7" t="n">
        <v>46116</v>
      </c>
      <c r="F739" t="n">
        <v>1710</v>
      </c>
      <c r="G739" t="n">
        <v>1710</v>
      </c>
      <c r="H739" t="inlineStr">
        <is>
          <t>2026-04-06</t>
        </is>
      </c>
      <c r="I739">
        <f>IF(MONTH(E739)&lt;=6,"Q1","Q2")</f>
        <v/>
      </c>
      <c r="J739">
        <f>YEAR(E739)*100+MONTH(E739)</f>
        <v/>
      </c>
      <c r="K739">
        <f>IF(COUNTIF($A$2:A739,A739)=1,1,0)</f>
        <v/>
      </c>
      <c r="L739">
        <f>IF(K739=1,IF(COUNTIFS($B$2:B739,B739,$I$2:I739,I739,$K$2:K739,1)=1,1,0),0)</f>
        <v/>
      </c>
      <c r="M739">
        <f>IF(Tree!$C$4="once per order",F739*K739,F739)</f>
        <v/>
      </c>
      <c r="N739">
        <f>IF(Tree!$C$4="once per order",K739,1)</f>
        <v/>
      </c>
      <c r="O739">
        <f>IF(Tree!$C$4="once per order",L739,1)</f>
        <v/>
      </c>
    </row>
    <row r="740">
      <c r="A740" t="inlineStr">
        <is>
          <t>KR-00512</t>
        </is>
      </c>
      <c r="B740" t="inlineStr">
        <is>
          <t>C-0050</t>
        </is>
      </c>
      <c r="C740" t="inlineStr">
        <is>
          <t>Retail-Core</t>
        </is>
      </c>
      <c r="D740" t="inlineStr">
        <is>
          <t>app</t>
        </is>
      </c>
      <c r="E740" s="7" t="n">
        <v>46150</v>
      </c>
      <c r="F740" t="n">
        <v>870</v>
      </c>
      <c r="G740" t="n">
        <v>870</v>
      </c>
      <c r="H740" t="inlineStr">
        <is>
          <t>2026-05-10</t>
        </is>
      </c>
      <c r="I740">
        <f>IF(MONTH(E740)&lt;=6,"Q1","Q2")</f>
        <v/>
      </c>
      <c r="J740">
        <f>YEAR(E740)*100+MONTH(E740)</f>
        <v/>
      </c>
      <c r="K740">
        <f>IF(COUNTIF($A$2:A740,A740)=1,1,0)</f>
        <v/>
      </c>
      <c r="L740">
        <f>IF(K740=1,IF(COUNTIFS($B$2:B740,B740,$I$2:I740,I740,$K$2:K740,1)=1,1,0),0)</f>
        <v/>
      </c>
      <c r="M740">
        <f>IF(Tree!$C$4="once per order",F740*K740,F740)</f>
        <v/>
      </c>
      <c r="N740">
        <f>IF(Tree!$C$4="once per order",K740,1)</f>
        <v/>
      </c>
      <c r="O740">
        <f>IF(Tree!$C$4="once per order",L740,1)</f>
        <v/>
      </c>
    </row>
    <row r="741">
      <c r="A741" t="inlineStr">
        <is>
          <t>KR-00512</t>
        </is>
      </c>
      <c r="B741" t="inlineStr">
        <is>
          <t>C-0050</t>
        </is>
      </c>
      <c r="C741" t="inlineStr">
        <is>
          <t>Retail-Core</t>
        </is>
      </c>
      <c r="D741" t="inlineStr">
        <is>
          <t>app</t>
        </is>
      </c>
      <c r="E741" s="7" t="n">
        <v>46150</v>
      </c>
      <c r="F741" t="n">
        <v>870</v>
      </c>
      <c r="G741" t="n">
        <v>870</v>
      </c>
      <c r="H741" t="inlineStr">
        <is>
          <t>2026-05-10</t>
        </is>
      </c>
      <c r="I741">
        <f>IF(MONTH(E741)&lt;=6,"Q1","Q2")</f>
        <v/>
      </c>
      <c r="J741">
        <f>YEAR(E741)*100+MONTH(E741)</f>
        <v/>
      </c>
      <c r="K741">
        <f>IF(COUNTIF($A$2:A741,A741)=1,1,0)</f>
        <v/>
      </c>
      <c r="L741">
        <f>IF(K741=1,IF(COUNTIFS($B$2:B741,B741,$I$2:I741,I741,$K$2:K741,1)=1,1,0),0)</f>
        <v/>
      </c>
      <c r="M741">
        <f>IF(Tree!$C$4="once per order",F741*K741,F741)</f>
        <v/>
      </c>
      <c r="N741">
        <f>IF(Tree!$C$4="once per order",K741,1)</f>
        <v/>
      </c>
      <c r="O741">
        <f>IF(Tree!$C$4="once per order",L741,1)</f>
        <v/>
      </c>
    </row>
    <row r="742">
      <c r="A742" t="inlineStr">
        <is>
          <t>KR-00513</t>
        </is>
      </c>
      <c r="B742" t="inlineStr">
        <is>
          <t>C-0086</t>
        </is>
      </c>
      <c r="C742" t="inlineStr">
        <is>
          <t>Retail-Core</t>
        </is>
      </c>
      <c r="D742" t="inlineStr">
        <is>
          <t>app</t>
        </is>
      </c>
      <c r="E742" s="7" t="n">
        <v>46179</v>
      </c>
      <c r="F742" t="n">
        <v>2830</v>
      </c>
      <c r="G742" t="n">
        <v>1698</v>
      </c>
      <c r="H742" t="inlineStr">
        <is>
          <t>2026-06-08</t>
        </is>
      </c>
      <c r="I742">
        <f>IF(MONTH(E742)&lt;=6,"Q1","Q2")</f>
        <v/>
      </c>
      <c r="J742">
        <f>YEAR(E742)*100+MONTH(E742)</f>
        <v/>
      </c>
      <c r="K742">
        <f>IF(COUNTIF($A$2:A742,A742)=1,1,0)</f>
        <v/>
      </c>
      <c r="L742">
        <f>IF(K742=1,IF(COUNTIFS($B$2:B742,B742,$I$2:I742,I742,$K$2:K742,1)=1,1,0),0)</f>
        <v/>
      </c>
      <c r="M742">
        <f>IF(Tree!$C$4="once per order",F742*K742,F742)</f>
        <v/>
      </c>
      <c r="N742">
        <f>IF(Tree!$C$4="once per order",K742,1)</f>
        <v/>
      </c>
      <c r="O742">
        <f>IF(Tree!$C$4="once per order",L742,1)</f>
        <v/>
      </c>
    </row>
    <row r="743">
      <c r="A743" t="inlineStr">
        <is>
          <t>KR-00513</t>
        </is>
      </c>
      <c r="B743" t="inlineStr">
        <is>
          <t>C-0086</t>
        </is>
      </c>
      <c r="C743" t="inlineStr">
        <is>
          <t>Retail-Core</t>
        </is>
      </c>
      <c r="D743" t="inlineStr">
        <is>
          <t>app</t>
        </is>
      </c>
      <c r="E743" s="7" t="n">
        <v>46179</v>
      </c>
      <c r="F743" t="n">
        <v>2830</v>
      </c>
      <c r="G743" t="n">
        <v>1132</v>
      </c>
      <c r="H743" t="inlineStr">
        <is>
          <t>2026-06-08</t>
        </is>
      </c>
      <c r="I743">
        <f>IF(MONTH(E743)&lt;=6,"Q1","Q2")</f>
        <v/>
      </c>
      <c r="J743">
        <f>YEAR(E743)*100+MONTH(E743)</f>
        <v/>
      </c>
      <c r="K743">
        <f>IF(COUNTIF($A$2:A743,A743)=1,1,0)</f>
        <v/>
      </c>
      <c r="L743">
        <f>IF(K743=1,IF(COUNTIFS($B$2:B743,B743,$I$2:I743,I743,$K$2:K743,1)=1,1,0),0)</f>
        <v/>
      </c>
      <c r="M743">
        <f>IF(Tree!$C$4="once per order",F743*K743,F743)</f>
        <v/>
      </c>
      <c r="N743">
        <f>IF(Tree!$C$4="once per order",K743,1)</f>
        <v/>
      </c>
      <c r="O743">
        <f>IF(Tree!$C$4="once per order",L743,1)</f>
        <v/>
      </c>
    </row>
    <row r="744">
      <c r="A744" t="inlineStr">
        <is>
          <t>KR-00514</t>
        </is>
      </c>
      <c r="B744" t="inlineStr">
        <is>
          <t>C-0087</t>
        </is>
      </c>
      <c r="C744" t="inlineStr">
        <is>
          <t>Retail-Core</t>
        </is>
      </c>
      <c r="D744" t="inlineStr">
        <is>
          <t>app</t>
        </is>
      </c>
      <c r="E744" s="7" t="n">
        <v>46139</v>
      </c>
      <c r="F744" t="n">
        <v>2970</v>
      </c>
      <c r="G744" t="n">
        <v>1782</v>
      </c>
      <c r="H744" t="inlineStr">
        <is>
          <t>2026-04-28</t>
        </is>
      </c>
      <c r="I744">
        <f>IF(MONTH(E744)&lt;=6,"Q1","Q2")</f>
        <v/>
      </c>
      <c r="J744">
        <f>YEAR(E744)*100+MONTH(E744)</f>
        <v/>
      </c>
      <c r="K744">
        <f>IF(COUNTIF($A$2:A744,A744)=1,1,0)</f>
        <v/>
      </c>
      <c r="L744">
        <f>IF(K744=1,IF(COUNTIFS($B$2:B744,B744,$I$2:I744,I744,$K$2:K744,1)=1,1,0),0)</f>
        <v/>
      </c>
      <c r="M744">
        <f>IF(Tree!$C$4="once per order",F744*K744,F744)</f>
        <v/>
      </c>
      <c r="N744">
        <f>IF(Tree!$C$4="once per order",K744,1)</f>
        <v/>
      </c>
      <c r="O744">
        <f>IF(Tree!$C$4="once per order",L744,1)</f>
        <v/>
      </c>
    </row>
    <row r="745">
      <c r="A745" t="inlineStr">
        <is>
          <t>KR-00514</t>
        </is>
      </c>
      <c r="B745" t="inlineStr">
        <is>
          <t>C-0087</t>
        </is>
      </c>
      <c r="C745" t="inlineStr">
        <is>
          <t>Retail-Core</t>
        </is>
      </c>
      <c r="D745" t="inlineStr">
        <is>
          <t>app</t>
        </is>
      </c>
      <c r="E745" s="7" t="n">
        <v>46139</v>
      </c>
      <c r="F745" t="n">
        <v>2970</v>
      </c>
      <c r="G745" t="n">
        <v>1188</v>
      </c>
      <c r="H745" t="inlineStr">
        <is>
          <t>2026-04-28</t>
        </is>
      </c>
      <c r="I745">
        <f>IF(MONTH(E745)&lt;=6,"Q1","Q2")</f>
        <v/>
      </c>
      <c r="J745">
        <f>YEAR(E745)*100+MONTH(E745)</f>
        <v/>
      </c>
      <c r="K745">
        <f>IF(COUNTIF($A$2:A745,A745)=1,1,0)</f>
        <v/>
      </c>
      <c r="L745">
        <f>IF(K745=1,IF(COUNTIFS($B$2:B745,B745,$I$2:I745,I745,$K$2:K745,1)=1,1,0),0)</f>
        <v/>
      </c>
      <c r="M745">
        <f>IF(Tree!$C$4="once per order",F745*K745,F745)</f>
        <v/>
      </c>
      <c r="N745">
        <f>IF(Tree!$C$4="once per order",K745,1)</f>
        <v/>
      </c>
      <c r="O745">
        <f>IF(Tree!$C$4="once per order",L745,1)</f>
        <v/>
      </c>
    </row>
    <row r="746">
      <c r="A746" t="inlineStr">
        <is>
          <t>KR-00515</t>
        </is>
      </c>
      <c r="B746" t="inlineStr">
        <is>
          <t>C-0051</t>
        </is>
      </c>
      <c r="C746" t="inlineStr">
        <is>
          <t>Retail-Core</t>
        </is>
      </c>
      <c r="D746" t="inlineStr">
        <is>
          <t>web</t>
        </is>
      </c>
      <c r="E746" s="7" t="n">
        <v>46168</v>
      </c>
      <c r="F746" t="n">
        <v>1780</v>
      </c>
      <c r="G746" t="n">
        <v>1780</v>
      </c>
      <c r="H746" t="inlineStr">
        <is>
          <t>2026-05-28</t>
        </is>
      </c>
      <c r="I746">
        <f>IF(MONTH(E746)&lt;=6,"Q1","Q2")</f>
        <v/>
      </c>
      <c r="J746">
        <f>YEAR(E746)*100+MONTH(E746)</f>
        <v/>
      </c>
      <c r="K746">
        <f>IF(COUNTIF($A$2:A746,A746)=1,1,0)</f>
        <v/>
      </c>
      <c r="L746">
        <f>IF(K746=1,IF(COUNTIFS($B$2:B746,B746,$I$2:I746,I746,$K$2:K746,1)=1,1,0),0)</f>
        <v/>
      </c>
      <c r="M746">
        <f>IF(Tree!$C$4="once per order",F746*K746,F746)</f>
        <v/>
      </c>
      <c r="N746">
        <f>IF(Tree!$C$4="once per order",K746,1)</f>
        <v/>
      </c>
      <c r="O746">
        <f>IF(Tree!$C$4="once per order",L746,1)</f>
        <v/>
      </c>
    </row>
    <row r="747">
      <c r="A747" t="inlineStr">
        <is>
          <t>KR-00516</t>
        </is>
      </c>
      <c r="B747" t="inlineStr">
        <is>
          <t>C-0050</t>
        </is>
      </c>
      <c r="C747" t="inlineStr">
        <is>
          <t>Retail-Core</t>
        </is>
      </c>
      <c r="D747" t="inlineStr">
        <is>
          <t>web</t>
        </is>
      </c>
      <c r="E747" s="7" t="n">
        <v>46200</v>
      </c>
      <c r="F747" t="n">
        <v>1180</v>
      </c>
      <c r="G747" t="n">
        <v>1180</v>
      </c>
      <c r="H747" t="inlineStr">
        <is>
          <t>2026-06-28</t>
        </is>
      </c>
      <c r="I747">
        <f>IF(MONTH(E747)&lt;=6,"Q1","Q2")</f>
        <v/>
      </c>
      <c r="J747">
        <f>YEAR(E747)*100+MONTH(E747)</f>
        <v/>
      </c>
      <c r="K747">
        <f>IF(COUNTIF($A$2:A747,A747)=1,1,0)</f>
        <v/>
      </c>
      <c r="L747">
        <f>IF(K747=1,IF(COUNTIFS($B$2:B747,B747,$I$2:I747,I747,$K$2:K747,1)=1,1,0),0)</f>
        <v/>
      </c>
      <c r="M747">
        <f>IF(Tree!$C$4="once per order",F747*K747,F747)</f>
        <v/>
      </c>
      <c r="N747">
        <f>IF(Tree!$C$4="once per order",K747,1)</f>
        <v/>
      </c>
      <c r="O747">
        <f>IF(Tree!$C$4="once per order",L747,1)</f>
        <v/>
      </c>
    </row>
    <row r="748">
      <c r="A748" t="inlineStr">
        <is>
          <t>KR-00517</t>
        </is>
      </c>
      <c r="B748" t="inlineStr">
        <is>
          <t>C-0048</t>
        </is>
      </c>
      <c r="C748" t="inlineStr">
        <is>
          <t>Retail-Core</t>
        </is>
      </c>
      <c r="D748" t="inlineStr">
        <is>
          <t>web</t>
        </is>
      </c>
      <c r="E748" s="7" t="n">
        <v>46139</v>
      </c>
      <c r="F748" t="n">
        <v>1640</v>
      </c>
      <c r="G748" t="n">
        <v>1640</v>
      </c>
      <c r="H748" t="inlineStr">
        <is>
          <t>2026-04-28</t>
        </is>
      </c>
      <c r="I748">
        <f>IF(MONTH(E748)&lt;=6,"Q1","Q2")</f>
        <v/>
      </c>
      <c r="J748">
        <f>YEAR(E748)*100+MONTH(E748)</f>
        <v/>
      </c>
      <c r="K748">
        <f>IF(COUNTIF($A$2:A748,A748)=1,1,0)</f>
        <v/>
      </c>
      <c r="L748">
        <f>IF(K748=1,IF(COUNTIFS($B$2:B748,B748,$I$2:I748,I748,$K$2:K748,1)=1,1,0),0)</f>
        <v/>
      </c>
      <c r="M748">
        <f>IF(Tree!$C$4="once per order",F748*K748,F748)</f>
        <v/>
      </c>
      <c r="N748">
        <f>IF(Tree!$C$4="once per order",K748,1)</f>
        <v/>
      </c>
      <c r="O748">
        <f>IF(Tree!$C$4="once per order",L748,1)</f>
        <v/>
      </c>
    </row>
    <row r="749">
      <c r="A749" t="inlineStr">
        <is>
          <t>KR-00518</t>
        </is>
      </c>
      <c r="B749" t="inlineStr">
        <is>
          <t>C-0121</t>
        </is>
      </c>
      <c r="C749" t="inlineStr">
        <is>
          <t>Retail-Core</t>
        </is>
      </c>
      <c r="D749" t="inlineStr">
        <is>
          <t>store</t>
        </is>
      </c>
      <c r="E749" s="7" t="n">
        <v>46159</v>
      </c>
      <c r="F749" t="n">
        <v>2350</v>
      </c>
      <c r="G749" t="n">
        <v>2350</v>
      </c>
      <c r="H749" t="inlineStr">
        <is>
          <t>2026-05-19</t>
        </is>
      </c>
      <c r="I749">
        <f>IF(MONTH(E749)&lt;=6,"Q1","Q2")</f>
        <v/>
      </c>
      <c r="J749">
        <f>YEAR(E749)*100+MONTH(E749)</f>
        <v/>
      </c>
      <c r="K749">
        <f>IF(COUNTIF($A$2:A749,A749)=1,1,0)</f>
        <v/>
      </c>
      <c r="L749">
        <f>IF(K749=1,IF(COUNTIFS($B$2:B749,B749,$I$2:I749,I749,$K$2:K749,1)=1,1,0),0)</f>
        <v/>
      </c>
      <c r="M749">
        <f>IF(Tree!$C$4="once per order",F749*K749,F749)</f>
        <v/>
      </c>
      <c r="N749">
        <f>IF(Tree!$C$4="once per order",K749,1)</f>
        <v/>
      </c>
      <c r="O749">
        <f>IF(Tree!$C$4="once per order",L749,1)</f>
        <v/>
      </c>
    </row>
    <row r="750">
      <c r="A750" t="inlineStr">
        <is>
          <t>KR-00519</t>
        </is>
      </c>
      <c r="B750" t="inlineStr">
        <is>
          <t>C-0068</t>
        </is>
      </c>
      <c r="C750" t="inlineStr">
        <is>
          <t>Retail-Core</t>
        </is>
      </c>
      <c r="D750" t="inlineStr">
        <is>
          <t>app</t>
        </is>
      </c>
      <c r="E750" s="7" t="n">
        <v>46175</v>
      </c>
      <c r="F750" t="n">
        <v>1660</v>
      </c>
      <c r="G750" t="n">
        <v>1660</v>
      </c>
      <c r="H750" t="inlineStr">
        <is>
          <t>2026-06-04</t>
        </is>
      </c>
      <c r="I750">
        <f>IF(MONTH(E750)&lt;=6,"Q1","Q2")</f>
        <v/>
      </c>
      <c r="J750">
        <f>YEAR(E750)*100+MONTH(E750)</f>
        <v/>
      </c>
      <c r="K750">
        <f>IF(COUNTIF($A$2:A750,A750)=1,1,0)</f>
        <v/>
      </c>
      <c r="L750">
        <f>IF(K750=1,IF(COUNTIFS($B$2:B750,B750,$I$2:I750,I750,$K$2:K750,1)=1,1,0),0)</f>
        <v/>
      </c>
      <c r="M750">
        <f>IF(Tree!$C$4="once per order",F750*K750,F750)</f>
        <v/>
      </c>
      <c r="N750">
        <f>IF(Tree!$C$4="once per order",K750,1)</f>
        <v/>
      </c>
      <c r="O750">
        <f>IF(Tree!$C$4="once per order",L750,1)</f>
        <v/>
      </c>
    </row>
    <row r="751">
      <c r="A751" t="inlineStr">
        <is>
          <t>KR-00520</t>
        </is>
      </c>
      <c r="B751" t="inlineStr">
        <is>
          <t>C-0002</t>
        </is>
      </c>
      <c r="C751" t="inlineStr">
        <is>
          <t>Retail-Core</t>
        </is>
      </c>
      <c r="D751" t="inlineStr">
        <is>
          <t>store</t>
        </is>
      </c>
      <c r="E751" s="7" t="n">
        <v>46132</v>
      </c>
      <c r="F751" t="n">
        <v>800</v>
      </c>
      <c r="G751" t="n">
        <v>800</v>
      </c>
      <c r="H751" t="inlineStr">
        <is>
          <t>2026-04-22</t>
        </is>
      </c>
      <c r="I751">
        <f>IF(MONTH(E751)&lt;=6,"Q1","Q2")</f>
        <v/>
      </c>
      <c r="J751">
        <f>YEAR(E751)*100+MONTH(E751)</f>
        <v/>
      </c>
      <c r="K751">
        <f>IF(COUNTIF($A$2:A751,A751)=1,1,0)</f>
        <v/>
      </c>
      <c r="L751">
        <f>IF(K751=1,IF(COUNTIFS($B$2:B751,B751,$I$2:I751,I751,$K$2:K751,1)=1,1,0),0)</f>
        <v/>
      </c>
      <c r="M751">
        <f>IF(Tree!$C$4="once per order",F751*K751,F751)</f>
        <v/>
      </c>
      <c r="N751">
        <f>IF(Tree!$C$4="once per order",K751,1)</f>
        <v/>
      </c>
      <c r="O751">
        <f>IF(Tree!$C$4="once per order",L751,1)</f>
        <v/>
      </c>
    </row>
    <row r="752">
      <c r="A752" t="inlineStr">
        <is>
          <t>KR-00520</t>
        </is>
      </c>
      <c r="B752" t="inlineStr">
        <is>
          <t>C-0002</t>
        </is>
      </c>
      <c r="C752" t="inlineStr">
        <is>
          <t>Retail-Core</t>
        </is>
      </c>
      <c r="D752" t="inlineStr">
        <is>
          <t>store</t>
        </is>
      </c>
      <c r="E752" s="7" t="n">
        <v>46132</v>
      </c>
      <c r="F752" t="n">
        <v>800</v>
      </c>
      <c r="G752" t="n">
        <v>800</v>
      </c>
      <c r="H752" t="inlineStr">
        <is>
          <t>2026-04-22</t>
        </is>
      </c>
      <c r="I752">
        <f>IF(MONTH(E752)&lt;=6,"Q1","Q2")</f>
        <v/>
      </c>
      <c r="J752">
        <f>YEAR(E752)*100+MONTH(E752)</f>
        <v/>
      </c>
      <c r="K752">
        <f>IF(COUNTIF($A$2:A752,A752)=1,1,0)</f>
        <v/>
      </c>
      <c r="L752">
        <f>IF(K752=1,IF(COUNTIFS($B$2:B752,B752,$I$2:I752,I752,$K$2:K752,1)=1,1,0),0)</f>
        <v/>
      </c>
      <c r="M752">
        <f>IF(Tree!$C$4="once per order",F752*K752,F752)</f>
        <v/>
      </c>
      <c r="N752">
        <f>IF(Tree!$C$4="once per order",K752,1)</f>
        <v/>
      </c>
      <c r="O752">
        <f>IF(Tree!$C$4="once per order",L752,1)</f>
        <v/>
      </c>
    </row>
    <row r="753">
      <c r="A753" t="inlineStr">
        <is>
          <t>KR-00521</t>
        </is>
      </c>
      <c r="B753" t="inlineStr">
        <is>
          <t>C-0040</t>
        </is>
      </c>
      <c r="C753" t="inlineStr">
        <is>
          <t>Retail-Core</t>
        </is>
      </c>
      <c r="D753" t="inlineStr">
        <is>
          <t>web</t>
        </is>
      </c>
      <c r="E753" s="7" t="n">
        <v>46165</v>
      </c>
      <c r="F753" t="n">
        <v>1060</v>
      </c>
      <c r="G753" t="n">
        <v>1060</v>
      </c>
      <c r="H753" t="inlineStr">
        <is>
          <t>2026-05-25</t>
        </is>
      </c>
      <c r="I753">
        <f>IF(MONTH(E753)&lt;=6,"Q1","Q2")</f>
        <v/>
      </c>
      <c r="J753">
        <f>YEAR(E753)*100+MONTH(E753)</f>
        <v/>
      </c>
      <c r="K753">
        <f>IF(COUNTIF($A$2:A753,A753)=1,1,0)</f>
        <v/>
      </c>
      <c r="L753">
        <f>IF(K753=1,IF(COUNTIFS($B$2:B753,B753,$I$2:I753,I753,$K$2:K753,1)=1,1,0),0)</f>
        <v/>
      </c>
      <c r="M753">
        <f>IF(Tree!$C$4="once per order",F753*K753,F753)</f>
        <v/>
      </c>
      <c r="N753">
        <f>IF(Tree!$C$4="once per order",K753,1)</f>
        <v/>
      </c>
      <c r="O753">
        <f>IF(Tree!$C$4="once per order",L753,1)</f>
        <v/>
      </c>
    </row>
    <row r="754">
      <c r="A754" t="inlineStr">
        <is>
          <t>KR-00522</t>
        </is>
      </c>
      <c r="B754" t="inlineStr">
        <is>
          <t>C-0143</t>
        </is>
      </c>
      <c r="C754" t="inlineStr">
        <is>
          <t>Retail-Core</t>
        </is>
      </c>
      <c r="D754" t="inlineStr">
        <is>
          <t>store</t>
        </is>
      </c>
      <c r="E754" s="7" t="n">
        <v>46194</v>
      </c>
      <c r="F754" t="n">
        <v>1140</v>
      </c>
      <c r="G754" t="n">
        <v>1140</v>
      </c>
      <c r="H754" t="inlineStr">
        <is>
          <t>2026-06-23</t>
        </is>
      </c>
      <c r="I754">
        <f>IF(MONTH(E754)&lt;=6,"Q1","Q2")</f>
        <v/>
      </c>
      <c r="J754">
        <f>YEAR(E754)*100+MONTH(E754)</f>
        <v/>
      </c>
      <c r="K754">
        <f>IF(COUNTIF($A$2:A754,A754)=1,1,0)</f>
        <v/>
      </c>
      <c r="L754">
        <f>IF(K754=1,IF(COUNTIFS($B$2:B754,B754,$I$2:I754,I754,$K$2:K754,1)=1,1,0),0)</f>
        <v/>
      </c>
      <c r="M754">
        <f>IF(Tree!$C$4="once per order",F754*K754,F754)</f>
        <v/>
      </c>
      <c r="N754">
        <f>IF(Tree!$C$4="once per order",K754,1)</f>
        <v/>
      </c>
      <c r="O754">
        <f>IF(Tree!$C$4="once per order",L754,1)</f>
        <v/>
      </c>
    </row>
    <row r="755">
      <c r="A755" t="inlineStr">
        <is>
          <t>KR-00523</t>
        </is>
      </c>
      <c r="B755" t="inlineStr">
        <is>
          <t>C-0047</t>
        </is>
      </c>
      <c r="C755" t="inlineStr">
        <is>
          <t>Retail-Core</t>
        </is>
      </c>
      <c r="D755" t="inlineStr">
        <is>
          <t>app</t>
        </is>
      </c>
      <c r="E755" s="7" t="n">
        <v>46120</v>
      </c>
      <c r="F755" t="n">
        <v>1280</v>
      </c>
      <c r="G755" t="n">
        <v>1280</v>
      </c>
      <c r="H755" t="inlineStr">
        <is>
          <t>2026-04-10</t>
        </is>
      </c>
      <c r="I755">
        <f>IF(MONTH(E755)&lt;=6,"Q1","Q2")</f>
        <v/>
      </c>
      <c r="J755">
        <f>YEAR(E755)*100+MONTH(E755)</f>
        <v/>
      </c>
      <c r="K755">
        <f>IF(COUNTIF($A$2:A755,A755)=1,1,0)</f>
        <v/>
      </c>
      <c r="L755">
        <f>IF(K755=1,IF(COUNTIFS($B$2:B755,B755,$I$2:I755,I755,$K$2:K755,1)=1,1,0),0)</f>
        <v/>
      </c>
      <c r="M755">
        <f>IF(Tree!$C$4="once per order",F755*K755,F755)</f>
        <v/>
      </c>
      <c r="N755">
        <f>IF(Tree!$C$4="once per order",K755,1)</f>
        <v/>
      </c>
      <c r="O755">
        <f>IF(Tree!$C$4="once per order",L755,1)</f>
        <v/>
      </c>
    </row>
    <row r="756">
      <c r="A756" t="inlineStr">
        <is>
          <t>KR-00524</t>
        </is>
      </c>
      <c r="B756" t="inlineStr">
        <is>
          <t>C-0127</t>
        </is>
      </c>
      <c r="C756" t="inlineStr">
        <is>
          <t>Retail-Core</t>
        </is>
      </c>
      <c r="D756" t="inlineStr">
        <is>
          <t>web</t>
        </is>
      </c>
      <c r="E756" s="7" t="n">
        <v>46153</v>
      </c>
      <c r="F756" t="n">
        <v>890</v>
      </c>
      <c r="G756" t="n">
        <v>890</v>
      </c>
      <c r="H756" t="inlineStr">
        <is>
          <t>2026-05-13</t>
        </is>
      </c>
      <c r="I756">
        <f>IF(MONTH(E756)&lt;=6,"Q1","Q2")</f>
        <v/>
      </c>
      <c r="J756">
        <f>YEAR(E756)*100+MONTH(E756)</f>
        <v/>
      </c>
      <c r="K756">
        <f>IF(COUNTIF($A$2:A756,A756)=1,1,0)</f>
        <v/>
      </c>
      <c r="L756">
        <f>IF(K756=1,IF(COUNTIFS($B$2:B756,B756,$I$2:I756,I756,$K$2:K756,1)=1,1,0),0)</f>
        <v/>
      </c>
      <c r="M756">
        <f>IF(Tree!$C$4="once per order",F756*K756,F756)</f>
        <v/>
      </c>
      <c r="N756">
        <f>IF(Tree!$C$4="once per order",K756,1)</f>
        <v/>
      </c>
      <c r="O756">
        <f>IF(Tree!$C$4="once per order",L756,1)</f>
        <v/>
      </c>
    </row>
    <row r="757">
      <c r="A757" t="inlineStr">
        <is>
          <t>KR-00524</t>
        </is>
      </c>
      <c r="B757" t="inlineStr">
        <is>
          <t>C-0127</t>
        </is>
      </c>
      <c r="C757" t="inlineStr">
        <is>
          <t>Retail-Core</t>
        </is>
      </c>
      <c r="D757" t="inlineStr">
        <is>
          <t>web</t>
        </is>
      </c>
      <c r="E757" s="7" t="n">
        <v>46153</v>
      </c>
      <c r="F757" t="n">
        <v>890</v>
      </c>
      <c r="G757" t="n">
        <v>890</v>
      </c>
      <c r="H757" t="inlineStr">
        <is>
          <t>2026-05-13</t>
        </is>
      </c>
      <c r="I757">
        <f>IF(MONTH(E757)&lt;=6,"Q1","Q2")</f>
        <v/>
      </c>
      <c r="J757">
        <f>YEAR(E757)*100+MONTH(E757)</f>
        <v/>
      </c>
      <c r="K757">
        <f>IF(COUNTIF($A$2:A757,A757)=1,1,0)</f>
        <v/>
      </c>
      <c r="L757">
        <f>IF(K757=1,IF(COUNTIFS($B$2:B757,B757,$I$2:I757,I757,$K$2:K757,1)=1,1,0),0)</f>
        <v/>
      </c>
      <c r="M757">
        <f>IF(Tree!$C$4="once per order",F757*K757,F757)</f>
        <v/>
      </c>
      <c r="N757">
        <f>IF(Tree!$C$4="once per order",K757,1)</f>
        <v/>
      </c>
      <c r="O757">
        <f>IF(Tree!$C$4="once per order",L757,1)</f>
        <v/>
      </c>
    </row>
    <row r="758">
      <c r="A758" t="inlineStr">
        <is>
          <t>KR-00525</t>
        </is>
      </c>
      <c r="B758" t="inlineStr">
        <is>
          <t>C-0058</t>
        </is>
      </c>
      <c r="C758" t="inlineStr">
        <is>
          <t>Retail-Core</t>
        </is>
      </c>
      <c r="D758" t="inlineStr">
        <is>
          <t>store</t>
        </is>
      </c>
      <c r="E758" s="7" t="n">
        <v>46179</v>
      </c>
      <c r="F758" t="n">
        <v>920</v>
      </c>
      <c r="G758" t="n">
        <v>920</v>
      </c>
      <c r="H758" t="inlineStr">
        <is>
          <t>2026-06-08</t>
        </is>
      </c>
      <c r="I758">
        <f>IF(MONTH(E758)&lt;=6,"Q1","Q2")</f>
        <v/>
      </c>
      <c r="J758">
        <f>YEAR(E758)*100+MONTH(E758)</f>
        <v/>
      </c>
      <c r="K758">
        <f>IF(COUNTIF($A$2:A758,A758)=1,1,0)</f>
        <v/>
      </c>
      <c r="L758">
        <f>IF(K758=1,IF(COUNTIFS($B$2:B758,B758,$I$2:I758,I758,$K$2:K758,1)=1,1,0),0)</f>
        <v/>
      </c>
      <c r="M758">
        <f>IF(Tree!$C$4="once per order",F758*K758,F758)</f>
        <v/>
      </c>
      <c r="N758">
        <f>IF(Tree!$C$4="once per order",K758,1)</f>
        <v/>
      </c>
      <c r="O758">
        <f>IF(Tree!$C$4="once per order",L758,1)</f>
        <v/>
      </c>
    </row>
    <row r="759">
      <c r="A759" t="inlineStr">
        <is>
          <t>KR-00526</t>
        </is>
      </c>
      <c r="B759" t="inlineStr">
        <is>
          <t>C-0036</t>
        </is>
      </c>
      <c r="C759" t="inlineStr">
        <is>
          <t>Retail-Core</t>
        </is>
      </c>
      <c r="D759" t="inlineStr">
        <is>
          <t>web</t>
        </is>
      </c>
      <c r="E759" s="7" t="n">
        <v>46123</v>
      </c>
      <c r="F759" t="n">
        <v>2830</v>
      </c>
      <c r="G759" t="n">
        <v>1698</v>
      </c>
      <c r="H759" t="inlineStr">
        <is>
          <t>2026-04-13</t>
        </is>
      </c>
      <c r="I759">
        <f>IF(MONTH(E759)&lt;=6,"Q1","Q2")</f>
        <v/>
      </c>
      <c r="J759">
        <f>YEAR(E759)*100+MONTH(E759)</f>
        <v/>
      </c>
      <c r="K759">
        <f>IF(COUNTIF($A$2:A759,A759)=1,1,0)</f>
        <v/>
      </c>
      <c r="L759">
        <f>IF(K759=1,IF(COUNTIFS($B$2:B759,B759,$I$2:I759,I759,$K$2:K759,1)=1,1,0),0)</f>
        <v/>
      </c>
      <c r="M759">
        <f>IF(Tree!$C$4="once per order",F759*K759,F759)</f>
        <v/>
      </c>
      <c r="N759">
        <f>IF(Tree!$C$4="once per order",K759,1)</f>
        <v/>
      </c>
      <c r="O759">
        <f>IF(Tree!$C$4="once per order",L759,1)</f>
        <v/>
      </c>
    </row>
    <row r="760">
      <c r="A760" t="inlineStr">
        <is>
          <t>KR-00526</t>
        </is>
      </c>
      <c r="B760" t="inlineStr">
        <is>
          <t>C-0036</t>
        </is>
      </c>
      <c r="C760" t="inlineStr">
        <is>
          <t>Retail-Core</t>
        </is>
      </c>
      <c r="D760" t="inlineStr">
        <is>
          <t>web</t>
        </is>
      </c>
      <c r="E760" s="7" t="n">
        <v>46123</v>
      </c>
      <c r="F760" t="n">
        <v>2830</v>
      </c>
      <c r="G760" t="n">
        <v>1132</v>
      </c>
      <c r="H760" t="inlineStr">
        <is>
          <t>2026-04-13</t>
        </is>
      </c>
      <c r="I760">
        <f>IF(MONTH(E760)&lt;=6,"Q1","Q2")</f>
        <v/>
      </c>
      <c r="J760">
        <f>YEAR(E760)*100+MONTH(E760)</f>
        <v/>
      </c>
      <c r="K760">
        <f>IF(COUNTIF($A$2:A760,A760)=1,1,0)</f>
        <v/>
      </c>
      <c r="L760">
        <f>IF(K760=1,IF(COUNTIFS($B$2:B760,B760,$I$2:I760,I760,$K$2:K760,1)=1,1,0),0)</f>
        <v/>
      </c>
      <c r="M760">
        <f>IF(Tree!$C$4="once per order",F760*K760,F760)</f>
        <v/>
      </c>
      <c r="N760">
        <f>IF(Tree!$C$4="once per order",K760,1)</f>
        <v/>
      </c>
      <c r="O760">
        <f>IF(Tree!$C$4="once per order",L760,1)</f>
        <v/>
      </c>
    </row>
    <row r="761">
      <c r="A761" t="inlineStr">
        <is>
          <t>KR-00527</t>
        </is>
      </c>
      <c r="B761" t="inlineStr">
        <is>
          <t>C-0036</t>
        </is>
      </c>
      <c r="C761" t="inlineStr">
        <is>
          <t>Retail-Core</t>
        </is>
      </c>
      <c r="D761" t="inlineStr">
        <is>
          <t>web</t>
        </is>
      </c>
      <c r="E761" s="7" t="n">
        <v>46144</v>
      </c>
      <c r="F761" t="n">
        <v>2560</v>
      </c>
      <c r="G761" t="n">
        <v>2560</v>
      </c>
      <c r="H761" t="inlineStr">
        <is>
          <t>2026-05-04</t>
        </is>
      </c>
      <c r="I761">
        <f>IF(MONTH(E761)&lt;=6,"Q1","Q2")</f>
        <v/>
      </c>
      <c r="J761">
        <f>YEAR(E761)*100+MONTH(E761)</f>
        <v/>
      </c>
      <c r="K761">
        <f>IF(COUNTIF($A$2:A761,A761)=1,1,0)</f>
        <v/>
      </c>
      <c r="L761">
        <f>IF(K761=1,IF(COUNTIFS($B$2:B761,B761,$I$2:I761,I761,$K$2:K761,1)=1,1,0),0)</f>
        <v/>
      </c>
      <c r="M761">
        <f>IF(Tree!$C$4="once per order",F761*K761,F761)</f>
        <v/>
      </c>
      <c r="N761">
        <f>IF(Tree!$C$4="once per order",K761,1)</f>
        <v/>
      </c>
      <c r="O761">
        <f>IF(Tree!$C$4="once per order",L761,1)</f>
        <v/>
      </c>
    </row>
    <row r="762">
      <c r="A762" t="inlineStr">
        <is>
          <t>KR-00528</t>
        </is>
      </c>
      <c r="B762" t="inlineStr">
        <is>
          <t>C-0032</t>
        </is>
      </c>
      <c r="C762" t="inlineStr">
        <is>
          <t>Retail-Core</t>
        </is>
      </c>
      <c r="D762" t="inlineStr">
        <is>
          <t>web</t>
        </is>
      </c>
      <c r="E762" s="7" t="n">
        <v>46195</v>
      </c>
      <c r="F762" t="n">
        <v>2510</v>
      </c>
      <c r="G762" t="n">
        <v>2510</v>
      </c>
      <c r="H762" t="inlineStr">
        <is>
          <t>2026-06-24</t>
        </is>
      </c>
      <c r="I762">
        <f>IF(MONTH(E762)&lt;=6,"Q1","Q2")</f>
        <v/>
      </c>
      <c r="J762">
        <f>YEAR(E762)*100+MONTH(E762)</f>
        <v/>
      </c>
      <c r="K762">
        <f>IF(COUNTIF($A$2:A762,A762)=1,1,0)</f>
        <v/>
      </c>
      <c r="L762">
        <f>IF(K762=1,IF(COUNTIFS($B$2:B762,B762,$I$2:I762,I762,$K$2:K762,1)=1,1,0),0)</f>
        <v/>
      </c>
      <c r="M762">
        <f>IF(Tree!$C$4="once per order",F762*K762,F762)</f>
        <v/>
      </c>
      <c r="N762">
        <f>IF(Tree!$C$4="once per order",K762,1)</f>
        <v/>
      </c>
      <c r="O762">
        <f>IF(Tree!$C$4="once per order",L762,1)</f>
        <v/>
      </c>
    </row>
    <row r="763">
      <c r="A763" t="inlineStr">
        <is>
          <t>KR-00529</t>
        </is>
      </c>
      <c r="B763" t="inlineStr">
        <is>
          <t>C-0119</t>
        </is>
      </c>
      <c r="C763" t="inlineStr">
        <is>
          <t>Retail-Core</t>
        </is>
      </c>
      <c r="D763" t="inlineStr">
        <is>
          <t>web</t>
        </is>
      </c>
      <c r="E763" s="7" t="n">
        <v>46123</v>
      </c>
      <c r="F763" t="n">
        <v>1530</v>
      </c>
      <c r="G763" t="n">
        <v>1530</v>
      </c>
      <c r="H763" t="inlineStr">
        <is>
          <t>2026-04-13</t>
        </is>
      </c>
      <c r="I763">
        <f>IF(MONTH(E763)&lt;=6,"Q1","Q2")</f>
        <v/>
      </c>
      <c r="J763">
        <f>YEAR(E763)*100+MONTH(E763)</f>
        <v/>
      </c>
      <c r="K763">
        <f>IF(COUNTIF($A$2:A763,A763)=1,1,0)</f>
        <v/>
      </c>
      <c r="L763">
        <f>IF(K763=1,IF(COUNTIFS($B$2:B763,B763,$I$2:I763,I763,$K$2:K763,1)=1,1,0),0)</f>
        <v/>
      </c>
      <c r="M763">
        <f>IF(Tree!$C$4="once per order",F763*K763,F763)</f>
        <v/>
      </c>
      <c r="N763">
        <f>IF(Tree!$C$4="once per order",K763,1)</f>
        <v/>
      </c>
      <c r="O763">
        <f>IF(Tree!$C$4="once per order",L763,1)</f>
        <v/>
      </c>
    </row>
    <row r="764">
      <c r="A764" t="inlineStr">
        <is>
          <t>KR-00530</t>
        </is>
      </c>
      <c r="B764" t="inlineStr">
        <is>
          <t>C-0058</t>
        </is>
      </c>
      <c r="C764" t="inlineStr">
        <is>
          <t>Retail-Core</t>
        </is>
      </c>
      <c r="D764" t="inlineStr">
        <is>
          <t>web</t>
        </is>
      </c>
      <c r="E764" s="7" t="n">
        <v>46159</v>
      </c>
      <c r="F764" t="n">
        <v>2510</v>
      </c>
      <c r="G764" t="n">
        <v>2510</v>
      </c>
      <c r="H764" t="inlineStr">
        <is>
          <t>2026-05-19</t>
        </is>
      </c>
      <c r="I764">
        <f>IF(MONTH(E764)&lt;=6,"Q1","Q2")</f>
        <v/>
      </c>
      <c r="J764">
        <f>YEAR(E764)*100+MONTH(E764)</f>
        <v/>
      </c>
      <c r="K764">
        <f>IF(COUNTIF($A$2:A764,A764)=1,1,0)</f>
        <v/>
      </c>
      <c r="L764">
        <f>IF(K764=1,IF(COUNTIFS($B$2:B764,B764,$I$2:I764,I764,$K$2:K764,1)=1,1,0),0)</f>
        <v/>
      </c>
      <c r="M764">
        <f>IF(Tree!$C$4="once per order",F764*K764,F764)</f>
        <v/>
      </c>
      <c r="N764">
        <f>IF(Tree!$C$4="once per order",K764,1)</f>
        <v/>
      </c>
      <c r="O764">
        <f>IF(Tree!$C$4="once per order",L764,1)</f>
        <v/>
      </c>
    </row>
    <row r="765">
      <c r="A765" t="inlineStr">
        <is>
          <t>KR-00531</t>
        </is>
      </c>
      <c r="B765" t="inlineStr">
        <is>
          <t>C-0027</t>
        </is>
      </c>
      <c r="C765" t="inlineStr">
        <is>
          <t>Retail-Core</t>
        </is>
      </c>
      <c r="D765" t="inlineStr">
        <is>
          <t>app</t>
        </is>
      </c>
      <c r="E765" s="7" t="n">
        <v>46186</v>
      </c>
      <c r="F765" t="n">
        <v>2000</v>
      </c>
      <c r="G765" t="n">
        <v>2000</v>
      </c>
      <c r="H765" t="inlineStr">
        <is>
          <t>2026-06-15</t>
        </is>
      </c>
      <c r="I765">
        <f>IF(MONTH(E765)&lt;=6,"Q1","Q2")</f>
        <v/>
      </c>
      <c r="J765">
        <f>YEAR(E765)*100+MONTH(E765)</f>
        <v/>
      </c>
      <c r="K765">
        <f>IF(COUNTIF($A$2:A765,A765)=1,1,0)</f>
        <v/>
      </c>
      <c r="L765">
        <f>IF(K765=1,IF(COUNTIFS($B$2:B765,B765,$I$2:I765,I765,$K$2:K765,1)=1,1,0),0)</f>
        <v/>
      </c>
      <c r="M765">
        <f>IF(Tree!$C$4="once per order",F765*K765,F765)</f>
        <v/>
      </c>
      <c r="N765">
        <f>IF(Tree!$C$4="once per order",K765,1)</f>
        <v/>
      </c>
      <c r="O765">
        <f>IF(Tree!$C$4="once per order",L765,1)</f>
        <v/>
      </c>
    </row>
    <row r="766">
      <c r="A766" t="inlineStr">
        <is>
          <t>KR-00532</t>
        </is>
      </c>
      <c r="B766" t="inlineStr">
        <is>
          <t>C-0031</t>
        </is>
      </c>
      <c r="C766" t="inlineStr">
        <is>
          <t>Retail-Core</t>
        </is>
      </c>
      <c r="D766" t="inlineStr">
        <is>
          <t>store</t>
        </is>
      </c>
      <c r="E766" s="7" t="n">
        <v>46118</v>
      </c>
      <c r="F766" t="n">
        <v>800</v>
      </c>
      <c r="G766" t="n">
        <v>800</v>
      </c>
      <c r="H766" t="inlineStr">
        <is>
          <t>2026-04-08</t>
        </is>
      </c>
      <c r="I766">
        <f>IF(MONTH(E766)&lt;=6,"Q1","Q2")</f>
        <v/>
      </c>
      <c r="J766">
        <f>YEAR(E766)*100+MONTH(E766)</f>
        <v/>
      </c>
      <c r="K766">
        <f>IF(COUNTIF($A$2:A766,A766)=1,1,0)</f>
        <v/>
      </c>
      <c r="L766">
        <f>IF(K766=1,IF(COUNTIFS($B$2:B766,B766,$I$2:I766,I766,$K$2:K766,1)=1,1,0),0)</f>
        <v/>
      </c>
      <c r="M766">
        <f>IF(Tree!$C$4="once per order",F766*K766,F766)</f>
        <v/>
      </c>
      <c r="N766">
        <f>IF(Tree!$C$4="once per order",K766,1)</f>
        <v/>
      </c>
      <c r="O766">
        <f>IF(Tree!$C$4="once per order",L766,1)</f>
        <v/>
      </c>
    </row>
    <row r="767">
      <c r="A767" t="inlineStr">
        <is>
          <t>KR-00532</t>
        </is>
      </c>
      <c r="B767" t="inlineStr">
        <is>
          <t>C-0031</t>
        </is>
      </c>
      <c r="C767" t="inlineStr">
        <is>
          <t>Retail-Core</t>
        </is>
      </c>
      <c r="D767" t="inlineStr">
        <is>
          <t>store</t>
        </is>
      </c>
      <c r="E767" s="7" t="n">
        <v>46118</v>
      </c>
      <c r="F767" t="n">
        <v>800</v>
      </c>
      <c r="G767" t="n">
        <v>800</v>
      </c>
      <c r="H767" t="inlineStr">
        <is>
          <t>2026-04-08</t>
        </is>
      </c>
      <c r="I767">
        <f>IF(MONTH(E767)&lt;=6,"Q1","Q2")</f>
        <v/>
      </c>
      <c r="J767">
        <f>YEAR(E767)*100+MONTH(E767)</f>
        <v/>
      </c>
      <c r="K767">
        <f>IF(COUNTIF($A$2:A767,A767)=1,1,0)</f>
        <v/>
      </c>
      <c r="L767">
        <f>IF(K767=1,IF(COUNTIFS($B$2:B767,B767,$I$2:I767,I767,$K$2:K767,1)=1,1,0),0)</f>
        <v/>
      </c>
      <c r="M767">
        <f>IF(Tree!$C$4="once per order",F767*K767,F767)</f>
        <v/>
      </c>
      <c r="N767">
        <f>IF(Tree!$C$4="once per order",K767,1)</f>
        <v/>
      </c>
      <c r="O767">
        <f>IF(Tree!$C$4="once per order",L767,1)</f>
        <v/>
      </c>
    </row>
    <row r="768">
      <c r="A768" t="inlineStr">
        <is>
          <t>KR-00533</t>
        </is>
      </c>
      <c r="B768" t="inlineStr">
        <is>
          <t>C-0136</t>
        </is>
      </c>
      <c r="C768" t="inlineStr">
        <is>
          <t>Retail-Core</t>
        </is>
      </c>
      <c r="D768" t="inlineStr">
        <is>
          <t>store</t>
        </is>
      </c>
      <c r="E768" s="7" t="n">
        <v>46149</v>
      </c>
      <c r="F768" t="n">
        <v>1220</v>
      </c>
      <c r="G768" t="n">
        <v>1220</v>
      </c>
      <c r="H768" t="inlineStr">
        <is>
          <t>2026-05-09</t>
        </is>
      </c>
      <c r="I768">
        <f>IF(MONTH(E768)&lt;=6,"Q1","Q2")</f>
        <v/>
      </c>
      <c r="J768">
        <f>YEAR(E768)*100+MONTH(E768)</f>
        <v/>
      </c>
      <c r="K768">
        <f>IF(COUNTIF($A$2:A768,A768)=1,1,0)</f>
        <v/>
      </c>
      <c r="L768">
        <f>IF(K768=1,IF(COUNTIFS($B$2:B768,B768,$I$2:I768,I768,$K$2:K768,1)=1,1,0),0)</f>
        <v/>
      </c>
      <c r="M768">
        <f>IF(Tree!$C$4="once per order",F768*K768,F768)</f>
        <v/>
      </c>
      <c r="N768">
        <f>IF(Tree!$C$4="once per order",K768,1)</f>
        <v/>
      </c>
      <c r="O768">
        <f>IF(Tree!$C$4="once per order",L768,1)</f>
        <v/>
      </c>
    </row>
    <row r="769">
      <c r="A769" t="inlineStr">
        <is>
          <t>KR-00534</t>
        </is>
      </c>
      <c r="B769" t="inlineStr">
        <is>
          <t>C-0018</t>
        </is>
      </c>
      <c r="C769" t="inlineStr">
        <is>
          <t>Retail-Core</t>
        </is>
      </c>
      <c r="D769" t="inlineStr">
        <is>
          <t>web</t>
        </is>
      </c>
      <c r="E769" s="7" t="n">
        <v>46185</v>
      </c>
      <c r="F769" t="n">
        <v>1560</v>
      </c>
      <c r="G769" t="n">
        <v>1560</v>
      </c>
      <c r="H769" t="inlineStr">
        <is>
          <t>2026-06-14</t>
        </is>
      </c>
      <c r="I769">
        <f>IF(MONTH(E769)&lt;=6,"Q1","Q2")</f>
        <v/>
      </c>
      <c r="J769">
        <f>YEAR(E769)*100+MONTH(E769)</f>
        <v/>
      </c>
      <c r="K769">
        <f>IF(COUNTIF($A$2:A769,A769)=1,1,0)</f>
        <v/>
      </c>
      <c r="L769">
        <f>IF(K769=1,IF(COUNTIFS($B$2:B769,B769,$I$2:I769,I769,$K$2:K769,1)=1,1,0),0)</f>
        <v/>
      </c>
      <c r="M769">
        <f>IF(Tree!$C$4="once per order",F769*K769,F769)</f>
        <v/>
      </c>
      <c r="N769">
        <f>IF(Tree!$C$4="once per order",K769,1)</f>
        <v/>
      </c>
      <c r="O769">
        <f>IF(Tree!$C$4="once per order",L769,1)</f>
        <v/>
      </c>
    </row>
    <row r="770">
      <c r="A770" t="inlineStr">
        <is>
          <t>KR-00535</t>
        </is>
      </c>
      <c r="B770" t="inlineStr">
        <is>
          <t>C-0050</t>
        </is>
      </c>
      <c r="C770" t="inlineStr">
        <is>
          <t>Retail-Core</t>
        </is>
      </c>
      <c r="D770" t="inlineStr">
        <is>
          <t>app</t>
        </is>
      </c>
      <c r="E770" s="7" t="n">
        <v>46134</v>
      </c>
      <c r="F770" t="n">
        <v>2700</v>
      </c>
      <c r="G770" t="n">
        <v>2700</v>
      </c>
      <c r="H770" t="inlineStr">
        <is>
          <t>2026-04-24</t>
        </is>
      </c>
      <c r="I770">
        <f>IF(MONTH(E770)&lt;=6,"Q1","Q2")</f>
        <v/>
      </c>
      <c r="J770">
        <f>YEAR(E770)*100+MONTH(E770)</f>
        <v/>
      </c>
      <c r="K770">
        <f>IF(COUNTIF($A$2:A770,A770)=1,1,0)</f>
        <v/>
      </c>
      <c r="L770">
        <f>IF(K770=1,IF(COUNTIFS($B$2:B770,B770,$I$2:I770,I770,$K$2:K770,1)=1,1,0),0)</f>
        <v/>
      </c>
      <c r="M770">
        <f>IF(Tree!$C$4="once per order",F770*K770,F770)</f>
        <v/>
      </c>
      <c r="N770">
        <f>IF(Tree!$C$4="once per order",K770,1)</f>
        <v/>
      </c>
      <c r="O770">
        <f>IF(Tree!$C$4="once per order",L770,1)</f>
        <v/>
      </c>
    </row>
    <row r="771">
      <c r="A771" t="inlineStr">
        <is>
          <t>KR-00536</t>
        </is>
      </c>
      <c r="B771" t="inlineStr">
        <is>
          <t>C-0017</t>
        </is>
      </c>
      <c r="C771" t="inlineStr">
        <is>
          <t>Retail-Core</t>
        </is>
      </c>
      <c r="D771" t="inlineStr">
        <is>
          <t>app</t>
        </is>
      </c>
      <c r="E771" s="7" t="n">
        <v>46160</v>
      </c>
      <c r="F771" t="n">
        <v>1970</v>
      </c>
      <c r="G771" t="n">
        <v>1970</v>
      </c>
      <c r="H771" t="inlineStr">
        <is>
          <t>2026-05-20</t>
        </is>
      </c>
      <c r="I771">
        <f>IF(MONTH(E771)&lt;=6,"Q1","Q2")</f>
        <v/>
      </c>
      <c r="J771">
        <f>YEAR(E771)*100+MONTH(E771)</f>
        <v/>
      </c>
      <c r="K771">
        <f>IF(COUNTIF($A$2:A771,A771)=1,1,0)</f>
        <v/>
      </c>
      <c r="L771">
        <f>IF(K771=1,IF(COUNTIFS($B$2:B771,B771,$I$2:I771,I771,$K$2:K771,1)=1,1,0),0)</f>
        <v/>
      </c>
      <c r="M771">
        <f>IF(Tree!$C$4="once per order",F771*K771,F771)</f>
        <v/>
      </c>
      <c r="N771">
        <f>IF(Tree!$C$4="once per order",K771,1)</f>
        <v/>
      </c>
      <c r="O771">
        <f>IF(Tree!$C$4="once per order",L771,1)</f>
        <v/>
      </c>
    </row>
    <row r="772">
      <c r="A772" t="inlineStr">
        <is>
          <t>KR-00537</t>
        </is>
      </c>
      <c r="B772" t="inlineStr">
        <is>
          <t>C-0007</t>
        </is>
      </c>
      <c r="C772" t="inlineStr">
        <is>
          <t>Retail-Core</t>
        </is>
      </c>
      <c r="D772" t="inlineStr">
        <is>
          <t>app</t>
        </is>
      </c>
      <c r="E772" s="7" t="n">
        <v>46181</v>
      </c>
      <c r="F772" t="n">
        <v>1270</v>
      </c>
      <c r="G772" t="n">
        <v>1270</v>
      </c>
      <c r="H772" t="inlineStr">
        <is>
          <t>2026-06-10</t>
        </is>
      </c>
      <c r="I772">
        <f>IF(MONTH(E772)&lt;=6,"Q1","Q2")</f>
        <v/>
      </c>
      <c r="J772">
        <f>YEAR(E772)*100+MONTH(E772)</f>
        <v/>
      </c>
      <c r="K772">
        <f>IF(COUNTIF($A$2:A772,A772)=1,1,0)</f>
        <v/>
      </c>
      <c r="L772">
        <f>IF(K772=1,IF(COUNTIFS($B$2:B772,B772,$I$2:I772,I772,$K$2:K772,1)=1,1,0),0)</f>
        <v/>
      </c>
      <c r="M772">
        <f>IF(Tree!$C$4="once per order",F772*K772,F772)</f>
        <v/>
      </c>
      <c r="N772">
        <f>IF(Tree!$C$4="once per order",K772,1)</f>
        <v/>
      </c>
      <c r="O772">
        <f>IF(Tree!$C$4="once per order",L772,1)</f>
        <v/>
      </c>
    </row>
    <row r="773">
      <c r="A773" t="inlineStr">
        <is>
          <t>KR-00538</t>
        </is>
      </c>
      <c r="B773" t="inlineStr">
        <is>
          <t>C-0020</t>
        </is>
      </c>
      <c r="C773" t="inlineStr">
        <is>
          <t>Retail-Core</t>
        </is>
      </c>
      <c r="D773" t="inlineStr">
        <is>
          <t>store</t>
        </is>
      </c>
      <c r="E773" s="7" t="n">
        <v>46118</v>
      </c>
      <c r="F773" t="n">
        <v>1330</v>
      </c>
      <c r="G773" t="n">
        <v>1330</v>
      </c>
      <c r="H773" t="inlineStr">
        <is>
          <t>2026-04-08</t>
        </is>
      </c>
      <c r="I773">
        <f>IF(MONTH(E773)&lt;=6,"Q1","Q2")</f>
        <v/>
      </c>
      <c r="J773">
        <f>YEAR(E773)*100+MONTH(E773)</f>
        <v/>
      </c>
      <c r="K773">
        <f>IF(COUNTIF($A$2:A773,A773)=1,1,0)</f>
        <v/>
      </c>
      <c r="L773">
        <f>IF(K773=1,IF(COUNTIFS($B$2:B773,B773,$I$2:I773,I773,$K$2:K773,1)=1,1,0),0)</f>
        <v/>
      </c>
      <c r="M773">
        <f>IF(Tree!$C$4="once per order",F773*K773,F773)</f>
        <v/>
      </c>
      <c r="N773">
        <f>IF(Tree!$C$4="once per order",K773,1)</f>
        <v/>
      </c>
      <c r="O773">
        <f>IF(Tree!$C$4="once per order",L773,1)</f>
        <v/>
      </c>
    </row>
    <row r="774">
      <c r="A774" t="inlineStr">
        <is>
          <t>KR-00539</t>
        </is>
      </c>
      <c r="B774" t="inlineStr">
        <is>
          <t>C-0338</t>
        </is>
      </c>
      <c r="C774" t="inlineStr">
        <is>
          <t>Student</t>
        </is>
      </c>
      <c r="D774" t="inlineStr">
        <is>
          <t>web</t>
        </is>
      </c>
      <c r="E774" s="7" t="n">
        <v>46211</v>
      </c>
      <c r="F774" t="n">
        <v>850</v>
      </c>
      <c r="G774" t="n">
        <v>850</v>
      </c>
      <c r="H774" t="inlineStr">
        <is>
          <t>2026-07-10</t>
        </is>
      </c>
      <c r="I774">
        <f>IF(MONTH(E774)&lt;=6,"Q1","Q2")</f>
        <v/>
      </c>
      <c r="J774">
        <f>YEAR(E774)*100+MONTH(E774)</f>
        <v/>
      </c>
      <c r="K774">
        <f>IF(COUNTIF($A$2:A774,A774)=1,1,0)</f>
        <v/>
      </c>
      <c r="L774">
        <f>IF(K774=1,IF(COUNTIFS($B$2:B774,B774,$I$2:I774,I774,$K$2:K774,1)=1,1,0),0)</f>
        <v/>
      </c>
      <c r="M774">
        <f>IF(Tree!$C$4="once per order",F774*K774,F774)</f>
        <v/>
      </c>
      <c r="N774">
        <f>IF(Tree!$C$4="once per order",K774,1)</f>
        <v/>
      </c>
      <c r="O774">
        <f>IF(Tree!$C$4="once per order",L774,1)</f>
        <v/>
      </c>
    </row>
    <row r="775">
      <c r="A775" t="inlineStr">
        <is>
          <t>KR-00539</t>
        </is>
      </c>
      <c r="B775" t="inlineStr">
        <is>
          <t>C-0338</t>
        </is>
      </c>
      <c r="C775" t="inlineStr">
        <is>
          <t>Student</t>
        </is>
      </c>
      <c r="D775" t="inlineStr">
        <is>
          <t>web</t>
        </is>
      </c>
      <c r="E775" s="7" t="n">
        <v>46211</v>
      </c>
      <c r="F775" t="n">
        <v>850</v>
      </c>
      <c r="G775" t="n">
        <v>850</v>
      </c>
      <c r="H775" t="inlineStr">
        <is>
          <t>2026-07-10</t>
        </is>
      </c>
      <c r="I775">
        <f>IF(MONTH(E775)&lt;=6,"Q1","Q2")</f>
        <v/>
      </c>
      <c r="J775">
        <f>YEAR(E775)*100+MONTH(E775)</f>
        <v/>
      </c>
      <c r="K775">
        <f>IF(COUNTIF($A$2:A775,A775)=1,1,0)</f>
        <v/>
      </c>
      <c r="L775">
        <f>IF(K775=1,IF(COUNTIFS($B$2:B775,B775,$I$2:I775,I775,$K$2:K775,1)=1,1,0),0)</f>
        <v/>
      </c>
      <c r="M775">
        <f>IF(Tree!$C$4="once per order",F775*K775,F775)</f>
        <v/>
      </c>
      <c r="N775">
        <f>IF(Tree!$C$4="once per order",K775,1)</f>
        <v/>
      </c>
      <c r="O775">
        <f>IF(Tree!$C$4="once per order",L775,1)</f>
        <v/>
      </c>
    </row>
    <row r="776">
      <c r="A776" t="inlineStr">
        <is>
          <t>KR-00540</t>
        </is>
      </c>
      <c r="B776" t="inlineStr">
        <is>
          <t>C-0340</t>
        </is>
      </c>
      <c r="C776" t="inlineStr">
        <is>
          <t>Student</t>
        </is>
      </c>
      <c r="D776" t="inlineStr">
        <is>
          <t>store</t>
        </is>
      </c>
      <c r="E776" s="7" t="n">
        <v>46254</v>
      </c>
      <c r="F776" t="n">
        <v>590</v>
      </c>
      <c r="G776" t="n">
        <v>590</v>
      </c>
      <c r="H776" t="inlineStr">
        <is>
          <t>2026-08-22</t>
        </is>
      </c>
      <c r="I776">
        <f>IF(MONTH(E776)&lt;=6,"Q1","Q2")</f>
        <v/>
      </c>
      <c r="J776">
        <f>YEAR(E776)*100+MONTH(E776)</f>
        <v/>
      </c>
      <c r="K776">
        <f>IF(COUNTIF($A$2:A776,A776)=1,1,0)</f>
        <v/>
      </c>
      <c r="L776">
        <f>IF(K776=1,IF(COUNTIFS($B$2:B776,B776,$I$2:I776,I776,$K$2:K776,1)=1,1,0),0)</f>
        <v/>
      </c>
      <c r="M776">
        <f>IF(Tree!$C$4="once per order",F776*K776,F776)</f>
        <v/>
      </c>
      <c r="N776">
        <f>IF(Tree!$C$4="once per order",K776,1)</f>
        <v/>
      </c>
      <c r="O776">
        <f>IF(Tree!$C$4="once per order",L776,1)</f>
        <v/>
      </c>
    </row>
    <row r="777">
      <c r="A777" t="inlineStr">
        <is>
          <t>KR-00540</t>
        </is>
      </c>
      <c r="B777" t="inlineStr">
        <is>
          <t>C-0340</t>
        </is>
      </c>
      <c r="C777" t="inlineStr">
        <is>
          <t>Student</t>
        </is>
      </c>
      <c r="D777" t="inlineStr">
        <is>
          <t>store</t>
        </is>
      </c>
      <c r="E777" s="7" t="n">
        <v>46254</v>
      </c>
      <c r="F777" t="n">
        <v>590</v>
      </c>
      <c r="G777" t="n">
        <v>590</v>
      </c>
      <c r="H777" t="inlineStr">
        <is>
          <t>2026-08-22</t>
        </is>
      </c>
      <c r="I777">
        <f>IF(MONTH(E777)&lt;=6,"Q1","Q2")</f>
        <v/>
      </c>
      <c r="J777">
        <f>YEAR(E777)*100+MONTH(E777)</f>
        <v/>
      </c>
      <c r="K777">
        <f>IF(COUNTIF($A$2:A777,A777)=1,1,0)</f>
        <v/>
      </c>
      <c r="L777">
        <f>IF(K777=1,IF(COUNTIFS($B$2:B777,B777,$I$2:I777,I777,$K$2:K777,1)=1,1,0),0)</f>
        <v/>
      </c>
      <c r="M777">
        <f>IF(Tree!$C$4="once per order",F777*K777,F777)</f>
        <v/>
      </c>
      <c r="N777">
        <f>IF(Tree!$C$4="once per order",K777,1)</f>
        <v/>
      </c>
      <c r="O777">
        <f>IF(Tree!$C$4="once per order",L777,1)</f>
        <v/>
      </c>
    </row>
    <row r="778">
      <c r="A778" t="inlineStr">
        <is>
          <t>KR-00541</t>
        </is>
      </c>
      <c r="B778" t="inlineStr">
        <is>
          <t>C-0320</t>
        </is>
      </c>
      <c r="C778" t="inlineStr">
        <is>
          <t>Student</t>
        </is>
      </c>
      <c r="D778" t="inlineStr">
        <is>
          <t>web</t>
        </is>
      </c>
      <c r="E778" s="7" t="n">
        <v>46280</v>
      </c>
      <c r="F778" t="n">
        <v>1160</v>
      </c>
      <c r="G778" t="n">
        <v>1160</v>
      </c>
      <c r="H778" t="inlineStr">
        <is>
          <t>2026-09-17</t>
        </is>
      </c>
      <c r="I778">
        <f>IF(MONTH(E778)&lt;=6,"Q1","Q2")</f>
        <v/>
      </c>
      <c r="J778">
        <f>YEAR(E778)*100+MONTH(E778)</f>
        <v/>
      </c>
      <c r="K778">
        <f>IF(COUNTIF($A$2:A778,A778)=1,1,0)</f>
        <v/>
      </c>
      <c r="L778">
        <f>IF(K778=1,IF(COUNTIFS($B$2:B778,B778,$I$2:I778,I778,$K$2:K778,1)=1,1,0),0)</f>
        <v/>
      </c>
      <c r="M778">
        <f>IF(Tree!$C$4="once per order",F778*K778,F778)</f>
        <v/>
      </c>
      <c r="N778">
        <f>IF(Tree!$C$4="once per order",K778,1)</f>
        <v/>
      </c>
      <c r="O778">
        <f>IF(Tree!$C$4="once per order",L778,1)</f>
        <v/>
      </c>
    </row>
    <row r="779">
      <c r="A779" t="inlineStr">
        <is>
          <t>KR-00542</t>
        </is>
      </c>
      <c r="B779" t="inlineStr">
        <is>
          <t>C-0332</t>
        </is>
      </c>
      <c r="C779" t="inlineStr">
        <is>
          <t>Student</t>
        </is>
      </c>
      <c r="D779" t="inlineStr">
        <is>
          <t>app</t>
        </is>
      </c>
      <c r="E779" s="7" t="n">
        <v>46230</v>
      </c>
      <c r="F779" t="n">
        <v>790</v>
      </c>
      <c r="G779" t="n">
        <v>790</v>
      </c>
      <c r="H779" t="inlineStr">
        <is>
          <t>2026-07-28</t>
        </is>
      </c>
      <c r="I779">
        <f>IF(MONTH(E779)&lt;=6,"Q1","Q2")</f>
        <v/>
      </c>
      <c r="J779">
        <f>YEAR(E779)*100+MONTH(E779)</f>
        <v/>
      </c>
      <c r="K779">
        <f>IF(COUNTIF($A$2:A779,A779)=1,1,0)</f>
        <v/>
      </c>
      <c r="L779">
        <f>IF(K779=1,IF(COUNTIFS($B$2:B779,B779,$I$2:I779,I779,$K$2:K779,1)=1,1,0),0)</f>
        <v/>
      </c>
      <c r="M779">
        <f>IF(Tree!$C$4="once per order",F779*K779,F779)</f>
        <v/>
      </c>
      <c r="N779">
        <f>IF(Tree!$C$4="once per order",K779,1)</f>
        <v/>
      </c>
      <c r="O779">
        <f>IF(Tree!$C$4="once per order",L779,1)</f>
        <v/>
      </c>
    </row>
    <row r="780">
      <c r="A780" t="inlineStr">
        <is>
          <t>KR-00542</t>
        </is>
      </c>
      <c r="B780" t="inlineStr">
        <is>
          <t>C-0332</t>
        </is>
      </c>
      <c r="C780" t="inlineStr">
        <is>
          <t>Student</t>
        </is>
      </c>
      <c r="D780" t="inlineStr">
        <is>
          <t>app</t>
        </is>
      </c>
      <c r="E780" s="7" t="n">
        <v>46230</v>
      </c>
      <c r="F780" t="n">
        <v>790</v>
      </c>
      <c r="G780" t="n">
        <v>790</v>
      </c>
      <c r="H780" t="inlineStr">
        <is>
          <t>2026-07-28</t>
        </is>
      </c>
      <c r="I780">
        <f>IF(MONTH(E780)&lt;=6,"Q1","Q2")</f>
        <v/>
      </c>
      <c r="J780">
        <f>YEAR(E780)*100+MONTH(E780)</f>
        <v/>
      </c>
      <c r="K780">
        <f>IF(COUNTIF($A$2:A780,A780)=1,1,0)</f>
        <v/>
      </c>
      <c r="L780">
        <f>IF(K780=1,IF(COUNTIFS($B$2:B780,B780,$I$2:I780,I780,$K$2:K780,1)=1,1,0),0)</f>
        <v/>
      </c>
      <c r="M780">
        <f>IF(Tree!$C$4="once per order",F780*K780,F780)</f>
        <v/>
      </c>
      <c r="N780">
        <f>IF(Tree!$C$4="once per order",K780,1)</f>
        <v/>
      </c>
      <c r="O780">
        <f>IF(Tree!$C$4="once per order",L780,1)</f>
        <v/>
      </c>
    </row>
    <row r="781">
      <c r="A781" t="inlineStr">
        <is>
          <t>KR-00543</t>
        </is>
      </c>
      <c r="B781" t="inlineStr">
        <is>
          <t>C-0319</t>
        </is>
      </c>
      <c r="C781" t="inlineStr">
        <is>
          <t>Student</t>
        </is>
      </c>
      <c r="D781" t="inlineStr">
        <is>
          <t>store</t>
        </is>
      </c>
      <c r="E781" s="7" t="n">
        <v>46243</v>
      </c>
      <c r="F781" t="n">
        <v>680</v>
      </c>
      <c r="G781" t="n">
        <v>680</v>
      </c>
      <c r="H781" t="inlineStr">
        <is>
          <t>2026-08-11</t>
        </is>
      </c>
      <c r="I781">
        <f>IF(MONTH(E781)&lt;=6,"Q1","Q2")</f>
        <v/>
      </c>
      <c r="J781">
        <f>YEAR(E781)*100+MONTH(E781)</f>
        <v/>
      </c>
      <c r="K781">
        <f>IF(COUNTIF($A$2:A781,A781)=1,1,0)</f>
        <v/>
      </c>
      <c r="L781">
        <f>IF(K781=1,IF(COUNTIFS($B$2:B781,B781,$I$2:I781,I781,$K$2:K781,1)=1,1,0),0)</f>
        <v/>
      </c>
      <c r="M781">
        <f>IF(Tree!$C$4="once per order",F781*K781,F781)</f>
        <v/>
      </c>
      <c r="N781">
        <f>IF(Tree!$C$4="once per order",K781,1)</f>
        <v/>
      </c>
      <c r="O781">
        <f>IF(Tree!$C$4="once per order",L781,1)</f>
        <v/>
      </c>
    </row>
    <row r="782">
      <c r="A782" t="inlineStr">
        <is>
          <t>KR-00543</t>
        </is>
      </c>
      <c r="B782" t="inlineStr">
        <is>
          <t>C-0319</t>
        </is>
      </c>
      <c r="C782" t="inlineStr">
        <is>
          <t>Student</t>
        </is>
      </c>
      <c r="D782" t="inlineStr">
        <is>
          <t>store</t>
        </is>
      </c>
      <c r="E782" s="7" t="n">
        <v>46243</v>
      </c>
      <c r="F782" t="n">
        <v>680</v>
      </c>
      <c r="G782" t="n">
        <v>680</v>
      </c>
      <c r="H782" t="inlineStr">
        <is>
          <t>2026-08-11</t>
        </is>
      </c>
      <c r="I782">
        <f>IF(MONTH(E782)&lt;=6,"Q1","Q2")</f>
        <v/>
      </c>
      <c r="J782">
        <f>YEAR(E782)*100+MONTH(E782)</f>
        <v/>
      </c>
      <c r="K782">
        <f>IF(COUNTIF($A$2:A782,A782)=1,1,0)</f>
        <v/>
      </c>
      <c r="L782">
        <f>IF(K782=1,IF(COUNTIFS($B$2:B782,B782,$I$2:I782,I782,$K$2:K782,1)=1,1,0),0)</f>
        <v/>
      </c>
      <c r="M782">
        <f>IF(Tree!$C$4="once per order",F782*K782,F782)</f>
        <v/>
      </c>
      <c r="N782">
        <f>IF(Tree!$C$4="once per order",K782,1)</f>
        <v/>
      </c>
      <c r="O782">
        <f>IF(Tree!$C$4="once per order",L782,1)</f>
        <v/>
      </c>
    </row>
    <row r="783">
      <c r="A783" t="inlineStr">
        <is>
          <t>KR-00544</t>
        </is>
      </c>
      <c r="B783" t="inlineStr">
        <is>
          <t>C-0311</t>
        </is>
      </c>
      <c r="C783" t="inlineStr">
        <is>
          <t>Student</t>
        </is>
      </c>
      <c r="D783" t="inlineStr">
        <is>
          <t>app</t>
        </is>
      </c>
      <c r="E783" s="7" t="n">
        <v>46266</v>
      </c>
      <c r="F783" t="n">
        <v>960</v>
      </c>
      <c r="G783" t="n">
        <v>960</v>
      </c>
      <c r="H783" t="inlineStr">
        <is>
          <t>2026-09-03</t>
        </is>
      </c>
      <c r="I783">
        <f>IF(MONTH(E783)&lt;=6,"Q1","Q2")</f>
        <v/>
      </c>
      <c r="J783">
        <f>YEAR(E783)*100+MONTH(E783)</f>
        <v/>
      </c>
      <c r="K783">
        <f>IF(COUNTIF($A$2:A783,A783)=1,1,0)</f>
        <v/>
      </c>
      <c r="L783">
        <f>IF(K783=1,IF(COUNTIFS($B$2:B783,B783,$I$2:I783,I783,$K$2:K783,1)=1,1,0),0)</f>
        <v/>
      </c>
      <c r="M783">
        <f>IF(Tree!$C$4="once per order",F783*K783,F783)</f>
        <v/>
      </c>
      <c r="N783">
        <f>IF(Tree!$C$4="once per order",K783,1)</f>
        <v/>
      </c>
      <c r="O783">
        <f>IF(Tree!$C$4="once per order",L783,1)</f>
        <v/>
      </c>
    </row>
    <row r="784">
      <c r="A784" t="inlineStr">
        <is>
          <t>KR-00545</t>
        </is>
      </c>
      <c r="B784" t="inlineStr">
        <is>
          <t>C-0323</t>
        </is>
      </c>
      <c r="C784" t="inlineStr">
        <is>
          <t>Student</t>
        </is>
      </c>
      <c r="D784" t="inlineStr">
        <is>
          <t>app</t>
        </is>
      </c>
      <c r="E784" s="7" t="n">
        <v>46227</v>
      </c>
      <c r="F784" t="n">
        <v>680</v>
      </c>
      <c r="G784" t="n">
        <v>680</v>
      </c>
      <c r="H784" t="inlineStr">
        <is>
          <t>2026-07-26</t>
        </is>
      </c>
      <c r="I784">
        <f>IF(MONTH(E784)&lt;=6,"Q1","Q2")</f>
        <v/>
      </c>
      <c r="J784">
        <f>YEAR(E784)*100+MONTH(E784)</f>
        <v/>
      </c>
      <c r="K784">
        <f>IF(COUNTIF($A$2:A784,A784)=1,1,0)</f>
        <v/>
      </c>
      <c r="L784">
        <f>IF(K784=1,IF(COUNTIFS($B$2:B784,B784,$I$2:I784,I784,$K$2:K784,1)=1,1,0),0)</f>
        <v/>
      </c>
      <c r="M784">
        <f>IF(Tree!$C$4="once per order",F784*K784,F784)</f>
        <v/>
      </c>
      <c r="N784">
        <f>IF(Tree!$C$4="once per order",K784,1)</f>
        <v/>
      </c>
      <c r="O784">
        <f>IF(Tree!$C$4="once per order",L784,1)</f>
        <v/>
      </c>
    </row>
    <row r="785">
      <c r="A785" t="inlineStr">
        <is>
          <t>KR-00545</t>
        </is>
      </c>
      <c r="B785" t="inlineStr">
        <is>
          <t>C-0323</t>
        </is>
      </c>
      <c r="C785" t="inlineStr">
        <is>
          <t>Student</t>
        </is>
      </c>
      <c r="D785" t="inlineStr">
        <is>
          <t>app</t>
        </is>
      </c>
      <c r="E785" s="7" t="n">
        <v>46227</v>
      </c>
      <c r="F785" t="n">
        <v>680</v>
      </c>
      <c r="G785" t="n">
        <v>680</v>
      </c>
      <c r="H785" t="inlineStr">
        <is>
          <t>2026-07-26</t>
        </is>
      </c>
      <c r="I785">
        <f>IF(MONTH(E785)&lt;=6,"Q1","Q2")</f>
        <v/>
      </c>
      <c r="J785">
        <f>YEAR(E785)*100+MONTH(E785)</f>
        <v/>
      </c>
      <c r="K785">
        <f>IF(COUNTIF($A$2:A785,A785)=1,1,0)</f>
        <v/>
      </c>
      <c r="L785">
        <f>IF(K785=1,IF(COUNTIFS($B$2:B785,B785,$I$2:I785,I785,$K$2:K785,1)=1,1,0),0)</f>
        <v/>
      </c>
      <c r="M785">
        <f>IF(Tree!$C$4="once per order",F785*K785,F785)</f>
        <v/>
      </c>
      <c r="N785">
        <f>IF(Tree!$C$4="once per order",K785,1)</f>
        <v/>
      </c>
      <c r="O785">
        <f>IF(Tree!$C$4="once per order",L785,1)</f>
        <v/>
      </c>
    </row>
    <row r="786">
      <c r="A786" t="inlineStr">
        <is>
          <t>KR-00546</t>
        </is>
      </c>
      <c r="B786" t="inlineStr">
        <is>
          <t>C-0317</t>
        </is>
      </c>
      <c r="C786" t="inlineStr">
        <is>
          <t>Student</t>
        </is>
      </c>
      <c r="D786" t="inlineStr">
        <is>
          <t>app</t>
        </is>
      </c>
      <c r="E786" s="7" t="n">
        <v>46253</v>
      </c>
      <c r="F786" t="n">
        <v>500</v>
      </c>
      <c r="G786" t="n">
        <v>500</v>
      </c>
      <c r="H786" t="inlineStr">
        <is>
          <t>2026-08-21</t>
        </is>
      </c>
      <c r="I786">
        <f>IF(MONTH(E786)&lt;=6,"Q1","Q2")</f>
        <v/>
      </c>
      <c r="J786">
        <f>YEAR(E786)*100+MONTH(E786)</f>
        <v/>
      </c>
      <c r="K786">
        <f>IF(COUNTIF($A$2:A786,A786)=1,1,0)</f>
        <v/>
      </c>
      <c r="L786">
        <f>IF(K786=1,IF(COUNTIFS($B$2:B786,B786,$I$2:I786,I786,$K$2:K786,1)=1,1,0),0)</f>
        <v/>
      </c>
      <c r="M786">
        <f>IF(Tree!$C$4="once per order",F786*K786,F786)</f>
        <v/>
      </c>
      <c r="N786">
        <f>IF(Tree!$C$4="once per order",K786,1)</f>
        <v/>
      </c>
      <c r="O786">
        <f>IF(Tree!$C$4="once per order",L786,1)</f>
        <v/>
      </c>
    </row>
    <row r="787">
      <c r="A787" t="inlineStr">
        <is>
          <t>KR-00546</t>
        </is>
      </c>
      <c r="B787" t="inlineStr">
        <is>
          <t>C-0317</t>
        </is>
      </c>
      <c r="C787" t="inlineStr">
        <is>
          <t>Student</t>
        </is>
      </c>
      <c r="D787" t="inlineStr">
        <is>
          <t>app</t>
        </is>
      </c>
      <c r="E787" s="7" t="n">
        <v>46253</v>
      </c>
      <c r="F787" t="n">
        <v>500</v>
      </c>
      <c r="G787" t="n">
        <v>500</v>
      </c>
      <c r="H787" t="inlineStr">
        <is>
          <t>2026-08-21</t>
        </is>
      </c>
      <c r="I787">
        <f>IF(MONTH(E787)&lt;=6,"Q1","Q2")</f>
        <v/>
      </c>
      <c r="J787">
        <f>YEAR(E787)*100+MONTH(E787)</f>
        <v/>
      </c>
      <c r="K787">
        <f>IF(COUNTIF($A$2:A787,A787)=1,1,0)</f>
        <v/>
      </c>
      <c r="L787">
        <f>IF(K787=1,IF(COUNTIFS($B$2:B787,B787,$I$2:I787,I787,$K$2:K787,1)=1,1,0),0)</f>
        <v/>
      </c>
      <c r="M787">
        <f>IF(Tree!$C$4="once per order",F787*K787,F787)</f>
        <v/>
      </c>
      <c r="N787">
        <f>IF(Tree!$C$4="once per order",K787,1)</f>
        <v/>
      </c>
      <c r="O787">
        <f>IF(Tree!$C$4="once per order",L787,1)</f>
        <v/>
      </c>
    </row>
    <row r="788">
      <c r="A788" t="inlineStr">
        <is>
          <t>KR-00547</t>
        </is>
      </c>
      <c r="B788" t="inlineStr">
        <is>
          <t>C-0316</t>
        </is>
      </c>
      <c r="C788" t="inlineStr">
        <is>
          <t>Student</t>
        </is>
      </c>
      <c r="D788" t="inlineStr">
        <is>
          <t>app</t>
        </is>
      </c>
      <c r="E788" s="7" t="n">
        <v>46292</v>
      </c>
      <c r="F788" t="n">
        <v>970</v>
      </c>
      <c r="G788" t="n">
        <v>970</v>
      </c>
      <c r="H788" t="inlineStr">
        <is>
          <t>2026-09-28</t>
        </is>
      </c>
      <c r="I788">
        <f>IF(MONTH(E788)&lt;=6,"Q1","Q2")</f>
        <v/>
      </c>
      <c r="J788">
        <f>YEAR(E788)*100+MONTH(E788)</f>
        <v/>
      </c>
      <c r="K788">
        <f>IF(COUNTIF($A$2:A788,A788)=1,1,0)</f>
        <v/>
      </c>
      <c r="L788">
        <f>IF(K788=1,IF(COUNTIFS($B$2:B788,B788,$I$2:I788,I788,$K$2:K788,1)=1,1,0),0)</f>
        <v/>
      </c>
      <c r="M788">
        <f>IF(Tree!$C$4="once per order",F788*K788,F788)</f>
        <v/>
      </c>
      <c r="N788">
        <f>IF(Tree!$C$4="once per order",K788,1)</f>
        <v/>
      </c>
      <c r="O788">
        <f>IF(Tree!$C$4="once per order",L788,1)</f>
        <v/>
      </c>
    </row>
    <row r="789">
      <c r="A789" t="inlineStr">
        <is>
          <t>KR-00548</t>
        </is>
      </c>
      <c r="B789" t="inlineStr">
        <is>
          <t>C-0325</t>
        </is>
      </c>
      <c r="C789" t="inlineStr">
        <is>
          <t>Student</t>
        </is>
      </c>
      <c r="D789" t="inlineStr">
        <is>
          <t>app</t>
        </is>
      </c>
      <c r="E789" s="7" t="n">
        <v>46229</v>
      </c>
      <c r="F789" t="n">
        <v>1200</v>
      </c>
      <c r="G789" t="n">
        <v>1200</v>
      </c>
      <c r="H789" t="inlineStr">
        <is>
          <t>2026-07-28</t>
        </is>
      </c>
      <c r="I789">
        <f>IF(MONTH(E789)&lt;=6,"Q1","Q2")</f>
        <v/>
      </c>
      <c r="J789">
        <f>YEAR(E789)*100+MONTH(E789)</f>
        <v/>
      </c>
      <c r="K789">
        <f>IF(COUNTIF($A$2:A789,A789)=1,1,0)</f>
        <v/>
      </c>
      <c r="L789">
        <f>IF(K789=1,IF(COUNTIFS($B$2:B789,B789,$I$2:I789,I789,$K$2:K789,1)=1,1,0),0)</f>
        <v/>
      </c>
      <c r="M789">
        <f>IF(Tree!$C$4="once per order",F789*K789,F789)</f>
        <v/>
      </c>
      <c r="N789">
        <f>IF(Tree!$C$4="once per order",K789,1)</f>
        <v/>
      </c>
      <c r="O789">
        <f>IF(Tree!$C$4="once per order",L789,1)</f>
        <v/>
      </c>
    </row>
    <row r="790">
      <c r="A790" t="inlineStr">
        <is>
          <t>KR-00549</t>
        </is>
      </c>
      <c r="B790" t="inlineStr">
        <is>
          <t>C-0334</t>
        </is>
      </c>
      <c r="C790" t="inlineStr">
        <is>
          <t>Student</t>
        </is>
      </c>
      <c r="D790" t="inlineStr">
        <is>
          <t>app</t>
        </is>
      </c>
      <c r="E790" s="7" t="n">
        <v>46259</v>
      </c>
      <c r="F790" t="n">
        <v>970</v>
      </c>
      <c r="G790" t="n">
        <v>970</v>
      </c>
      <c r="H790" t="inlineStr">
        <is>
          <t>2026-08-27</t>
        </is>
      </c>
      <c r="I790">
        <f>IF(MONTH(E790)&lt;=6,"Q1","Q2")</f>
        <v/>
      </c>
      <c r="J790">
        <f>YEAR(E790)*100+MONTH(E790)</f>
        <v/>
      </c>
      <c r="K790">
        <f>IF(COUNTIF($A$2:A790,A790)=1,1,0)</f>
        <v/>
      </c>
      <c r="L790">
        <f>IF(K790=1,IF(COUNTIFS($B$2:B790,B790,$I$2:I790,I790,$K$2:K790,1)=1,1,0),0)</f>
        <v/>
      </c>
      <c r="M790">
        <f>IF(Tree!$C$4="once per order",F790*K790,F790)</f>
        <v/>
      </c>
      <c r="N790">
        <f>IF(Tree!$C$4="once per order",K790,1)</f>
        <v/>
      </c>
      <c r="O790">
        <f>IF(Tree!$C$4="once per order",L790,1)</f>
        <v/>
      </c>
    </row>
    <row r="791">
      <c r="A791" t="inlineStr">
        <is>
          <t>KR-00550</t>
        </is>
      </c>
      <c r="B791" t="inlineStr">
        <is>
          <t>C-0319</t>
        </is>
      </c>
      <c r="C791" t="inlineStr">
        <is>
          <t>Student</t>
        </is>
      </c>
      <c r="D791" t="inlineStr">
        <is>
          <t>web</t>
        </is>
      </c>
      <c r="E791" s="7" t="n">
        <v>46281</v>
      </c>
      <c r="F791" t="n">
        <v>1480</v>
      </c>
      <c r="G791" t="n">
        <v>1480</v>
      </c>
      <c r="H791" t="inlineStr">
        <is>
          <t>2026-09-18</t>
        </is>
      </c>
      <c r="I791">
        <f>IF(MONTH(E791)&lt;=6,"Q1","Q2")</f>
        <v/>
      </c>
      <c r="J791">
        <f>YEAR(E791)*100+MONTH(E791)</f>
        <v/>
      </c>
      <c r="K791">
        <f>IF(COUNTIF($A$2:A791,A791)=1,1,0)</f>
        <v/>
      </c>
      <c r="L791">
        <f>IF(K791=1,IF(COUNTIFS($B$2:B791,B791,$I$2:I791,I791,$K$2:K791,1)=1,1,0),0)</f>
        <v/>
      </c>
      <c r="M791">
        <f>IF(Tree!$C$4="once per order",F791*K791,F791)</f>
        <v/>
      </c>
      <c r="N791">
        <f>IF(Tree!$C$4="once per order",K791,1)</f>
        <v/>
      </c>
      <c r="O791">
        <f>IF(Tree!$C$4="once per order",L791,1)</f>
        <v/>
      </c>
    </row>
    <row r="792">
      <c r="A792" t="inlineStr">
        <is>
          <t>KR-00551</t>
        </is>
      </c>
      <c r="B792" t="inlineStr">
        <is>
          <t>C-0314</t>
        </is>
      </c>
      <c r="C792" t="inlineStr">
        <is>
          <t>Student</t>
        </is>
      </c>
      <c r="D792" t="inlineStr">
        <is>
          <t>web</t>
        </is>
      </c>
      <c r="E792" s="7" t="n">
        <v>46218</v>
      </c>
      <c r="F792" t="n">
        <v>1500</v>
      </c>
      <c r="G792" t="n">
        <v>1500</v>
      </c>
      <c r="H792" t="inlineStr">
        <is>
          <t>2026-07-17</t>
        </is>
      </c>
      <c r="I792">
        <f>IF(MONTH(E792)&lt;=6,"Q1","Q2")</f>
        <v/>
      </c>
      <c r="J792">
        <f>YEAR(E792)*100+MONTH(E792)</f>
        <v/>
      </c>
      <c r="K792">
        <f>IF(COUNTIF($A$2:A792,A792)=1,1,0)</f>
        <v/>
      </c>
      <c r="L792">
        <f>IF(K792=1,IF(COUNTIFS($B$2:B792,B792,$I$2:I792,I792,$K$2:K792,1)=1,1,0),0)</f>
        <v/>
      </c>
      <c r="M792">
        <f>IF(Tree!$C$4="once per order",F792*K792,F792)</f>
        <v/>
      </c>
      <c r="N792">
        <f>IF(Tree!$C$4="once per order",K792,1)</f>
        <v/>
      </c>
      <c r="O792">
        <f>IF(Tree!$C$4="once per order",L792,1)</f>
        <v/>
      </c>
    </row>
    <row r="793">
      <c r="A793" t="inlineStr">
        <is>
          <t>KR-00552</t>
        </is>
      </c>
      <c r="B793" t="inlineStr">
        <is>
          <t>C-0316</t>
        </is>
      </c>
      <c r="C793" t="inlineStr">
        <is>
          <t>Student</t>
        </is>
      </c>
      <c r="D793" t="inlineStr">
        <is>
          <t>web</t>
        </is>
      </c>
      <c r="E793" s="7" t="n">
        <v>46246</v>
      </c>
      <c r="F793" t="n">
        <v>880</v>
      </c>
      <c r="G793" t="n">
        <v>880</v>
      </c>
      <c r="H793" t="inlineStr">
        <is>
          <t>2026-08-14</t>
        </is>
      </c>
      <c r="I793">
        <f>IF(MONTH(E793)&lt;=6,"Q1","Q2")</f>
        <v/>
      </c>
      <c r="J793">
        <f>YEAR(E793)*100+MONTH(E793)</f>
        <v/>
      </c>
      <c r="K793">
        <f>IF(COUNTIF($A$2:A793,A793)=1,1,0)</f>
        <v/>
      </c>
      <c r="L793">
        <f>IF(K793=1,IF(COUNTIFS($B$2:B793,B793,$I$2:I793,I793,$K$2:K793,1)=1,1,0),0)</f>
        <v/>
      </c>
      <c r="M793">
        <f>IF(Tree!$C$4="once per order",F793*K793,F793)</f>
        <v/>
      </c>
      <c r="N793">
        <f>IF(Tree!$C$4="once per order",K793,1)</f>
        <v/>
      </c>
      <c r="O793">
        <f>IF(Tree!$C$4="once per order",L793,1)</f>
        <v/>
      </c>
    </row>
    <row r="794">
      <c r="A794" t="inlineStr">
        <is>
          <t>KR-00552</t>
        </is>
      </c>
      <c r="B794" t="inlineStr">
        <is>
          <t>C-0316</t>
        </is>
      </c>
      <c r="C794" t="inlineStr">
        <is>
          <t>Student</t>
        </is>
      </c>
      <c r="D794" t="inlineStr">
        <is>
          <t>web</t>
        </is>
      </c>
      <c r="E794" s="7" t="n">
        <v>46246</v>
      </c>
      <c r="F794" t="n">
        <v>880</v>
      </c>
      <c r="G794" t="n">
        <v>880</v>
      </c>
      <c r="H794" t="inlineStr">
        <is>
          <t>2026-08-14</t>
        </is>
      </c>
      <c r="I794">
        <f>IF(MONTH(E794)&lt;=6,"Q1","Q2")</f>
        <v/>
      </c>
      <c r="J794">
        <f>YEAR(E794)*100+MONTH(E794)</f>
        <v/>
      </c>
      <c r="K794">
        <f>IF(COUNTIF($A$2:A794,A794)=1,1,0)</f>
        <v/>
      </c>
      <c r="L794">
        <f>IF(K794=1,IF(COUNTIFS($B$2:B794,B794,$I$2:I794,I794,$K$2:K794,1)=1,1,0),0)</f>
        <v/>
      </c>
      <c r="M794">
        <f>IF(Tree!$C$4="once per order",F794*K794,F794)</f>
        <v/>
      </c>
      <c r="N794">
        <f>IF(Tree!$C$4="once per order",K794,1)</f>
        <v/>
      </c>
      <c r="O794">
        <f>IF(Tree!$C$4="once per order",L794,1)</f>
        <v/>
      </c>
    </row>
    <row r="795">
      <c r="A795" t="inlineStr">
        <is>
          <t>KR-00553</t>
        </is>
      </c>
      <c r="B795" t="inlineStr">
        <is>
          <t>C-0314</t>
        </is>
      </c>
      <c r="C795" t="inlineStr">
        <is>
          <t>Student</t>
        </is>
      </c>
      <c r="D795" t="inlineStr">
        <is>
          <t>app</t>
        </is>
      </c>
      <c r="E795" s="7" t="n">
        <v>46291</v>
      </c>
      <c r="F795" t="n">
        <v>1470</v>
      </c>
      <c r="G795" t="n">
        <v>1470</v>
      </c>
      <c r="H795" t="inlineStr">
        <is>
          <t>2026-09-28</t>
        </is>
      </c>
      <c r="I795">
        <f>IF(MONTH(E795)&lt;=6,"Q1","Q2")</f>
        <v/>
      </c>
      <c r="J795">
        <f>YEAR(E795)*100+MONTH(E795)</f>
        <v/>
      </c>
      <c r="K795">
        <f>IF(COUNTIF($A$2:A795,A795)=1,1,0)</f>
        <v/>
      </c>
      <c r="L795">
        <f>IF(K795=1,IF(COUNTIFS($B$2:B795,B795,$I$2:I795,I795,$K$2:K795,1)=1,1,0),0)</f>
        <v/>
      </c>
      <c r="M795">
        <f>IF(Tree!$C$4="once per order",F795*K795,F795)</f>
        <v/>
      </c>
      <c r="N795">
        <f>IF(Tree!$C$4="once per order",K795,1)</f>
        <v/>
      </c>
      <c r="O795">
        <f>IF(Tree!$C$4="once per order",L795,1)</f>
        <v/>
      </c>
    </row>
    <row r="796">
      <c r="A796" t="inlineStr">
        <is>
          <t>KR-00554</t>
        </is>
      </c>
      <c r="B796" t="inlineStr">
        <is>
          <t>C-0322</t>
        </is>
      </c>
      <c r="C796" t="inlineStr">
        <is>
          <t>Student</t>
        </is>
      </c>
      <c r="D796" t="inlineStr">
        <is>
          <t>web</t>
        </is>
      </c>
      <c r="E796" s="7" t="n">
        <v>46204</v>
      </c>
      <c r="F796" t="n">
        <v>810</v>
      </c>
      <c r="G796" t="n">
        <v>810</v>
      </c>
      <c r="H796" t="inlineStr">
        <is>
          <t>2026-07-03</t>
        </is>
      </c>
      <c r="I796">
        <f>IF(MONTH(E796)&lt;=6,"Q1","Q2")</f>
        <v/>
      </c>
      <c r="J796">
        <f>YEAR(E796)*100+MONTH(E796)</f>
        <v/>
      </c>
      <c r="K796">
        <f>IF(COUNTIF($A$2:A796,A796)=1,1,0)</f>
        <v/>
      </c>
      <c r="L796">
        <f>IF(K796=1,IF(COUNTIFS($B$2:B796,B796,$I$2:I796,I796,$K$2:K796,1)=1,1,0),0)</f>
        <v/>
      </c>
      <c r="M796">
        <f>IF(Tree!$C$4="once per order",F796*K796,F796)</f>
        <v/>
      </c>
      <c r="N796">
        <f>IF(Tree!$C$4="once per order",K796,1)</f>
        <v/>
      </c>
      <c r="O796">
        <f>IF(Tree!$C$4="once per order",L796,1)</f>
        <v/>
      </c>
    </row>
    <row r="797">
      <c r="A797" t="inlineStr">
        <is>
          <t>KR-00554</t>
        </is>
      </c>
      <c r="B797" t="inlineStr">
        <is>
          <t>C-0322</t>
        </is>
      </c>
      <c r="C797" t="inlineStr">
        <is>
          <t>Student</t>
        </is>
      </c>
      <c r="D797" t="inlineStr">
        <is>
          <t>web</t>
        </is>
      </c>
      <c r="E797" s="7" t="n">
        <v>46204</v>
      </c>
      <c r="F797" t="n">
        <v>810</v>
      </c>
      <c r="G797" t="n">
        <v>810</v>
      </c>
      <c r="H797" t="inlineStr">
        <is>
          <t>2026-07-03</t>
        </is>
      </c>
      <c r="I797">
        <f>IF(MONTH(E797)&lt;=6,"Q1","Q2")</f>
        <v/>
      </c>
      <c r="J797">
        <f>YEAR(E797)*100+MONTH(E797)</f>
        <v/>
      </c>
      <c r="K797">
        <f>IF(COUNTIF($A$2:A797,A797)=1,1,0)</f>
        <v/>
      </c>
      <c r="L797">
        <f>IF(K797=1,IF(COUNTIFS($B$2:B797,B797,$I$2:I797,I797,$K$2:K797,1)=1,1,0),0)</f>
        <v/>
      </c>
      <c r="M797">
        <f>IF(Tree!$C$4="once per order",F797*K797,F797)</f>
        <v/>
      </c>
      <c r="N797">
        <f>IF(Tree!$C$4="once per order",K797,1)</f>
        <v/>
      </c>
      <c r="O797">
        <f>IF(Tree!$C$4="once per order",L797,1)</f>
        <v/>
      </c>
    </row>
    <row r="798">
      <c r="A798" t="inlineStr">
        <is>
          <t>KR-00555</t>
        </is>
      </c>
      <c r="B798" t="inlineStr">
        <is>
          <t>C-0313</t>
        </is>
      </c>
      <c r="C798" t="inlineStr">
        <is>
          <t>Student</t>
        </is>
      </c>
      <c r="D798" t="inlineStr">
        <is>
          <t>app</t>
        </is>
      </c>
      <c r="E798" s="7" t="n">
        <v>46249</v>
      </c>
      <c r="F798" t="n">
        <v>770</v>
      </c>
      <c r="G798" t="n">
        <v>770</v>
      </c>
      <c r="H798" t="inlineStr">
        <is>
          <t>2026-08-17</t>
        </is>
      </c>
      <c r="I798">
        <f>IF(MONTH(E798)&lt;=6,"Q1","Q2")</f>
        <v/>
      </c>
      <c r="J798">
        <f>YEAR(E798)*100+MONTH(E798)</f>
        <v/>
      </c>
      <c r="K798">
        <f>IF(COUNTIF($A$2:A798,A798)=1,1,0)</f>
        <v/>
      </c>
      <c r="L798">
        <f>IF(K798=1,IF(COUNTIFS($B$2:B798,B798,$I$2:I798,I798,$K$2:K798,1)=1,1,0),0)</f>
        <v/>
      </c>
      <c r="M798">
        <f>IF(Tree!$C$4="once per order",F798*K798,F798)</f>
        <v/>
      </c>
      <c r="N798">
        <f>IF(Tree!$C$4="once per order",K798,1)</f>
        <v/>
      </c>
      <c r="O798">
        <f>IF(Tree!$C$4="once per order",L798,1)</f>
        <v/>
      </c>
    </row>
    <row r="799">
      <c r="A799" t="inlineStr">
        <is>
          <t>KR-00555</t>
        </is>
      </c>
      <c r="B799" t="inlineStr">
        <is>
          <t>C-0313</t>
        </is>
      </c>
      <c r="C799" t="inlineStr">
        <is>
          <t>Student</t>
        </is>
      </c>
      <c r="D799" t="inlineStr">
        <is>
          <t>app</t>
        </is>
      </c>
      <c r="E799" s="7" t="n">
        <v>46249</v>
      </c>
      <c r="F799" t="n">
        <v>770</v>
      </c>
      <c r="G799" t="n">
        <v>770</v>
      </c>
      <c r="H799" t="inlineStr">
        <is>
          <t>2026-08-17</t>
        </is>
      </c>
      <c r="I799">
        <f>IF(MONTH(E799)&lt;=6,"Q1","Q2")</f>
        <v/>
      </c>
      <c r="J799">
        <f>YEAR(E799)*100+MONTH(E799)</f>
        <v/>
      </c>
      <c r="K799">
        <f>IF(COUNTIF($A$2:A799,A799)=1,1,0)</f>
        <v/>
      </c>
      <c r="L799">
        <f>IF(K799=1,IF(COUNTIFS($B$2:B799,B799,$I$2:I799,I799,$K$2:K799,1)=1,1,0),0)</f>
        <v/>
      </c>
      <c r="M799">
        <f>IF(Tree!$C$4="once per order",F799*K799,F799)</f>
        <v/>
      </c>
      <c r="N799">
        <f>IF(Tree!$C$4="once per order",K799,1)</f>
        <v/>
      </c>
      <c r="O799">
        <f>IF(Tree!$C$4="once per order",L799,1)</f>
        <v/>
      </c>
    </row>
    <row r="800">
      <c r="A800" t="inlineStr">
        <is>
          <t>KR-00556</t>
        </is>
      </c>
      <c r="B800" t="inlineStr">
        <is>
          <t>C-0320</t>
        </is>
      </c>
      <c r="C800" t="inlineStr">
        <is>
          <t>Student</t>
        </is>
      </c>
      <c r="D800" t="inlineStr">
        <is>
          <t>store</t>
        </is>
      </c>
      <c r="E800" s="7" t="n">
        <v>46273</v>
      </c>
      <c r="F800" t="n">
        <v>530</v>
      </c>
      <c r="G800" t="n">
        <v>530</v>
      </c>
      <c r="H800" t="inlineStr">
        <is>
          <t>2026-09-10</t>
        </is>
      </c>
      <c r="I800">
        <f>IF(MONTH(E800)&lt;=6,"Q1","Q2")</f>
        <v/>
      </c>
      <c r="J800">
        <f>YEAR(E800)*100+MONTH(E800)</f>
        <v/>
      </c>
      <c r="K800">
        <f>IF(COUNTIF($A$2:A800,A800)=1,1,0)</f>
        <v/>
      </c>
      <c r="L800">
        <f>IF(K800=1,IF(COUNTIFS($B$2:B800,B800,$I$2:I800,I800,$K$2:K800,1)=1,1,0),0)</f>
        <v/>
      </c>
      <c r="M800">
        <f>IF(Tree!$C$4="once per order",F800*K800,F800)</f>
        <v/>
      </c>
      <c r="N800">
        <f>IF(Tree!$C$4="once per order",K800,1)</f>
        <v/>
      </c>
      <c r="O800">
        <f>IF(Tree!$C$4="once per order",L800,1)</f>
        <v/>
      </c>
    </row>
    <row r="801">
      <c r="A801" t="inlineStr">
        <is>
          <t>KR-00556</t>
        </is>
      </c>
      <c r="B801" t="inlineStr">
        <is>
          <t>C-0320</t>
        </is>
      </c>
      <c r="C801" t="inlineStr">
        <is>
          <t>Student</t>
        </is>
      </c>
      <c r="D801" t="inlineStr">
        <is>
          <t>store</t>
        </is>
      </c>
      <c r="E801" s="7" t="n">
        <v>46273</v>
      </c>
      <c r="F801" t="n">
        <v>530</v>
      </c>
      <c r="G801" t="n">
        <v>530</v>
      </c>
      <c r="H801" t="inlineStr">
        <is>
          <t>2026-09-10</t>
        </is>
      </c>
      <c r="I801">
        <f>IF(MONTH(E801)&lt;=6,"Q1","Q2")</f>
        <v/>
      </c>
      <c r="J801">
        <f>YEAR(E801)*100+MONTH(E801)</f>
        <v/>
      </c>
      <c r="K801">
        <f>IF(COUNTIF($A$2:A801,A801)=1,1,0)</f>
        <v/>
      </c>
      <c r="L801">
        <f>IF(K801=1,IF(COUNTIFS($B$2:B801,B801,$I$2:I801,I801,$K$2:K801,1)=1,1,0),0)</f>
        <v/>
      </c>
      <c r="M801">
        <f>IF(Tree!$C$4="once per order",F801*K801,F801)</f>
        <v/>
      </c>
      <c r="N801">
        <f>IF(Tree!$C$4="once per order",K801,1)</f>
        <v/>
      </c>
      <c r="O801">
        <f>IF(Tree!$C$4="once per order",L801,1)</f>
        <v/>
      </c>
    </row>
    <row r="802">
      <c r="A802" t="inlineStr">
        <is>
          <t>KR-00557</t>
        </is>
      </c>
      <c r="B802" t="inlineStr">
        <is>
          <t>C-0315</t>
        </is>
      </c>
      <c r="C802" t="inlineStr">
        <is>
          <t>Student</t>
        </is>
      </c>
      <c r="D802" t="inlineStr">
        <is>
          <t>app</t>
        </is>
      </c>
      <c r="E802" s="7" t="n">
        <v>46225</v>
      </c>
      <c r="F802" t="n">
        <v>930</v>
      </c>
      <c r="G802" t="n">
        <v>930</v>
      </c>
      <c r="H802" t="inlineStr">
        <is>
          <t>2026-07-24</t>
        </is>
      </c>
      <c r="I802">
        <f>IF(MONTH(E802)&lt;=6,"Q1","Q2")</f>
        <v/>
      </c>
      <c r="J802">
        <f>YEAR(E802)*100+MONTH(E802)</f>
        <v/>
      </c>
      <c r="K802">
        <f>IF(COUNTIF($A$2:A802,A802)=1,1,0)</f>
        <v/>
      </c>
      <c r="L802">
        <f>IF(K802=1,IF(COUNTIFS($B$2:B802,B802,$I$2:I802,I802,$K$2:K802,1)=1,1,0),0)</f>
        <v/>
      </c>
      <c r="M802">
        <f>IF(Tree!$C$4="once per order",F802*K802,F802)</f>
        <v/>
      </c>
      <c r="N802">
        <f>IF(Tree!$C$4="once per order",K802,1)</f>
        <v/>
      </c>
      <c r="O802">
        <f>IF(Tree!$C$4="once per order",L802,1)</f>
        <v/>
      </c>
    </row>
    <row r="803">
      <c r="A803" t="inlineStr">
        <is>
          <t>KR-00558</t>
        </is>
      </c>
      <c r="B803" t="inlineStr">
        <is>
          <t>C-0334</t>
        </is>
      </c>
      <c r="C803" t="inlineStr">
        <is>
          <t>Student</t>
        </is>
      </c>
      <c r="D803" t="inlineStr">
        <is>
          <t>store</t>
        </is>
      </c>
      <c r="E803" s="7" t="n">
        <v>46242</v>
      </c>
      <c r="F803" t="n">
        <v>1180</v>
      </c>
      <c r="G803" t="n">
        <v>1180</v>
      </c>
      <c r="H803" t="inlineStr">
        <is>
          <t>2026-08-10</t>
        </is>
      </c>
      <c r="I803">
        <f>IF(MONTH(E803)&lt;=6,"Q1","Q2")</f>
        <v/>
      </c>
      <c r="J803">
        <f>YEAR(E803)*100+MONTH(E803)</f>
        <v/>
      </c>
      <c r="K803">
        <f>IF(COUNTIF($A$2:A803,A803)=1,1,0)</f>
        <v/>
      </c>
      <c r="L803">
        <f>IF(K803=1,IF(COUNTIFS($B$2:B803,B803,$I$2:I803,I803,$K$2:K803,1)=1,1,0),0)</f>
        <v/>
      </c>
      <c r="M803">
        <f>IF(Tree!$C$4="once per order",F803*K803,F803)</f>
        <v/>
      </c>
      <c r="N803">
        <f>IF(Tree!$C$4="once per order",K803,1)</f>
        <v/>
      </c>
      <c r="O803">
        <f>IF(Tree!$C$4="once per order",L803,1)</f>
        <v/>
      </c>
    </row>
    <row r="804">
      <c r="A804" t="inlineStr">
        <is>
          <t>KR-00559</t>
        </is>
      </c>
      <c r="B804" t="inlineStr">
        <is>
          <t>C-0340</t>
        </is>
      </c>
      <c r="C804" t="inlineStr">
        <is>
          <t>Student</t>
        </is>
      </c>
      <c r="D804" t="inlineStr">
        <is>
          <t>app</t>
        </is>
      </c>
      <c r="E804" s="7" t="n">
        <v>46267</v>
      </c>
      <c r="F804" t="n">
        <v>1030</v>
      </c>
      <c r="G804" t="n">
        <v>1030</v>
      </c>
      <c r="H804" t="inlineStr">
        <is>
          <t>2026-09-04</t>
        </is>
      </c>
      <c r="I804">
        <f>IF(MONTH(E804)&lt;=6,"Q1","Q2")</f>
        <v/>
      </c>
      <c r="J804">
        <f>YEAR(E804)*100+MONTH(E804)</f>
        <v/>
      </c>
      <c r="K804">
        <f>IF(COUNTIF($A$2:A804,A804)=1,1,0)</f>
        <v/>
      </c>
      <c r="L804">
        <f>IF(K804=1,IF(COUNTIFS($B$2:B804,B804,$I$2:I804,I804,$K$2:K804,1)=1,1,0),0)</f>
        <v/>
      </c>
      <c r="M804">
        <f>IF(Tree!$C$4="once per order",F804*K804,F804)</f>
        <v/>
      </c>
      <c r="N804">
        <f>IF(Tree!$C$4="once per order",K804,1)</f>
        <v/>
      </c>
      <c r="O804">
        <f>IF(Tree!$C$4="once per order",L804,1)</f>
        <v/>
      </c>
    </row>
    <row r="805">
      <c r="A805" t="inlineStr">
        <is>
          <t>KR-00560</t>
        </is>
      </c>
      <c r="B805" t="inlineStr">
        <is>
          <t>C-0319</t>
        </is>
      </c>
      <c r="C805" t="inlineStr">
        <is>
          <t>Student</t>
        </is>
      </c>
      <c r="D805" t="inlineStr">
        <is>
          <t>web</t>
        </is>
      </c>
      <c r="E805" s="7" t="n">
        <v>46230</v>
      </c>
      <c r="F805" t="n">
        <v>1240</v>
      </c>
      <c r="G805" t="n">
        <v>1240</v>
      </c>
      <c r="H805" t="inlineStr">
        <is>
          <t>2026-07-28</t>
        </is>
      </c>
      <c r="I805">
        <f>IF(MONTH(E805)&lt;=6,"Q1","Q2")</f>
        <v/>
      </c>
      <c r="J805">
        <f>YEAR(E805)*100+MONTH(E805)</f>
        <v/>
      </c>
      <c r="K805">
        <f>IF(COUNTIF($A$2:A805,A805)=1,1,0)</f>
        <v/>
      </c>
      <c r="L805">
        <f>IF(K805=1,IF(COUNTIFS($B$2:B805,B805,$I$2:I805,I805,$K$2:K805,1)=1,1,0),0)</f>
        <v/>
      </c>
      <c r="M805">
        <f>IF(Tree!$C$4="once per order",F805*K805,F805)</f>
        <v/>
      </c>
      <c r="N805">
        <f>IF(Tree!$C$4="once per order",K805,1)</f>
        <v/>
      </c>
      <c r="O805">
        <f>IF(Tree!$C$4="once per order",L805,1)</f>
        <v/>
      </c>
    </row>
    <row r="806">
      <c r="A806" t="inlineStr">
        <is>
          <t>KR-00561</t>
        </is>
      </c>
      <c r="B806" t="inlineStr">
        <is>
          <t>C-0319</t>
        </is>
      </c>
      <c r="C806" t="inlineStr">
        <is>
          <t>Student</t>
        </is>
      </c>
      <c r="D806" t="inlineStr">
        <is>
          <t>app</t>
        </is>
      </c>
      <c r="E806" s="7" t="n">
        <v>46258</v>
      </c>
      <c r="F806" t="n">
        <v>900</v>
      </c>
      <c r="G806" t="n">
        <v>900</v>
      </c>
      <c r="H806" t="inlineStr">
        <is>
          <t>2026-08-26</t>
        </is>
      </c>
      <c r="I806">
        <f>IF(MONTH(E806)&lt;=6,"Q1","Q2")</f>
        <v/>
      </c>
      <c r="J806">
        <f>YEAR(E806)*100+MONTH(E806)</f>
        <v/>
      </c>
      <c r="K806">
        <f>IF(COUNTIF($A$2:A806,A806)=1,1,0)</f>
        <v/>
      </c>
      <c r="L806">
        <f>IF(K806=1,IF(COUNTIFS($B$2:B806,B806,$I$2:I806,I806,$K$2:K806,1)=1,1,0),0)</f>
        <v/>
      </c>
      <c r="M806">
        <f>IF(Tree!$C$4="once per order",F806*K806,F806)</f>
        <v/>
      </c>
      <c r="N806">
        <f>IF(Tree!$C$4="once per order",K806,1)</f>
        <v/>
      </c>
      <c r="O806">
        <f>IF(Tree!$C$4="once per order",L806,1)</f>
        <v/>
      </c>
    </row>
    <row r="807">
      <c r="A807" t="inlineStr">
        <is>
          <t>KR-00561</t>
        </is>
      </c>
      <c r="B807" t="inlineStr">
        <is>
          <t>C-0319</t>
        </is>
      </c>
      <c r="C807" t="inlineStr">
        <is>
          <t>Student</t>
        </is>
      </c>
      <c r="D807" t="inlineStr">
        <is>
          <t>app</t>
        </is>
      </c>
      <c r="E807" s="7" t="n">
        <v>46258</v>
      </c>
      <c r="F807" t="n">
        <v>900</v>
      </c>
      <c r="G807" t="n">
        <v>900</v>
      </c>
      <c r="H807" t="inlineStr">
        <is>
          <t>2026-08-26</t>
        </is>
      </c>
      <c r="I807">
        <f>IF(MONTH(E807)&lt;=6,"Q1","Q2")</f>
        <v/>
      </c>
      <c r="J807">
        <f>YEAR(E807)*100+MONTH(E807)</f>
        <v/>
      </c>
      <c r="K807">
        <f>IF(COUNTIF($A$2:A807,A807)=1,1,0)</f>
        <v/>
      </c>
      <c r="L807">
        <f>IF(K807=1,IF(COUNTIFS($B$2:B807,B807,$I$2:I807,I807,$K$2:K807,1)=1,1,0),0)</f>
        <v/>
      </c>
      <c r="M807">
        <f>IF(Tree!$C$4="once per order",F807*K807,F807)</f>
        <v/>
      </c>
      <c r="N807">
        <f>IF(Tree!$C$4="once per order",K807,1)</f>
        <v/>
      </c>
      <c r="O807">
        <f>IF(Tree!$C$4="once per order",L807,1)</f>
        <v/>
      </c>
    </row>
    <row r="808">
      <c r="A808" t="inlineStr">
        <is>
          <t>KR-00562</t>
        </is>
      </c>
      <c r="B808" t="inlineStr">
        <is>
          <t>C-0335</t>
        </is>
      </c>
      <c r="C808" t="inlineStr">
        <is>
          <t>Student</t>
        </is>
      </c>
      <c r="D808" t="inlineStr">
        <is>
          <t>store</t>
        </is>
      </c>
      <c r="E808" s="7" t="n">
        <v>46286</v>
      </c>
      <c r="F808" t="n">
        <v>750</v>
      </c>
      <c r="G808" t="n">
        <v>750</v>
      </c>
      <c r="H808" t="inlineStr">
        <is>
          <t>2026-09-23</t>
        </is>
      </c>
      <c r="I808">
        <f>IF(MONTH(E808)&lt;=6,"Q1","Q2")</f>
        <v/>
      </c>
      <c r="J808">
        <f>YEAR(E808)*100+MONTH(E808)</f>
        <v/>
      </c>
      <c r="K808">
        <f>IF(COUNTIF($A$2:A808,A808)=1,1,0)</f>
        <v/>
      </c>
      <c r="L808">
        <f>IF(K808=1,IF(COUNTIFS($B$2:B808,B808,$I$2:I808,I808,$K$2:K808,1)=1,1,0),0)</f>
        <v/>
      </c>
      <c r="M808">
        <f>IF(Tree!$C$4="once per order",F808*K808,F808)</f>
        <v/>
      </c>
      <c r="N808">
        <f>IF(Tree!$C$4="once per order",K808,1)</f>
        <v/>
      </c>
      <c r="O808">
        <f>IF(Tree!$C$4="once per order",L808,1)</f>
        <v/>
      </c>
    </row>
    <row r="809">
      <c r="A809" t="inlineStr">
        <is>
          <t>KR-00562</t>
        </is>
      </c>
      <c r="B809" t="inlineStr">
        <is>
          <t>C-0335</t>
        </is>
      </c>
      <c r="C809" t="inlineStr">
        <is>
          <t>Student</t>
        </is>
      </c>
      <c r="D809" t="inlineStr">
        <is>
          <t>store</t>
        </is>
      </c>
      <c r="E809" s="7" t="n">
        <v>46286</v>
      </c>
      <c r="F809" t="n">
        <v>750</v>
      </c>
      <c r="G809" t="n">
        <v>750</v>
      </c>
      <c r="H809" t="inlineStr">
        <is>
          <t>2026-09-23</t>
        </is>
      </c>
      <c r="I809">
        <f>IF(MONTH(E809)&lt;=6,"Q1","Q2")</f>
        <v/>
      </c>
      <c r="J809">
        <f>YEAR(E809)*100+MONTH(E809)</f>
        <v/>
      </c>
      <c r="K809">
        <f>IF(COUNTIF($A$2:A809,A809)=1,1,0)</f>
        <v/>
      </c>
      <c r="L809">
        <f>IF(K809=1,IF(COUNTIFS($B$2:B809,B809,$I$2:I809,I809,$K$2:K809,1)=1,1,0),0)</f>
        <v/>
      </c>
      <c r="M809">
        <f>IF(Tree!$C$4="once per order",F809*K809,F809)</f>
        <v/>
      </c>
      <c r="N809">
        <f>IF(Tree!$C$4="once per order",K809,1)</f>
        <v/>
      </c>
      <c r="O809">
        <f>IF(Tree!$C$4="once per order",L809,1)</f>
        <v/>
      </c>
    </row>
    <row r="810">
      <c r="A810" t="inlineStr">
        <is>
          <t>KR-00563</t>
        </is>
      </c>
      <c r="B810" t="inlineStr">
        <is>
          <t>C-0320</t>
        </is>
      </c>
      <c r="C810" t="inlineStr">
        <is>
          <t>Student</t>
        </is>
      </c>
      <c r="D810" t="inlineStr">
        <is>
          <t>app</t>
        </is>
      </c>
      <c r="E810" s="7" t="n">
        <v>46223</v>
      </c>
      <c r="F810" t="n">
        <v>940</v>
      </c>
      <c r="G810" t="n">
        <v>940</v>
      </c>
      <c r="H810" t="inlineStr">
        <is>
          <t>2026-07-22</t>
        </is>
      </c>
      <c r="I810">
        <f>IF(MONTH(E810)&lt;=6,"Q1","Q2")</f>
        <v/>
      </c>
      <c r="J810">
        <f>YEAR(E810)*100+MONTH(E810)</f>
        <v/>
      </c>
      <c r="K810">
        <f>IF(COUNTIF($A$2:A810,A810)=1,1,0)</f>
        <v/>
      </c>
      <c r="L810">
        <f>IF(K810=1,IF(COUNTIFS($B$2:B810,B810,$I$2:I810,I810,$K$2:K810,1)=1,1,0),0)</f>
        <v/>
      </c>
      <c r="M810">
        <f>IF(Tree!$C$4="once per order",F810*K810,F810)</f>
        <v/>
      </c>
      <c r="N810">
        <f>IF(Tree!$C$4="once per order",K810,1)</f>
        <v/>
      </c>
      <c r="O810">
        <f>IF(Tree!$C$4="once per order",L810,1)</f>
        <v/>
      </c>
    </row>
    <row r="811">
      <c r="A811" t="inlineStr">
        <is>
          <t>KR-00564</t>
        </is>
      </c>
      <c r="B811" t="inlineStr">
        <is>
          <t>C-0314</t>
        </is>
      </c>
      <c r="C811" t="inlineStr">
        <is>
          <t>Student</t>
        </is>
      </c>
      <c r="D811" t="inlineStr">
        <is>
          <t>store</t>
        </is>
      </c>
      <c r="E811" s="7" t="n">
        <v>46252</v>
      </c>
      <c r="F811" t="n">
        <v>410</v>
      </c>
      <c r="G811" t="n">
        <v>410</v>
      </c>
      <c r="H811" t="inlineStr">
        <is>
          <t>2026-08-20</t>
        </is>
      </c>
      <c r="I811">
        <f>IF(MONTH(E811)&lt;=6,"Q1","Q2")</f>
        <v/>
      </c>
      <c r="J811">
        <f>YEAR(E811)*100+MONTH(E811)</f>
        <v/>
      </c>
      <c r="K811">
        <f>IF(COUNTIF($A$2:A811,A811)=1,1,0)</f>
        <v/>
      </c>
      <c r="L811">
        <f>IF(K811=1,IF(COUNTIFS($B$2:B811,B811,$I$2:I811,I811,$K$2:K811,1)=1,1,0),0)</f>
        <v/>
      </c>
      <c r="M811">
        <f>IF(Tree!$C$4="once per order",F811*K811,F811)</f>
        <v/>
      </c>
      <c r="N811">
        <f>IF(Tree!$C$4="once per order",K811,1)</f>
        <v/>
      </c>
      <c r="O811">
        <f>IF(Tree!$C$4="once per order",L811,1)</f>
        <v/>
      </c>
    </row>
    <row r="812">
      <c r="A812" t="inlineStr">
        <is>
          <t>KR-00564</t>
        </is>
      </c>
      <c r="B812" t="inlineStr">
        <is>
          <t>C-0314</t>
        </is>
      </c>
      <c r="C812" t="inlineStr">
        <is>
          <t>Student</t>
        </is>
      </c>
      <c r="D812" t="inlineStr">
        <is>
          <t>store</t>
        </is>
      </c>
      <c r="E812" s="7" t="n">
        <v>46252</v>
      </c>
      <c r="F812" t="n">
        <v>410</v>
      </c>
      <c r="G812" t="n">
        <v>410</v>
      </c>
      <c r="H812" t="inlineStr">
        <is>
          <t>2026-08-20</t>
        </is>
      </c>
      <c r="I812">
        <f>IF(MONTH(E812)&lt;=6,"Q1","Q2")</f>
        <v/>
      </c>
      <c r="J812">
        <f>YEAR(E812)*100+MONTH(E812)</f>
        <v/>
      </c>
      <c r="K812">
        <f>IF(COUNTIF($A$2:A812,A812)=1,1,0)</f>
        <v/>
      </c>
      <c r="L812">
        <f>IF(K812=1,IF(COUNTIFS($B$2:B812,B812,$I$2:I812,I812,$K$2:K812,1)=1,1,0),0)</f>
        <v/>
      </c>
      <c r="M812">
        <f>IF(Tree!$C$4="once per order",F812*K812,F812)</f>
        <v/>
      </c>
      <c r="N812">
        <f>IF(Tree!$C$4="once per order",K812,1)</f>
        <v/>
      </c>
      <c r="O812">
        <f>IF(Tree!$C$4="once per order",L812,1)</f>
        <v/>
      </c>
    </row>
    <row r="813">
      <c r="A813" t="inlineStr">
        <is>
          <t>KR-00565</t>
        </is>
      </c>
      <c r="B813" t="inlineStr">
        <is>
          <t>C-0312</t>
        </is>
      </c>
      <c r="C813" t="inlineStr">
        <is>
          <t>Student</t>
        </is>
      </c>
      <c r="D813" t="inlineStr">
        <is>
          <t>app</t>
        </is>
      </c>
      <c r="E813" s="7" t="n">
        <v>46270</v>
      </c>
      <c r="F813" t="n">
        <v>830</v>
      </c>
      <c r="G813" t="n">
        <v>830</v>
      </c>
      <c r="H813" t="inlineStr">
        <is>
          <t>2026-09-07</t>
        </is>
      </c>
      <c r="I813">
        <f>IF(MONTH(E813)&lt;=6,"Q1","Q2")</f>
        <v/>
      </c>
      <c r="J813">
        <f>YEAR(E813)*100+MONTH(E813)</f>
        <v/>
      </c>
      <c r="K813">
        <f>IF(COUNTIF($A$2:A813,A813)=1,1,0)</f>
        <v/>
      </c>
      <c r="L813">
        <f>IF(K813=1,IF(COUNTIFS($B$2:B813,B813,$I$2:I813,I813,$K$2:K813,1)=1,1,0),0)</f>
        <v/>
      </c>
      <c r="M813">
        <f>IF(Tree!$C$4="once per order",F813*K813,F813)</f>
        <v/>
      </c>
      <c r="N813">
        <f>IF(Tree!$C$4="once per order",K813,1)</f>
        <v/>
      </c>
      <c r="O813">
        <f>IF(Tree!$C$4="once per order",L813,1)</f>
        <v/>
      </c>
    </row>
    <row r="814">
      <c r="A814" t="inlineStr">
        <is>
          <t>KR-00565</t>
        </is>
      </c>
      <c r="B814" t="inlineStr">
        <is>
          <t>C-0312</t>
        </is>
      </c>
      <c r="C814" t="inlineStr">
        <is>
          <t>Student</t>
        </is>
      </c>
      <c r="D814" t="inlineStr">
        <is>
          <t>app</t>
        </is>
      </c>
      <c r="E814" s="7" t="n">
        <v>46270</v>
      </c>
      <c r="F814" t="n">
        <v>830</v>
      </c>
      <c r="G814" t="n">
        <v>830</v>
      </c>
      <c r="H814" t="inlineStr">
        <is>
          <t>2026-09-07</t>
        </is>
      </c>
      <c r="I814">
        <f>IF(MONTH(E814)&lt;=6,"Q1","Q2")</f>
        <v/>
      </c>
      <c r="J814">
        <f>YEAR(E814)*100+MONTH(E814)</f>
        <v/>
      </c>
      <c r="K814">
        <f>IF(COUNTIF($A$2:A814,A814)=1,1,0)</f>
        <v/>
      </c>
      <c r="L814">
        <f>IF(K814=1,IF(COUNTIFS($B$2:B814,B814,$I$2:I814,I814,$K$2:K814,1)=1,1,0),0)</f>
        <v/>
      </c>
      <c r="M814">
        <f>IF(Tree!$C$4="once per order",F814*K814,F814)</f>
        <v/>
      </c>
      <c r="N814">
        <f>IF(Tree!$C$4="once per order",K814,1)</f>
        <v/>
      </c>
      <c r="O814">
        <f>IF(Tree!$C$4="once per order",L814,1)</f>
        <v/>
      </c>
    </row>
    <row r="815">
      <c r="A815" t="inlineStr">
        <is>
          <t>KR-00566</t>
        </is>
      </c>
      <c r="B815" t="inlineStr">
        <is>
          <t>C-0313</t>
        </is>
      </c>
      <c r="C815" t="inlineStr">
        <is>
          <t>Student</t>
        </is>
      </c>
      <c r="D815" t="inlineStr">
        <is>
          <t>web</t>
        </is>
      </c>
      <c r="E815" s="7" t="n">
        <v>46229</v>
      </c>
      <c r="F815" t="n">
        <v>490</v>
      </c>
      <c r="G815" t="n">
        <v>490</v>
      </c>
      <c r="H815" t="inlineStr">
        <is>
          <t>2026-07-28</t>
        </is>
      </c>
      <c r="I815">
        <f>IF(MONTH(E815)&lt;=6,"Q1","Q2")</f>
        <v/>
      </c>
      <c r="J815">
        <f>YEAR(E815)*100+MONTH(E815)</f>
        <v/>
      </c>
      <c r="K815">
        <f>IF(COUNTIF($A$2:A815,A815)=1,1,0)</f>
        <v/>
      </c>
      <c r="L815">
        <f>IF(K815=1,IF(COUNTIFS($B$2:B815,B815,$I$2:I815,I815,$K$2:K815,1)=1,1,0),0)</f>
        <v/>
      </c>
      <c r="M815">
        <f>IF(Tree!$C$4="once per order",F815*K815,F815)</f>
        <v/>
      </c>
      <c r="N815">
        <f>IF(Tree!$C$4="once per order",K815,1)</f>
        <v/>
      </c>
      <c r="O815">
        <f>IF(Tree!$C$4="once per order",L815,1)</f>
        <v/>
      </c>
    </row>
    <row r="816">
      <c r="A816" t="inlineStr">
        <is>
          <t>KR-00566</t>
        </is>
      </c>
      <c r="B816" t="inlineStr">
        <is>
          <t>C-0313</t>
        </is>
      </c>
      <c r="C816" t="inlineStr">
        <is>
          <t>Student</t>
        </is>
      </c>
      <c r="D816" t="inlineStr">
        <is>
          <t>web</t>
        </is>
      </c>
      <c r="E816" s="7" t="n">
        <v>46229</v>
      </c>
      <c r="F816" t="n">
        <v>490</v>
      </c>
      <c r="G816" t="n">
        <v>490</v>
      </c>
      <c r="H816" t="inlineStr">
        <is>
          <t>2026-07-28</t>
        </is>
      </c>
      <c r="I816">
        <f>IF(MONTH(E816)&lt;=6,"Q1","Q2")</f>
        <v/>
      </c>
      <c r="J816">
        <f>YEAR(E816)*100+MONTH(E816)</f>
        <v/>
      </c>
      <c r="K816">
        <f>IF(COUNTIF($A$2:A816,A816)=1,1,0)</f>
        <v/>
      </c>
      <c r="L816">
        <f>IF(K816=1,IF(COUNTIFS($B$2:B816,B816,$I$2:I816,I816,$K$2:K816,1)=1,1,0),0)</f>
        <v/>
      </c>
      <c r="M816">
        <f>IF(Tree!$C$4="once per order",F816*K816,F816)</f>
        <v/>
      </c>
      <c r="N816">
        <f>IF(Tree!$C$4="once per order",K816,1)</f>
        <v/>
      </c>
      <c r="O816">
        <f>IF(Tree!$C$4="once per order",L816,1)</f>
        <v/>
      </c>
    </row>
    <row r="817">
      <c r="A817" t="inlineStr">
        <is>
          <t>KR-00567</t>
        </is>
      </c>
      <c r="B817" t="inlineStr">
        <is>
          <t>C-0311</t>
        </is>
      </c>
      <c r="C817" t="inlineStr">
        <is>
          <t>Student</t>
        </is>
      </c>
      <c r="D817" t="inlineStr">
        <is>
          <t>web</t>
        </is>
      </c>
      <c r="E817" s="7" t="n">
        <v>46256</v>
      </c>
      <c r="F817" t="n">
        <v>960</v>
      </c>
      <c r="G817" t="n">
        <v>960</v>
      </c>
      <c r="H817" t="inlineStr">
        <is>
          <t>2026-08-24</t>
        </is>
      </c>
      <c r="I817">
        <f>IF(MONTH(E817)&lt;=6,"Q1","Q2")</f>
        <v/>
      </c>
      <c r="J817">
        <f>YEAR(E817)*100+MONTH(E817)</f>
        <v/>
      </c>
      <c r="K817">
        <f>IF(COUNTIF($A$2:A817,A817)=1,1,0)</f>
        <v/>
      </c>
      <c r="L817">
        <f>IF(K817=1,IF(COUNTIFS($B$2:B817,B817,$I$2:I817,I817,$K$2:K817,1)=1,1,0),0)</f>
        <v/>
      </c>
      <c r="M817">
        <f>IF(Tree!$C$4="once per order",F817*K817,F817)</f>
        <v/>
      </c>
      <c r="N817">
        <f>IF(Tree!$C$4="once per order",K817,1)</f>
        <v/>
      </c>
      <c r="O817">
        <f>IF(Tree!$C$4="once per order",L817,1)</f>
        <v/>
      </c>
    </row>
    <row r="818">
      <c r="A818" t="inlineStr">
        <is>
          <t>KR-00568</t>
        </is>
      </c>
      <c r="B818" t="inlineStr">
        <is>
          <t>C-0329</t>
        </is>
      </c>
      <c r="C818" t="inlineStr">
        <is>
          <t>Student</t>
        </is>
      </c>
      <c r="D818" t="inlineStr">
        <is>
          <t>store</t>
        </is>
      </c>
      <c r="E818" s="7" t="n">
        <v>46282</v>
      </c>
      <c r="F818" t="n">
        <v>960</v>
      </c>
      <c r="G818" t="n">
        <v>960</v>
      </c>
      <c r="H818" t="inlineStr">
        <is>
          <t>2026-09-19</t>
        </is>
      </c>
      <c r="I818">
        <f>IF(MONTH(E818)&lt;=6,"Q1","Q2")</f>
        <v/>
      </c>
      <c r="J818">
        <f>YEAR(E818)*100+MONTH(E818)</f>
        <v/>
      </c>
      <c r="K818">
        <f>IF(COUNTIF($A$2:A818,A818)=1,1,0)</f>
        <v/>
      </c>
      <c r="L818">
        <f>IF(K818=1,IF(COUNTIFS($B$2:B818,B818,$I$2:I818,I818,$K$2:K818,1)=1,1,0),0)</f>
        <v/>
      </c>
      <c r="M818">
        <f>IF(Tree!$C$4="once per order",F818*K818,F818)</f>
        <v/>
      </c>
      <c r="N818">
        <f>IF(Tree!$C$4="once per order",K818,1)</f>
        <v/>
      </c>
      <c r="O818">
        <f>IF(Tree!$C$4="once per order",L818,1)</f>
        <v/>
      </c>
    </row>
    <row r="819">
      <c r="A819" t="inlineStr">
        <is>
          <t>KR-00569</t>
        </is>
      </c>
      <c r="B819" t="inlineStr">
        <is>
          <t>C-0317</t>
        </is>
      </c>
      <c r="C819" t="inlineStr">
        <is>
          <t>Student</t>
        </is>
      </c>
      <c r="D819" t="inlineStr">
        <is>
          <t>app</t>
        </is>
      </c>
      <c r="E819" s="7" t="n">
        <v>46215</v>
      </c>
      <c r="F819" t="n">
        <v>650</v>
      </c>
      <c r="G819" t="n">
        <v>650</v>
      </c>
      <c r="H819" t="inlineStr">
        <is>
          <t>2026-07-14</t>
        </is>
      </c>
      <c r="I819">
        <f>IF(MONTH(E819)&lt;=6,"Q1","Q2")</f>
        <v/>
      </c>
      <c r="J819">
        <f>YEAR(E819)*100+MONTH(E819)</f>
        <v/>
      </c>
      <c r="K819">
        <f>IF(COUNTIF($A$2:A819,A819)=1,1,0)</f>
        <v/>
      </c>
      <c r="L819">
        <f>IF(K819=1,IF(COUNTIFS($B$2:B819,B819,$I$2:I819,I819,$K$2:K819,1)=1,1,0),0)</f>
        <v/>
      </c>
      <c r="M819">
        <f>IF(Tree!$C$4="once per order",F819*K819,F819)</f>
        <v/>
      </c>
      <c r="N819">
        <f>IF(Tree!$C$4="once per order",K819,1)</f>
        <v/>
      </c>
      <c r="O819">
        <f>IF(Tree!$C$4="once per order",L819,1)</f>
        <v/>
      </c>
    </row>
    <row r="820">
      <c r="A820" t="inlineStr">
        <is>
          <t>KR-00569</t>
        </is>
      </c>
      <c r="B820" t="inlineStr">
        <is>
          <t>C-0317</t>
        </is>
      </c>
      <c r="C820" t="inlineStr">
        <is>
          <t>Student</t>
        </is>
      </c>
      <c r="D820" t="inlineStr">
        <is>
          <t>app</t>
        </is>
      </c>
      <c r="E820" s="7" t="n">
        <v>46215</v>
      </c>
      <c r="F820" t="n">
        <v>650</v>
      </c>
      <c r="G820" t="n">
        <v>650</v>
      </c>
      <c r="H820" t="inlineStr">
        <is>
          <t>2026-07-14</t>
        </is>
      </c>
      <c r="I820">
        <f>IF(MONTH(E820)&lt;=6,"Q1","Q2")</f>
        <v/>
      </c>
      <c r="J820">
        <f>YEAR(E820)*100+MONTH(E820)</f>
        <v/>
      </c>
      <c r="K820">
        <f>IF(COUNTIF($A$2:A820,A820)=1,1,0)</f>
        <v/>
      </c>
      <c r="L820">
        <f>IF(K820=1,IF(COUNTIFS($B$2:B820,B820,$I$2:I820,I820,$K$2:K820,1)=1,1,0),0)</f>
        <v/>
      </c>
      <c r="M820">
        <f>IF(Tree!$C$4="once per order",F820*K820,F820)</f>
        <v/>
      </c>
      <c r="N820">
        <f>IF(Tree!$C$4="once per order",K820,1)</f>
        <v/>
      </c>
      <c r="O820">
        <f>IF(Tree!$C$4="once per order",L820,1)</f>
        <v/>
      </c>
    </row>
    <row r="821">
      <c r="A821" t="inlineStr">
        <is>
          <t>KR-00570</t>
        </is>
      </c>
      <c r="B821" t="inlineStr">
        <is>
          <t>C-0319</t>
        </is>
      </c>
      <c r="C821" t="inlineStr">
        <is>
          <t>Student</t>
        </is>
      </c>
      <c r="D821" t="inlineStr">
        <is>
          <t>store</t>
        </is>
      </c>
      <c r="E821" s="7" t="n">
        <v>46241</v>
      </c>
      <c r="F821" t="n">
        <v>1410</v>
      </c>
      <c r="G821" t="n">
        <v>1410</v>
      </c>
      <c r="H821" t="inlineStr">
        <is>
          <t>2026-08-09</t>
        </is>
      </c>
      <c r="I821">
        <f>IF(MONTH(E821)&lt;=6,"Q1","Q2")</f>
        <v/>
      </c>
      <c r="J821">
        <f>YEAR(E821)*100+MONTH(E821)</f>
        <v/>
      </c>
      <c r="K821">
        <f>IF(COUNTIF($A$2:A821,A821)=1,1,0)</f>
        <v/>
      </c>
      <c r="L821">
        <f>IF(K821=1,IF(COUNTIFS($B$2:B821,B821,$I$2:I821,I821,$K$2:K821,1)=1,1,0),0)</f>
        <v/>
      </c>
      <c r="M821">
        <f>IF(Tree!$C$4="once per order",F821*K821,F821)</f>
        <v/>
      </c>
      <c r="N821">
        <f>IF(Tree!$C$4="once per order",K821,1)</f>
        <v/>
      </c>
      <c r="O821">
        <f>IF(Tree!$C$4="once per order",L821,1)</f>
        <v/>
      </c>
    </row>
    <row r="822">
      <c r="A822" t="inlineStr">
        <is>
          <t>KR-00571</t>
        </is>
      </c>
      <c r="B822" t="inlineStr">
        <is>
          <t>C-0315</t>
        </is>
      </c>
      <c r="C822" t="inlineStr">
        <is>
          <t>Student</t>
        </is>
      </c>
      <c r="D822" t="inlineStr">
        <is>
          <t>store</t>
        </is>
      </c>
      <c r="E822" s="7" t="n">
        <v>46290</v>
      </c>
      <c r="F822" t="n">
        <v>1320</v>
      </c>
      <c r="G822" t="n">
        <v>1320</v>
      </c>
      <c r="H822" t="inlineStr">
        <is>
          <t>2026-09-27</t>
        </is>
      </c>
      <c r="I822">
        <f>IF(MONTH(E822)&lt;=6,"Q1","Q2")</f>
        <v/>
      </c>
      <c r="J822">
        <f>YEAR(E822)*100+MONTH(E822)</f>
        <v/>
      </c>
      <c r="K822">
        <f>IF(COUNTIF($A$2:A822,A822)=1,1,0)</f>
        <v/>
      </c>
      <c r="L822">
        <f>IF(K822=1,IF(COUNTIFS($B$2:B822,B822,$I$2:I822,I822,$K$2:K822,1)=1,1,0),0)</f>
        <v/>
      </c>
      <c r="M822">
        <f>IF(Tree!$C$4="once per order",F822*K822,F822)</f>
        <v/>
      </c>
      <c r="N822">
        <f>IF(Tree!$C$4="once per order",K822,1)</f>
        <v/>
      </c>
      <c r="O822">
        <f>IF(Tree!$C$4="once per order",L822,1)</f>
        <v/>
      </c>
    </row>
    <row r="823">
      <c r="A823" t="inlineStr">
        <is>
          <t>KR-00572</t>
        </is>
      </c>
      <c r="B823" t="inlineStr">
        <is>
          <t>C-0332</t>
        </is>
      </c>
      <c r="C823" t="inlineStr">
        <is>
          <t>Student</t>
        </is>
      </c>
      <c r="D823" t="inlineStr">
        <is>
          <t>store</t>
        </is>
      </c>
      <c r="E823" s="7" t="n">
        <v>46214</v>
      </c>
      <c r="F823" t="n">
        <v>550</v>
      </c>
      <c r="G823" t="n">
        <v>550</v>
      </c>
      <c r="H823" t="inlineStr">
        <is>
          <t>2026-07-13</t>
        </is>
      </c>
      <c r="I823">
        <f>IF(MONTH(E823)&lt;=6,"Q1","Q2")</f>
        <v/>
      </c>
      <c r="J823">
        <f>YEAR(E823)*100+MONTH(E823)</f>
        <v/>
      </c>
      <c r="K823">
        <f>IF(COUNTIF($A$2:A823,A823)=1,1,0)</f>
        <v/>
      </c>
      <c r="L823">
        <f>IF(K823=1,IF(COUNTIFS($B$2:B823,B823,$I$2:I823,I823,$K$2:K823,1)=1,1,0),0)</f>
        <v/>
      </c>
      <c r="M823">
        <f>IF(Tree!$C$4="once per order",F823*K823,F823)</f>
        <v/>
      </c>
      <c r="N823">
        <f>IF(Tree!$C$4="once per order",K823,1)</f>
        <v/>
      </c>
      <c r="O823">
        <f>IF(Tree!$C$4="once per order",L823,1)</f>
        <v/>
      </c>
    </row>
    <row r="824">
      <c r="A824" t="inlineStr">
        <is>
          <t>KR-00572</t>
        </is>
      </c>
      <c r="B824" t="inlineStr">
        <is>
          <t>C-0332</t>
        </is>
      </c>
      <c r="C824" t="inlineStr">
        <is>
          <t>Student</t>
        </is>
      </c>
      <c r="D824" t="inlineStr">
        <is>
          <t>store</t>
        </is>
      </c>
      <c r="E824" s="7" t="n">
        <v>46214</v>
      </c>
      <c r="F824" t="n">
        <v>550</v>
      </c>
      <c r="G824" t="n">
        <v>550</v>
      </c>
      <c r="H824" t="inlineStr">
        <is>
          <t>2026-07-13</t>
        </is>
      </c>
      <c r="I824">
        <f>IF(MONTH(E824)&lt;=6,"Q1","Q2")</f>
        <v/>
      </c>
      <c r="J824">
        <f>YEAR(E824)*100+MONTH(E824)</f>
        <v/>
      </c>
      <c r="K824">
        <f>IF(COUNTIF($A$2:A824,A824)=1,1,0)</f>
        <v/>
      </c>
      <c r="L824">
        <f>IF(K824=1,IF(COUNTIFS($B$2:B824,B824,$I$2:I824,I824,$K$2:K824,1)=1,1,0),0)</f>
        <v/>
      </c>
      <c r="M824">
        <f>IF(Tree!$C$4="once per order",F824*K824,F824)</f>
        <v/>
      </c>
      <c r="N824">
        <f>IF(Tree!$C$4="once per order",K824,1)</f>
        <v/>
      </c>
      <c r="O824">
        <f>IF(Tree!$C$4="once per order",L824,1)</f>
        <v/>
      </c>
    </row>
    <row r="825">
      <c r="A825" t="inlineStr">
        <is>
          <t>KR-00573</t>
        </is>
      </c>
      <c r="B825" t="inlineStr">
        <is>
          <t>C-0317</t>
        </is>
      </c>
      <c r="C825" t="inlineStr">
        <is>
          <t>Student</t>
        </is>
      </c>
      <c r="D825" t="inlineStr">
        <is>
          <t>web</t>
        </is>
      </c>
      <c r="E825" s="7" t="n">
        <v>46245</v>
      </c>
      <c r="F825" t="n">
        <v>1300</v>
      </c>
      <c r="G825" t="n">
        <v>1300</v>
      </c>
      <c r="H825" t="inlineStr">
        <is>
          <t>2026-08-13</t>
        </is>
      </c>
      <c r="I825">
        <f>IF(MONTH(E825)&lt;=6,"Q1","Q2")</f>
        <v/>
      </c>
      <c r="J825">
        <f>YEAR(E825)*100+MONTH(E825)</f>
        <v/>
      </c>
      <c r="K825">
        <f>IF(COUNTIF($A$2:A825,A825)=1,1,0)</f>
        <v/>
      </c>
      <c r="L825">
        <f>IF(K825=1,IF(COUNTIFS($B$2:B825,B825,$I$2:I825,I825,$K$2:K825,1)=1,1,0),0)</f>
        <v/>
      </c>
      <c r="M825">
        <f>IF(Tree!$C$4="once per order",F825*K825,F825)</f>
        <v/>
      </c>
      <c r="N825">
        <f>IF(Tree!$C$4="once per order",K825,1)</f>
        <v/>
      </c>
      <c r="O825">
        <f>IF(Tree!$C$4="once per order",L825,1)</f>
        <v/>
      </c>
    </row>
    <row r="826">
      <c r="A826" t="inlineStr">
        <is>
          <t>KR-00574</t>
        </is>
      </c>
      <c r="B826" t="inlineStr">
        <is>
          <t>C-0311</t>
        </is>
      </c>
      <c r="C826" t="inlineStr">
        <is>
          <t>Student</t>
        </is>
      </c>
      <c r="D826" t="inlineStr">
        <is>
          <t>store</t>
        </is>
      </c>
      <c r="E826" s="7" t="n">
        <v>46270</v>
      </c>
      <c r="F826" t="n">
        <v>640</v>
      </c>
      <c r="G826" t="n">
        <v>640</v>
      </c>
      <c r="H826" t="inlineStr">
        <is>
          <t>2026-09-07</t>
        </is>
      </c>
      <c r="I826">
        <f>IF(MONTH(E826)&lt;=6,"Q1","Q2")</f>
        <v/>
      </c>
      <c r="J826">
        <f>YEAR(E826)*100+MONTH(E826)</f>
        <v/>
      </c>
      <c r="K826">
        <f>IF(COUNTIF($A$2:A826,A826)=1,1,0)</f>
        <v/>
      </c>
      <c r="L826">
        <f>IF(K826=1,IF(COUNTIFS($B$2:B826,B826,$I$2:I826,I826,$K$2:K826,1)=1,1,0),0)</f>
        <v/>
      </c>
      <c r="M826">
        <f>IF(Tree!$C$4="once per order",F826*K826,F826)</f>
        <v/>
      </c>
      <c r="N826">
        <f>IF(Tree!$C$4="once per order",K826,1)</f>
        <v/>
      </c>
      <c r="O826">
        <f>IF(Tree!$C$4="once per order",L826,1)</f>
        <v/>
      </c>
    </row>
    <row r="827">
      <c r="A827" t="inlineStr">
        <is>
          <t>KR-00574</t>
        </is>
      </c>
      <c r="B827" t="inlineStr">
        <is>
          <t>C-0311</t>
        </is>
      </c>
      <c r="C827" t="inlineStr">
        <is>
          <t>Student</t>
        </is>
      </c>
      <c r="D827" t="inlineStr">
        <is>
          <t>store</t>
        </is>
      </c>
      <c r="E827" s="7" t="n">
        <v>46270</v>
      </c>
      <c r="F827" t="n">
        <v>640</v>
      </c>
      <c r="G827" t="n">
        <v>640</v>
      </c>
      <c r="H827" t="inlineStr">
        <is>
          <t>2026-09-07</t>
        </is>
      </c>
      <c r="I827">
        <f>IF(MONTH(E827)&lt;=6,"Q1","Q2")</f>
        <v/>
      </c>
      <c r="J827">
        <f>YEAR(E827)*100+MONTH(E827)</f>
        <v/>
      </c>
      <c r="K827">
        <f>IF(COUNTIF($A$2:A827,A827)=1,1,0)</f>
        <v/>
      </c>
      <c r="L827">
        <f>IF(K827=1,IF(COUNTIFS($B$2:B827,B827,$I$2:I827,I827,$K$2:K827,1)=1,1,0),0)</f>
        <v/>
      </c>
      <c r="M827">
        <f>IF(Tree!$C$4="once per order",F827*K827,F827)</f>
        <v/>
      </c>
      <c r="N827">
        <f>IF(Tree!$C$4="once per order",K827,1)</f>
        <v/>
      </c>
      <c r="O827">
        <f>IF(Tree!$C$4="once per order",L827,1)</f>
        <v/>
      </c>
    </row>
    <row r="828">
      <c r="A828" t="inlineStr">
        <is>
          <t>KR-00575</t>
        </is>
      </c>
      <c r="B828" t="inlineStr">
        <is>
          <t>C-0336</t>
        </is>
      </c>
      <c r="C828" t="inlineStr">
        <is>
          <t>Student</t>
        </is>
      </c>
      <c r="D828" t="inlineStr">
        <is>
          <t>store</t>
        </is>
      </c>
      <c r="E828" s="7" t="n">
        <v>46208</v>
      </c>
      <c r="F828" t="n">
        <v>1100</v>
      </c>
      <c r="G828" t="n">
        <v>1100</v>
      </c>
      <c r="H828" t="inlineStr">
        <is>
          <t>2026-07-07</t>
        </is>
      </c>
      <c r="I828">
        <f>IF(MONTH(E828)&lt;=6,"Q1","Q2")</f>
        <v/>
      </c>
      <c r="J828">
        <f>YEAR(E828)*100+MONTH(E828)</f>
        <v/>
      </c>
      <c r="K828">
        <f>IF(COUNTIF($A$2:A828,A828)=1,1,0)</f>
        <v/>
      </c>
      <c r="L828">
        <f>IF(K828=1,IF(COUNTIFS($B$2:B828,B828,$I$2:I828,I828,$K$2:K828,1)=1,1,0),0)</f>
        <v/>
      </c>
      <c r="M828">
        <f>IF(Tree!$C$4="once per order",F828*K828,F828)</f>
        <v/>
      </c>
      <c r="N828">
        <f>IF(Tree!$C$4="once per order",K828,1)</f>
        <v/>
      </c>
      <c r="O828">
        <f>IF(Tree!$C$4="once per order",L828,1)</f>
        <v/>
      </c>
    </row>
    <row r="829">
      <c r="A829" t="inlineStr">
        <is>
          <t>KR-00576</t>
        </is>
      </c>
      <c r="B829" t="inlineStr">
        <is>
          <t>C-0337</t>
        </is>
      </c>
      <c r="C829" t="inlineStr">
        <is>
          <t>Student</t>
        </is>
      </c>
      <c r="D829" t="inlineStr">
        <is>
          <t>store</t>
        </is>
      </c>
      <c r="E829" s="7" t="n">
        <v>46238</v>
      </c>
      <c r="F829" t="n">
        <v>1390</v>
      </c>
      <c r="G829" t="n">
        <v>1390</v>
      </c>
      <c r="H829" t="inlineStr">
        <is>
          <t>2026-08-06</t>
        </is>
      </c>
      <c r="I829">
        <f>IF(MONTH(E829)&lt;=6,"Q1","Q2")</f>
        <v/>
      </c>
      <c r="J829">
        <f>YEAR(E829)*100+MONTH(E829)</f>
        <v/>
      </c>
      <c r="K829">
        <f>IF(COUNTIF($A$2:A829,A829)=1,1,0)</f>
        <v/>
      </c>
      <c r="L829">
        <f>IF(K829=1,IF(COUNTIFS($B$2:B829,B829,$I$2:I829,I829,$K$2:K829,1)=1,1,0),0)</f>
        <v/>
      </c>
      <c r="M829">
        <f>IF(Tree!$C$4="once per order",F829*K829,F829)</f>
        <v/>
      </c>
      <c r="N829">
        <f>IF(Tree!$C$4="once per order",K829,1)</f>
        <v/>
      </c>
      <c r="O829">
        <f>IF(Tree!$C$4="once per order",L829,1)</f>
        <v/>
      </c>
    </row>
    <row r="830">
      <c r="A830" t="inlineStr">
        <is>
          <t>KR-00577</t>
        </is>
      </c>
      <c r="B830" t="inlineStr">
        <is>
          <t>C-0278</t>
        </is>
      </c>
      <c r="C830" t="inlineStr">
        <is>
          <t>Business</t>
        </is>
      </c>
      <c r="D830" t="inlineStr">
        <is>
          <t>store</t>
        </is>
      </c>
      <c r="E830" s="7" t="n">
        <v>46224</v>
      </c>
      <c r="F830" t="n">
        <v>927000</v>
      </c>
      <c r="G830" t="n">
        <v>0</v>
      </c>
      <c r="H830" t="inlineStr"/>
      <c r="I830">
        <f>IF(MONTH(E830)&lt;=6,"Q1","Q2")</f>
        <v/>
      </c>
      <c r="J830">
        <f>YEAR(E830)*100+MONTH(E830)</f>
        <v/>
      </c>
      <c r="K830">
        <f>IF(COUNTIF($A$2:A830,A830)=1,1,0)</f>
        <v/>
      </c>
      <c r="L830">
        <f>IF(K830=1,IF(COUNTIFS($B$2:B830,B830,$I$2:I830,I830,$K$2:K830,1)=1,1,0),0)</f>
        <v/>
      </c>
      <c r="M830">
        <f>IF(Tree!$C$4="once per order",F830*K830,F830)</f>
        <v/>
      </c>
      <c r="N830">
        <f>IF(Tree!$C$4="once per order",K830,1)</f>
        <v/>
      </c>
      <c r="O830">
        <f>IF(Tree!$C$4="once per order",L830,1)</f>
        <v/>
      </c>
    </row>
    <row r="831">
      <c r="A831" t="inlineStr">
        <is>
          <t>KR-00578</t>
        </is>
      </c>
      <c r="B831" t="inlineStr">
        <is>
          <t>C-0273</t>
        </is>
      </c>
      <c r="C831" t="inlineStr">
        <is>
          <t>Business</t>
        </is>
      </c>
      <c r="D831" t="inlineStr">
        <is>
          <t>app</t>
        </is>
      </c>
      <c r="E831" s="7" t="n">
        <v>46254</v>
      </c>
      <c r="F831" t="n">
        <v>950000</v>
      </c>
      <c r="G831" t="n">
        <v>570000</v>
      </c>
      <c r="H831" t="inlineStr">
        <is>
          <t>2026-08-22</t>
        </is>
      </c>
      <c r="I831">
        <f>IF(MONTH(E831)&lt;=6,"Q1","Q2")</f>
        <v/>
      </c>
      <c r="J831">
        <f>YEAR(E831)*100+MONTH(E831)</f>
        <v/>
      </c>
      <c r="K831">
        <f>IF(COUNTIF($A$2:A831,A831)=1,1,0)</f>
        <v/>
      </c>
      <c r="L831">
        <f>IF(K831=1,IF(COUNTIFS($B$2:B831,B831,$I$2:I831,I831,$K$2:K831,1)=1,1,0),0)</f>
        <v/>
      </c>
      <c r="M831">
        <f>IF(Tree!$C$4="once per order",F831*K831,F831)</f>
        <v/>
      </c>
      <c r="N831">
        <f>IF(Tree!$C$4="once per order",K831,1)</f>
        <v/>
      </c>
      <c r="O831">
        <f>IF(Tree!$C$4="once per order",L831,1)</f>
        <v/>
      </c>
    </row>
    <row r="832">
      <c r="A832" t="inlineStr">
        <is>
          <t>KR-00578</t>
        </is>
      </c>
      <c r="B832" t="inlineStr">
        <is>
          <t>C-0273</t>
        </is>
      </c>
      <c r="C832" t="inlineStr">
        <is>
          <t>Business</t>
        </is>
      </c>
      <c r="D832" t="inlineStr">
        <is>
          <t>app</t>
        </is>
      </c>
      <c r="E832" s="7" t="n">
        <v>46254</v>
      </c>
      <c r="F832" t="n">
        <v>950000</v>
      </c>
      <c r="G832" t="n">
        <v>380000</v>
      </c>
      <c r="H832" t="inlineStr">
        <is>
          <t>2026-08-22</t>
        </is>
      </c>
      <c r="I832">
        <f>IF(MONTH(E832)&lt;=6,"Q1","Q2")</f>
        <v/>
      </c>
      <c r="J832">
        <f>YEAR(E832)*100+MONTH(E832)</f>
        <v/>
      </c>
      <c r="K832">
        <f>IF(COUNTIF($A$2:A832,A832)=1,1,0)</f>
        <v/>
      </c>
      <c r="L832">
        <f>IF(K832=1,IF(COUNTIFS($B$2:B832,B832,$I$2:I832,I832,$K$2:K832,1)=1,1,0),0)</f>
        <v/>
      </c>
      <c r="M832">
        <f>IF(Tree!$C$4="once per order",F832*K832,F832)</f>
        <v/>
      </c>
      <c r="N832">
        <f>IF(Tree!$C$4="once per order",K832,1)</f>
        <v/>
      </c>
      <c r="O832">
        <f>IF(Tree!$C$4="once per order",L832,1)</f>
        <v/>
      </c>
    </row>
    <row r="833">
      <c r="A833" t="inlineStr">
        <is>
          <t>KR-00579</t>
        </is>
      </c>
      <c r="B833" t="inlineStr">
        <is>
          <t>C-0310</t>
        </is>
      </c>
      <c r="C833" t="inlineStr">
        <is>
          <t>Business</t>
        </is>
      </c>
      <c r="D833" t="inlineStr">
        <is>
          <t>app</t>
        </is>
      </c>
      <c r="E833" s="7" t="n">
        <v>46278</v>
      </c>
      <c r="F833" t="n">
        <v>750000</v>
      </c>
      <c r="G833" t="n">
        <v>450000</v>
      </c>
      <c r="H833" t="inlineStr">
        <is>
          <t>2026-09-15</t>
        </is>
      </c>
      <c r="I833">
        <f>IF(MONTH(E833)&lt;=6,"Q1","Q2")</f>
        <v/>
      </c>
      <c r="J833">
        <f>YEAR(E833)*100+MONTH(E833)</f>
        <v/>
      </c>
      <c r="K833">
        <f>IF(COUNTIF($A$2:A833,A833)=1,1,0)</f>
        <v/>
      </c>
      <c r="L833">
        <f>IF(K833=1,IF(COUNTIFS($B$2:B833,B833,$I$2:I833,I833,$K$2:K833,1)=1,1,0),0)</f>
        <v/>
      </c>
      <c r="M833">
        <f>IF(Tree!$C$4="once per order",F833*K833,F833)</f>
        <v/>
      </c>
      <c r="N833">
        <f>IF(Tree!$C$4="once per order",K833,1)</f>
        <v/>
      </c>
      <c r="O833">
        <f>IF(Tree!$C$4="once per order",L833,1)</f>
        <v/>
      </c>
    </row>
    <row r="834">
      <c r="A834" t="inlineStr">
        <is>
          <t>KR-00579</t>
        </is>
      </c>
      <c r="B834" t="inlineStr">
        <is>
          <t>C-0310</t>
        </is>
      </c>
      <c r="C834" t="inlineStr">
        <is>
          <t>Business</t>
        </is>
      </c>
      <c r="D834" t="inlineStr">
        <is>
          <t>app</t>
        </is>
      </c>
      <c r="E834" s="7" t="n">
        <v>46278</v>
      </c>
      <c r="F834" t="n">
        <v>750000</v>
      </c>
      <c r="G834" t="n">
        <v>300000</v>
      </c>
      <c r="H834" t="inlineStr">
        <is>
          <t>2026-09-15</t>
        </is>
      </c>
      <c r="I834">
        <f>IF(MONTH(E834)&lt;=6,"Q1","Q2")</f>
        <v/>
      </c>
      <c r="J834">
        <f>YEAR(E834)*100+MONTH(E834)</f>
        <v/>
      </c>
      <c r="K834">
        <f>IF(COUNTIF($A$2:A834,A834)=1,1,0)</f>
        <v/>
      </c>
      <c r="L834">
        <f>IF(K834=1,IF(COUNTIFS($B$2:B834,B834,$I$2:I834,I834,$K$2:K834,1)=1,1,0),0)</f>
        <v/>
      </c>
      <c r="M834">
        <f>IF(Tree!$C$4="once per order",F834*K834,F834)</f>
        <v/>
      </c>
      <c r="N834">
        <f>IF(Tree!$C$4="once per order",K834,1)</f>
        <v/>
      </c>
      <c r="O834">
        <f>IF(Tree!$C$4="once per order",L834,1)</f>
        <v/>
      </c>
    </row>
    <row r="835">
      <c r="A835" t="inlineStr">
        <is>
          <t>KR-00580</t>
        </is>
      </c>
      <c r="B835" t="inlineStr">
        <is>
          <t>C-0274</t>
        </is>
      </c>
      <c r="C835" t="inlineStr">
        <is>
          <t>Business</t>
        </is>
      </c>
      <c r="D835" t="inlineStr">
        <is>
          <t>store</t>
        </is>
      </c>
      <c r="E835" s="7" t="n">
        <v>46225</v>
      </c>
      <c r="F835" t="n">
        <v>855000</v>
      </c>
      <c r="G835" t="n">
        <v>513000</v>
      </c>
      <c r="H835" t="inlineStr">
        <is>
          <t>2026-07-24</t>
        </is>
      </c>
      <c r="I835">
        <f>IF(MONTH(E835)&lt;=6,"Q1","Q2")</f>
        <v/>
      </c>
      <c r="J835">
        <f>YEAR(E835)*100+MONTH(E835)</f>
        <v/>
      </c>
      <c r="K835">
        <f>IF(COUNTIF($A$2:A835,A835)=1,1,0)</f>
        <v/>
      </c>
      <c r="L835">
        <f>IF(K835=1,IF(COUNTIFS($B$2:B835,B835,$I$2:I835,I835,$K$2:K835,1)=1,1,0),0)</f>
        <v/>
      </c>
      <c r="M835">
        <f>IF(Tree!$C$4="once per order",F835*K835,F835)</f>
        <v/>
      </c>
      <c r="N835">
        <f>IF(Tree!$C$4="once per order",K835,1)</f>
        <v/>
      </c>
      <c r="O835">
        <f>IF(Tree!$C$4="once per order",L835,1)</f>
        <v/>
      </c>
    </row>
    <row r="836">
      <c r="A836" t="inlineStr">
        <is>
          <t>KR-00580</t>
        </is>
      </c>
      <c r="B836" t="inlineStr">
        <is>
          <t>C-0274</t>
        </is>
      </c>
      <c r="C836" t="inlineStr">
        <is>
          <t>Business</t>
        </is>
      </c>
      <c r="D836" t="inlineStr">
        <is>
          <t>store</t>
        </is>
      </c>
      <c r="E836" s="7" t="n">
        <v>46225</v>
      </c>
      <c r="F836" t="n">
        <v>855000</v>
      </c>
      <c r="G836" t="n">
        <v>342000</v>
      </c>
      <c r="H836" t="inlineStr">
        <is>
          <t>2026-07-24</t>
        </is>
      </c>
      <c r="I836">
        <f>IF(MONTH(E836)&lt;=6,"Q1","Q2")</f>
        <v/>
      </c>
      <c r="J836">
        <f>YEAR(E836)*100+MONTH(E836)</f>
        <v/>
      </c>
      <c r="K836">
        <f>IF(COUNTIF($A$2:A836,A836)=1,1,0)</f>
        <v/>
      </c>
      <c r="L836">
        <f>IF(K836=1,IF(COUNTIFS($B$2:B836,B836,$I$2:I836,I836,$K$2:K836,1)=1,1,0),0)</f>
        <v/>
      </c>
      <c r="M836">
        <f>IF(Tree!$C$4="once per order",F836*K836,F836)</f>
        <v/>
      </c>
      <c r="N836">
        <f>IF(Tree!$C$4="once per order",K836,1)</f>
        <v/>
      </c>
      <c r="O836">
        <f>IF(Tree!$C$4="once per order",L836,1)</f>
        <v/>
      </c>
    </row>
    <row r="837">
      <c r="A837" t="inlineStr">
        <is>
          <t>KR-00581</t>
        </is>
      </c>
      <c r="B837" t="inlineStr">
        <is>
          <t>C-0276</t>
        </is>
      </c>
      <c r="C837" t="inlineStr">
        <is>
          <t>Business</t>
        </is>
      </c>
      <c r="D837" t="inlineStr">
        <is>
          <t>store</t>
        </is>
      </c>
      <c r="E837" s="7" t="n">
        <v>46254</v>
      </c>
      <c r="F837" t="n">
        <v>1170000</v>
      </c>
      <c r="G837" t="n">
        <v>702000</v>
      </c>
      <c r="H837" t="inlineStr">
        <is>
          <t>2026-08-22</t>
        </is>
      </c>
      <c r="I837">
        <f>IF(MONTH(E837)&lt;=6,"Q1","Q2")</f>
        <v/>
      </c>
      <c r="J837">
        <f>YEAR(E837)*100+MONTH(E837)</f>
        <v/>
      </c>
      <c r="K837">
        <f>IF(COUNTIF($A$2:A837,A837)=1,1,0)</f>
        <v/>
      </c>
      <c r="L837">
        <f>IF(K837=1,IF(COUNTIFS($B$2:B837,B837,$I$2:I837,I837,$K$2:K837,1)=1,1,0),0)</f>
        <v/>
      </c>
      <c r="M837">
        <f>IF(Tree!$C$4="once per order",F837*K837,F837)</f>
        <v/>
      </c>
      <c r="N837">
        <f>IF(Tree!$C$4="once per order",K837,1)</f>
        <v/>
      </c>
      <c r="O837">
        <f>IF(Tree!$C$4="once per order",L837,1)</f>
        <v/>
      </c>
    </row>
    <row r="838">
      <c r="A838" t="inlineStr">
        <is>
          <t>KR-00581</t>
        </is>
      </c>
      <c r="B838" t="inlineStr">
        <is>
          <t>C-0276</t>
        </is>
      </c>
      <c r="C838" t="inlineStr">
        <is>
          <t>Business</t>
        </is>
      </c>
      <c r="D838" t="inlineStr">
        <is>
          <t>store</t>
        </is>
      </c>
      <c r="E838" s="7" t="n">
        <v>46254</v>
      </c>
      <c r="F838" t="n">
        <v>1170000</v>
      </c>
      <c r="G838" t="n">
        <v>468000</v>
      </c>
      <c r="H838" t="inlineStr">
        <is>
          <t>2026-08-22</t>
        </is>
      </c>
      <c r="I838">
        <f>IF(MONTH(E838)&lt;=6,"Q1","Q2")</f>
        <v/>
      </c>
      <c r="J838">
        <f>YEAR(E838)*100+MONTH(E838)</f>
        <v/>
      </c>
      <c r="K838">
        <f>IF(COUNTIF($A$2:A838,A838)=1,1,0)</f>
        <v/>
      </c>
      <c r="L838">
        <f>IF(K838=1,IF(COUNTIFS($B$2:B838,B838,$I$2:I838,I838,$K$2:K838,1)=1,1,0),0)</f>
        <v/>
      </c>
      <c r="M838">
        <f>IF(Tree!$C$4="once per order",F838*K838,F838)</f>
        <v/>
      </c>
      <c r="N838">
        <f>IF(Tree!$C$4="once per order",K838,1)</f>
        <v/>
      </c>
      <c r="O838">
        <f>IF(Tree!$C$4="once per order",L838,1)</f>
        <v/>
      </c>
    </row>
    <row r="839">
      <c r="A839" t="inlineStr">
        <is>
          <t>KR-00582</t>
        </is>
      </c>
      <c r="B839" t="inlineStr">
        <is>
          <t>C-0289</t>
        </is>
      </c>
      <c r="C839" t="inlineStr">
        <is>
          <t>Business</t>
        </is>
      </c>
      <c r="D839" t="inlineStr">
        <is>
          <t>web</t>
        </is>
      </c>
      <c r="E839" s="7" t="n">
        <v>46286</v>
      </c>
      <c r="F839" t="n">
        <v>770000</v>
      </c>
      <c r="G839" t="n">
        <v>0</v>
      </c>
      <c r="H839" t="inlineStr"/>
      <c r="I839">
        <f>IF(MONTH(E839)&lt;=6,"Q1","Q2")</f>
        <v/>
      </c>
      <c r="J839">
        <f>YEAR(E839)*100+MONTH(E839)</f>
        <v/>
      </c>
      <c r="K839">
        <f>IF(COUNTIF($A$2:A839,A839)=1,1,0)</f>
        <v/>
      </c>
      <c r="L839">
        <f>IF(K839=1,IF(COUNTIFS($B$2:B839,B839,$I$2:I839,I839,$K$2:K839,1)=1,1,0),0)</f>
        <v/>
      </c>
      <c r="M839">
        <f>IF(Tree!$C$4="once per order",F839*K839,F839)</f>
        <v/>
      </c>
      <c r="N839">
        <f>IF(Tree!$C$4="once per order",K839,1)</f>
        <v/>
      </c>
      <c r="O839">
        <f>IF(Tree!$C$4="once per order",L839,1)</f>
        <v/>
      </c>
    </row>
    <row r="840">
      <c r="A840" t="inlineStr">
        <is>
          <t>KR-00583</t>
        </is>
      </c>
      <c r="B840" t="inlineStr">
        <is>
          <t>C-0280</t>
        </is>
      </c>
      <c r="C840" t="inlineStr">
        <is>
          <t>Business</t>
        </is>
      </c>
      <c r="D840" t="inlineStr">
        <is>
          <t>store</t>
        </is>
      </c>
      <c r="E840" s="7" t="n">
        <v>46219</v>
      </c>
      <c r="F840" t="n">
        <v>376000</v>
      </c>
      <c r="G840" t="n">
        <v>225600</v>
      </c>
      <c r="H840" t="inlineStr">
        <is>
          <t>2026-07-18</t>
        </is>
      </c>
      <c r="I840">
        <f>IF(MONTH(E840)&lt;=6,"Q1","Q2")</f>
        <v/>
      </c>
      <c r="J840">
        <f>YEAR(E840)*100+MONTH(E840)</f>
        <v/>
      </c>
      <c r="K840">
        <f>IF(COUNTIF($A$2:A840,A840)=1,1,0)</f>
        <v/>
      </c>
      <c r="L840">
        <f>IF(K840=1,IF(COUNTIFS($B$2:B840,B840,$I$2:I840,I840,$K$2:K840,1)=1,1,0),0)</f>
        <v/>
      </c>
      <c r="M840">
        <f>IF(Tree!$C$4="once per order",F840*K840,F840)</f>
        <v/>
      </c>
      <c r="N840">
        <f>IF(Tree!$C$4="once per order",K840,1)</f>
        <v/>
      </c>
      <c r="O840">
        <f>IF(Tree!$C$4="once per order",L840,1)</f>
        <v/>
      </c>
    </row>
    <row r="841">
      <c r="A841" t="inlineStr">
        <is>
          <t>KR-00583</t>
        </is>
      </c>
      <c r="B841" t="inlineStr">
        <is>
          <t>C-0280</t>
        </is>
      </c>
      <c r="C841" t="inlineStr">
        <is>
          <t>Business</t>
        </is>
      </c>
      <c r="D841" t="inlineStr">
        <is>
          <t>store</t>
        </is>
      </c>
      <c r="E841" s="7" t="n">
        <v>46219</v>
      </c>
      <c r="F841" t="n">
        <v>376000</v>
      </c>
      <c r="G841" t="n">
        <v>150400</v>
      </c>
      <c r="H841" t="inlineStr">
        <is>
          <t>2026-07-18</t>
        </is>
      </c>
      <c r="I841">
        <f>IF(MONTH(E841)&lt;=6,"Q1","Q2")</f>
        <v/>
      </c>
      <c r="J841">
        <f>YEAR(E841)*100+MONTH(E841)</f>
        <v/>
      </c>
      <c r="K841">
        <f>IF(COUNTIF($A$2:A841,A841)=1,1,0)</f>
        <v/>
      </c>
      <c r="L841">
        <f>IF(K841=1,IF(COUNTIFS($B$2:B841,B841,$I$2:I841,I841,$K$2:K841,1)=1,1,0),0)</f>
        <v/>
      </c>
      <c r="M841">
        <f>IF(Tree!$C$4="once per order",F841*K841,F841)</f>
        <v/>
      </c>
      <c r="N841">
        <f>IF(Tree!$C$4="once per order",K841,1)</f>
        <v/>
      </c>
      <c r="O841">
        <f>IF(Tree!$C$4="once per order",L841,1)</f>
        <v/>
      </c>
    </row>
    <row r="842">
      <c r="A842" t="inlineStr">
        <is>
          <t>KR-00584</t>
        </is>
      </c>
      <c r="B842" t="inlineStr">
        <is>
          <t>C-0310</t>
        </is>
      </c>
      <c r="C842" t="inlineStr">
        <is>
          <t>Business</t>
        </is>
      </c>
      <c r="D842" t="inlineStr">
        <is>
          <t>app</t>
        </is>
      </c>
      <c r="E842" s="7" t="n">
        <v>46262</v>
      </c>
      <c r="F842" t="n">
        <v>792000</v>
      </c>
      <c r="G842" t="n">
        <v>475200</v>
      </c>
      <c r="H842" t="inlineStr">
        <is>
          <t>2026-08-28</t>
        </is>
      </c>
      <c r="I842">
        <f>IF(MONTH(E842)&lt;=6,"Q1","Q2")</f>
        <v/>
      </c>
      <c r="J842">
        <f>YEAR(E842)*100+MONTH(E842)</f>
        <v/>
      </c>
      <c r="K842">
        <f>IF(COUNTIF($A$2:A842,A842)=1,1,0)</f>
        <v/>
      </c>
      <c r="L842">
        <f>IF(K842=1,IF(COUNTIFS($B$2:B842,B842,$I$2:I842,I842,$K$2:K842,1)=1,1,0),0)</f>
        <v/>
      </c>
      <c r="M842">
        <f>IF(Tree!$C$4="once per order",F842*K842,F842)</f>
        <v/>
      </c>
      <c r="N842">
        <f>IF(Tree!$C$4="once per order",K842,1)</f>
        <v/>
      </c>
      <c r="O842">
        <f>IF(Tree!$C$4="once per order",L842,1)</f>
        <v/>
      </c>
    </row>
    <row r="843">
      <c r="A843" t="inlineStr">
        <is>
          <t>KR-00584</t>
        </is>
      </c>
      <c r="B843" t="inlineStr">
        <is>
          <t>C-0310</t>
        </is>
      </c>
      <c r="C843" t="inlineStr">
        <is>
          <t>Business</t>
        </is>
      </c>
      <c r="D843" t="inlineStr">
        <is>
          <t>app</t>
        </is>
      </c>
      <c r="E843" s="7" t="n">
        <v>46262</v>
      </c>
      <c r="F843" t="n">
        <v>792000</v>
      </c>
      <c r="G843" t="n">
        <v>316800</v>
      </c>
      <c r="H843" t="inlineStr">
        <is>
          <t>2026-08-28</t>
        </is>
      </c>
      <c r="I843">
        <f>IF(MONTH(E843)&lt;=6,"Q1","Q2")</f>
        <v/>
      </c>
      <c r="J843">
        <f>YEAR(E843)*100+MONTH(E843)</f>
        <v/>
      </c>
      <c r="K843">
        <f>IF(COUNTIF($A$2:A843,A843)=1,1,0)</f>
        <v/>
      </c>
      <c r="L843">
        <f>IF(K843=1,IF(COUNTIFS($B$2:B843,B843,$I$2:I843,I843,$K$2:K843,1)=1,1,0),0)</f>
        <v/>
      </c>
      <c r="M843">
        <f>IF(Tree!$C$4="once per order",F843*K843,F843)</f>
        <v/>
      </c>
      <c r="N843">
        <f>IF(Tree!$C$4="once per order",K843,1)</f>
        <v/>
      </c>
      <c r="O843">
        <f>IF(Tree!$C$4="once per order",L843,1)</f>
        <v/>
      </c>
    </row>
    <row r="844">
      <c r="A844" t="inlineStr">
        <is>
          <t>KR-00585</t>
        </is>
      </c>
      <c r="B844" t="inlineStr">
        <is>
          <t>C-0289</t>
        </is>
      </c>
      <c r="C844" t="inlineStr">
        <is>
          <t>Business</t>
        </is>
      </c>
      <c r="D844" t="inlineStr">
        <is>
          <t>app</t>
        </is>
      </c>
      <c r="E844" s="7" t="n">
        <v>46280</v>
      </c>
      <c r="F844" t="n">
        <v>1228000</v>
      </c>
      <c r="G844" t="n">
        <v>736800</v>
      </c>
      <c r="H844" t="inlineStr">
        <is>
          <t>2026-09-17</t>
        </is>
      </c>
      <c r="I844">
        <f>IF(MONTH(E844)&lt;=6,"Q1","Q2")</f>
        <v/>
      </c>
      <c r="J844">
        <f>YEAR(E844)*100+MONTH(E844)</f>
        <v/>
      </c>
      <c r="K844">
        <f>IF(COUNTIF($A$2:A844,A844)=1,1,0)</f>
        <v/>
      </c>
      <c r="L844">
        <f>IF(K844=1,IF(COUNTIFS($B$2:B844,B844,$I$2:I844,I844,$K$2:K844,1)=1,1,0),0)</f>
        <v/>
      </c>
      <c r="M844">
        <f>IF(Tree!$C$4="once per order",F844*K844,F844)</f>
        <v/>
      </c>
      <c r="N844">
        <f>IF(Tree!$C$4="once per order",K844,1)</f>
        <v/>
      </c>
      <c r="O844">
        <f>IF(Tree!$C$4="once per order",L844,1)</f>
        <v/>
      </c>
    </row>
    <row r="845">
      <c r="A845" t="inlineStr">
        <is>
          <t>KR-00585</t>
        </is>
      </c>
      <c r="B845" t="inlineStr">
        <is>
          <t>C-0289</t>
        </is>
      </c>
      <c r="C845" t="inlineStr">
        <is>
          <t>Business</t>
        </is>
      </c>
      <c r="D845" t="inlineStr">
        <is>
          <t>app</t>
        </is>
      </c>
      <c r="E845" s="7" t="n">
        <v>46280</v>
      </c>
      <c r="F845" t="n">
        <v>1228000</v>
      </c>
      <c r="G845" t="n">
        <v>491200</v>
      </c>
      <c r="H845" t="inlineStr">
        <is>
          <t>2026-09-17</t>
        </is>
      </c>
      <c r="I845">
        <f>IF(MONTH(E845)&lt;=6,"Q1","Q2")</f>
        <v/>
      </c>
      <c r="J845">
        <f>YEAR(E845)*100+MONTH(E845)</f>
        <v/>
      </c>
      <c r="K845">
        <f>IF(COUNTIF($A$2:A845,A845)=1,1,0)</f>
        <v/>
      </c>
      <c r="L845">
        <f>IF(K845=1,IF(COUNTIFS($B$2:B845,B845,$I$2:I845,I845,$K$2:K845,1)=1,1,0),0)</f>
        <v/>
      </c>
      <c r="M845">
        <f>IF(Tree!$C$4="once per order",F845*K845,F845)</f>
        <v/>
      </c>
      <c r="N845">
        <f>IF(Tree!$C$4="once per order",K845,1)</f>
        <v/>
      </c>
      <c r="O845">
        <f>IF(Tree!$C$4="once per order",L845,1)</f>
        <v/>
      </c>
    </row>
    <row r="846">
      <c r="A846" t="inlineStr">
        <is>
          <t>KR-00586</t>
        </is>
      </c>
      <c r="B846" t="inlineStr">
        <is>
          <t>C-0293</t>
        </is>
      </c>
      <c r="C846" t="inlineStr">
        <is>
          <t>Business</t>
        </is>
      </c>
      <c r="D846" t="inlineStr">
        <is>
          <t>app</t>
        </is>
      </c>
      <c r="E846" s="7" t="n">
        <v>46228</v>
      </c>
      <c r="F846" t="n">
        <v>604000</v>
      </c>
      <c r="G846" t="n">
        <v>362400</v>
      </c>
      <c r="H846" t="inlineStr">
        <is>
          <t>2026-07-27</t>
        </is>
      </c>
      <c r="I846">
        <f>IF(MONTH(E846)&lt;=6,"Q1","Q2")</f>
        <v/>
      </c>
      <c r="J846">
        <f>YEAR(E846)*100+MONTH(E846)</f>
        <v/>
      </c>
      <c r="K846">
        <f>IF(COUNTIF($A$2:A846,A846)=1,1,0)</f>
        <v/>
      </c>
      <c r="L846">
        <f>IF(K846=1,IF(COUNTIFS($B$2:B846,B846,$I$2:I846,I846,$K$2:K846,1)=1,1,0),0)</f>
        <v/>
      </c>
      <c r="M846">
        <f>IF(Tree!$C$4="once per order",F846*K846,F846)</f>
        <v/>
      </c>
      <c r="N846">
        <f>IF(Tree!$C$4="once per order",K846,1)</f>
        <v/>
      </c>
      <c r="O846">
        <f>IF(Tree!$C$4="once per order",L846,1)</f>
        <v/>
      </c>
    </row>
    <row r="847">
      <c r="A847" t="inlineStr">
        <is>
          <t>KR-00586</t>
        </is>
      </c>
      <c r="B847" t="inlineStr">
        <is>
          <t>C-0293</t>
        </is>
      </c>
      <c r="C847" t="inlineStr">
        <is>
          <t>Business</t>
        </is>
      </c>
      <c r="D847" t="inlineStr">
        <is>
          <t>app</t>
        </is>
      </c>
      <c r="E847" s="7" t="n">
        <v>46228</v>
      </c>
      <c r="F847" t="n">
        <v>604000</v>
      </c>
      <c r="G847" t="n">
        <v>241600</v>
      </c>
      <c r="H847" t="inlineStr">
        <is>
          <t>2026-07-27</t>
        </is>
      </c>
      <c r="I847">
        <f>IF(MONTH(E847)&lt;=6,"Q1","Q2")</f>
        <v/>
      </c>
      <c r="J847">
        <f>YEAR(E847)*100+MONTH(E847)</f>
        <v/>
      </c>
      <c r="K847">
        <f>IF(COUNTIF($A$2:A847,A847)=1,1,0)</f>
        <v/>
      </c>
      <c r="L847">
        <f>IF(K847=1,IF(COUNTIFS($B$2:B847,B847,$I$2:I847,I847,$K$2:K847,1)=1,1,0),0)</f>
        <v/>
      </c>
      <c r="M847">
        <f>IF(Tree!$C$4="once per order",F847*K847,F847)</f>
        <v/>
      </c>
      <c r="N847">
        <f>IF(Tree!$C$4="once per order",K847,1)</f>
        <v/>
      </c>
      <c r="O847">
        <f>IF(Tree!$C$4="once per order",L847,1)</f>
        <v/>
      </c>
    </row>
    <row r="848">
      <c r="A848" t="inlineStr">
        <is>
          <t>KR-00587</t>
        </is>
      </c>
      <c r="B848" t="inlineStr">
        <is>
          <t>C-0271</t>
        </is>
      </c>
      <c r="C848" t="inlineStr">
        <is>
          <t>Business</t>
        </is>
      </c>
      <c r="D848" t="inlineStr">
        <is>
          <t>store</t>
        </is>
      </c>
      <c r="E848" s="7" t="n">
        <v>46259</v>
      </c>
      <c r="F848" t="n">
        <v>1310000</v>
      </c>
      <c r="G848" t="n">
        <v>786000</v>
      </c>
      <c r="H848" t="inlineStr">
        <is>
          <t>2026-08-27</t>
        </is>
      </c>
      <c r="I848">
        <f>IF(MONTH(E848)&lt;=6,"Q1","Q2")</f>
        <v/>
      </c>
      <c r="J848">
        <f>YEAR(E848)*100+MONTH(E848)</f>
        <v/>
      </c>
      <c r="K848">
        <f>IF(COUNTIF($A$2:A848,A848)=1,1,0)</f>
        <v/>
      </c>
      <c r="L848">
        <f>IF(K848=1,IF(COUNTIFS($B$2:B848,B848,$I$2:I848,I848,$K$2:K848,1)=1,1,0),0)</f>
        <v/>
      </c>
      <c r="M848">
        <f>IF(Tree!$C$4="once per order",F848*K848,F848)</f>
        <v/>
      </c>
      <c r="N848">
        <f>IF(Tree!$C$4="once per order",K848,1)</f>
        <v/>
      </c>
      <c r="O848">
        <f>IF(Tree!$C$4="once per order",L848,1)</f>
        <v/>
      </c>
    </row>
    <row r="849">
      <c r="A849" t="inlineStr">
        <is>
          <t>KR-00587</t>
        </is>
      </c>
      <c r="B849" t="inlineStr">
        <is>
          <t>C-0271</t>
        </is>
      </c>
      <c r="C849" t="inlineStr">
        <is>
          <t>Business</t>
        </is>
      </c>
      <c r="D849" t="inlineStr">
        <is>
          <t>store</t>
        </is>
      </c>
      <c r="E849" s="7" t="n">
        <v>46259</v>
      </c>
      <c r="F849" t="n">
        <v>1310000</v>
      </c>
      <c r="G849" t="n">
        <v>524000</v>
      </c>
      <c r="H849" t="inlineStr">
        <is>
          <t>2026-08-27</t>
        </is>
      </c>
      <c r="I849">
        <f>IF(MONTH(E849)&lt;=6,"Q1","Q2")</f>
        <v/>
      </c>
      <c r="J849">
        <f>YEAR(E849)*100+MONTH(E849)</f>
        <v/>
      </c>
      <c r="K849">
        <f>IF(COUNTIF($A$2:A849,A849)=1,1,0)</f>
        <v/>
      </c>
      <c r="L849">
        <f>IF(K849=1,IF(COUNTIFS($B$2:B849,B849,$I$2:I849,I849,$K$2:K849,1)=1,1,0),0)</f>
        <v/>
      </c>
      <c r="M849">
        <f>IF(Tree!$C$4="once per order",F849*K849,F849)</f>
        <v/>
      </c>
      <c r="N849">
        <f>IF(Tree!$C$4="once per order",K849,1)</f>
        <v/>
      </c>
      <c r="O849">
        <f>IF(Tree!$C$4="once per order",L849,1)</f>
        <v/>
      </c>
    </row>
    <row r="850">
      <c r="A850" t="inlineStr">
        <is>
          <t>KR-00588</t>
        </is>
      </c>
      <c r="B850" t="inlineStr">
        <is>
          <t>C-0284</t>
        </is>
      </c>
      <c r="C850" t="inlineStr">
        <is>
          <t>Business</t>
        </is>
      </c>
      <c r="D850" t="inlineStr">
        <is>
          <t>store</t>
        </is>
      </c>
      <c r="E850" s="7" t="n">
        <v>46276</v>
      </c>
      <c r="F850" t="n">
        <v>831000</v>
      </c>
      <c r="G850" t="n">
        <v>498600</v>
      </c>
      <c r="H850" t="inlineStr">
        <is>
          <t>2026-09-13</t>
        </is>
      </c>
      <c r="I850">
        <f>IF(MONTH(E850)&lt;=6,"Q1","Q2")</f>
        <v/>
      </c>
      <c r="J850">
        <f>YEAR(E850)*100+MONTH(E850)</f>
        <v/>
      </c>
      <c r="K850">
        <f>IF(COUNTIF($A$2:A850,A850)=1,1,0)</f>
        <v/>
      </c>
      <c r="L850">
        <f>IF(K850=1,IF(COUNTIFS($B$2:B850,B850,$I$2:I850,I850,$K$2:K850,1)=1,1,0),0)</f>
        <v/>
      </c>
      <c r="M850">
        <f>IF(Tree!$C$4="once per order",F850*K850,F850)</f>
        <v/>
      </c>
      <c r="N850">
        <f>IF(Tree!$C$4="once per order",K850,1)</f>
        <v/>
      </c>
      <c r="O850">
        <f>IF(Tree!$C$4="once per order",L850,1)</f>
        <v/>
      </c>
    </row>
    <row r="851">
      <c r="A851" t="inlineStr">
        <is>
          <t>KR-00588</t>
        </is>
      </c>
      <c r="B851" t="inlineStr">
        <is>
          <t>C-0284</t>
        </is>
      </c>
      <c r="C851" t="inlineStr">
        <is>
          <t>Business</t>
        </is>
      </c>
      <c r="D851" t="inlineStr">
        <is>
          <t>store</t>
        </is>
      </c>
      <c r="E851" s="7" t="n">
        <v>46276</v>
      </c>
      <c r="F851" t="n">
        <v>831000</v>
      </c>
      <c r="G851" t="n">
        <v>332400</v>
      </c>
      <c r="H851" t="inlineStr">
        <is>
          <t>2026-09-13</t>
        </is>
      </c>
      <c r="I851">
        <f>IF(MONTH(E851)&lt;=6,"Q1","Q2")</f>
        <v/>
      </c>
      <c r="J851">
        <f>YEAR(E851)*100+MONTH(E851)</f>
        <v/>
      </c>
      <c r="K851">
        <f>IF(COUNTIF($A$2:A851,A851)=1,1,0)</f>
        <v/>
      </c>
      <c r="L851">
        <f>IF(K851=1,IF(COUNTIFS($B$2:B851,B851,$I$2:I851,I851,$K$2:K851,1)=1,1,0),0)</f>
        <v/>
      </c>
      <c r="M851">
        <f>IF(Tree!$C$4="once per order",F851*K851,F851)</f>
        <v/>
      </c>
      <c r="N851">
        <f>IF(Tree!$C$4="once per order",K851,1)</f>
        <v/>
      </c>
      <c r="O851">
        <f>IF(Tree!$C$4="once per order",L851,1)</f>
        <v/>
      </c>
    </row>
    <row r="852">
      <c r="A852" t="inlineStr">
        <is>
          <t>KR-00589</t>
        </is>
      </c>
      <c r="B852" t="inlineStr">
        <is>
          <t>C-0294</t>
        </is>
      </c>
      <c r="C852" t="inlineStr">
        <is>
          <t>Business</t>
        </is>
      </c>
      <c r="D852" t="inlineStr">
        <is>
          <t>store</t>
        </is>
      </c>
      <c r="E852" s="7" t="n">
        <v>46205</v>
      </c>
      <c r="F852" t="n">
        <v>1488000</v>
      </c>
      <c r="G852" t="n">
        <v>892800</v>
      </c>
      <c r="H852" t="inlineStr">
        <is>
          <t>2026-07-04</t>
        </is>
      </c>
      <c r="I852">
        <f>IF(MONTH(E852)&lt;=6,"Q1","Q2")</f>
        <v/>
      </c>
      <c r="J852">
        <f>YEAR(E852)*100+MONTH(E852)</f>
        <v/>
      </c>
      <c r="K852">
        <f>IF(COUNTIF($A$2:A852,A852)=1,1,0)</f>
        <v/>
      </c>
      <c r="L852">
        <f>IF(K852=1,IF(COUNTIFS($B$2:B852,B852,$I$2:I852,I852,$K$2:K852,1)=1,1,0),0)</f>
        <v/>
      </c>
      <c r="M852">
        <f>IF(Tree!$C$4="once per order",F852*K852,F852)</f>
        <v/>
      </c>
      <c r="N852">
        <f>IF(Tree!$C$4="once per order",K852,1)</f>
        <v/>
      </c>
      <c r="O852">
        <f>IF(Tree!$C$4="once per order",L852,1)</f>
        <v/>
      </c>
    </row>
    <row r="853">
      <c r="A853" t="inlineStr">
        <is>
          <t>KR-00589</t>
        </is>
      </c>
      <c r="B853" t="inlineStr">
        <is>
          <t>C-0294</t>
        </is>
      </c>
      <c r="C853" t="inlineStr">
        <is>
          <t>Business</t>
        </is>
      </c>
      <c r="D853" t="inlineStr">
        <is>
          <t>store</t>
        </is>
      </c>
      <c r="E853" s="7" t="n">
        <v>46205</v>
      </c>
      <c r="F853" t="n">
        <v>1488000</v>
      </c>
      <c r="G853" t="n">
        <v>595200</v>
      </c>
      <c r="H853" t="inlineStr">
        <is>
          <t>2026-07-04</t>
        </is>
      </c>
      <c r="I853">
        <f>IF(MONTH(E853)&lt;=6,"Q1","Q2")</f>
        <v/>
      </c>
      <c r="J853">
        <f>YEAR(E853)*100+MONTH(E853)</f>
        <v/>
      </c>
      <c r="K853">
        <f>IF(COUNTIF($A$2:A853,A853)=1,1,0)</f>
        <v/>
      </c>
      <c r="L853">
        <f>IF(K853=1,IF(COUNTIFS($B$2:B853,B853,$I$2:I853,I853,$K$2:K853,1)=1,1,0),0)</f>
        <v/>
      </c>
      <c r="M853">
        <f>IF(Tree!$C$4="once per order",F853*K853,F853)</f>
        <v/>
      </c>
      <c r="N853">
        <f>IF(Tree!$C$4="once per order",K853,1)</f>
        <v/>
      </c>
      <c r="O853">
        <f>IF(Tree!$C$4="once per order",L853,1)</f>
        <v/>
      </c>
    </row>
    <row r="854">
      <c r="A854" t="inlineStr">
        <is>
          <t>KR-00590</t>
        </is>
      </c>
      <c r="B854" t="inlineStr">
        <is>
          <t>C-0273</t>
        </is>
      </c>
      <c r="C854" t="inlineStr">
        <is>
          <t>Business</t>
        </is>
      </c>
      <c r="D854" t="inlineStr">
        <is>
          <t>app</t>
        </is>
      </c>
      <c r="E854" s="7" t="n">
        <v>46237</v>
      </c>
      <c r="F854" t="n">
        <v>1683000</v>
      </c>
      <c r="G854" t="n">
        <v>1009800</v>
      </c>
      <c r="H854" t="inlineStr">
        <is>
          <t>2026-08-05</t>
        </is>
      </c>
      <c r="I854">
        <f>IF(MONTH(E854)&lt;=6,"Q1","Q2")</f>
        <v/>
      </c>
      <c r="J854">
        <f>YEAR(E854)*100+MONTH(E854)</f>
        <v/>
      </c>
      <c r="K854">
        <f>IF(COUNTIF($A$2:A854,A854)=1,1,0)</f>
        <v/>
      </c>
      <c r="L854">
        <f>IF(K854=1,IF(COUNTIFS($B$2:B854,B854,$I$2:I854,I854,$K$2:K854,1)=1,1,0),0)</f>
        <v/>
      </c>
      <c r="M854">
        <f>IF(Tree!$C$4="once per order",F854*K854,F854)</f>
        <v/>
      </c>
      <c r="N854">
        <f>IF(Tree!$C$4="once per order",K854,1)</f>
        <v/>
      </c>
      <c r="O854">
        <f>IF(Tree!$C$4="once per order",L854,1)</f>
        <v/>
      </c>
    </row>
    <row r="855">
      <c r="A855" t="inlineStr">
        <is>
          <t>KR-00590</t>
        </is>
      </c>
      <c r="B855" t="inlineStr">
        <is>
          <t>C-0273</t>
        </is>
      </c>
      <c r="C855" t="inlineStr">
        <is>
          <t>Business</t>
        </is>
      </c>
      <c r="D855" t="inlineStr">
        <is>
          <t>app</t>
        </is>
      </c>
      <c r="E855" s="7" t="n">
        <v>46237</v>
      </c>
      <c r="F855" t="n">
        <v>1683000</v>
      </c>
      <c r="G855" t="n">
        <v>673200</v>
      </c>
      <c r="H855" t="inlineStr">
        <is>
          <t>2026-08-05</t>
        </is>
      </c>
      <c r="I855">
        <f>IF(MONTH(E855)&lt;=6,"Q1","Q2")</f>
        <v/>
      </c>
      <c r="J855">
        <f>YEAR(E855)*100+MONTH(E855)</f>
        <v/>
      </c>
      <c r="K855">
        <f>IF(COUNTIF($A$2:A855,A855)=1,1,0)</f>
        <v/>
      </c>
      <c r="L855">
        <f>IF(K855=1,IF(COUNTIFS($B$2:B855,B855,$I$2:I855,I855,$K$2:K855,1)=1,1,0),0)</f>
        <v/>
      </c>
      <c r="M855">
        <f>IF(Tree!$C$4="once per order",F855*K855,F855)</f>
        <v/>
      </c>
      <c r="N855">
        <f>IF(Tree!$C$4="once per order",K855,1)</f>
        <v/>
      </c>
      <c r="O855">
        <f>IF(Tree!$C$4="once per order",L855,1)</f>
        <v/>
      </c>
    </row>
    <row r="856">
      <c r="A856" t="inlineStr">
        <is>
          <t>KR-00591</t>
        </is>
      </c>
      <c r="B856" t="inlineStr">
        <is>
          <t>C-0275</t>
        </is>
      </c>
      <c r="C856" t="inlineStr">
        <is>
          <t>Business</t>
        </is>
      </c>
      <c r="D856" t="inlineStr">
        <is>
          <t>web</t>
        </is>
      </c>
      <c r="E856" s="7" t="n">
        <v>46271</v>
      </c>
      <c r="F856" t="n">
        <v>1123000</v>
      </c>
      <c r="G856" t="n">
        <v>673800</v>
      </c>
      <c r="H856" t="inlineStr">
        <is>
          <t>2026-09-08</t>
        </is>
      </c>
      <c r="I856">
        <f>IF(MONTH(E856)&lt;=6,"Q1","Q2")</f>
        <v/>
      </c>
      <c r="J856">
        <f>YEAR(E856)*100+MONTH(E856)</f>
        <v/>
      </c>
      <c r="K856">
        <f>IF(COUNTIF($A$2:A856,A856)=1,1,0)</f>
        <v/>
      </c>
      <c r="L856">
        <f>IF(K856=1,IF(COUNTIFS($B$2:B856,B856,$I$2:I856,I856,$K$2:K856,1)=1,1,0),0)</f>
        <v/>
      </c>
      <c r="M856">
        <f>IF(Tree!$C$4="once per order",F856*K856,F856)</f>
        <v/>
      </c>
      <c r="N856">
        <f>IF(Tree!$C$4="once per order",K856,1)</f>
        <v/>
      </c>
      <c r="O856">
        <f>IF(Tree!$C$4="once per order",L856,1)</f>
        <v/>
      </c>
    </row>
    <row r="857">
      <c r="A857" t="inlineStr">
        <is>
          <t>KR-00591</t>
        </is>
      </c>
      <c r="B857" t="inlineStr">
        <is>
          <t>C-0275</t>
        </is>
      </c>
      <c r="C857" t="inlineStr">
        <is>
          <t>Business</t>
        </is>
      </c>
      <c r="D857" t="inlineStr">
        <is>
          <t>web</t>
        </is>
      </c>
      <c r="E857" s="7" t="n">
        <v>46271</v>
      </c>
      <c r="F857" t="n">
        <v>1123000</v>
      </c>
      <c r="G857" t="n">
        <v>449200</v>
      </c>
      <c r="H857" t="inlineStr">
        <is>
          <t>2026-09-08</t>
        </is>
      </c>
      <c r="I857">
        <f>IF(MONTH(E857)&lt;=6,"Q1","Q2")</f>
        <v/>
      </c>
      <c r="J857">
        <f>YEAR(E857)*100+MONTH(E857)</f>
        <v/>
      </c>
      <c r="K857">
        <f>IF(COUNTIF($A$2:A857,A857)=1,1,0)</f>
        <v/>
      </c>
      <c r="L857">
        <f>IF(K857=1,IF(COUNTIFS($B$2:B857,B857,$I$2:I857,I857,$K$2:K857,1)=1,1,0),0)</f>
        <v/>
      </c>
      <c r="M857">
        <f>IF(Tree!$C$4="once per order",F857*K857,F857)</f>
        <v/>
      </c>
      <c r="N857">
        <f>IF(Tree!$C$4="once per order",K857,1)</f>
        <v/>
      </c>
      <c r="O857">
        <f>IF(Tree!$C$4="once per order",L857,1)</f>
        <v/>
      </c>
    </row>
    <row r="858">
      <c r="A858" t="inlineStr">
        <is>
          <t>KR-00592</t>
        </is>
      </c>
      <c r="B858" t="inlineStr">
        <is>
          <t>C-0293</t>
        </is>
      </c>
      <c r="C858" t="inlineStr">
        <is>
          <t>Business</t>
        </is>
      </c>
      <c r="D858" t="inlineStr">
        <is>
          <t>web</t>
        </is>
      </c>
      <c r="E858" s="7" t="n">
        <v>46231</v>
      </c>
      <c r="F858" t="n">
        <v>517000</v>
      </c>
      <c r="G858" t="n">
        <v>310200</v>
      </c>
      <c r="H858" t="inlineStr">
        <is>
          <t>2026-07-28</t>
        </is>
      </c>
      <c r="I858">
        <f>IF(MONTH(E858)&lt;=6,"Q1","Q2")</f>
        <v/>
      </c>
      <c r="J858">
        <f>YEAR(E858)*100+MONTH(E858)</f>
        <v/>
      </c>
      <c r="K858">
        <f>IF(COUNTIF($A$2:A858,A858)=1,1,0)</f>
        <v/>
      </c>
      <c r="L858">
        <f>IF(K858=1,IF(COUNTIFS($B$2:B858,B858,$I$2:I858,I858,$K$2:K858,1)=1,1,0),0)</f>
        <v/>
      </c>
      <c r="M858">
        <f>IF(Tree!$C$4="once per order",F858*K858,F858)</f>
        <v/>
      </c>
      <c r="N858">
        <f>IF(Tree!$C$4="once per order",K858,1)</f>
        <v/>
      </c>
      <c r="O858">
        <f>IF(Tree!$C$4="once per order",L858,1)</f>
        <v/>
      </c>
    </row>
    <row r="859">
      <c r="A859" t="inlineStr">
        <is>
          <t>KR-00592</t>
        </is>
      </c>
      <c r="B859" t="inlineStr">
        <is>
          <t>C-0293</t>
        </is>
      </c>
      <c r="C859" t="inlineStr">
        <is>
          <t>Business</t>
        </is>
      </c>
      <c r="D859" t="inlineStr">
        <is>
          <t>web</t>
        </is>
      </c>
      <c r="E859" s="7" t="n">
        <v>46231</v>
      </c>
      <c r="F859" t="n">
        <v>517000</v>
      </c>
      <c r="G859" t="n">
        <v>206800</v>
      </c>
      <c r="H859" t="inlineStr">
        <is>
          <t>2026-07-28</t>
        </is>
      </c>
      <c r="I859">
        <f>IF(MONTH(E859)&lt;=6,"Q1","Q2")</f>
        <v/>
      </c>
      <c r="J859">
        <f>YEAR(E859)*100+MONTH(E859)</f>
        <v/>
      </c>
      <c r="K859">
        <f>IF(COUNTIF($A$2:A859,A859)=1,1,0)</f>
        <v/>
      </c>
      <c r="L859">
        <f>IF(K859=1,IF(COUNTIFS($B$2:B859,B859,$I$2:I859,I859,$K$2:K859,1)=1,1,0),0)</f>
        <v/>
      </c>
      <c r="M859">
        <f>IF(Tree!$C$4="once per order",F859*K859,F859)</f>
        <v/>
      </c>
      <c r="N859">
        <f>IF(Tree!$C$4="once per order",K859,1)</f>
        <v/>
      </c>
      <c r="O859">
        <f>IF(Tree!$C$4="once per order",L859,1)</f>
        <v/>
      </c>
    </row>
    <row r="860">
      <c r="A860" t="inlineStr">
        <is>
          <t>KR-00593</t>
        </is>
      </c>
      <c r="B860" t="inlineStr">
        <is>
          <t>C-0297</t>
        </is>
      </c>
      <c r="C860" t="inlineStr">
        <is>
          <t>Business</t>
        </is>
      </c>
      <c r="D860" t="inlineStr">
        <is>
          <t>web</t>
        </is>
      </c>
      <c r="E860" s="7" t="n">
        <v>46249</v>
      </c>
      <c r="F860" t="n">
        <v>1127000</v>
      </c>
      <c r="G860" t="n">
        <v>676200</v>
      </c>
      <c r="H860" t="inlineStr">
        <is>
          <t>2026-08-17</t>
        </is>
      </c>
      <c r="I860">
        <f>IF(MONTH(E860)&lt;=6,"Q1","Q2")</f>
        <v/>
      </c>
      <c r="J860">
        <f>YEAR(E860)*100+MONTH(E860)</f>
        <v/>
      </c>
      <c r="K860">
        <f>IF(COUNTIF($A$2:A860,A860)=1,1,0)</f>
        <v/>
      </c>
      <c r="L860">
        <f>IF(K860=1,IF(COUNTIFS($B$2:B860,B860,$I$2:I860,I860,$K$2:K860,1)=1,1,0),0)</f>
        <v/>
      </c>
      <c r="M860">
        <f>IF(Tree!$C$4="once per order",F860*K860,F860)</f>
        <v/>
      </c>
      <c r="N860">
        <f>IF(Tree!$C$4="once per order",K860,1)</f>
        <v/>
      </c>
      <c r="O860">
        <f>IF(Tree!$C$4="once per order",L860,1)</f>
        <v/>
      </c>
    </row>
    <row r="861">
      <c r="A861" t="inlineStr">
        <is>
          <t>KR-00593</t>
        </is>
      </c>
      <c r="B861" t="inlineStr">
        <is>
          <t>C-0297</t>
        </is>
      </c>
      <c r="C861" t="inlineStr">
        <is>
          <t>Business</t>
        </is>
      </c>
      <c r="D861" t="inlineStr">
        <is>
          <t>web</t>
        </is>
      </c>
      <c r="E861" s="7" t="n">
        <v>46249</v>
      </c>
      <c r="F861" t="n">
        <v>1127000</v>
      </c>
      <c r="G861" t="n">
        <v>450800</v>
      </c>
      <c r="H861" t="inlineStr">
        <is>
          <t>2026-08-17</t>
        </is>
      </c>
      <c r="I861">
        <f>IF(MONTH(E861)&lt;=6,"Q1","Q2")</f>
        <v/>
      </c>
      <c r="J861">
        <f>YEAR(E861)*100+MONTH(E861)</f>
        <v/>
      </c>
      <c r="K861">
        <f>IF(COUNTIF($A$2:A861,A861)=1,1,0)</f>
        <v/>
      </c>
      <c r="L861">
        <f>IF(K861=1,IF(COUNTIFS($B$2:B861,B861,$I$2:I861,I861,$K$2:K861,1)=1,1,0),0)</f>
        <v/>
      </c>
      <c r="M861">
        <f>IF(Tree!$C$4="once per order",F861*K861,F861)</f>
        <v/>
      </c>
      <c r="N861">
        <f>IF(Tree!$C$4="once per order",K861,1)</f>
        <v/>
      </c>
      <c r="O861">
        <f>IF(Tree!$C$4="once per order",L861,1)</f>
        <v/>
      </c>
    </row>
    <row r="862">
      <c r="A862" t="inlineStr">
        <is>
          <t>KR-00594</t>
        </is>
      </c>
      <c r="B862" t="inlineStr">
        <is>
          <t>C-0306</t>
        </is>
      </c>
      <c r="C862" t="inlineStr">
        <is>
          <t>Business</t>
        </is>
      </c>
      <c r="D862" t="inlineStr">
        <is>
          <t>store</t>
        </is>
      </c>
      <c r="E862" s="7" t="n">
        <v>46275</v>
      </c>
      <c r="F862" t="n">
        <v>827000</v>
      </c>
      <c r="G862" t="n">
        <v>496200</v>
      </c>
      <c r="H862" t="inlineStr">
        <is>
          <t>2026-09-12</t>
        </is>
      </c>
      <c r="I862">
        <f>IF(MONTH(E862)&lt;=6,"Q1","Q2")</f>
        <v/>
      </c>
      <c r="J862">
        <f>YEAR(E862)*100+MONTH(E862)</f>
        <v/>
      </c>
      <c r="K862">
        <f>IF(COUNTIF($A$2:A862,A862)=1,1,0)</f>
        <v/>
      </c>
      <c r="L862">
        <f>IF(K862=1,IF(COUNTIFS($B$2:B862,B862,$I$2:I862,I862,$K$2:K862,1)=1,1,0),0)</f>
        <v/>
      </c>
      <c r="M862">
        <f>IF(Tree!$C$4="once per order",F862*K862,F862)</f>
        <v/>
      </c>
      <c r="N862">
        <f>IF(Tree!$C$4="once per order",K862,1)</f>
        <v/>
      </c>
      <c r="O862">
        <f>IF(Tree!$C$4="once per order",L862,1)</f>
        <v/>
      </c>
    </row>
    <row r="863">
      <c r="A863" t="inlineStr">
        <is>
          <t>KR-00594</t>
        </is>
      </c>
      <c r="B863" t="inlineStr">
        <is>
          <t>C-0306</t>
        </is>
      </c>
      <c r="C863" t="inlineStr">
        <is>
          <t>Business</t>
        </is>
      </c>
      <c r="D863" t="inlineStr">
        <is>
          <t>store</t>
        </is>
      </c>
      <c r="E863" s="7" t="n">
        <v>46275</v>
      </c>
      <c r="F863" t="n">
        <v>827000</v>
      </c>
      <c r="G863" t="n">
        <v>330800</v>
      </c>
      <c r="H863" t="inlineStr">
        <is>
          <t>2026-09-12</t>
        </is>
      </c>
      <c r="I863">
        <f>IF(MONTH(E863)&lt;=6,"Q1","Q2")</f>
        <v/>
      </c>
      <c r="J863">
        <f>YEAR(E863)*100+MONTH(E863)</f>
        <v/>
      </c>
      <c r="K863">
        <f>IF(COUNTIF($A$2:A863,A863)=1,1,0)</f>
        <v/>
      </c>
      <c r="L863">
        <f>IF(K863=1,IF(COUNTIFS($B$2:B863,B863,$I$2:I863,I863,$K$2:K863,1)=1,1,0),0)</f>
        <v/>
      </c>
      <c r="M863">
        <f>IF(Tree!$C$4="once per order",F863*K863,F863)</f>
        <v/>
      </c>
      <c r="N863">
        <f>IF(Tree!$C$4="once per order",K863,1)</f>
        <v/>
      </c>
      <c r="O863">
        <f>IF(Tree!$C$4="once per order",L863,1)</f>
        <v/>
      </c>
    </row>
    <row r="864">
      <c r="A864" t="inlineStr">
        <is>
          <t>KR-00595</t>
        </is>
      </c>
      <c r="B864" t="inlineStr">
        <is>
          <t>C-0295</t>
        </is>
      </c>
      <c r="C864" t="inlineStr">
        <is>
          <t>Business</t>
        </is>
      </c>
      <c r="D864" t="inlineStr">
        <is>
          <t>store</t>
        </is>
      </c>
      <c r="E864" s="7" t="n">
        <v>46226</v>
      </c>
      <c r="F864" t="n">
        <v>401000</v>
      </c>
      <c r="G864" t="n">
        <v>240600</v>
      </c>
      <c r="H864" t="inlineStr">
        <is>
          <t>2026-07-25</t>
        </is>
      </c>
      <c r="I864">
        <f>IF(MONTH(E864)&lt;=6,"Q1","Q2")</f>
        <v/>
      </c>
      <c r="J864">
        <f>YEAR(E864)*100+MONTH(E864)</f>
        <v/>
      </c>
      <c r="K864">
        <f>IF(COUNTIF($A$2:A864,A864)=1,1,0)</f>
        <v/>
      </c>
      <c r="L864">
        <f>IF(K864=1,IF(COUNTIFS($B$2:B864,B864,$I$2:I864,I864,$K$2:K864,1)=1,1,0),0)</f>
        <v/>
      </c>
      <c r="M864">
        <f>IF(Tree!$C$4="once per order",F864*K864,F864)</f>
        <v/>
      </c>
      <c r="N864">
        <f>IF(Tree!$C$4="once per order",K864,1)</f>
        <v/>
      </c>
      <c r="O864">
        <f>IF(Tree!$C$4="once per order",L864,1)</f>
        <v/>
      </c>
    </row>
    <row r="865">
      <c r="A865" t="inlineStr">
        <is>
          <t>KR-00595</t>
        </is>
      </c>
      <c r="B865" t="inlineStr">
        <is>
          <t>C-0295</t>
        </is>
      </c>
      <c r="C865" t="inlineStr">
        <is>
          <t>Business</t>
        </is>
      </c>
      <c r="D865" t="inlineStr">
        <is>
          <t>store</t>
        </is>
      </c>
      <c r="E865" s="7" t="n">
        <v>46226</v>
      </c>
      <c r="F865" t="n">
        <v>401000</v>
      </c>
      <c r="G865" t="n">
        <v>160400</v>
      </c>
      <c r="H865" t="inlineStr">
        <is>
          <t>2026-07-25</t>
        </is>
      </c>
      <c r="I865">
        <f>IF(MONTH(E865)&lt;=6,"Q1","Q2")</f>
        <v/>
      </c>
      <c r="J865">
        <f>YEAR(E865)*100+MONTH(E865)</f>
        <v/>
      </c>
      <c r="K865">
        <f>IF(COUNTIF($A$2:A865,A865)=1,1,0)</f>
        <v/>
      </c>
      <c r="L865">
        <f>IF(K865=1,IF(COUNTIFS($B$2:B865,B865,$I$2:I865,I865,$K$2:K865,1)=1,1,0),0)</f>
        <v/>
      </c>
      <c r="M865">
        <f>IF(Tree!$C$4="once per order",F865*K865,F865)</f>
        <v/>
      </c>
      <c r="N865">
        <f>IF(Tree!$C$4="once per order",K865,1)</f>
        <v/>
      </c>
      <c r="O865">
        <f>IF(Tree!$C$4="once per order",L865,1)</f>
        <v/>
      </c>
    </row>
    <row r="866">
      <c r="A866" t="inlineStr">
        <is>
          <t>KR-00596</t>
        </is>
      </c>
      <c r="B866" t="inlineStr">
        <is>
          <t>C-0275</t>
        </is>
      </c>
      <c r="C866" t="inlineStr">
        <is>
          <t>Business</t>
        </is>
      </c>
      <c r="D866" t="inlineStr">
        <is>
          <t>web</t>
        </is>
      </c>
      <c r="E866" s="7" t="n">
        <v>46261</v>
      </c>
      <c r="F866" t="n">
        <v>1078000</v>
      </c>
      <c r="G866" t="n">
        <v>646800</v>
      </c>
      <c r="H866" t="inlineStr">
        <is>
          <t>2026-08-28</t>
        </is>
      </c>
      <c r="I866">
        <f>IF(MONTH(E866)&lt;=6,"Q1","Q2")</f>
        <v/>
      </c>
      <c r="J866">
        <f>YEAR(E866)*100+MONTH(E866)</f>
        <v/>
      </c>
      <c r="K866">
        <f>IF(COUNTIF($A$2:A866,A866)=1,1,0)</f>
        <v/>
      </c>
      <c r="L866">
        <f>IF(K866=1,IF(COUNTIFS($B$2:B866,B866,$I$2:I866,I866,$K$2:K866,1)=1,1,0),0)</f>
        <v/>
      </c>
      <c r="M866">
        <f>IF(Tree!$C$4="once per order",F866*K866,F866)</f>
        <v/>
      </c>
      <c r="N866">
        <f>IF(Tree!$C$4="once per order",K866,1)</f>
        <v/>
      </c>
      <c r="O866">
        <f>IF(Tree!$C$4="once per order",L866,1)</f>
        <v/>
      </c>
    </row>
    <row r="867">
      <c r="A867" t="inlineStr">
        <is>
          <t>KR-00596</t>
        </is>
      </c>
      <c r="B867" t="inlineStr">
        <is>
          <t>C-0275</t>
        </is>
      </c>
      <c r="C867" t="inlineStr">
        <is>
          <t>Business</t>
        </is>
      </c>
      <c r="D867" t="inlineStr">
        <is>
          <t>web</t>
        </is>
      </c>
      <c r="E867" s="7" t="n">
        <v>46261</v>
      </c>
      <c r="F867" t="n">
        <v>1078000</v>
      </c>
      <c r="G867" t="n">
        <v>431200</v>
      </c>
      <c r="H867" t="inlineStr">
        <is>
          <t>2026-08-28</t>
        </is>
      </c>
      <c r="I867">
        <f>IF(MONTH(E867)&lt;=6,"Q1","Q2")</f>
        <v/>
      </c>
      <c r="J867">
        <f>YEAR(E867)*100+MONTH(E867)</f>
        <v/>
      </c>
      <c r="K867">
        <f>IF(COUNTIF($A$2:A867,A867)=1,1,0)</f>
        <v/>
      </c>
      <c r="L867">
        <f>IF(K867=1,IF(COUNTIFS($B$2:B867,B867,$I$2:I867,I867,$K$2:K867,1)=1,1,0),0)</f>
        <v/>
      </c>
      <c r="M867">
        <f>IF(Tree!$C$4="once per order",F867*K867,F867)</f>
        <v/>
      </c>
      <c r="N867">
        <f>IF(Tree!$C$4="once per order",K867,1)</f>
        <v/>
      </c>
      <c r="O867">
        <f>IF(Tree!$C$4="once per order",L867,1)</f>
        <v/>
      </c>
    </row>
    <row r="868">
      <c r="A868" t="inlineStr">
        <is>
          <t>KR-00597</t>
        </is>
      </c>
      <c r="B868" t="inlineStr">
        <is>
          <t>C-0280</t>
        </is>
      </c>
      <c r="C868" t="inlineStr">
        <is>
          <t>Business</t>
        </is>
      </c>
      <c r="D868" t="inlineStr">
        <is>
          <t>web</t>
        </is>
      </c>
      <c r="E868" s="7" t="n">
        <v>46276</v>
      </c>
      <c r="F868" t="n">
        <v>1168000</v>
      </c>
      <c r="G868" t="n">
        <v>700800</v>
      </c>
      <c r="H868" t="inlineStr">
        <is>
          <t>2026-09-13</t>
        </is>
      </c>
      <c r="I868">
        <f>IF(MONTH(E868)&lt;=6,"Q1","Q2")</f>
        <v/>
      </c>
      <c r="J868">
        <f>YEAR(E868)*100+MONTH(E868)</f>
        <v/>
      </c>
      <c r="K868">
        <f>IF(COUNTIF($A$2:A868,A868)=1,1,0)</f>
        <v/>
      </c>
      <c r="L868">
        <f>IF(K868=1,IF(COUNTIFS($B$2:B868,B868,$I$2:I868,I868,$K$2:K868,1)=1,1,0),0)</f>
        <v/>
      </c>
      <c r="M868">
        <f>IF(Tree!$C$4="once per order",F868*K868,F868)</f>
        <v/>
      </c>
      <c r="N868">
        <f>IF(Tree!$C$4="once per order",K868,1)</f>
        <v/>
      </c>
      <c r="O868">
        <f>IF(Tree!$C$4="once per order",L868,1)</f>
        <v/>
      </c>
    </row>
    <row r="869">
      <c r="A869" t="inlineStr">
        <is>
          <t>KR-00597</t>
        </is>
      </c>
      <c r="B869" t="inlineStr">
        <is>
          <t>C-0280</t>
        </is>
      </c>
      <c r="C869" t="inlineStr">
        <is>
          <t>Business</t>
        </is>
      </c>
      <c r="D869" t="inlineStr">
        <is>
          <t>web</t>
        </is>
      </c>
      <c r="E869" s="7" t="n">
        <v>46276</v>
      </c>
      <c r="F869" t="n">
        <v>1168000</v>
      </c>
      <c r="G869" t="n">
        <v>467200</v>
      </c>
      <c r="H869" t="inlineStr">
        <is>
          <t>2026-09-13</t>
        </is>
      </c>
      <c r="I869">
        <f>IF(MONTH(E869)&lt;=6,"Q1","Q2")</f>
        <v/>
      </c>
      <c r="J869">
        <f>YEAR(E869)*100+MONTH(E869)</f>
        <v/>
      </c>
      <c r="K869">
        <f>IF(COUNTIF($A$2:A869,A869)=1,1,0)</f>
        <v/>
      </c>
      <c r="L869">
        <f>IF(K869=1,IF(COUNTIFS($B$2:B869,B869,$I$2:I869,I869,$K$2:K869,1)=1,1,0),0)</f>
        <v/>
      </c>
      <c r="M869">
        <f>IF(Tree!$C$4="once per order",F869*K869,F869)</f>
        <v/>
      </c>
      <c r="N869">
        <f>IF(Tree!$C$4="once per order",K869,1)</f>
        <v/>
      </c>
      <c r="O869">
        <f>IF(Tree!$C$4="once per order",L869,1)</f>
        <v/>
      </c>
    </row>
    <row r="870">
      <c r="A870" t="inlineStr">
        <is>
          <t>KR-00598</t>
        </is>
      </c>
      <c r="B870" t="inlineStr">
        <is>
          <t>C-0276</t>
        </is>
      </c>
      <c r="C870" t="inlineStr">
        <is>
          <t>Business</t>
        </is>
      </c>
      <c r="D870" t="inlineStr">
        <is>
          <t>app</t>
        </is>
      </c>
      <c r="E870" s="7" t="n">
        <v>46223</v>
      </c>
      <c r="F870" t="n">
        <v>1613000</v>
      </c>
      <c r="G870" t="n">
        <v>967800</v>
      </c>
      <c r="H870" t="inlineStr">
        <is>
          <t>2026-07-22</t>
        </is>
      </c>
      <c r="I870">
        <f>IF(MONTH(E870)&lt;=6,"Q1","Q2")</f>
        <v/>
      </c>
      <c r="J870">
        <f>YEAR(E870)*100+MONTH(E870)</f>
        <v/>
      </c>
      <c r="K870">
        <f>IF(COUNTIF($A$2:A870,A870)=1,1,0)</f>
        <v/>
      </c>
      <c r="L870">
        <f>IF(K870=1,IF(COUNTIFS($B$2:B870,B870,$I$2:I870,I870,$K$2:K870,1)=1,1,0),0)</f>
        <v/>
      </c>
      <c r="M870">
        <f>IF(Tree!$C$4="once per order",F870*K870,F870)</f>
        <v/>
      </c>
      <c r="N870">
        <f>IF(Tree!$C$4="once per order",K870,1)</f>
        <v/>
      </c>
      <c r="O870">
        <f>IF(Tree!$C$4="once per order",L870,1)</f>
        <v/>
      </c>
    </row>
    <row r="871">
      <c r="A871" t="inlineStr">
        <is>
          <t>KR-00598</t>
        </is>
      </c>
      <c r="B871" t="inlineStr">
        <is>
          <t>C-0276</t>
        </is>
      </c>
      <c r="C871" t="inlineStr">
        <is>
          <t>Business</t>
        </is>
      </c>
      <c r="D871" t="inlineStr">
        <is>
          <t>app</t>
        </is>
      </c>
      <c r="E871" s="7" t="n">
        <v>46223</v>
      </c>
      <c r="F871" t="n">
        <v>1613000</v>
      </c>
      <c r="G871" t="n">
        <v>645200</v>
      </c>
      <c r="H871" t="inlineStr">
        <is>
          <t>2026-07-22</t>
        </is>
      </c>
      <c r="I871">
        <f>IF(MONTH(E871)&lt;=6,"Q1","Q2")</f>
        <v/>
      </c>
      <c r="J871">
        <f>YEAR(E871)*100+MONTH(E871)</f>
        <v/>
      </c>
      <c r="K871">
        <f>IF(COUNTIF($A$2:A871,A871)=1,1,0)</f>
        <v/>
      </c>
      <c r="L871">
        <f>IF(K871=1,IF(COUNTIFS($B$2:B871,B871,$I$2:I871,I871,$K$2:K871,1)=1,1,0),0)</f>
        <v/>
      </c>
      <c r="M871">
        <f>IF(Tree!$C$4="once per order",F871*K871,F871)</f>
        <v/>
      </c>
      <c r="N871">
        <f>IF(Tree!$C$4="once per order",K871,1)</f>
        <v/>
      </c>
      <c r="O871">
        <f>IF(Tree!$C$4="once per order",L871,1)</f>
        <v/>
      </c>
    </row>
    <row r="872">
      <c r="A872" t="inlineStr">
        <is>
          <t>KR-00599</t>
        </is>
      </c>
      <c r="B872" t="inlineStr">
        <is>
          <t>C-0272</t>
        </is>
      </c>
      <c r="C872" t="inlineStr">
        <is>
          <t>Business</t>
        </is>
      </c>
      <c r="D872" t="inlineStr">
        <is>
          <t>store</t>
        </is>
      </c>
      <c r="E872" s="7" t="n">
        <v>46255</v>
      </c>
      <c r="F872" t="n">
        <v>524000</v>
      </c>
      <c r="G872" t="n">
        <v>314400</v>
      </c>
      <c r="H872" t="inlineStr">
        <is>
          <t>2026-08-23</t>
        </is>
      </c>
      <c r="I872">
        <f>IF(MONTH(E872)&lt;=6,"Q1","Q2")</f>
        <v/>
      </c>
      <c r="J872">
        <f>YEAR(E872)*100+MONTH(E872)</f>
        <v/>
      </c>
      <c r="K872">
        <f>IF(COUNTIF($A$2:A872,A872)=1,1,0)</f>
        <v/>
      </c>
      <c r="L872">
        <f>IF(K872=1,IF(COUNTIFS($B$2:B872,B872,$I$2:I872,I872,$K$2:K872,1)=1,1,0),0)</f>
        <v/>
      </c>
      <c r="M872">
        <f>IF(Tree!$C$4="once per order",F872*K872,F872)</f>
        <v/>
      </c>
      <c r="N872">
        <f>IF(Tree!$C$4="once per order",K872,1)</f>
        <v/>
      </c>
      <c r="O872">
        <f>IF(Tree!$C$4="once per order",L872,1)</f>
        <v/>
      </c>
    </row>
    <row r="873">
      <c r="A873" t="inlineStr">
        <is>
          <t>KR-00599</t>
        </is>
      </c>
      <c r="B873" t="inlineStr">
        <is>
          <t>C-0272</t>
        </is>
      </c>
      <c r="C873" t="inlineStr">
        <is>
          <t>Business</t>
        </is>
      </c>
      <c r="D873" t="inlineStr">
        <is>
          <t>store</t>
        </is>
      </c>
      <c r="E873" s="7" t="n">
        <v>46255</v>
      </c>
      <c r="F873" t="n">
        <v>524000</v>
      </c>
      <c r="G873" t="n">
        <v>209600</v>
      </c>
      <c r="H873" t="inlineStr">
        <is>
          <t>2026-08-23</t>
        </is>
      </c>
      <c r="I873">
        <f>IF(MONTH(E873)&lt;=6,"Q1","Q2")</f>
        <v/>
      </c>
      <c r="J873">
        <f>YEAR(E873)*100+MONTH(E873)</f>
        <v/>
      </c>
      <c r="K873">
        <f>IF(COUNTIF($A$2:A873,A873)=1,1,0)</f>
        <v/>
      </c>
      <c r="L873">
        <f>IF(K873=1,IF(COUNTIFS($B$2:B873,B873,$I$2:I873,I873,$K$2:K873,1)=1,1,0),0)</f>
        <v/>
      </c>
      <c r="M873">
        <f>IF(Tree!$C$4="once per order",F873*K873,F873)</f>
        <v/>
      </c>
      <c r="N873">
        <f>IF(Tree!$C$4="once per order",K873,1)</f>
        <v/>
      </c>
      <c r="O873">
        <f>IF(Tree!$C$4="once per order",L873,1)</f>
        <v/>
      </c>
    </row>
    <row r="874">
      <c r="A874" t="inlineStr">
        <is>
          <t>KR-00600</t>
        </is>
      </c>
      <c r="B874" t="inlineStr">
        <is>
          <t>C-0306</t>
        </is>
      </c>
      <c r="C874" t="inlineStr">
        <is>
          <t>Business</t>
        </is>
      </c>
      <c r="D874" t="inlineStr">
        <is>
          <t>app</t>
        </is>
      </c>
      <c r="E874" s="7" t="n">
        <v>46293</v>
      </c>
      <c r="F874" t="n">
        <v>481000</v>
      </c>
      <c r="G874" t="n">
        <v>288600</v>
      </c>
      <c r="H874" t="inlineStr">
        <is>
          <t>2026-09-28</t>
        </is>
      </c>
      <c r="I874">
        <f>IF(MONTH(E874)&lt;=6,"Q1","Q2")</f>
        <v/>
      </c>
      <c r="J874">
        <f>YEAR(E874)*100+MONTH(E874)</f>
        <v/>
      </c>
      <c r="K874">
        <f>IF(COUNTIF($A$2:A874,A874)=1,1,0)</f>
        <v/>
      </c>
      <c r="L874">
        <f>IF(K874=1,IF(COUNTIFS($B$2:B874,B874,$I$2:I874,I874,$K$2:K874,1)=1,1,0),0)</f>
        <v/>
      </c>
      <c r="M874">
        <f>IF(Tree!$C$4="once per order",F874*K874,F874)</f>
        <v/>
      </c>
      <c r="N874">
        <f>IF(Tree!$C$4="once per order",K874,1)</f>
        <v/>
      </c>
      <c r="O874">
        <f>IF(Tree!$C$4="once per order",L874,1)</f>
        <v/>
      </c>
    </row>
    <row r="875">
      <c r="A875" t="inlineStr">
        <is>
          <t>KR-00600</t>
        </is>
      </c>
      <c r="B875" t="inlineStr">
        <is>
          <t>C-0306</t>
        </is>
      </c>
      <c r="C875" t="inlineStr">
        <is>
          <t>Business</t>
        </is>
      </c>
      <c r="D875" t="inlineStr">
        <is>
          <t>app</t>
        </is>
      </c>
      <c r="E875" s="7" t="n">
        <v>46293</v>
      </c>
      <c r="F875" t="n">
        <v>481000</v>
      </c>
      <c r="G875" t="n">
        <v>192400</v>
      </c>
      <c r="H875" t="inlineStr">
        <is>
          <t>2026-09-28</t>
        </is>
      </c>
      <c r="I875">
        <f>IF(MONTH(E875)&lt;=6,"Q1","Q2")</f>
        <v/>
      </c>
      <c r="J875">
        <f>YEAR(E875)*100+MONTH(E875)</f>
        <v/>
      </c>
      <c r="K875">
        <f>IF(COUNTIF($A$2:A875,A875)=1,1,0)</f>
        <v/>
      </c>
      <c r="L875">
        <f>IF(K875=1,IF(COUNTIFS($B$2:B875,B875,$I$2:I875,I875,$K$2:K875,1)=1,1,0),0)</f>
        <v/>
      </c>
      <c r="M875">
        <f>IF(Tree!$C$4="once per order",F875*K875,F875)</f>
        <v/>
      </c>
      <c r="N875">
        <f>IF(Tree!$C$4="once per order",K875,1)</f>
        <v/>
      </c>
      <c r="O875">
        <f>IF(Tree!$C$4="once per order",L875,1)</f>
        <v/>
      </c>
    </row>
    <row r="876">
      <c r="A876" t="inlineStr">
        <is>
          <t>KR-00601</t>
        </is>
      </c>
      <c r="B876" t="inlineStr">
        <is>
          <t>C-0282</t>
        </is>
      </c>
      <c r="C876" t="inlineStr">
        <is>
          <t>Business</t>
        </is>
      </c>
      <c r="D876" t="inlineStr">
        <is>
          <t>app</t>
        </is>
      </c>
      <c r="E876" s="7" t="n">
        <v>46225</v>
      </c>
      <c r="F876" t="n">
        <v>1040000</v>
      </c>
      <c r="G876" t="n">
        <v>624000</v>
      </c>
      <c r="H876" t="inlineStr">
        <is>
          <t>2026-07-24</t>
        </is>
      </c>
      <c r="I876">
        <f>IF(MONTH(E876)&lt;=6,"Q1","Q2")</f>
        <v/>
      </c>
      <c r="J876">
        <f>YEAR(E876)*100+MONTH(E876)</f>
        <v/>
      </c>
      <c r="K876">
        <f>IF(COUNTIF($A$2:A876,A876)=1,1,0)</f>
        <v/>
      </c>
      <c r="L876">
        <f>IF(K876=1,IF(COUNTIFS($B$2:B876,B876,$I$2:I876,I876,$K$2:K876,1)=1,1,0),0)</f>
        <v/>
      </c>
      <c r="M876">
        <f>IF(Tree!$C$4="once per order",F876*K876,F876)</f>
        <v/>
      </c>
      <c r="N876">
        <f>IF(Tree!$C$4="once per order",K876,1)</f>
        <v/>
      </c>
      <c r="O876">
        <f>IF(Tree!$C$4="once per order",L876,1)</f>
        <v/>
      </c>
    </row>
    <row r="877">
      <c r="A877" t="inlineStr">
        <is>
          <t>KR-00601</t>
        </is>
      </c>
      <c r="B877" t="inlineStr">
        <is>
          <t>C-0282</t>
        </is>
      </c>
      <c r="C877" t="inlineStr">
        <is>
          <t>Business</t>
        </is>
      </c>
      <c r="D877" t="inlineStr">
        <is>
          <t>app</t>
        </is>
      </c>
      <c r="E877" s="7" t="n">
        <v>46225</v>
      </c>
      <c r="F877" t="n">
        <v>1040000</v>
      </c>
      <c r="G877" t="n">
        <v>416000</v>
      </c>
      <c r="H877" t="inlineStr">
        <is>
          <t>2026-07-24</t>
        </is>
      </c>
      <c r="I877">
        <f>IF(MONTH(E877)&lt;=6,"Q1","Q2")</f>
        <v/>
      </c>
      <c r="J877">
        <f>YEAR(E877)*100+MONTH(E877)</f>
        <v/>
      </c>
      <c r="K877">
        <f>IF(COUNTIF($A$2:A877,A877)=1,1,0)</f>
        <v/>
      </c>
      <c r="L877">
        <f>IF(K877=1,IF(COUNTIFS($B$2:B877,B877,$I$2:I877,I877,$K$2:K877,1)=1,1,0),0)</f>
        <v/>
      </c>
      <c r="M877">
        <f>IF(Tree!$C$4="once per order",F877*K877,F877)</f>
        <v/>
      </c>
      <c r="N877">
        <f>IF(Tree!$C$4="once per order",K877,1)</f>
        <v/>
      </c>
      <c r="O877">
        <f>IF(Tree!$C$4="once per order",L877,1)</f>
        <v/>
      </c>
    </row>
    <row r="878">
      <c r="A878" t="inlineStr">
        <is>
          <t>KR-00602</t>
        </is>
      </c>
      <c r="B878" t="inlineStr">
        <is>
          <t>C-0275</t>
        </is>
      </c>
      <c r="C878" t="inlineStr">
        <is>
          <t>Business</t>
        </is>
      </c>
      <c r="D878" t="inlineStr">
        <is>
          <t>app</t>
        </is>
      </c>
      <c r="E878" s="7" t="n">
        <v>46243</v>
      </c>
      <c r="F878" t="n">
        <v>1299000</v>
      </c>
      <c r="G878" t="n">
        <v>779400</v>
      </c>
      <c r="H878" t="inlineStr">
        <is>
          <t>2026-08-11</t>
        </is>
      </c>
      <c r="I878">
        <f>IF(MONTH(E878)&lt;=6,"Q1","Q2")</f>
        <v/>
      </c>
      <c r="J878">
        <f>YEAR(E878)*100+MONTH(E878)</f>
        <v/>
      </c>
      <c r="K878">
        <f>IF(COUNTIF($A$2:A878,A878)=1,1,0)</f>
        <v/>
      </c>
      <c r="L878">
        <f>IF(K878=1,IF(COUNTIFS($B$2:B878,B878,$I$2:I878,I878,$K$2:K878,1)=1,1,0),0)</f>
        <v/>
      </c>
      <c r="M878">
        <f>IF(Tree!$C$4="once per order",F878*K878,F878)</f>
        <v/>
      </c>
      <c r="N878">
        <f>IF(Tree!$C$4="once per order",K878,1)</f>
        <v/>
      </c>
      <c r="O878">
        <f>IF(Tree!$C$4="once per order",L878,1)</f>
        <v/>
      </c>
    </row>
    <row r="879">
      <c r="A879" t="inlineStr">
        <is>
          <t>KR-00602</t>
        </is>
      </c>
      <c r="B879" t="inlineStr">
        <is>
          <t>C-0275</t>
        </is>
      </c>
      <c r="C879" t="inlineStr">
        <is>
          <t>Business</t>
        </is>
      </c>
      <c r="D879" t="inlineStr">
        <is>
          <t>app</t>
        </is>
      </c>
      <c r="E879" s="7" t="n">
        <v>46243</v>
      </c>
      <c r="F879" t="n">
        <v>1299000</v>
      </c>
      <c r="G879" t="n">
        <v>519600</v>
      </c>
      <c r="H879" t="inlineStr">
        <is>
          <t>2026-08-11</t>
        </is>
      </c>
      <c r="I879">
        <f>IF(MONTH(E879)&lt;=6,"Q1","Q2")</f>
        <v/>
      </c>
      <c r="J879">
        <f>YEAR(E879)*100+MONTH(E879)</f>
        <v/>
      </c>
      <c r="K879">
        <f>IF(COUNTIF($A$2:A879,A879)=1,1,0)</f>
        <v/>
      </c>
      <c r="L879">
        <f>IF(K879=1,IF(COUNTIFS($B$2:B879,B879,$I$2:I879,I879,$K$2:K879,1)=1,1,0),0)</f>
        <v/>
      </c>
      <c r="M879">
        <f>IF(Tree!$C$4="once per order",F879*K879,F879)</f>
        <v/>
      </c>
      <c r="N879">
        <f>IF(Tree!$C$4="once per order",K879,1)</f>
        <v/>
      </c>
      <c r="O879">
        <f>IF(Tree!$C$4="once per order",L879,1)</f>
        <v/>
      </c>
    </row>
    <row r="880">
      <c r="A880" t="inlineStr">
        <is>
          <t>KR-00603</t>
        </is>
      </c>
      <c r="B880" t="inlineStr">
        <is>
          <t>C-0271</t>
        </is>
      </c>
      <c r="C880" t="inlineStr">
        <is>
          <t>Business</t>
        </is>
      </c>
      <c r="D880" t="inlineStr">
        <is>
          <t>web</t>
        </is>
      </c>
      <c r="E880" s="7" t="n">
        <v>46275</v>
      </c>
      <c r="F880" t="n">
        <v>367000</v>
      </c>
      <c r="G880" t="n">
        <v>220200</v>
      </c>
      <c r="H880" t="inlineStr">
        <is>
          <t>2026-09-12</t>
        </is>
      </c>
      <c r="I880">
        <f>IF(MONTH(E880)&lt;=6,"Q1","Q2")</f>
        <v/>
      </c>
      <c r="J880">
        <f>YEAR(E880)*100+MONTH(E880)</f>
        <v/>
      </c>
      <c r="K880">
        <f>IF(COUNTIF($A$2:A880,A880)=1,1,0)</f>
        <v/>
      </c>
      <c r="L880">
        <f>IF(K880=1,IF(COUNTIFS($B$2:B880,B880,$I$2:I880,I880,$K$2:K880,1)=1,1,0),0)</f>
        <v/>
      </c>
      <c r="M880">
        <f>IF(Tree!$C$4="once per order",F880*K880,F880)</f>
        <v/>
      </c>
      <c r="N880">
        <f>IF(Tree!$C$4="once per order",K880,1)</f>
        <v/>
      </c>
      <c r="O880">
        <f>IF(Tree!$C$4="once per order",L880,1)</f>
        <v/>
      </c>
    </row>
    <row r="881">
      <c r="A881" t="inlineStr">
        <is>
          <t>KR-00603</t>
        </is>
      </c>
      <c r="B881" t="inlineStr">
        <is>
          <t>C-0271</t>
        </is>
      </c>
      <c r="C881" t="inlineStr">
        <is>
          <t>Business</t>
        </is>
      </c>
      <c r="D881" t="inlineStr">
        <is>
          <t>web</t>
        </is>
      </c>
      <c r="E881" s="7" t="n">
        <v>46275</v>
      </c>
      <c r="F881" t="n">
        <v>367000</v>
      </c>
      <c r="G881" t="n">
        <v>146800</v>
      </c>
      <c r="H881" t="inlineStr">
        <is>
          <t>2026-09-12</t>
        </is>
      </c>
      <c r="I881">
        <f>IF(MONTH(E881)&lt;=6,"Q1","Q2")</f>
        <v/>
      </c>
      <c r="J881">
        <f>YEAR(E881)*100+MONTH(E881)</f>
        <v/>
      </c>
      <c r="K881">
        <f>IF(COUNTIF($A$2:A881,A881)=1,1,0)</f>
        <v/>
      </c>
      <c r="L881">
        <f>IF(K881=1,IF(COUNTIFS($B$2:B881,B881,$I$2:I881,I881,$K$2:K881,1)=1,1,0),0)</f>
        <v/>
      </c>
      <c r="M881">
        <f>IF(Tree!$C$4="once per order",F881*K881,F881)</f>
        <v/>
      </c>
      <c r="N881">
        <f>IF(Tree!$C$4="once per order",K881,1)</f>
        <v/>
      </c>
      <c r="O881">
        <f>IF(Tree!$C$4="once per order",L881,1)</f>
        <v/>
      </c>
    </row>
    <row r="882">
      <c r="A882" t="inlineStr">
        <is>
          <t>KR-00604</t>
        </is>
      </c>
      <c r="B882" t="inlineStr">
        <is>
          <t>C-0284</t>
        </is>
      </c>
      <c r="C882" t="inlineStr">
        <is>
          <t>Business</t>
        </is>
      </c>
      <c r="D882" t="inlineStr">
        <is>
          <t>web</t>
        </is>
      </c>
      <c r="E882" s="7" t="n">
        <v>46225</v>
      </c>
      <c r="F882" t="n">
        <v>1042000</v>
      </c>
      <c r="G882" t="n">
        <v>625200</v>
      </c>
      <c r="H882" t="inlineStr">
        <is>
          <t>2026-07-24</t>
        </is>
      </c>
      <c r="I882">
        <f>IF(MONTH(E882)&lt;=6,"Q1","Q2")</f>
        <v/>
      </c>
      <c r="J882">
        <f>YEAR(E882)*100+MONTH(E882)</f>
        <v/>
      </c>
      <c r="K882">
        <f>IF(COUNTIF($A$2:A882,A882)=1,1,0)</f>
        <v/>
      </c>
      <c r="L882">
        <f>IF(K882=1,IF(COUNTIFS($B$2:B882,B882,$I$2:I882,I882,$K$2:K882,1)=1,1,0),0)</f>
        <v/>
      </c>
      <c r="M882">
        <f>IF(Tree!$C$4="once per order",F882*K882,F882)</f>
        <v/>
      </c>
      <c r="N882">
        <f>IF(Tree!$C$4="once per order",K882,1)</f>
        <v/>
      </c>
      <c r="O882">
        <f>IF(Tree!$C$4="once per order",L882,1)</f>
        <v/>
      </c>
    </row>
    <row r="883">
      <c r="A883" t="inlineStr">
        <is>
          <t>KR-00604</t>
        </is>
      </c>
      <c r="B883" t="inlineStr">
        <is>
          <t>C-0284</t>
        </is>
      </c>
      <c r="C883" t="inlineStr">
        <is>
          <t>Business</t>
        </is>
      </c>
      <c r="D883" t="inlineStr">
        <is>
          <t>web</t>
        </is>
      </c>
      <c r="E883" s="7" t="n">
        <v>46225</v>
      </c>
      <c r="F883" t="n">
        <v>1042000</v>
      </c>
      <c r="G883" t="n">
        <v>416800</v>
      </c>
      <c r="H883" t="inlineStr">
        <is>
          <t>2026-07-24</t>
        </is>
      </c>
      <c r="I883">
        <f>IF(MONTH(E883)&lt;=6,"Q1","Q2")</f>
        <v/>
      </c>
      <c r="J883">
        <f>YEAR(E883)*100+MONTH(E883)</f>
        <v/>
      </c>
      <c r="K883">
        <f>IF(COUNTIF($A$2:A883,A883)=1,1,0)</f>
        <v/>
      </c>
      <c r="L883">
        <f>IF(K883=1,IF(COUNTIFS($B$2:B883,B883,$I$2:I883,I883,$K$2:K883,1)=1,1,0),0)</f>
        <v/>
      </c>
      <c r="M883">
        <f>IF(Tree!$C$4="once per order",F883*K883,F883)</f>
        <v/>
      </c>
      <c r="N883">
        <f>IF(Tree!$C$4="once per order",K883,1)</f>
        <v/>
      </c>
      <c r="O883">
        <f>IF(Tree!$C$4="once per order",L883,1)</f>
        <v/>
      </c>
    </row>
    <row r="884">
      <c r="A884" t="inlineStr">
        <is>
          <t>KR-00605</t>
        </is>
      </c>
      <c r="B884" t="inlineStr">
        <is>
          <t>C-0294</t>
        </is>
      </c>
      <c r="C884" t="inlineStr">
        <is>
          <t>Business</t>
        </is>
      </c>
      <c r="D884" t="inlineStr">
        <is>
          <t>app</t>
        </is>
      </c>
      <c r="E884" s="7" t="n">
        <v>46242</v>
      </c>
      <c r="F884" t="n">
        <v>279000</v>
      </c>
      <c r="G884" t="n">
        <v>167400</v>
      </c>
      <c r="H884" t="inlineStr">
        <is>
          <t>2026-08-10</t>
        </is>
      </c>
      <c r="I884">
        <f>IF(MONTH(E884)&lt;=6,"Q1","Q2")</f>
        <v/>
      </c>
      <c r="J884">
        <f>YEAR(E884)*100+MONTH(E884)</f>
        <v/>
      </c>
      <c r="K884">
        <f>IF(COUNTIF($A$2:A884,A884)=1,1,0)</f>
        <v/>
      </c>
      <c r="L884">
        <f>IF(K884=1,IF(COUNTIFS($B$2:B884,B884,$I$2:I884,I884,$K$2:K884,1)=1,1,0),0)</f>
        <v/>
      </c>
      <c r="M884">
        <f>IF(Tree!$C$4="once per order",F884*K884,F884)</f>
        <v/>
      </c>
      <c r="N884">
        <f>IF(Tree!$C$4="once per order",K884,1)</f>
        <v/>
      </c>
      <c r="O884">
        <f>IF(Tree!$C$4="once per order",L884,1)</f>
        <v/>
      </c>
    </row>
    <row r="885">
      <c r="A885" t="inlineStr">
        <is>
          <t>KR-00605</t>
        </is>
      </c>
      <c r="B885" t="inlineStr">
        <is>
          <t>C-0294</t>
        </is>
      </c>
      <c r="C885" t="inlineStr">
        <is>
          <t>Business</t>
        </is>
      </c>
      <c r="D885" t="inlineStr">
        <is>
          <t>app</t>
        </is>
      </c>
      <c r="E885" s="7" t="n">
        <v>46242</v>
      </c>
      <c r="F885" t="n">
        <v>279000</v>
      </c>
      <c r="G885" t="n">
        <v>111600</v>
      </c>
      <c r="H885" t="inlineStr">
        <is>
          <t>2026-08-10</t>
        </is>
      </c>
      <c r="I885">
        <f>IF(MONTH(E885)&lt;=6,"Q1","Q2")</f>
        <v/>
      </c>
      <c r="J885">
        <f>YEAR(E885)*100+MONTH(E885)</f>
        <v/>
      </c>
      <c r="K885">
        <f>IF(COUNTIF($A$2:A885,A885)=1,1,0)</f>
        <v/>
      </c>
      <c r="L885">
        <f>IF(K885=1,IF(COUNTIFS($B$2:B885,B885,$I$2:I885,I885,$K$2:K885,1)=1,1,0),0)</f>
        <v/>
      </c>
      <c r="M885">
        <f>IF(Tree!$C$4="once per order",F885*K885,F885)</f>
        <v/>
      </c>
      <c r="N885">
        <f>IF(Tree!$C$4="once per order",K885,1)</f>
        <v/>
      </c>
      <c r="O885">
        <f>IF(Tree!$C$4="once per order",L885,1)</f>
        <v/>
      </c>
    </row>
    <row r="886">
      <c r="A886" t="inlineStr">
        <is>
          <t>KR-00606</t>
        </is>
      </c>
      <c r="B886" t="inlineStr">
        <is>
          <t>C-0272</t>
        </is>
      </c>
      <c r="C886" t="inlineStr">
        <is>
          <t>Business</t>
        </is>
      </c>
      <c r="D886" t="inlineStr">
        <is>
          <t>store</t>
        </is>
      </c>
      <c r="E886" s="7" t="n">
        <v>46281</v>
      </c>
      <c r="F886" t="n">
        <v>534000</v>
      </c>
      <c r="G886" t="n">
        <v>320400</v>
      </c>
      <c r="H886" t="inlineStr">
        <is>
          <t>2026-09-18</t>
        </is>
      </c>
      <c r="I886">
        <f>IF(MONTH(E886)&lt;=6,"Q1","Q2")</f>
        <v/>
      </c>
      <c r="J886">
        <f>YEAR(E886)*100+MONTH(E886)</f>
        <v/>
      </c>
      <c r="K886">
        <f>IF(COUNTIF($A$2:A886,A886)=1,1,0)</f>
        <v/>
      </c>
      <c r="L886">
        <f>IF(K886=1,IF(COUNTIFS($B$2:B886,B886,$I$2:I886,I886,$K$2:K886,1)=1,1,0),0)</f>
        <v/>
      </c>
      <c r="M886">
        <f>IF(Tree!$C$4="once per order",F886*K886,F886)</f>
        <v/>
      </c>
      <c r="N886">
        <f>IF(Tree!$C$4="once per order",K886,1)</f>
        <v/>
      </c>
      <c r="O886">
        <f>IF(Tree!$C$4="once per order",L886,1)</f>
        <v/>
      </c>
    </row>
    <row r="887">
      <c r="A887" t="inlineStr">
        <is>
          <t>KR-00606</t>
        </is>
      </c>
      <c r="B887" t="inlineStr">
        <is>
          <t>C-0272</t>
        </is>
      </c>
      <c r="C887" t="inlineStr">
        <is>
          <t>Business</t>
        </is>
      </c>
      <c r="D887" t="inlineStr">
        <is>
          <t>store</t>
        </is>
      </c>
      <c r="E887" s="7" t="n">
        <v>46281</v>
      </c>
      <c r="F887" t="n">
        <v>534000</v>
      </c>
      <c r="G887" t="n">
        <v>213600</v>
      </c>
      <c r="H887" t="inlineStr">
        <is>
          <t>2026-09-18</t>
        </is>
      </c>
      <c r="I887">
        <f>IF(MONTH(E887)&lt;=6,"Q1","Q2")</f>
        <v/>
      </c>
      <c r="J887">
        <f>YEAR(E887)*100+MONTH(E887)</f>
        <v/>
      </c>
      <c r="K887">
        <f>IF(COUNTIF($A$2:A887,A887)=1,1,0)</f>
        <v/>
      </c>
      <c r="L887">
        <f>IF(K887=1,IF(COUNTIFS($B$2:B887,B887,$I$2:I887,I887,$K$2:K887,1)=1,1,0),0)</f>
        <v/>
      </c>
      <c r="M887">
        <f>IF(Tree!$C$4="once per order",F887*K887,F887)</f>
        <v/>
      </c>
      <c r="N887">
        <f>IF(Tree!$C$4="once per order",K887,1)</f>
        <v/>
      </c>
      <c r="O887">
        <f>IF(Tree!$C$4="once per order",L887,1)</f>
        <v/>
      </c>
    </row>
    <row r="888">
      <c r="A888" t="inlineStr">
        <is>
          <t>KR-00607</t>
        </is>
      </c>
      <c r="B888" t="inlineStr">
        <is>
          <t>C-0282</t>
        </is>
      </c>
      <c r="C888" t="inlineStr">
        <is>
          <t>Business</t>
        </is>
      </c>
      <c r="D888" t="inlineStr">
        <is>
          <t>app</t>
        </is>
      </c>
      <c r="E888" s="7" t="n">
        <v>46225</v>
      </c>
      <c r="F888" t="n">
        <v>221000</v>
      </c>
      <c r="G888" t="n">
        <v>132600</v>
      </c>
      <c r="H888" t="inlineStr">
        <is>
          <t>2026-07-24</t>
        </is>
      </c>
      <c r="I888">
        <f>IF(MONTH(E888)&lt;=6,"Q1","Q2")</f>
        <v/>
      </c>
      <c r="J888">
        <f>YEAR(E888)*100+MONTH(E888)</f>
        <v/>
      </c>
      <c r="K888">
        <f>IF(COUNTIF($A$2:A888,A888)=1,1,0)</f>
        <v/>
      </c>
      <c r="L888">
        <f>IF(K888=1,IF(COUNTIFS($B$2:B888,B888,$I$2:I888,I888,$K$2:K888,1)=1,1,0),0)</f>
        <v/>
      </c>
      <c r="M888">
        <f>IF(Tree!$C$4="once per order",F888*K888,F888)</f>
        <v/>
      </c>
      <c r="N888">
        <f>IF(Tree!$C$4="once per order",K888,1)</f>
        <v/>
      </c>
      <c r="O888">
        <f>IF(Tree!$C$4="once per order",L888,1)</f>
        <v/>
      </c>
    </row>
    <row r="889">
      <c r="A889" t="inlineStr">
        <is>
          <t>KR-00607</t>
        </is>
      </c>
      <c r="B889" t="inlineStr">
        <is>
          <t>C-0282</t>
        </is>
      </c>
      <c r="C889" t="inlineStr">
        <is>
          <t>Business</t>
        </is>
      </c>
      <c r="D889" t="inlineStr">
        <is>
          <t>app</t>
        </is>
      </c>
      <c r="E889" s="7" t="n">
        <v>46225</v>
      </c>
      <c r="F889" t="n">
        <v>221000</v>
      </c>
      <c r="G889" t="n">
        <v>88400</v>
      </c>
      <c r="H889" t="inlineStr">
        <is>
          <t>2026-07-24</t>
        </is>
      </c>
      <c r="I889">
        <f>IF(MONTH(E889)&lt;=6,"Q1","Q2")</f>
        <v/>
      </c>
      <c r="J889">
        <f>YEAR(E889)*100+MONTH(E889)</f>
        <v/>
      </c>
      <c r="K889">
        <f>IF(COUNTIF($A$2:A889,A889)=1,1,0)</f>
        <v/>
      </c>
      <c r="L889">
        <f>IF(K889=1,IF(COUNTIFS($B$2:B889,B889,$I$2:I889,I889,$K$2:K889,1)=1,1,0),0)</f>
        <v/>
      </c>
      <c r="M889">
        <f>IF(Tree!$C$4="once per order",F889*K889,F889)</f>
        <v/>
      </c>
      <c r="N889">
        <f>IF(Tree!$C$4="once per order",K889,1)</f>
        <v/>
      </c>
      <c r="O889">
        <f>IF(Tree!$C$4="once per order",L889,1)</f>
        <v/>
      </c>
    </row>
    <row r="890">
      <c r="A890" t="inlineStr">
        <is>
          <t>KR-00608</t>
        </is>
      </c>
      <c r="B890" t="inlineStr">
        <is>
          <t>C-0281</t>
        </is>
      </c>
      <c r="C890" t="inlineStr">
        <is>
          <t>Business</t>
        </is>
      </c>
      <c r="D890" t="inlineStr">
        <is>
          <t>app</t>
        </is>
      </c>
      <c r="E890" s="7" t="n">
        <v>46237</v>
      </c>
      <c r="F890" t="n">
        <v>917000</v>
      </c>
      <c r="G890" t="n">
        <v>550200</v>
      </c>
      <c r="H890" t="inlineStr">
        <is>
          <t>2026-08-05</t>
        </is>
      </c>
      <c r="I890">
        <f>IF(MONTH(E890)&lt;=6,"Q1","Q2")</f>
        <v/>
      </c>
      <c r="J890">
        <f>YEAR(E890)*100+MONTH(E890)</f>
        <v/>
      </c>
      <c r="K890">
        <f>IF(COUNTIF($A$2:A890,A890)=1,1,0)</f>
        <v/>
      </c>
      <c r="L890">
        <f>IF(K890=1,IF(COUNTIFS($B$2:B890,B890,$I$2:I890,I890,$K$2:K890,1)=1,1,0),0)</f>
        <v/>
      </c>
      <c r="M890">
        <f>IF(Tree!$C$4="once per order",F890*K890,F890)</f>
        <v/>
      </c>
      <c r="N890">
        <f>IF(Tree!$C$4="once per order",K890,1)</f>
        <v/>
      </c>
      <c r="O890">
        <f>IF(Tree!$C$4="once per order",L890,1)</f>
        <v/>
      </c>
    </row>
    <row r="891">
      <c r="A891" t="inlineStr">
        <is>
          <t>KR-00608</t>
        </is>
      </c>
      <c r="B891" t="inlineStr">
        <is>
          <t>C-0281</t>
        </is>
      </c>
      <c r="C891" t="inlineStr">
        <is>
          <t>Business</t>
        </is>
      </c>
      <c r="D891" t="inlineStr">
        <is>
          <t>app</t>
        </is>
      </c>
      <c r="E891" s="7" t="n">
        <v>46237</v>
      </c>
      <c r="F891" t="n">
        <v>917000</v>
      </c>
      <c r="G891" t="n">
        <v>366800</v>
      </c>
      <c r="H891" t="inlineStr">
        <is>
          <t>2026-08-05</t>
        </is>
      </c>
      <c r="I891">
        <f>IF(MONTH(E891)&lt;=6,"Q1","Q2")</f>
        <v/>
      </c>
      <c r="J891">
        <f>YEAR(E891)*100+MONTH(E891)</f>
        <v/>
      </c>
      <c r="K891">
        <f>IF(COUNTIF($A$2:A891,A891)=1,1,0)</f>
        <v/>
      </c>
      <c r="L891">
        <f>IF(K891=1,IF(COUNTIFS($B$2:B891,B891,$I$2:I891,I891,$K$2:K891,1)=1,1,0),0)</f>
        <v/>
      </c>
      <c r="M891">
        <f>IF(Tree!$C$4="once per order",F891*K891,F891)</f>
        <v/>
      </c>
      <c r="N891">
        <f>IF(Tree!$C$4="once per order",K891,1)</f>
        <v/>
      </c>
      <c r="O891">
        <f>IF(Tree!$C$4="once per order",L891,1)</f>
        <v/>
      </c>
    </row>
    <row r="892">
      <c r="A892" t="inlineStr">
        <is>
          <t>KR-00609</t>
        </is>
      </c>
      <c r="B892" t="inlineStr">
        <is>
          <t>C-0300</t>
        </is>
      </c>
      <c r="C892" t="inlineStr">
        <is>
          <t>Business</t>
        </is>
      </c>
      <c r="D892" t="inlineStr">
        <is>
          <t>store</t>
        </is>
      </c>
      <c r="E892" s="7" t="n">
        <v>46288</v>
      </c>
      <c r="F892" t="n">
        <v>1258000</v>
      </c>
      <c r="G892" t="n">
        <v>754800</v>
      </c>
      <c r="H892" t="inlineStr">
        <is>
          <t>2026-09-25</t>
        </is>
      </c>
      <c r="I892">
        <f>IF(MONTH(E892)&lt;=6,"Q1","Q2")</f>
        <v/>
      </c>
      <c r="J892">
        <f>YEAR(E892)*100+MONTH(E892)</f>
        <v/>
      </c>
      <c r="K892">
        <f>IF(COUNTIF($A$2:A892,A892)=1,1,0)</f>
        <v/>
      </c>
      <c r="L892">
        <f>IF(K892=1,IF(COUNTIFS($B$2:B892,B892,$I$2:I892,I892,$K$2:K892,1)=1,1,0),0)</f>
        <v/>
      </c>
      <c r="M892">
        <f>IF(Tree!$C$4="once per order",F892*K892,F892)</f>
        <v/>
      </c>
      <c r="N892">
        <f>IF(Tree!$C$4="once per order",K892,1)</f>
        <v/>
      </c>
      <c r="O892">
        <f>IF(Tree!$C$4="once per order",L892,1)</f>
        <v/>
      </c>
    </row>
    <row r="893">
      <c r="A893" t="inlineStr">
        <is>
          <t>KR-00609</t>
        </is>
      </c>
      <c r="B893" t="inlineStr">
        <is>
          <t>C-0300</t>
        </is>
      </c>
      <c r="C893" t="inlineStr">
        <is>
          <t>Business</t>
        </is>
      </c>
      <c r="D893" t="inlineStr">
        <is>
          <t>store</t>
        </is>
      </c>
      <c r="E893" s="7" t="n">
        <v>46288</v>
      </c>
      <c r="F893" t="n">
        <v>1258000</v>
      </c>
      <c r="G893" t="n">
        <v>503200</v>
      </c>
      <c r="H893" t="inlineStr">
        <is>
          <t>2026-09-25</t>
        </is>
      </c>
      <c r="I893">
        <f>IF(MONTH(E893)&lt;=6,"Q1","Q2")</f>
        <v/>
      </c>
      <c r="J893">
        <f>YEAR(E893)*100+MONTH(E893)</f>
        <v/>
      </c>
      <c r="K893">
        <f>IF(COUNTIF($A$2:A893,A893)=1,1,0)</f>
        <v/>
      </c>
      <c r="L893">
        <f>IF(K893=1,IF(COUNTIFS($B$2:B893,B893,$I$2:I893,I893,$K$2:K893,1)=1,1,0),0)</f>
        <v/>
      </c>
      <c r="M893">
        <f>IF(Tree!$C$4="once per order",F893*K893,F893)</f>
        <v/>
      </c>
      <c r="N893">
        <f>IF(Tree!$C$4="once per order",K893,1)</f>
        <v/>
      </c>
      <c r="O893">
        <f>IF(Tree!$C$4="once per order",L893,1)</f>
        <v/>
      </c>
    </row>
    <row r="894">
      <c r="A894" t="inlineStr">
        <is>
          <t>KR-00610</t>
        </is>
      </c>
      <c r="B894" t="inlineStr">
        <is>
          <t>C-0280</t>
        </is>
      </c>
      <c r="C894" t="inlineStr">
        <is>
          <t>Business</t>
        </is>
      </c>
      <c r="D894" t="inlineStr">
        <is>
          <t>web</t>
        </is>
      </c>
      <c r="E894" s="7" t="n">
        <v>46230</v>
      </c>
      <c r="F894" t="n">
        <v>278000</v>
      </c>
      <c r="G894" t="n">
        <v>166800</v>
      </c>
      <c r="H894" t="inlineStr">
        <is>
          <t>2026-07-28</t>
        </is>
      </c>
      <c r="I894">
        <f>IF(MONTH(E894)&lt;=6,"Q1","Q2")</f>
        <v/>
      </c>
      <c r="J894">
        <f>YEAR(E894)*100+MONTH(E894)</f>
        <v/>
      </c>
      <c r="K894">
        <f>IF(COUNTIF($A$2:A894,A894)=1,1,0)</f>
        <v/>
      </c>
      <c r="L894">
        <f>IF(K894=1,IF(COUNTIFS($B$2:B894,B894,$I$2:I894,I894,$K$2:K894,1)=1,1,0),0)</f>
        <v/>
      </c>
      <c r="M894">
        <f>IF(Tree!$C$4="once per order",F894*K894,F894)</f>
        <v/>
      </c>
      <c r="N894">
        <f>IF(Tree!$C$4="once per order",K894,1)</f>
        <v/>
      </c>
      <c r="O894">
        <f>IF(Tree!$C$4="once per order",L894,1)</f>
        <v/>
      </c>
    </row>
    <row r="895">
      <c r="A895" t="inlineStr">
        <is>
          <t>KR-00610</t>
        </is>
      </c>
      <c r="B895" t="inlineStr">
        <is>
          <t>C-0280</t>
        </is>
      </c>
      <c r="C895" t="inlineStr">
        <is>
          <t>Business</t>
        </is>
      </c>
      <c r="D895" t="inlineStr">
        <is>
          <t>web</t>
        </is>
      </c>
      <c r="E895" s="7" t="n">
        <v>46230</v>
      </c>
      <c r="F895" t="n">
        <v>278000</v>
      </c>
      <c r="G895" t="n">
        <v>111200</v>
      </c>
      <c r="H895" t="inlineStr">
        <is>
          <t>2026-07-28</t>
        </is>
      </c>
      <c r="I895">
        <f>IF(MONTH(E895)&lt;=6,"Q1","Q2")</f>
        <v/>
      </c>
      <c r="J895">
        <f>YEAR(E895)*100+MONTH(E895)</f>
        <v/>
      </c>
      <c r="K895">
        <f>IF(COUNTIF($A$2:A895,A895)=1,1,0)</f>
        <v/>
      </c>
      <c r="L895">
        <f>IF(K895=1,IF(COUNTIFS($B$2:B895,B895,$I$2:I895,I895,$K$2:K895,1)=1,1,0),0)</f>
        <v/>
      </c>
      <c r="M895">
        <f>IF(Tree!$C$4="once per order",F895*K895,F895)</f>
        <v/>
      </c>
      <c r="N895">
        <f>IF(Tree!$C$4="once per order",K895,1)</f>
        <v/>
      </c>
      <c r="O895">
        <f>IF(Tree!$C$4="once per order",L895,1)</f>
        <v/>
      </c>
    </row>
    <row r="896">
      <c r="A896" t="inlineStr">
        <is>
          <t>KR-00611</t>
        </is>
      </c>
      <c r="B896" t="inlineStr">
        <is>
          <t>C-0279</t>
        </is>
      </c>
      <c r="C896" t="inlineStr">
        <is>
          <t>Business</t>
        </is>
      </c>
      <c r="D896" t="inlineStr">
        <is>
          <t>web</t>
        </is>
      </c>
      <c r="E896" s="7" t="n">
        <v>46237</v>
      </c>
      <c r="F896" t="n">
        <v>536000</v>
      </c>
      <c r="G896" t="n">
        <v>321600</v>
      </c>
      <c r="H896" t="inlineStr">
        <is>
          <t>2026-08-05</t>
        </is>
      </c>
      <c r="I896">
        <f>IF(MONTH(E896)&lt;=6,"Q1","Q2")</f>
        <v/>
      </c>
      <c r="J896">
        <f>YEAR(E896)*100+MONTH(E896)</f>
        <v/>
      </c>
      <c r="K896">
        <f>IF(COUNTIF($A$2:A896,A896)=1,1,0)</f>
        <v/>
      </c>
      <c r="L896">
        <f>IF(K896=1,IF(COUNTIFS($B$2:B896,B896,$I$2:I896,I896,$K$2:K896,1)=1,1,0),0)</f>
        <v/>
      </c>
      <c r="M896">
        <f>IF(Tree!$C$4="once per order",F896*K896,F896)</f>
        <v/>
      </c>
      <c r="N896">
        <f>IF(Tree!$C$4="once per order",K896,1)</f>
        <v/>
      </c>
      <c r="O896">
        <f>IF(Tree!$C$4="once per order",L896,1)</f>
        <v/>
      </c>
    </row>
    <row r="897">
      <c r="A897" t="inlineStr">
        <is>
          <t>KR-00611</t>
        </is>
      </c>
      <c r="B897" t="inlineStr">
        <is>
          <t>C-0279</t>
        </is>
      </c>
      <c r="C897" t="inlineStr">
        <is>
          <t>Business</t>
        </is>
      </c>
      <c r="D897" t="inlineStr">
        <is>
          <t>web</t>
        </is>
      </c>
      <c r="E897" s="7" t="n">
        <v>46237</v>
      </c>
      <c r="F897" t="n">
        <v>536000</v>
      </c>
      <c r="G897" t="n">
        <v>214400</v>
      </c>
      <c r="H897" t="inlineStr">
        <is>
          <t>2026-08-05</t>
        </is>
      </c>
      <c r="I897">
        <f>IF(MONTH(E897)&lt;=6,"Q1","Q2")</f>
        <v/>
      </c>
      <c r="J897">
        <f>YEAR(E897)*100+MONTH(E897)</f>
        <v/>
      </c>
      <c r="K897">
        <f>IF(COUNTIF($A$2:A897,A897)=1,1,0)</f>
        <v/>
      </c>
      <c r="L897">
        <f>IF(K897=1,IF(COUNTIFS($B$2:B897,B897,$I$2:I897,I897,$K$2:K897,1)=1,1,0),0)</f>
        <v/>
      </c>
      <c r="M897">
        <f>IF(Tree!$C$4="once per order",F897*K897,F897)</f>
        <v/>
      </c>
      <c r="N897">
        <f>IF(Tree!$C$4="once per order",K897,1)</f>
        <v/>
      </c>
      <c r="O897">
        <f>IF(Tree!$C$4="once per order",L897,1)</f>
        <v/>
      </c>
    </row>
    <row r="898">
      <c r="A898" t="inlineStr">
        <is>
          <t>KR-00612</t>
        </is>
      </c>
      <c r="B898" t="inlineStr">
        <is>
          <t>C-0280</t>
        </is>
      </c>
      <c r="C898" t="inlineStr">
        <is>
          <t>Business</t>
        </is>
      </c>
      <c r="D898" t="inlineStr">
        <is>
          <t>web</t>
        </is>
      </c>
      <c r="E898" s="7" t="n">
        <v>46289</v>
      </c>
      <c r="F898" t="n">
        <v>354000</v>
      </c>
      <c r="G898" t="n">
        <v>212400</v>
      </c>
      <c r="H898" t="inlineStr">
        <is>
          <t>2026-09-26</t>
        </is>
      </c>
      <c r="I898">
        <f>IF(MONTH(E898)&lt;=6,"Q1","Q2")</f>
        <v/>
      </c>
      <c r="J898">
        <f>YEAR(E898)*100+MONTH(E898)</f>
        <v/>
      </c>
      <c r="K898">
        <f>IF(COUNTIF($A$2:A898,A898)=1,1,0)</f>
        <v/>
      </c>
      <c r="L898">
        <f>IF(K898=1,IF(COUNTIFS($B$2:B898,B898,$I$2:I898,I898,$K$2:K898,1)=1,1,0),0)</f>
        <v/>
      </c>
      <c r="M898">
        <f>IF(Tree!$C$4="once per order",F898*K898,F898)</f>
        <v/>
      </c>
      <c r="N898">
        <f>IF(Tree!$C$4="once per order",K898,1)</f>
        <v/>
      </c>
      <c r="O898">
        <f>IF(Tree!$C$4="once per order",L898,1)</f>
        <v/>
      </c>
    </row>
    <row r="899">
      <c r="A899" t="inlineStr">
        <is>
          <t>KR-00612</t>
        </is>
      </c>
      <c r="B899" t="inlineStr">
        <is>
          <t>C-0280</t>
        </is>
      </c>
      <c r="C899" t="inlineStr">
        <is>
          <t>Business</t>
        </is>
      </c>
      <c r="D899" t="inlineStr">
        <is>
          <t>web</t>
        </is>
      </c>
      <c r="E899" s="7" t="n">
        <v>46289</v>
      </c>
      <c r="F899" t="n">
        <v>354000</v>
      </c>
      <c r="G899" t="n">
        <v>141600</v>
      </c>
      <c r="H899" t="inlineStr">
        <is>
          <t>2026-09-26</t>
        </is>
      </c>
      <c r="I899">
        <f>IF(MONTH(E899)&lt;=6,"Q1","Q2")</f>
        <v/>
      </c>
      <c r="J899">
        <f>YEAR(E899)*100+MONTH(E899)</f>
        <v/>
      </c>
      <c r="K899">
        <f>IF(COUNTIF($A$2:A899,A899)=1,1,0)</f>
        <v/>
      </c>
      <c r="L899">
        <f>IF(K899=1,IF(COUNTIFS($B$2:B899,B899,$I$2:I899,I899,$K$2:K899,1)=1,1,0),0)</f>
        <v/>
      </c>
      <c r="M899">
        <f>IF(Tree!$C$4="once per order",F899*K899,F899)</f>
        <v/>
      </c>
      <c r="N899">
        <f>IF(Tree!$C$4="once per order",K899,1)</f>
        <v/>
      </c>
      <c r="O899">
        <f>IF(Tree!$C$4="once per order",L899,1)</f>
        <v/>
      </c>
    </row>
    <row r="900">
      <c r="A900" t="inlineStr">
        <is>
          <t>KR-00613</t>
        </is>
      </c>
      <c r="B900" t="inlineStr">
        <is>
          <t>C-0308</t>
        </is>
      </c>
      <c r="C900" t="inlineStr">
        <is>
          <t>Business</t>
        </is>
      </c>
      <c r="D900" t="inlineStr">
        <is>
          <t>web</t>
        </is>
      </c>
      <c r="E900" s="7" t="n">
        <v>46222</v>
      </c>
      <c r="F900" t="n">
        <v>212000</v>
      </c>
      <c r="G900" t="n">
        <v>127200</v>
      </c>
      <c r="H900" t="inlineStr">
        <is>
          <t>2026-07-21</t>
        </is>
      </c>
      <c r="I900">
        <f>IF(MONTH(E900)&lt;=6,"Q1","Q2")</f>
        <v/>
      </c>
      <c r="J900">
        <f>YEAR(E900)*100+MONTH(E900)</f>
        <v/>
      </c>
      <c r="K900">
        <f>IF(COUNTIF($A$2:A900,A900)=1,1,0)</f>
        <v/>
      </c>
      <c r="L900">
        <f>IF(K900=1,IF(COUNTIFS($B$2:B900,B900,$I$2:I900,I900,$K$2:K900,1)=1,1,0),0)</f>
        <v/>
      </c>
      <c r="M900">
        <f>IF(Tree!$C$4="once per order",F900*K900,F900)</f>
        <v/>
      </c>
      <c r="N900">
        <f>IF(Tree!$C$4="once per order",K900,1)</f>
        <v/>
      </c>
      <c r="O900">
        <f>IF(Tree!$C$4="once per order",L900,1)</f>
        <v/>
      </c>
    </row>
    <row r="901">
      <c r="A901" t="inlineStr">
        <is>
          <t>KR-00613</t>
        </is>
      </c>
      <c r="B901" t="inlineStr">
        <is>
          <t>C-0308</t>
        </is>
      </c>
      <c r="C901" t="inlineStr">
        <is>
          <t>Business</t>
        </is>
      </c>
      <c r="D901" t="inlineStr">
        <is>
          <t>web</t>
        </is>
      </c>
      <c r="E901" s="7" t="n">
        <v>46222</v>
      </c>
      <c r="F901" t="n">
        <v>212000</v>
      </c>
      <c r="G901" t="n">
        <v>84800</v>
      </c>
      <c r="H901" t="inlineStr">
        <is>
          <t>2026-07-21</t>
        </is>
      </c>
      <c r="I901">
        <f>IF(MONTH(E901)&lt;=6,"Q1","Q2")</f>
        <v/>
      </c>
      <c r="J901">
        <f>YEAR(E901)*100+MONTH(E901)</f>
        <v/>
      </c>
      <c r="K901">
        <f>IF(COUNTIF($A$2:A901,A901)=1,1,0)</f>
        <v/>
      </c>
      <c r="L901">
        <f>IF(K901=1,IF(COUNTIFS($B$2:B901,B901,$I$2:I901,I901,$K$2:K901,1)=1,1,0),0)</f>
        <v/>
      </c>
      <c r="M901">
        <f>IF(Tree!$C$4="once per order",F901*K901,F901)</f>
        <v/>
      </c>
      <c r="N901">
        <f>IF(Tree!$C$4="once per order",K901,1)</f>
        <v/>
      </c>
      <c r="O901">
        <f>IF(Tree!$C$4="once per order",L901,1)</f>
        <v/>
      </c>
    </row>
    <row r="902">
      <c r="A902" t="inlineStr">
        <is>
          <t>KR-00614</t>
        </is>
      </c>
      <c r="B902" t="inlineStr">
        <is>
          <t>C-0307</t>
        </is>
      </c>
      <c r="C902" t="inlineStr">
        <is>
          <t>Business</t>
        </is>
      </c>
      <c r="D902" t="inlineStr">
        <is>
          <t>web</t>
        </is>
      </c>
      <c r="E902" s="7" t="n">
        <v>46252</v>
      </c>
      <c r="F902" t="n">
        <v>409000</v>
      </c>
      <c r="G902" t="n">
        <v>245400</v>
      </c>
      <c r="H902" t="inlineStr">
        <is>
          <t>2026-08-20</t>
        </is>
      </c>
      <c r="I902">
        <f>IF(MONTH(E902)&lt;=6,"Q1","Q2")</f>
        <v/>
      </c>
      <c r="J902">
        <f>YEAR(E902)*100+MONTH(E902)</f>
        <v/>
      </c>
      <c r="K902">
        <f>IF(COUNTIF($A$2:A902,A902)=1,1,0)</f>
        <v/>
      </c>
      <c r="L902">
        <f>IF(K902=1,IF(COUNTIFS($B$2:B902,B902,$I$2:I902,I902,$K$2:K902,1)=1,1,0),0)</f>
        <v/>
      </c>
      <c r="M902">
        <f>IF(Tree!$C$4="once per order",F902*K902,F902)</f>
        <v/>
      </c>
      <c r="N902">
        <f>IF(Tree!$C$4="once per order",K902,1)</f>
        <v/>
      </c>
      <c r="O902">
        <f>IF(Tree!$C$4="once per order",L902,1)</f>
        <v/>
      </c>
    </row>
    <row r="903">
      <c r="A903" t="inlineStr">
        <is>
          <t>KR-00614</t>
        </is>
      </c>
      <c r="B903" t="inlineStr">
        <is>
          <t>C-0307</t>
        </is>
      </c>
      <c r="C903" t="inlineStr">
        <is>
          <t>Business</t>
        </is>
      </c>
      <c r="D903" t="inlineStr">
        <is>
          <t>web</t>
        </is>
      </c>
      <c r="E903" s="7" t="n">
        <v>46252</v>
      </c>
      <c r="F903" t="n">
        <v>409000</v>
      </c>
      <c r="G903" t="n">
        <v>163600</v>
      </c>
      <c r="H903" t="inlineStr">
        <is>
          <t>2026-08-20</t>
        </is>
      </c>
      <c r="I903">
        <f>IF(MONTH(E903)&lt;=6,"Q1","Q2")</f>
        <v/>
      </c>
      <c r="J903">
        <f>YEAR(E903)*100+MONTH(E903)</f>
        <v/>
      </c>
      <c r="K903">
        <f>IF(COUNTIF($A$2:A903,A903)=1,1,0)</f>
        <v/>
      </c>
      <c r="L903">
        <f>IF(K903=1,IF(COUNTIFS($B$2:B903,B903,$I$2:I903,I903,$K$2:K903,1)=1,1,0),0)</f>
        <v/>
      </c>
      <c r="M903">
        <f>IF(Tree!$C$4="once per order",F903*K903,F903)</f>
        <v/>
      </c>
      <c r="N903">
        <f>IF(Tree!$C$4="once per order",K903,1)</f>
        <v/>
      </c>
      <c r="O903">
        <f>IF(Tree!$C$4="once per order",L903,1)</f>
        <v/>
      </c>
    </row>
    <row r="904">
      <c r="A904" t="inlineStr">
        <is>
          <t>KR-00615</t>
        </is>
      </c>
      <c r="B904" t="inlineStr">
        <is>
          <t>C-0284</t>
        </is>
      </c>
      <c r="C904" t="inlineStr">
        <is>
          <t>Business</t>
        </is>
      </c>
      <c r="D904" t="inlineStr">
        <is>
          <t>web</t>
        </is>
      </c>
      <c r="E904" s="7" t="n">
        <v>46282</v>
      </c>
      <c r="F904" t="n">
        <v>636000</v>
      </c>
      <c r="G904" t="n">
        <v>381600</v>
      </c>
      <c r="H904" t="inlineStr">
        <is>
          <t>2026-09-19</t>
        </is>
      </c>
      <c r="I904">
        <f>IF(MONTH(E904)&lt;=6,"Q1","Q2")</f>
        <v/>
      </c>
      <c r="J904">
        <f>YEAR(E904)*100+MONTH(E904)</f>
        <v/>
      </c>
      <c r="K904">
        <f>IF(COUNTIF($A$2:A904,A904)=1,1,0)</f>
        <v/>
      </c>
      <c r="L904">
        <f>IF(K904=1,IF(COUNTIFS($B$2:B904,B904,$I$2:I904,I904,$K$2:K904,1)=1,1,0),0)</f>
        <v/>
      </c>
      <c r="M904">
        <f>IF(Tree!$C$4="once per order",F904*K904,F904)</f>
        <v/>
      </c>
      <c r="N904">
        <f>IF(Tree!$C$4="once per order",K904,1)</f>
        <v/>
      </c>
      <c r="O904">
        <f>IF(Tree!$C$4="once per order",L904,1)</f>
        <v/>
      </c>
    </row>
    <row r="905">
      <c r="A905" t="inlineStr">
        <is>
          <t>KR-00615</t>
        </is>
      </c>
      <c r="B905" t="inlineStr">
        <is>
          <t>C-0284</t>
        </is>
      </c>
      <c r="C905" t="inlineStr">
        <is>
          <t>Business</t>
        </is>
      </c>
      <c r="D905" t="inlineStr">
        <is>
          <t>web</t>
        </is>
      </c>
      <c r="E905" s="7" t="n">
        <v>46282</v>
      </c>
      <c r="F905" t="n">
        <v>636000</v>
      </c>
      <c r="G905" t="n">
        <v>254400</v>
      </c>
      <c r="H905" t="inlineStr">
        <is>
          <t>2026-09-19</t>
        </is>
      </c>
      <c r="I905">
        <f>IF(MONTH(E905)&lt;=6,"Q1","Q2")</f>
        <v/>
      </c>
      <c r="J905">
        <f>YEAR(E905)*100+MONTH(E905)</f>
        <v/>
      </c>
      <c r="K905">
        <f>IF(COUNTIF($A$2:A905,A905)=1,1,0)</f>
        <v/>
      </c>
      <c r="L905">
        <f>IF(K905=1,IF(COUNTIFS($B$2:B905,B905,$I$2:I905,I905,$K$2:K905,1)=1,1,0),0)</f>
        <v/>
      </c>
      <c r="M905">
        <f>IF(Tree!$C$4="once per order",F905*K905,F905)</f>
        <v/>
      </c>
      <c r="N905">
        <f>IF(Tree!$C$4="once per order",K905,1)</f>
        <v/>
      </c>
      <c r="O905">
        <f>IF(Tree!$C$4="once per order",L905,1)</f>
        <v/>
      </c>
    </row>
    <row r="906">
      <c r="A906" t="inlineStr">
        <is>
          <t>KR-00616</t>
        </is>
      </c>
      <c r="B906" t="inlineStr">
        <is>
          <t>C-0296</t>
        </is>
      </c>
      <c r="C906" t="inlineStr">
        <is>
          <t>Business</t>
        </is>
      </c>
      <c r="D906" t="inlineStr">
        <is>
          <t>app</t>
        </is>
      </c>
      <c r="E906" s="7" t="n">
        <v>46224</v>
      </c>
      <c r="F906" t="n">
        <v>230000</v>
      </c>
      <c r="G906" t="n">
        <v>138000</v>
      </c>
      <c r="H906" t="inlineStr">
        <is>
          <t>2026-07-23</t>
        </is>
      </c>
      <c r="I906">
        <f>IF(MONTH(E906)&lt;=6,"Q1","Q2")</f>
        <v/>
      </c>
      <c r="J906">
        <f>YEAR(E906)*100+MONTH(E906)</f>
        <v/>
      </c>
      <c r="K906">
        <f>IF(COUNTIF($A$2:A906,A906)=1,1,0)</f>
        <v/>
      </c>
      <c r="L906">
        <f>IF(K906=1,IF(COUNTIFS($B$2:B906,B906,$I$2:I906,I906,$K$2:K906,1)=1,1,0),0)</f>
        <v/>
      </c>
      <c r="M906">
        <f>IF(Tree!$C$4="once per order",F906*K906,F906)</f>
        <v/>
      </c>
      <c r="N906">
        <f>IF(Tree!$C$4="once per order",K906,1)</f>
        <v/>
      </c>
      <c r="O906">
        <f>IF(Tree!$C$4="once per order",L906,1)</f>
        <v/>
      </c>
    </row>
    <row r="907">
      <c r="A907" t="inlineStr">
        <is>
          <t>KR-00616</t>
        </is>
      </c>
      <c r="B907" t="inlineStr">
        <is>
          <t>C-0296</t>
        </is>
      </c>
      <c r="C907" t="inlineStr">
        <is>
          <t>Business</t>
        </is>
      </c>
      <c r="D907" t="inlineStr">
        <is>
          <t>app</t>
        </is>
      </c>
      <c r="E907" s="7" t="n">
        <v>46224</v>
      </c>
      <c r="F907" t="n">
        <v>230000</v>
      </c>
      <c r="G907" t="n">
        <v>92000</v>
      </c>
      <c r="H907" t="inlineStr">
        <is>
          <t>2026-07-23</t>
        </is>
      </c>
      <c r="I907">
        <f>IF(MONTH(E907)&lt;=6,"Q1","Q2")</f>
        <v/>
      </c>
      <c r="J907">
        <f>YEAR(E907)*100+MONTH(E907)</f>
        <v/>
      </c>
      <c r="K907">
        <f>IF(COUNTIF($A$2:A907,A907)=1,1,0)</f>
        <v/>
      </c>
      <c r="L907">
        <f>IF(K907=1,IF(COUNTIFS($B$2:B907,B907,$I$2:I907,I907,$K$2:K907,1)=1,1,0),0)</f>
        <v/>
      </c>
      <c r="M907">
        <f>IF(Tree!$C$4="once per order",F907*K907,F907)</f>
        <v/>
      </c>
      <c r="N907">
        <f>IF(Tree!$C$4="once per order",K907,1)</f>
        <v/>
      </c>
      <c r="O907">
        <f>IF(Tree!$C$4="once per order",L907,1)</f>
        <v/>
      </c>
    </row>
    <row r="908">
      <c r="A908" t="inlineStr">
        <is>
          <t>KR-00617</t>
        </is>
      </c>
      <c r="B908" t="inlineStr">
        <is>
          <t>C-0293</t>
        </is>
      </c>
      <c r="C908" t="inlineStr">
        <is>
          <t>Business</t>
        </is>
      </c>
      <c r="D908" t="inlineStr">
        <is>
          <t>web</t>
        </is>
      </c>
      <c r="E908" s="7" t="n">
        <v>46235</v>
      </c>
      <c r="F908" t="n">
        <v>1352000</v>
      </c>
      <c r="G908" t="n">
        <v>811200</v>
      </c>
      <c r="H908" t="inlineStr">
        <is>
          <t>2026-08-03</t>
        </is>
      </c>
      <c r="I908">
        <f>IF(MONTH(E908)&lt;=6,"Q1","Q2")</f>
        <v/>
      </c>
      <c r="J908">
        <f>YEAR(E908)*100+MONTH(E908)</f>
        <v/>
      </c>
      <c r="K908">
        <f>IF(COUNTIF($A$2:A908,A908)=1,1,0)</f>
        <v/>
      </c>
      <c r="L908">
        <f>IF(K908=1,IF(COUNTIFS($B$2:B908,B908,$I$2:I908,I908,$K$2:K908,1)=1,1,0),0)</f>
        <v/>
      </c>
      <c r="M908">
        <f>IF(Tree!$C$4="once per order",F908*K908,F908)</f>
        <v/>
      </c>
      <c r="N908">
        <f>IF(Tree!$C$4="once per order",K908,1)</f>
        <v/>
      </c>
      <c r="O908">
        <f>IF(Tree!$C$4="once per order",L908,1)</f>
        <v/>
      </c>
    </row>
    <row r="909">
      <c r="A909" t="inlineStr">
        <is>
          <t>KR-00617</t>
        </is>
      </c>
      <c r="B909" t="inlineStr">
        <is>
          <t>C-0293</t>
        </is>
      </c>
      <c r="C909" t="inlineStr">
        <is>
          <t>Business</t>
        </is>
      </c>
      <c r="D909" t="inlineStr">
        <is>
          <t>web</t>
        </is>
      </c>
      <c r="E909" s="7" t="n">
        <v>46235</v>
      </c>
      <c r="F909" t="n">
        <v>1352000</v>
      </c>
      <c r="G909" t="n">
        <v>540800</v>
      </c>
      <c r="H909" t="inlineStr">
        <is>
          <t>2026-08-03</t>
        </is>
      </c>
      <c r="I909">
        <f>IF(MONTH(E909)&lt;=6,"Q1","Q2")</f>
        <v/>
      </c>
      <c r="J909">
        <f>YEAR(E909)*100+MONTH(E909)</f>
        <v/>
      </c>
      <c r="K909">
        <f>IF(COUNTIF($A$2:A909,A909)=1,1,0)</f>
        <v/>
      </c>
      <c r="L909">
        <f>IF(K909=1,IF(COUNTIFS($B$2:B909,B909,$I$2:I909,I909,$K$2:K909,1)=1,1,0),0)</f>
        <v/>
      </c>
      <c r="M909">
        <f>IF(Tree!$C$4="once per order",F909*K909,F909)</f>
        <v/>
      </c>
      <c r="N909">
        <f>IF(Tree!$C$4="once per order",K909,1)</f>
        <v/>
      </c>
      <c r="O909">
        <f>IF(Tree!$C$4="once per order",L909,1)</f>
        <v/>
      </c>
    </row>
    <row r="910">
      <c r="A910" t="inlineStr">
        <is>
          <t>KR-00618</t>
        </is>
      </c>
      <c r="B910" t="inlineStr">
        <is>
          <t>C-0287</t>
        </is>
      </c>
      <c r="C910" t="inlineStr">
        <is>
          <t>Business</t>
        </is>
      </c>
      <c r="D910" t="inlineStr">
        <is>
          <t>web</t>
        </is>
      </c>
      <c r="E910" s="7" t="n">
        <v>46283</v>
      </c>
      <c r="F910" t="n">
        <v>1168000</v>
      </c>
      <c r="G910" t="n">
        <v>700800</v>
      </c>
      <c r="H910" t="inlineStr">
        <is>
          <t>2026-09-20</t>
        </is>
      </c>
      <c r="I910">
        <f>IF(MONTH(E910)&lt;=6,"Q1","Q2")</f>
        <v/>
      </c>
      <c r="J910">
        <f>YEAR(E910)*100+MONTH(E910)</f>
        <v/>
      </c>
      <c r="K910">
        <f>IF(COUNTIF($A$2:A910,A910)=1,1,0)</f>
        <v/>
      </c>
      <c r="L910">
        <f>IF(K910=1,IF(COUNTIFS($B$2:B910,B910,$I$2:I910,I910,$K$2:K910,1)=1,1,0),0)</f>
        <v/>
      </c>
      <c r="M910">
        <f>IF(Tree!$C$4="once per order",F910*K910,F910)</f>
        <v/>
      </c>
      <c r="N910">
        <f>IF(Tree!$C$4="once per order",K910,1)</f>
        <v/>
      </c>
      <c r="O910">
        <f>IF(Tree!$C$4="once per order",L910,1)</f>
        <v/>
      </c>
    </row>
    <row r="911">
      <c r="A911" t="inlineStr">
        <is>
          <t>KR-00618</t>
        </is>
      </c>
      <c r="B911" t="inlineStr">
        <is>
          <t>C-0287</t>
        </is>
      </c>
      <c r="C911" t="inlineStr">
        <is>
          <t>Business</t>
        </is>
      </c>
      <c r="D911" t="inlineStr">
        <is>
          <t>web</t>
        </is>
      </c>
      <c r="E911" s="7" t="n">
        <v>46283</v>
      </c>
      <c r="F911" t="n">
        <v>1168000</v>
      </c>
      <c r="G911" t="n">
        <v>467200</v>
      </c>
      <c r="H911" t="inlineStr">
        <is>
          <t>2026-09-20</t>
        </is>
      </c>
      <c r="I911">
        <f>IF(MONTH(E911)&lt;=6,"Q1","Q2")</f>
        <v/>
      </c>
      <c r="J911">
        <f>YEAR(E911)*100+MONTH(E911)</f>
        <v/>
      </c>
      <c r="K911">
        <f>IF(COUNTIF($A$2:A911,A911)=1,1,0)</f>
        <v/>
      </c>
      <c r="L911">
        <f>IF(K911=1,IF(COUNTIFS($B$2:B911,B911,$I$2:I911,I911,$K$2:K911,1)=1,1,0),0)</f>
        <v/>
      </c>
      <c r="M911">
        <f>IF(Tree!$C$4="once per order",F911*K911,F911)</f>
        <v/>
      </c>
      <c r="N911">
        <f>IF(Tree!$C$4="once per order",K911,1)</f>
        <v/>
      </c>
      <c r="O911">
        <f>IF(Tree!$C$4="once per order",L911,1)</f>
        <v/>
      </c>
    </row>
    <row r="912">
      <c r="A912" t="inlineStr">
        <is>
          <t>KR-00619</t>
        </is>
      </c>
      <c r="B912" t="inlineStr">
        <is>
          <t>C-0293</t>
        </is>
      </c>
      <c r="C912" t="inlineStr">
        <is>
          <t>Business</t>
        </is>
      </c>
      <c r="D912" t="inlineStr">
        <is>
          <t>store</t>
        </is>
      </c>
      <c r="E912" s="7" t="n">
        <v>46215</v>
      </c>
      <c r="F912" t="n">
        <v>1290000</v>
      </c>
      <c r="G912" t="n">
        <v>774000</v>
      </c>
      <c r="H912" t="inlineStr">
        <is>
          <t>2026-07-14</t>
        </is>
      </c>
      <c r="I912">
        <f>IF(MONTH(E912)&lt;=6,"Q1","Q2")</f>
        <v/>
      </c>
      <c r="J912">
        <f>YEAR(E912)*100+MONTH(E912)</f>
        <v/>
      </c>
      <c r="K912">
        <f>IF(COUNTIF($A$2:A912,A912)=1,1,0)</f>
        <v/>
      </c>
      <c r="L912">
        <f>IF(K912=1,IF(COUNTIFS($B$2:B912,B912,$I$2:I912,I912,$K$2:K912,1)=1,1,0),0)</f>
        <v/>
      </c>
      <c r="M912">
        <f>IF(Tree!$C$4="once per order",F912*K912,F912)</f>
        <v/>
      </c>
      <c r="N912">
        <f>IF(Tree!$C$4="once per order",K912,1)</f>
        <v/>
      </c>
      <c r="O912">
        <f>IF(Tree!$C$4="once per order",L912,1)</f>
        <v/>
      </c>
    </row>
    <row r="913">
      <c r="A913" t="inlineStr">
        <is>
          <t>KR-00619</t>
        </is>
      </c>
      <c r="B913" t="inlineStr">
        <is>
          <t>C-0293</t>
        </is>
      </c>
      <c r="C913" t="inlineStr">
        <is>
          <t>Business</t>
        </is>
      </c>
      <c r="D913" t="inlineStr">
        <is>
          <t>store</t>
        </is>
      </c>
      <c r="E913" s="7" t="n">
        <v>46215</v>
      </c>
      <c r="F913" t="n">
        <v>1290000</v>
      </c>
      <c r="G913" t="n">
        <v>516000</v>
      </c>
      <c r="H913" t="inlineStr">
        <is>
          <t>2026-07-14</t>
        </is>
      </c>
      <c r="I913">
        <f>IF(MONTH(E913)&lt;=6,"Q1","Q2")</f>
        <v/>
      </c>
      <c r="J913">
        <f>YEAR(E913)*100+MONTH(E913)</f>
        <v/>
      </c>
      <c r="K913">
        <f>IF(COUNTIF($A$2:A913,A913)=1,1,0)</f>
        <v/>
      </c>
      <c r="L913">
        <f>IF(K913=1,IF(COUNTIFS($B$2:B913,B913,$I$2:I913,I913,$K$2:K913,1)=1,1,0),0)</f>
        <v/>
      </c>
      <c r="M913">
        <f>IF(Tree!$C$4="once per order",F913*K913,F913)</f>
        <v/>
      </c>
      <c r="N913">
        <f>IF(Tree!$C$4="once per order",K913,1)</f>
        <v/>
      </c>
      <c r="O913">
        <f>IF(Tree!$C$4="once per order",L913,1)</f>
        <v/>
      </c>
    </row>
    <row r="914">
      <c r="A914" t="inlineStr">
        <is>
          <t>KR-00620</t>
        </is>
      </c>
      <c r="B914" t="inlineStr">
        <is>
          <t>C-0274</t>
        </is>
      </c>
      <c r="C914" t="inlineStr">
        <is>
          <t>Business</t>
        </is>
      </c>
      <c r="D914" t="inlineStr">
        <is>
          <t>store</t>
        </is>
      </c>
      <c r="E914" s="7" t="n">
        <v>46252</v>
      </c>
      <c r="F914" t="n">
        <v>1074000</v>
      </c>
      <c r="G914" t="n">
        <v>644400</v>
      </c>
      <c r="H914" t="inlineStr">
        <is>
          <t>2026-08-20</t>
        </is>
      </c>
      <c r="I914">
        <f>IF(MONTH(E914)&lt;=6,"Q1","Q2")</f>
        <v/>
      </c>
      <c r="J914">
        <f>YEAR(E914)*100+MONTH(E914)</f>
        <v/>
      </c>
      <c r="K914">
        <f>IF(COUNTIF($A$2:A914,A914)=1,1,0)</f>
        <v/>
      </c>
      <c r="L914">
        <f>IF(K914=1,IF(COUNTIFS($B$2:B914,B914,$I$2:I914,I914,$K$2:K914,1)=1,1,0),0)</f>
        <v/>
      </c>
      <c r="M914">
        <f>IF(Tree!$C$4="once per order",F914*K914,F914)</f>
        <v/>
      </c>
      <c r="N914">
        <f>IF(Tree!$C$4="once per order",K914,1)</f>
        <v/>
      </c>
      <c r="O914">
        <f>IF(Tree!$C$4="once per order",L914,1)</f>
        <v/>
      </c>
    </row>
    <row r="915">
      <c r="A915" t="inlineStr">
        <is>
          <t>KR-00620</t>
        </is>
      </c>
      <c r="B915" t="inlineStr">
        <is>
          <t>C-0274</t>
        </is>
      </c>
      <c r="C915" t="inlineStr">
        <is>
          <t>Business</t>
        </is>
      </c>
      <c r="D915" t="inlineStr">
        <is>
          <t>store</t>
        </is>
      </c>
      <c r="E915" s="7" t="n">
        <v>46252</v>
      </c>
      <c r="F915" t="n">
        <v>1074000</v>
      </c>
      <c r="G915" t="n">
        <v>429600</v>
      </c>
      <c r="H915" t="inlineStr">
        <is>
          <t>2026-08-20</t>
        </is>
      </c>
      <c r="I915">
        <f>IF(MONTH(E915)&lt;=6,"Q1","Q2")</f>
        <v/>
      </c>
      <c r="J915">
        <f>YEAR(E915)*100+MONTH(E915)</f>
        <v/>
      </c>
      <c r="K915">
        <f>IF(COUNTIF($A$2:A915,A915)=1,1,0)</f>
        <v/>
      </c>
      <c r="L915">
        <f>IF(K915=1,IF(COUNTIFS($B$2:B915,B915,$I$2:I915,I915,$K$2:K915,1)=1,1,0),0)</f>
        <v/>
      </c>
      <c r="M915">
        <f>IF(Tree!$C$4="once per order",F915*K915,F915)</f>
        <v/>
      </c>
      <c r="N915">
        <f>IF(Tree!$C$4="once per order",K915,1)</f>
        <v/>
      </c>
      <c r="O915">
        <f>IF(Tree!$C$4="once per order",L915,1)</f>
        <v/>
      </c>
    </row>
    <row r="916">
      <c r="A916" t="inlineStr">
        <is>
          <t>KR-00621</t>
        </is>
      </c>
      <c r="B916" t="inlineStr">
        <is>
          <t>C-0273</t>
        </is>
      </c>
      <c r="C916" t="inlineStr">
        <is>
          <t>Business</t>
        </is>
      </c>
      <c r="D916" t="inlineStr">
        <is>
          <t>store</t>
        </is>
      </c>
      <c r="E916" s="7" t="n">
        <v>46288</v>
      </c>
      <c r="F916" t="n">
        <v>913000</v>
      </c>
      <c r="G916" t="n">
        <v>547800</v>
      </c>
      <c r="H916" t="inlineStr">
        <is>
          <t>2026-09-25</t>
        </is>
      </c>
      <c r="I916">
        <f>IF(MONTH(E916)&lt;=6,"Q1","Q2")</f>
        <v/>
      </c>
      <c r="J916">
        <f>YEAR(E916)*100+MONTH(E916)</f>
        <v/>
      </c>
      <c r="K916">
        <f>IF(COUNTIF($A$2:A916,A916)=1,1,0)</f>
        <v/>
      </c>
      <c r="L916">
        <f>IF(K916=1,IF(COUNTIFS($B$2:B916,B916,$I$2:I916,I916,$K$2:K916,1)=1,1,0),0)</f>
        <v/>
      </c>
      <c r="M916">
        <f>IF(Tree!$C$4="once per order",F916*K916,F916)</f>
        <v/>
      </c>
      <c r="N916">
        <f>IF(Tree!$C$4="once per order",K916,1)</f>
        <v/>
      </c>
      <c r="O916">
        <f>IF(Tree!$C$4="once per order",L916,1)</f>
        <v/>
      </c>
    </row>
    <row r="917">
      <c r="A917" t="inlineStr">
        <is>
          <t>KR-00621</t>
        </is>
      </c>
      <c r="B917" t="inlineStr">
        <is>
          <t>C-0273</t>
        </is>
      </c>
      <c r="C917" t="inlineStr">
        <is>
          <t>Business</t>
        </is>
      </c>
      <c r="D917" t="inlineStr">
        <is>
          <t>store</t>
        </is>
      </c>
      <c r="E917" s="7" t="n">
        <v>46288</v>
      </c>
      <c r="F917" t="n">
        <v>913000</v>
      </c>
      <c r="G917" t="n">
        <v>365200</v>
      </c>
      <c r="H917" t="inlineStr">
        <is>
          <t>2026-09-25</t>
        </is>
      </c>
      <c r="I917">
        <f>IF(MONTH(E917)&lt;=6,"Q1","Q2")</f>
        <v/>
      </c>
      <c r="J917">
        <f>YEAR(E917)*100+MONTH(E917)</f>
        <v/>
      </c>
      <c r="K917">
        <f>IF(COUNTIF($A$2:A917,A917)=1,1,0)</f>
        <v/>
      </c>
      <c r="L917">
        <f>IF(K917=1,IF(COUNTIFS($B$2:B917,B917,$I$2:I917,I917,$K$2:K917,1)=1,1,0),0)</f>
        <v/>
      </c>
      <c r="M917">
        <f>IF(Tree!$C$4="once per order",F917*K917,F917)</f>
        <v/>
      </c>
      <c r="N917">
        <f>IF(Tree!$C$4="once per order",K917,1)</f>
        <v/>
      </c>
      <c r="O917">
        <f>IF(Tree!$C$4="once per order",L917,1)</f>
        <v/>
      </c>
    </row>
    <row r="918">
      <c r="A918" t="inlineStr">
        <is>
          <t>KR-00622</t>
        </is>
      </c>
      <c r="B918" t="inlineStr">
        <is>
          <t>C-0295</t>
        </is>
      </c>
      <c r="C918" t="inlineStr">
        <is>
          <t>Business</t>
        </is>
      </c>
      <c r="D918" t="inlineStr">
        <is>
          <t>store</t>
        </is>
      </c>
      <c r="E918" s="7" t="n">
        <v>46219</v>
      </c>
      <c r="F918" t="n">
        <v>1312000</v>
      </c>
      <c r="G918" t="n">
        <v>787200</v>
      </c>
      <c r="H918" t="inlineStr">
        <is>
          <t>2026-07-18</t>
        </is>
      </c>
      <c r="I918">
        <f>IF(MONTH(E918)&lt;=6,"Q1","Q2")</f>
        <v/>
      </c>
      <c r="J918">
        <f>YEAR(E918)*100+MONTH(E918)</f>
        <v/>
      </c>
      <c r="K918">
        <f>IF(COUNTIF($A$2:A918,A918)=1,1,0)</f>
        <v/>
      </c>
      <c r="L918">
        <f>IF(K918=1,IF(COUNTIFS($B$2:B918,B918,$I$2:I918,I918,$K$2:K918,1)=1,1,0),0)</f>
        <v/>
      </c>
      <c r="M918">
        <f>IF(Tree!$C$4="once per order",F918*K918,F918)</f>
        <v/>
      </c>
      <c r="N918">
        <f>IF(Tree!$C$4="once per order",K918,1)</f>
        <v/>
      </c>
      <c r="O918">
        <f>IF(Tree!$C$4="once per order",L918,1)</f>
        <v/>
      </c>
    </row>
    <row r="919">
      <c r="A919" t="inlineStr">
        <is>
          <t>KR-00622</t>
        </is>
      </c>
      <c r="B919" t="inlineStr">
        <is>
          <t>C-0295</t>
        </is>
      </c>
      <c r="C919" t="inlineStr">
        <is>
          <t>Business</t>
        </is>
      </c>
      <c r="D919" t="inlineStr">
        <is>
          <t>store</t>
        </is>
      </c>
      <c r="E919" s="7" t="n">
        <v>46219</v>
      </c>
      <c r="F919" t="n">
        <v>1312000</v>
      </c>
      <c r="G919" t="n">
        <v>524800</v>
      </c>
      <c r="H919" t="inlineStr">
        <is>
          <t>2026-07-18</t>
        </is>
      </c>
      <c r="I919">
        <f>IF(MONTH(E919)&lt;=6,"Q1","Q2")</f>
        <v/>
      </c>
      <c r="J919">
        <f>YEAR(E919)*100+MONTH(E919)</f>
        <v/>
      </c>
      <c r="K919">
        <f>IF(COUNTIF($A$2:A919,A919)=1,1,0)</f>
        <v/>
      </c>
      <c r="L919">
        <f>IF(K919=1,IF(COUNTIFS($B$2:B919,B919,$I$2:I919,I919,$K$2:K919,1)=1,1,0),0)</f>
        <v/>
      </c>
      <c r="M919">
        <f>IF(Tree!$C$4="once per order",F919*K919,F919)</f>
        <v/>
      </c>
      <c r="N919">
        <f>IF(Tree!$C$4="once per order",K919,1)</f>
        <v/>
      </c>
      <c r="O919">
        <f>IF(Tree!$C$4="once per order",L919,1)</f>
        <v/>
      </c>
    </row>
    <row r="920">
      <c r="A920" t="inlineStr">
        <is>
          <t>KR-00623</t>
        </is>
      </c>
      <c r="B920" t="inlineStr">
        <is>
          <t>C-0304</t>
        </is>
      </c>
      <c r="C920" t="inlineStr">
        <is>
          <t>Business</t>
        </is>
      </c>
      <c r="D920" t="inlineStr">
        <is>
          <t>app</t>
        </is>
      </c>
      <c r="E920" s="7" t="n">
        <v>46237</v>
      </c>
      <c r="F920" t="n">
        <v>471000</v>
      </c>
      <c r="G920" t="n">
        <v>282600</v>
      </c>
      <c r="H920" t="inlineStr">
        <is>
          <t>2026-08-05</t>
        </is>
      </c>
      <c r="I920">
        <f>IF(MONTH(E920)&lt;=6,"Q1","Q2")</f>
        <v/>
      </c>
      <c r="J920">
        <f>YEAR(E920)*100+MONTH(E920)</f>
        <v/>
      </c>
      <c r="K920">
        <f>IF(COUNTIF($A$2:A920,A920)=1,1,0)</f>
        <v/>
      </c>
      <c r="L920">
        <f>IF(K920=1,IF(COUNTIFS($B$2:B920,B920,$I$2:I920,I920,$K$2:K920,1)=1,1,0),0)</f>
        <v/>
      </c>
      <c r="M920">
        <f>IF(Tree!$C$4="once per order",F920*K920,F920)</f>
        <v/>
      </c>
      <c r="N920">
        <f>IF(Tree!$C$4="once per order",K920,1)</f>
        <v/>
      </c>
      <c r="O920">
        <f>IF(Tree!$C$4="once per order",L920,1)</f>
        <v/>
      </c>
    </row>
    <row r="921">
      <c r="A921" t="inlineStr">
        <is>
          <t>KR-00623</t>
        </is>
      </c>
      <c r="B921" t="inlineStr">
        <is>
          <t>C-0304</t>
        </is>
      </c>
      <c r="C921" t="inlineStr">
        <is>
          <t>Business</t>
        </is>
      </c>
      <c r="D921" t="inlineStr">
        <is>
          <t>app</t>
        </is>
      </c>
      <c r="E921" s="7" t="n">
        <v>46237</v>
      </c>
      <c r="F921" t="n">
        <v>471000</v>
      </c>
      <c r="G921" t="n">
        <v>188400</v>
      </c>
      <c r="H921" t="inlineStr">
        <is>
          <t>2026-08-05</t>
        </is>
      </c>
      <c r="I921">
        <f>IF(MONTH(E921)&lt;=6,"Q1","Q2")</f>
        <v/>
      </c>
      <c r="J921">
        <f>YEAR(E921)*100+MONTH(E921)</f>
        <v/>
      </c>
      <c r="K921">
        <f>IF(COUNTIF($A$2:A921,A921)=1,1,0)</f>
        <v/>
      </c>
      <c r="L921">
        <f>IF(K921=1,IF(COUNTIFS($B$2:B921,B921,$I$2:I921,I921,$K$2:K921,1)=1,1,0),0)</f>
        <v/>
      </c>
      <c r="M921">
        <f>IF(Tree!$C$4="once per order",F921*K921,F921)</f>
        <v/>
      </c>
      <c r="N921">
        <f>IF(Tree!$C$4="once per order",K921,1)</f>
        <v/>
      </c>
      <c r="O921">
        <f>IF(Tree!$C$4="once per order",L921,1)</f>
        <v/>
      </c>
    </row>
    <row r="922">
      <c r="A922" t="inlineStr">
        <is>
          <t>KR-00624</t>
        </is>
      </c>
      <c r="B922" t="inlineStr">
        <is>
          <t>C-0273</t>
        </is>
      </c>
      <c r="C922" t="inlineStr">
        <is>
          <t>Business</t>
        </is>
      </c>
      <c r="D922" t="inlineStr">
        <is>
          <t>web</t>
        </is>
      </c>
      <c r="E922" s="7" t="n">
        <v>46282</v>
      </c>
      <c r="F922" t="n">
        <v>1089000</v>
      </c>
      <c r="G922" t="n">
        <v>653400</v>
      </c>
      <c r="H922" t="inlineStr">
        <is>
          <t>2026-09-19</t>
        </is>
      </c>
      <c r="I922">
        <f>IF(MONTH(E922)&lt;=6,"Q1","Q2")</f>
        <v/>
      </c>
      <c r="J922">
        <f>YEAR(E922)*100+MONTH(E922)</f>
        <v/>
      </c>
      <c r="K922">
        <f>IF(COUNTIF($A$2:A922,A922)=1,1,0)</f>
        <v/>
      </c>
      <c r="L922">
        <f>IF(K922=1,IF(COUNTIFS($B$2:B922,B922,$I$2:I922,I922,$K$2:K922,1)=1,1,0),0)</f>
        <v/>
      </c>
      <c r="M922">
        <f>IF(Tree!$C$4="once per order",F922*K922,F922)</f>
        <v/>
      </c>
      <c r="N922">
        <f>IF(Tree!$C$4="once per order",K922,1)</f>
        <v/>
      </c>
      <c r="O922">
        <f>IF(Tree!$C$4="once per order",L922,1)</f>
        <v/>
      </c>
    </row>
    <row r="923">
      <c r="A923" t="inlineStr">
        <is>
          <t>KR-00624</t>
        </is>
      </c>
      <c r="B923" t="inlineStr">
        <is>
          <t>C-0273</t>
        </is>
      </c>
      <c r="C923" t="inlineStr">
        <is>
          <t>Business</t>
        </is>
      </c>
      <c r="D923" t="inlineStr">
        <is>
          <t>web</t>
        </is>
      </c>
      <c r="E923" s="7" t="n">
        <v>46282</v>
      </c>
      <c r="F923" t="n">
        <v>1089000</v>
      </c>
      <c r="G923" t="n">
        <v>435600</v>
      </c>
      <c r="H923" t="inlineStr">
        <is>
          <t>2026-09-19</t>
        </is>
      </c>
      <c r="I923">
        <f>IF(MONTH(E923)&lt;=6,"Q1","Q2")</f>
        <v/>
      </c>
      <c r="J923">
        <f>YEAR(E923)*100+MONTH(E923)</f>
        <v/>
      </c>
      <c r="K923">
        <f>IF(COUNTIF($A$2:A923,A923)=1,1,0)</f>
        <v/>
      </c>
      <c r="L923">
        <f>IF(K923=1,IF(COUNTIFS($B$2:B923,B923,$I$2:I923,I923,$K$2:K923,1)=1,1,0),0)</f>
        <v/>
      </c>
      <c r="M923">
        <f>IF(Tree!$C$4="once per order",F923*K923,F923)</f>
        <v/>
      </c>
      <c r="N923">
        <f>IF(Tree!$C$4="once per order",K923,1)</f>
        <v/>
      </c>
      <c r="O923">
        <f>IF(Tree!$C$4="once per order",L923,1)</f>
        <v/>
      </c>
    </row>
    <row r="924">
      <c r="A924" t="inlineStr">
        <is>
          <t>KR-00625</t>
        </is>
      </c>
      <c r="B924" t="inlineStr">
        <is>
          <t>C-0280</t>
        </is>
      </c>
      <c r="C924" t="inlineStr">
        <is>
          <t>Business</t>
        </is>
      </c>
      <c r="D924" t="inlineStr">
        <is>
          <t>store</t>
        </is>
      </c>
      <c r="E924" s="7" t="n">
        <v>46217</v>
      </c>
      <c r="F924" t="n">
        <v>1776000</v>
      </c>
      <c r="G924" t="n">
        <v>1065600</v>
      </c>
      <c r="H924" t="inlineStr">
        <is>
          <t>2026-07-16</t>
        </is>
      </c>
      <c r="I924">
        <f>IF(MONTH(E924)&lt;=6,"Q1","Q2")</f>
        <v/>
      </c>
      <c r="J924">
        <f>YEAR(E924)*100+MONTH(E924)</f>
        <v/>
      </c>
      <c r="K924">
        <f>IF(COUNTIF($A$2:A924,A924)=1,1,0)</f>
        <v/>
      </c>
      <c r="L924">
        <f>IF(K924=1,IF(COUNTIFS($B$2:B924,B924,$I$2:I924,I924,$K$2:K924,1)=1,1,0),0)</f>
        <v/>
      </c>
      <c r="M924">
        <f>IF(Tree!$C$4="once per order",F924*K924,F924)</f>
        <v/>
      </c>
      <c r="N924">
        <f>IF(Tree!$C$4="once per order",K924,1)</f>
        <v/>
      </c>
      <c r="O924">
        <f>IF(Tree!$C$4="once per order",L924,1)</f>
        <v/>
      </c>
    </row>
    <row r="925">
      <c r="A925" t="inlineStr">
        <is>
          <t>KR-00625</t>
        </is>
      </c>
      <c r="B925" t="inlineStr">
        <is>
          <t>C-0280</t>
        </is>
      </c>
      <c r="C925" t="inlineStr">
        <is>
          <t>Business</t>
        </is>
      </c>
      <c r="D925" t="inlineStr">
        <is>
          <t>store</t>
        </is>
      </c>
      <c r="E925" s="7" t="n">
        <v>46217</v>
      </c>
      <c r="F925" t="n">
        <v>1776000</v>
      </c>
      <c r="G925" t="n">
        <v>710400</v>
      </c>
      <c r="H925" t="inlineStr">
        <is>
          <t>2026-07-16</t>
        </is>
      </c>
      <c r="I925">
        <f>IF(MONTH(E925)&lt;=6,"Q1","Q2")</f>
        <v/>
      </c>
      <c r="J925">
        <f>YEAR(E925)*100+MONTH(E925)</f>
        <v/>
      </c>
      <c r="K925">
        <f>IF(COUNTIF($A$2:A925,A925)=1,1,0)</f>
        <v/>
      </c>
      <c r="L925">
        <f>IF(K925=1,IF(COUNTIFS($B$2:B925,B925,$I$2:I925,I925,$K$2:K925,1)=1,1,0),0)</f>
        <v/>
      </c>
      <c r="M925">
        <f>IF(Tree!$C$4="once per order",F925*K925,F925)</f>
        <v/>
      </c>
      <c r="N925">
        <f>IF(Tree!$C$4="once per order",K925,1)</f>
        <v/>
      </c>
      <c r="O925">
        <f>IF(Tree!$C$4="once per order",L925,1)</f>
        <v/>
      </c>
    </row>
    <row r="926">
      <c r="A926" t="inlineStr">
        <is>
          <t>KR-00626</t>
        </is>
      </c>
      <c r="B926" t="inlineStr">
        <is>
          <t>C-0304</t>
        </is>
      </c>
      <c r="C926" t="inlineStr">
        <is>
          <t>Business</t>
        </is>
      </c>
      <c r="D926" t="inlineStr">
        <is>
          <t>store</t>
        </is>
      </c>
      <c r="E926" s="7" t="n">
        <v>46240</v>
      </c>
      <c r="F926" t="n">
        <v>1229000</v>
      </c>
      <c r="G926" t="n">
        <v>737400</v>
      </c>
      <c r="H926" t="inlineStr">
        <is>
          <t>2026-08-08</t>
        </is>
      </c>
      <c r="I926">
        <f>IF(MONTH(E926)&lt;=6,"Q1","Q2")</f>
        <v/>
      </c>
      <c r="J926">
        <f>YEAR(E926)*100+MONTH(E926)</f>
        <v/>
      </c>
      <c r="K926">
        <f>IF(COUNTIF($A$2:A926,A926)=1,1,0)</f>
        <v/>
      </c>
      <c r="L926">
        <f>IF(K926=1,IF(COUNTIFS($B$2:B926,B926,$I$2:I926,I926,$K$2:K926,1)=1,1,0),0)</f>
        <v/>
      </c>
      <c r="M926">
        <f>IF(Tree!$C$4="once per order",F926*K926,F926)</f>
        <v/>
      </c>
      <c r="N926">
        <f>IF(Tree!$C$4="once per order",K926,1)</f>
        <v/>
      </c>
      <c r="O926">
        <f>IF(Tree!$C$4="once per order",L926,1)</f>
        <v/>
      </c>
    </row>
    <row r="927">
      <c r="A927" t="inlineStr">
        <is>
          <t>KR-00626</t>
        </is>
      </c>
      <c r="B927" t="inlineStr">
        <is>
          <t>C-0304</t>
        </is>
      </c>
      <c r="C927" t="inlineStr">
        <is>
          <t>Business</t>
        </is>
      </c>
      <c r="D927" t="inlineStr">
        <is>
          <t>store</t>
        </is>
      </c>
      <c r="E927" s="7" t="n">
        <v>46240</v>
      </c>
      <c r="F927" t="n">
        <v>1229000</v>
      </c>
      <c r="G927" t="n">
        <v>491600</v>
      </c>
      <c r="H927" t="inlineStr">
        <is>
          <t>2026-08-08</t>
        </is>
      </c>
      <c r="I927">
        <f>IF(MONTH(E927)&lt;=6,"Q1","Q2")</f>
        <v/>
      </c>
      <c r="J927">
        <f>YEAR(E927)*100+MONTH(E927)</f>
        <v/>
      </c>
      <c r="K927">
        <f>IF(COUNTIF($A$2:A927,A927)=1,1,0)</f>
        <v/>
      </c>
      <c r="L927">
        <f>IF(K927=1,IF(COUNTIFS($B$2:B927,B927,$I$2:I927,I927,$K$2:K927,1)=1,1,0),0)</f>
        <v/>
      </c>
      <c r="M927">
        <f>IF(Tree!$C$4="once per order",F927*K927,F927)</f>
        <v/>
      </c>
      <c r="N927">
        <f>IF(Tree!$C$4="once per order",K927,1)</f>
        <v/>
      </c>
      <c r="O927">
        <f>IF(Tree!$C$4="once per order",L927,1)</f>
        <v/>
      </c>
    </row>
    <row r="928">
      <c r="A928" t="inlineStr">
        <is>
          <t>KR-00627</t>
        </is>
      </c>
      <c r="B928" t="inlineStr">
        <is>
          <t>C-0281</t>
        </is>
      </c>
      <c r="C928" t="inlineStr">
        <is>
          <t>Business</t>
        </is>
      </c>
      <c r="D928" t="inlineStr">
        <is>
          <t>app</t>
        </is>
      </c>
      <c r="E928" s="7" t="n">
        <v>46275</v>
      </c>
      <c r="F928" t="n">
        <v>301000</v>
      </c>
      <c r="G928" t="n">
        <v>180600</v>
      </c>
      <c r="H928" t="inlineStr">
        <is>
          <t>2026-09-12</t>
        </is>
      </c>
      <c r="I928">
        <f>IF(MONTH(E928)&lt;=6,"Q1","Q2")</f>
        <v/>
      </c>
      <c r="J928">
        <f>YEAR(E928)*100+MONTH(E928)</f>
        <v/>
      </c>
      <c r="K928">
        <f>IF(COUNTIF($A$2:A928,A928)=1,1,0)</f>
        <v/>
      </c>
      <c r="L928">
        <f>IF(K928=1,IF(COUNTIFS($B$2:B928,B928,$I$2:I928,I928,$K$2:K928,1)=1,1,0),0)</f>
        <v/>
      </c>
      <c r="M928">
        <f>IF(Tree!$C$4="once per order",F928*K928,F928)</f>
        <v/>
      </c>
      <c r="N928">
        <f>IF(Tree!$C$4="once per order",K928,1)</f>
        <v/>
      </c>
      <c r="O928">
        <f>IF(Tree!$C$4="once per order",L928,1)</f>
        <v/>
      </c>
    </row>
    <row r="929">
      <c r="A929" t="inlineStr">
        <is>
          <t>KR-00627</t>
        </is>
      </c>
      <c r="B929" t="inlineStr">
        <is>
          <t>C-0281</t>
        </is>
      </c>
      <c r="C929" t="inlineStr">
        <is>
          <t>Business</t>
        </is>
      </c>
      <c r="D929" t="inlineStr">
        <is>
          <t>app</t>
        </is>
      </c>
      <c r="E929" s="7" t="n">
        <v>46275</v>
      </c>
      <c r="F929" t="n">
        <v>301000</v>
      </c>
      <c r="G929" t="n">
        <v>120400</v>
      </c>
      <c r="H929" t="inlineStr">
        <is>
          <t>2026-09-12</t>
        </is>
      </c>
      <c r="I929">
        <f>IF(MONTH(E929)&lt;=6,"Q1","Q2")</f>
        <v/>
      </c>
      <c r="J929">
        <f>YEAR(E929)*100+MONTH(E929)</f>
        <v/>
      </c>
      <c r="K929">
        <f>IF(COUNTIF($A$2:A929,A929)=1,1,0)</f>
        <v/>
      </c>
      <c r="L929">
        <f>IF(K929=1,IF(COUNTIFS($B$2:B929,B929,$I$2:I929,I929,$K$2:K929,1)=1,1,0),0)</f>
        <v/>
      </c>
      <c r="M929">
        <f>IF(Tree!$C$4="once per order",F929*K929,F929)</f>
        <v/>
      </c>
      <c r="N929">
        <f>IF(Tree!$C$4="once per order",K929,1)</f>
        <v/>
      </c>
      <c r="O929">
        <f>IF(Tree!$C$4="once per order",L929,1)</f>
        <v/>
      </c>
    </row>
    <row r="930">
      <c r="A930" t="inlineStr">
        <is>
          <t>KR-00628</t>
        </is>
      </c>
      <c r="B930" t="inlineStr">
        <is>
          <t>C-0295</t>
        </is>
      </c>
      <c r="C930" t="inlineStr">
        <is>
          <t>Business</t>
        </is>
      </c>
      <c r="D930" t="inlineStr">
        <is>
          <t>store</t>
        </is>
      </c>
      <c r="E930" s="7" t="n">
        <v>46230</v>
      </c>
      <c r="F930" t="n">
        <v>555000</v>
      </c>
      <c r="G930" t="n">
        <v>333000</v>
      </c>
      <c r="H930" t="inlineStr">
        <is>
          <t>2026-07-28</t>
        </is>
      </c>
      <c r="I930">
        <f>IF(MONTH(E930)&lt;=6,"Q1","Q2")</f>
        <v/>
      </c>
      <c r="J930">
        <f>YEAR(E930)*100+MONTH(E930)</f>
        <v/>
      </c>
      <c r="K930">
        <f>IF(COUNTIF($A$2:A930,A930)=1,1,0)</f>
        <v/>
      </c>
      <c r="L930">
        <f>IF(K930=1,IF(COUNTIFS($B$2:B930,B930,$I$2:I930,I930,$K$2:K930,1)=1,1,0),0)</f>
        <v/>
      </c>
      <c r="M930">
        <f>IF(Tree!$C$4="once per order",F930*K930,F930)</f>
        <v/>
      </c>
      <c r="N930">
        <f>IF(Tree!$C$4="once per order",K930,1)</f>
        <v/>
      </c>
      <c r="O930">
        <f>IF(Tree!$C$4="once per order",L930,1)</f>
        <v/>
      </c>
    </row>
    <row r="931">
      <c r="A931" t="inlineStr">
        <is>
          <t>KR-00628</t>
        </is>
      </c>
      <c r="B931" t="inlineStr">
        <is>
          <t>C-0295</t>
        </is>
      </c>
      <c r="C931" t="inlineStr">
        <is>
          <t>Business</t>
        </is>
      </c>
      <c r="D931" t="inlineStr">
        <is>
          <t>store</t>
        </is>
      </c>
      <c r="E931" s="7" t="n">
        <v>46230</v>
      </c>
      <c r="F931" t="n">
        <v>555000</v>
      </c>
      <c r="G931" t="n">
        <v>222000</v>
      </c>
      <c r="H931" t="inlineStr">
        <is>
          <t>2026-07-28</t>
        </is>
      </c>
      <c r="I931">
        <f>IF(MONTH(E931)&lt;=6,"Q1","Q2")</f>
        <v/>
      </c>
      <c r="J931">
        <f>YEAR(E931)*100+MONTH(E931)</f>
        <v/>
      </c>
      <c r="K931">
        <f>IF(COUNTIF($A$2:A931,A931)=1,1,0)</f>
        <v/>
      </c>
      <c r="L931">
        <f>IF(K931=1,IF(COUNTIFS($B$2:B931,B931,$I$2:I931,I931,$K$2:K931,1)=1,1,0),0)</f>
        <v/>
      </c>
      <c r="M931">
        <f>IF(Tree!$C$4="once per order",F931*K931,F931)</f>
        <v/>
      </c>
      <c r="N931">
        <f>IF(Tree!$C$4="once per order",K931,1)</f>
        <v/>
      </c>
      <c r="O931">
        <f>IF(Tree!$C$4="once per order",L931,1)</f>
        <v/>
      </c>
    </row>
    <row r="932">
      <c r="A932" t="inlineStr">
        <is>
          <t>KR-00629</t>
        </is>
      </c>
      <c r="B932" t="inlineStr">
        <is>
          <t>C-0288</t>
        </is>
      </c>
      <c r="C932" t="inlineStr">
        <is>
          <t>Business</t>
        </is>
      </c>
      <c r="D932" t="inlineStr">
        <is>
          <t>web</t>
        </is>
      </c>
      <c r="E932" s="7" t="n">
        <v>46237</v>
      </c>
      <c r="F932" t="n">
        <v>580000</v>
      </c>
      <c r="G932" t="n">
        <v>348000</v>
      </c>
      <c r="H932" t="inlineStr">
        <is>
          <t>2026-08-05</t>
        </is>
      </c>
      <c r="I932">
        <f>IF(MONTH(E932)&lt;=6,"Q1","Q2")</f>
        <v/>
      </c>
      <c r="J932">
        <f>YEAR(E932)*100+MONTH(E932)</f>
        <v/>
      </c>
      <c r="K932">
        <f>IF(COUNTIF($A$2:A932,A932)=1,1,0)</f>
        <v/>
      </c>
      <c r="L932">
        <f>IF(K932=1,IF(COUNTIFS($B$2:B932,B932,$I$2:I932,I932,$K$2:K932,1)=1,1,0),0)</f>
        <v/>
      </c>
      <c r="M932">
        <f>IF(Tree!$C$4="once per order",F932*K932,F932)</f>
        <v/>
      </c>
      <c r="N932">
        <f>IF(Tree!$C$4="once per order",K932,1)</f>
        <v/>
      </c>
      <c r="O932">
        <f>IF(Tree!$C$4="once per order",L932,1)</f>
        <v/>
      </c>
    </row>
    <row r="933">
      <c r="A933" t="inlineStr">
        <is>
          <t>KR-00629</t>
        </is>
      </c>
      <c r="B933" t="inlineStr">
        <is>
          <t>C-0288</t>
        </is>
      </c>
      <c r="C933" t="inlineStr">
        <is>
          <t>Business</t>
        </is>
      </c>
      <c r="D933" t="inlineStr">
        <is>
          <t>web</t>
        </is>
      </c>
      <c r="E933" s="7" t="n">
        <v>46237</v>
      </c>
      <c r="F933" t="n">
        <v>580000</v>
      </c>
      <c r="G933" t="n">
        <v>232000</v>
      </c>
      <c r="H933" t="inlineStr">
        <is>
          <t>2026-08-05</t>
        </is>
      </c>
      <c r="I933">
        <f>IF(MONTH(E933)&lt;=6,"Q1","Q2")</f>
        <v/>
      </c>
      <c r="J933">
        <f>YEAR(E933)*100+MONTH(E933)</f>
        <v/>
      </c>
      <c r="K933">
        <f>IF(COUNTIF($A$2:A933,A933)=1,1,0)</f>
        <v/>
      </c>
      <c r="L933">
        <f>IF(K933=1,IF(COUNTIFS($B$2:B933,B933,$I$2:I933,I933,$K$2:K933,1)=1,1,0),0)</f>
        <v/>
      </c>
      <c r="M933">
        <f>IF(Tree!$C$4="once per order",F933*K933,F933)</f>
        <v/>
      </c>
      <c r="N933">
        <f>IF(Tree!$C$4="once per order",K933,1)</f>
        <v/>
      </c>
      <c r="O933">
        <f>IF(Tree!$C$4="once per order",L933,1)</f>
        <v/>
      </c>
    </row>
    <row r="934">
      <c r="A934" t="inlineStr">
        <is>
          <t>KR-00630</t>
        </is>
      </c>
      <c r="B934" t="inlineStr">
        <is>
          <t>C-0292</t>
        </is>
      </c>
      <c r="C934" t="inlineStr">
        <is>
          <t>Business</t>
        </is>
      </c>
      <c r="D934" t="inlineStr">
        <is>
          <t>web</t>
        </is>
      </c>
      <c r="E934" s="7" t="n">
        <v>46272</v>
      </c>
      <c r="F934" t="n">
        <v>352000</v>
      </c>
      <c r="G934" t="n">
        <v>211200</v>
      </c>
      <c r="H934" t="inlineStr">
        <is>
          <t>2026-09-09</t>
        </is>
      </c>
      <c r="I934">
        <f>IF(MONTH(E934)&lt;=6,"Q1","Q2")</f>
        <v/>
      </c>
      <c r="J934">
        <f>YEAR(E934)*100+MONTH(E934)</f>
        <v/>
      </c>
      <c r="K934">
        <f>IF(COUNTIF($A$2:A934,A934)=1,1,0)</f>
        <v/>
      </c>
      <c r="L934">
        <f>IF(K934=1,IF(COUNTIFS($B$2:B934,B934,$I$2:I934,I934,$K$2:K934,1)=1,1,0),0)</f>
        <v/>
      </c>
      <c r="M934">
        <f>IF(Tree!$C$4="once per order",F934*K934,F934)</f>
        <v/>
      </c>
      <c r="N934">
        <f>IF(Tree!$C$4="once per order",K934,1)</f>
        <v/>
      </c>
      <c r="O934">
        <f>IF(Tree!$C$4="once per order",L934,1)</f>
        <v/>
      </c>
    </row>
    <row r="935">
      <c r="A935" t="inlineStr">
        <is>
          <t>KR-00630</t>
        </is>
      </c>
      <c r="B935" t="inlineStr">
        <is>
          <t>C-0292</t>
        </is>
      </c>
      <c r="C935" t="inlineStr">
        <is>
          <t>Business</t>
        </is>
      </c>
      <c r="D935" t="inlineStr">
        <is>
          <t>web</t>
        </is>
      </c>
      <c r="E935" s="7" t="n">
        <v>46272</v>
      </c>
      <c r="F935" t="n">
        <v>352000</v>
      </c>
      <c r="G935" t="n">
        <v>140800</v>
      </c>
      <c r="H935" t="inlineStr">
        <is>
          <t>2026-09-09</t>
        </is>
      </c>
      <c r="I935">
        <f>IF(MONTH(E935)&lt;=6,"Q1","Q2")</f>
        <v/>
      </c>
      <c r="J935">
        <f>YEAR(E935)*100+MONTH(E935)</f>
        <v/>
      </c>
      <c r="K935">
        <f>IF(COUNTIF($A$2:A935,A935)=1,1,0)</f>
        <v/>
      </c>
      <c r="L935">
        <f>IF(K935=1,IF(COUNTIFS($B$2:B935,B935,$I$2:I935,I935,$K$2:K935,1)=1,1,0),0)</f>
        <v/>
      </c>
      <c r="M935">
        <f>IF(Tree!$C$4="once per order",F935*K935,F935)</f>
        <v/>
      </c>
      <c r="N935">
        <f>IF(Tree!$C$4="once per order",K935,1)</f>
        <v/>
      </c>
      <c r="O935">
        <f>IF(Tree!$C$4="once per order",L935,1)</f>
        <v/>
      </c>
    </row>
    <row r="936">
      <c r="A936" t="inlineStr">
        <is>
          <t>KR-00631</t>
        </is>
      </c>
      <c r="B936" t="inlineStr">
        <is>
          <t>C-0290</t>
        </is>
      </c>
      <c r="C936" t="inlineStr">
        <is>
          <t>Business</t>
        </is>
      </c>
      <c r="D936" t="inlineStr">
        <is>
          <t>store</t>
        </is>
      </c>
      <c r="E936" s="7" t="n">
        <v>46216</v>
      </c>
      <c r="F936" t="n">
        <v>431000</v>
      </c>
      <c r="G936" t="n">
        <v>258600</v>
      </c>
      <c r="H936" t="inlineStr">
        <is>
          <t>2026-07-15</t>
        </is>
      </c>
      <c r="I936">
        <f>IF(MONTH(E936)&lt;=6,"Q1","Q2")</f>
        <v/>
      </c>
      <c r="J936">
        <f>YEAR(E936)*100+MONTH(E936)</f>
        <v/>
      </c>
      <c r="K936">
        <f>IF(COUNTIF($A$2:A936,A936)=1,1,0)</f>
        <v/>
      </c>
      <c r="L936">
        <f>IF(K936=1,IF(COUNTIFS($B$2:B936,B936,$I$2:I936,I936,$K$2:K936,1)=1,1,0),0)</f>
        <v/>
      </c>
      <c r="M936">
        <f>IF(Tree!$C$4="once per order",F936*K936,F936)</f>
        <v/>
      </c>
      <c r="N936">
        <f>IF(Tree!$C$4="once per order",K936,1)</f>
        <v/>
      </c>
      <c r="O936">
        <f>IF(Tree!$C$4="once per order",L936,1)</f>
        <v/>
      </c>
    </row>
    <row r="937">
      <c r="A937" t="inlineStr">
        <is>
          <t>KR-00631</t>
        </is>
      </c>
      <c r="B937" t="inlineStr">
        <is>
          <t>C-0290</t>
        </is>
      </c>
      <c r="C937" t="inlineStr">
        <is>
          <t>Business</t>
        </is>
      </c>
      <c r="D937" t="inlineStr">
        <is>
          <t>store</t>
        </is>
      </c>
      <c r="E937" s="7" t="n">
        <v>46216</v>
      </c>
      <c r="F937" t="n">
        <v>431000</v>
      </c>
      <c r="G937" t="n">
        <v>172400</v>
      </c>
      <c r="H937" t="inlineStr">
        <is>
          <t>2026-07-15</t>
        </is>
      </c>
      <c r="I937">
        <f>IF(MONTH(E937)&lt;=6,"Q1","Q2")</f>
        <v/>
      </c>
      <c r="J937">
        <f>YEAR(E937)*100+MONTH(E937)</f>
        <v/>
      </c>
      <c r="K937">
        <f>IF(COUNTIF($A$2:A937,A937)=1,1,0)</f>
        <v/>
      </c>
      <c r="L937">
        <f>IF(K937=1,IF(COUNTIFS($B$2:B937,B937,$I$2:I937,I937,$K$2:K937,1)=1,1,0),0)</f>
        <v/>
      </c>
      <c r="M937">
        <f>IF(Tree!$C$4="once per order",F937*K937,F937)</f>
        <v/>
      </c>
      <c r="N937">
        <f>IF(Tree!$C$4="once per order",K937,1)</f>
        <v/>
      </c>
      <c r="O937">
        <f>IF(Tree!$C$4="once per order",L937,1)</f>
        <v/>
      </c>
    </row>
    <row r="938">
      <c r="A938" t="inlineStr">
        <is>
          <t>KR-00632</t>
        </is>
      </c>
      <c r="B938" t="inlineStr">
        <is>
          <t>C-0280</t>
        </is>
      </c>
      <c r="C938" t="inlineStr">
        <is>
          <t>Business</t>
        </is>
      </c>
      <c r="D938" t="inlineStr">
        <is>
          <t>app</t>
        </is>
      </c>
      <c r="E938" s="7" t="n">
        <v>46255</v>
      </c>
      <c r="F938" t="n">
        <v>273000</v>
      </c>
      <c r="G938" t="n">
        <v>163800</v>
      </c>
      <c r="H938" t="inlineStr">
        <is>
          <t>2026-08-23</t>
        </is>
      </c>
      <c r="I938">
        <f>IF(MONTH(E938)&lt;=6,"Q1","Q2")</f>
        <v/>
      </c>
      <c r="J938">
        <f>YEAR(E938)*100+MONTH(E938)</f>
        <v/>
      </c>
      <c r="K938">
        <f>IF(COUNTIF($A$2:A938,A938)=1,1,0)</f>
        <v/>
      </c>
      <c r="L938">
        <f>IF(K938=1,IF(COUNTIFS($B$2:B938,B938,$I$2:I938,I938,$K$2:K938,1)=1,1,0),0)</f>
        <v/>
      </c>
      <c r="M938">
        <f>IF(Tree!$C$4="once per order",F938*K938,F938)</f>
        <v/>
      </c>
      <c r="N938">
        <f>IF(Tree!$C$4="once per order",K938,1)</f>
        <v/>
      </c>
      <c r="O938">
        <f>IF(Tree!$C$4="once per order",L938,1)</f>
        <v/>
      </c>
    </row>
    <row r="939">
      <c r="A939" t="inlineStr">
        <is>
          <t>KR-00632</t>
        </is>
      </c>
      <c r="B939" t="inlineStr">
        <is>
          <t>C-0280</t>
        </is>
      </c>
      <c r="C939" t="inlineStr">
        <is>
          <t>Business</t>
        </is>
      </c>
      <c r="D939" t="inlineStr">
        <is>
          <t>app</t>
        </is>
      </c>
      <c r="E939" s="7" t="n">
        <v>46255</v>
      </c>
      <c r="F939" t="n">
        <v>273000</v>
      </c>
      <c r="G939" t="n">
        <v>109200</v>
      </c>
      <c r="H939" t="inlineStr">
        <is>
          <t>2026-08-23</t>
        </is>
      </c>
      <c r="I939">
        <f>IF(MONTH(E939)&lt;=6,"Q1","Q2")</f>
        <v/>
      </c>
      <c r="J939">
        <f>YEAR(E939)*100+MONTH(E939)</f>
        <v/>
      </c>
      <c r="K939">
        <f>IF(COUNTIF($A$2:A939,A939)=1,1,0)</f>
        <v/>
      </c>
      <c r="L939">
        <f>IF(K939=1,IF(COUNTIFS($B$2:B939,B939,$I$2:I939,I939,$K$2:K939,1)=1,1,0),0)</f>
        <v/>
      </c>
      <c r="M939">
        <f>IF(Tree!$C$4="once per order",F939*K939,F939)</f>
        <v/>
      </c>
      <c r="N939">
        <f>IF(Tree!$C$4="once per order",K939,1)</f>
        <v/>
      </c>
      <c r="O939">
        <f>IF(Tree!$C$4="once per order",L939,1)</f>
        <v/>
      </c>
    </row>
    <row r="940">
      <c r="A940" t="inlineStr">
        <is>
          <t>KR-00633</t>
        </is>
      </c>
      <c r="B940" t="inlineStr">
        <is>
          <t>C-0276</t>
        </is>
      </c>
      <c r="C940" t="inlineStr">
        <is>
          <t>Business</t>
        </is>
      </c>
      <c r="D940" t="inlineStr">
        <is>
          <t>store</t>
        </is>
      </c>
      <c r="E940" s="7" t="n">
        <v>46277</v>
      </c>
      <c r="F940" t="n">
        <v>972000</v>
      </c>
      <c r="G940" t="n">
        <v>583200</v>
      </c>
      <c r="H940" t="inlineStr">
        <is>
          <t>2026-09-14</t>
        </is>
      </c>
      <c r="I940">
        <f>IF(MONTH(E940)&lt;=6,"Q1","Q2")</f>
        <v/>
      </c>
      <c r="J940">
        <f>YEAR(E940)*100+MONTH(E940)</f>
        <v/>
      </c>
      <c r="K940">
        <f>IF(COUNTIF($A$2:A940,A940)=1,1,0)</f>
        <v/>
      </c>
      <c r="L940">
        <f>IF(K940=1,IF(COUNTIFS($B$2:B940,B940,$I$2:I940,I940,$K$2:K940,1)=1,1,0),0)</f>
        <v/>
      </c>
      <c r="M940">
        <f>IF(Tree!$C$4="once per order",F940*K940,F940)</f>
        <v/>
      </c>
      <c r="N940">
        <f>IF(Tree!$C$4="once per order",K940,1)</f>
        <v/>
      </c>
      <c r="O940">
        <f>IF(Tree!$C$4="once per order",L940,1)</f>
        <v/>
      </c>
    </row>
    <row r="941">
      <c r="A941" t="inlineStr">
        <is>
          <t>KR-00633</t>
        </is>
      </c>
      <c r="B941" t="inlineStr">
        <is>
          <t>C-0276</t>
        </is>
      </c>
      <c r="C941" t="inlineStr">
        <is>
          <t>Business</t>
        </is>
      </c>
      <c r="D941" t="inlineStr">
        <is>
          <t>store</t>
        </is>
      </c>
      <c r="E941" s="7" t="n">
        <v>46277</v>
      </c>
      <c r="F941" t="n">
        <v>972000</v>
      </c>
      <c r="G941" t="n">
        <v>388800</v>
      </c>
      <c r="H941" t="inlineStr">
        <is>
          <t>2026-09-14</t>
        </is>
      </c>
      <c r="I941">
        <f>IF(MONTH(E941)&lt;=6,"Q1","Q2")</f>
        <v/>
      </c>
      <c r="J941">
        <f>YEAR(E941)*100+MONTH(E941)</f>
        <v/>
      </c>
      <c r="K941">
        <f>IF(COUNTIF($A$2:A941,A941)=1,1,0)</f>
        <v/>
      </c>
      <c r="L941">
        <f>IF(K941=1,IF(COUNTIFS($B$2:B941,B941,$I$2:I941,I941,$K$2:K941,1)=1,1,0),0)</f>
        <v/>
      </c>
      <c r="M941">
        <f>IF(Tree!$C$4="once per order",F941*K941,F941)</f>
        <v/>
      </c>
      <c r="N941">
        <f>IF(Tree!$C$4="once per order",K941,1)</f>
        <v/>
      </c>
      <c r="O941">
        <f>IF(Tree!$C$4="once per order",L941,1)</f>
        <v/>
      </c>
    </row>
    <row r="942">
      <c r="A942" t="inlineStr">
        <is>
          <t>KR-00634</t>
        </is>
      </c>
      <c r="B942" t="inlineStr">
        <is>
          <t>C-0274</t>
        </is>
      </c>
      <c r="C942" t="inlineStr">
        <is>
          <t>Business</t>
        </is>
      </c>
      <c r="D942" t="inlineStr">
        <is>
          <t>web</t>
        </is>
      </c>
      <c r="E942" s="7" t="n">
        <v>46210</v>
      </c>
      <c r="F942" t="n">
        <v>1001000</v>
      </c>
      <c r="G942" t="n">
        <v>600600</v>
      </c>
      <c r="H942" t="inlineStr">
        <is>
          <t>2026-07-09</t>
        </is>
      </c>
      <c r="I942">
        <f>IF(MONTH(E942)&lt;=6,"Q1","Q2")</f>
        <v/>
      </c>
      <c r="J942">
        <f>YEAR(E942)*100+MONTH(E942)</f>
        <v/>
      </c>
      <c r="K942">
        <f>IF(COUNTIF($A$2:A942,A942)=1,1,0)</f>
        <v/>
      </c>
      <c r="L942">
        <f>IF(K942=1,IF(COUNTIFS($B$2:B942,B942,$I$2:I942,I942,$K$2:K942,1)=1,1,0),0)</f>
        <v/>
      </c>
      <c r="M942">
        <f>IF(Tree!$C$4="once per order",F942*K942,F942)</f>
        <v/>
      </c>
      <c r="N942">
        <f>IF(Tree!$C$4="once per order",K942,1)</f>
        <v/>
      </c>
      <c r="O942">
        <f>IF(Tree!$C$4="once per order",L942,1)</f>
        <v/>
      </c>
    </row>
    <row r="943">
      <c r="A943" t="inlineStr">
        <is>
          <t>KR-00634</t>
        </is>
      </c>
      <c r="B943" t="inlineStr">
        <is>
          <t>C-0274</t>
        </is>
      </c>
      <c r="C943" t="inlineStr">
        <is>
          <t>Business</t>
        </is>
      </c>
      <c r="D943" t="inlineStr">
        <is>
          <t>web</t>
        </is>
      </c>
      <c r="E943" s="7" t="n">
        <v>46210</v>
      </c>
      <c r="F943" t="n">
        <v>1001000</v>
      </c>
      <c r="G943" t="n">
        <v>400400</v>
      </c>
      <c r="H943" t="inlineStr">
        <is>
          <t>2026-07-09</t>
        </is>
      </c>
      <c r="I943">
        <f>IF(MONTH(E943)&lt;=6,"Q1","Q2")</f>
        <v/>
      </c>
      <c r="J943">
        <f>YEAR(E943)*100+MONTH(E943)</f>
        <v/>
      </c>
      <c r="K943">
        <f>IF(COUNTIF($A$2:A943,A943)=1,1,0)</f>
        <v/>
      </c>
      <c r="L943">
        <f>IF(K943=1,IF(COUNTIFS($B$2:B943,B943,$I$2:I943,I943,$K$2:K943,1)=1,1,0),0)</f>
        <v/>
      </c>
      <c r="M943">
        <f>IF(Tree!$C$4="once per order",F943*K943,F943)</f>
        <v/>
      </c>
      <c r="N943">
        <f>IF(Tree!$C$4="once per order",K943,1)</f>
        <v/>
      </c>
      <c r="O943">
        <f>IF(Tree!$C$4="once per order",L943,1)</f>
        <v/>
      </c>
    </row>
    <row r="944">
      <c r="A944" t="inlineStr">
        <is>
          <t>KR-00635</t>
        </is>
      </c>
      <c r="B944" t="inlineStr">
        <is>
          <t>C-0295</t>
        </is>
      </c>
      <c r="C944" t="inlineStr">
        <is>
          <t>Business</t>
        </is>
      </c>
      <c r="D944" t="inlineStr">
        <is>
          <t>app</t>
        </is>
      </c>
      <c r="E944" s="7" t="n">
        <v>46248</v>
      </c>
      <c r="F944" t="n">
        <v>433000</v>
      </c>
      <c r="G944" t="n">
        <v>259800</v>
      </c>
      <c r="H944" t="inlineStr">
        <is>
          <t>2026-08-16</t>
        </is>
      </c>
      <c r="I944">
        <f>IF(MONTH(E944)&lt;=6,"Q1","Q2")</f>
        <v/>
      </c>
      <c r="J944">
        <f>YEAR(E944)*100+MONTH(E944)</f>
        <v/>
      </c>
      <c r="K944">
        <f>IF(COUNTIF($A$2:A944,A944)=1,1,0)</f>
        <v/>
      </c>
      <c r="L944">
        <f>IF(K944=1,IF(COUNTIFS($B$2:B944,B944,$I$2:I944,I944,$K$2:K944,1)=1,1,0),0)</f>
        <v/>
      </c>
      <c r="M944">
        <f>IF(Tree!$C$4="once per order",F944*K944,F944)</f>
        <v/>
      </c>
      <c r="N944">
        <f>IF(Tree!$C$4="once per order",K944,1)</f>
        <v/>
      </c>
      <c r="O944">
        <f>IF(Tree!$C$4="once per order",L944,1)</f>
        <v/>
      </c>
    </row>
    <row r="945">
      <c r="A945" t="inlineStr">
        <is>
          <t>KR-00635</t>
        </is>
      </c>
      <c r="B945" t="inlineStr">
        <is>
          <t>C-0295</t>
        </is>
      </c>
      <c r="C945" t="inlineStr">
        <is>
          <t>Business</t>
        </is>
      </c>
      <c r="D945" t="inlineStr">
        <is>
          <t>app</t>
        </is>
      </c>
      <c r="E945" s="7" t="n">
        <v>46248</v>
      </c>
      <c r="F945" t="n">
        <v>433000</v>
      </c>
      <c r="G945" t="n">
        <v>173200</v>
      </c>
      <c r="H945" t="inlineStr">
        <is>
          <t>2026-08-16</t>
        </is>
      </c>
      <c r="I945">
        <f>IF(MONTH(E945)&lt;=6,"Q1","Q2")</f>
        <v/>
      </c>
      <c r="J945">
        <f>YEAR(E945)*100+MONTH(E945)</f>
        <v/>
      </c>
      <c r="K945">
        <f>IF(COUNTIF($A$2:A945,A945)=1,1,0)</f>
        <v/>
      </c>
      <c r="L945">
        <f>IF(K945=1,IF(COUNTIFS($B$2:B945,B945,$I$2:I945,I945,$K$2:K945,1)=1,1,0),0)</f>
        <v/>
      </c>
      <c r="M945">
        <f>IF(Tree!$C$4="once per order",F945*K945,F945)</f>
        <v/>
      </c>
      <c r="N945">
        <f>IF(Tree!$C$4="once per order",K945,1)</f>
        <v/>
      </c>
      <c r="O945">
        <f>IF(Tree!$C$4="once per order",L945,1)</f>
        <v/>
      </c>
    </row>
    <row r="946">
      <c r="A946" t="inlineStr">
        <is>
          <t>KR-00636</t>
        </is>
      </c>
      <c r="B946" t="inlineStr">
        <is>
          <t>C-0283</t>
        </is>
      </c>
      <c r="C946" t="inlineStr">
        <is>
          <t>Business</t>
        </is>
      </c>
      <c r="D946" t="inlineStr">
        <is>
          <t>app</t>
        </is>
      </c>
      <c r="E946" s="7" t="n">
        <v>46280</v>
      </c>
      <c r="F946" t="n">
        <v>1778000</v>
      </c>
      <c r="G946" t="n">
        <v>1066800</v>
      </c>
      <c r="H946" t="inlineStr">
        <is>
          <t>2026-09-17</t>
        </is>
      </c>
      <c r="I946">
        <f>IF(MONTH(E946)&lt;=6,"Q1","Q2")</f>
        <v/>
      </c>
      <c r="J946">
        <f>YEAR(E946)*100+MONTH(E946)</f>
        <v/>
      </c>
      <c r="K946">
        <f>IF(COUNTIF($A$2:A946,A946)=1,1,0)</f>
        <v/>
      </c>
      <c r="L946">
        <f>IF(K946=1,IF(COUNTIFS($B$2:B946,B946,$I$2:I946,I946,$K$2:K946,1)=1,1,0),0)</f>
        <v/>
      </c>
      <c r="M946">
        <f>IF(Tree!$C$4="once per order",F946*K946,F946)</f>
        <v/>
      </c>
      <c r="N946">
        <f>IF(Tree!$C$4="once per order",K946,1)</f>
        <v/>
      </c>
      <c r="O946">
        <f>IF(Tree!$C$4="once per order",L946,1)</f>
        <v/>
      </c>
    </row>
    <row r="947">
      <c r="A947" t="inlineStr">
        <is>
          <t>KR-00636</t>
        </is>
      </c>
      <c r="B947" t="inlineStr">
        <is>
          <t>C-0283</t>
        </is>
      </c>
      <c r="C947" t="inlineStr">
        <is>
          <t>Business</t>
        </is>
      </c>
      <c r="D947" t="inlineStr">
        <is>
          <t>app</t>
        </is>
      </c>
      <c r="E947" s="7" t="n">
        <v>46280</v>
      </c>
      <c r="F947" t="n">
        <v>1778000</v>
      </c>
      <c r="G947" t="n">
        <v>711200</v>
      </c>
      <c r="H947" t="inlineStr">
        <is>
          <t>2026-09-17</t>
        </is>
      </c>
      <c r="I947">
        <f>IF(MONTH(E947)&lt;=6,"Q1","Q2")</f>
        <v/>
      </c>
      <c r="J947">
        <f>YEAR(E947)*100+MONTH(E947)</f>
        <v/>
      </c>
      <c r="K947">
        <f>IF(COUNTIF($A$2:A947,A947)=1,1,0)</f>
        <v/>
      </c>
      <c r="L947">
        <f>IF(K947=1,IF(COUNTIFS($B$2:B947,B947,$I$2:I947,I947,$K$2:K947,1)=1,1,0),0)</f>
        <v/>
      </c>
      <c r="M947">
        <f>IF(Tree!$C$4="once per order",F947*K947,F947)</f>
        <v/>
      </c>
      <c r="N947">
        <f>IF(Tree!$C$4="once per order",K947,1)</f>
        <v/>
      </c>
      <c r="O947">
        <f>IF(Tree!$C$4="once per order",L947,1)</f>
        <v/>
      </c>
    </row>
    <row r="948">
      <c r="A948" t="inlineStr">
        <is>
          <t>KR-00637</t>
        </is>
      </c>
      <c r="B948" t="inlineStr">
        <is>
          <t>C-0288</t>
        </is>
      </c>
      <c r="C948" t="inlineStr">
        <is>
          <t>Business</t>
        </is>
      </c>
      <c r="D948" t="inlineStr">
        <is>
          <t>store</t>
        </is>
      </c>
      <c r="E948" s="7" t="n">
        <v>46229</v>
      </c>
      <c r="F948" t="n">
        <v>1428000</v>
      </c>
      <c r="G948" t="n">
        <v>856800</v>
      </c>
      <c r="H948" t="inlineStr">
        <is>
          <t>2026-07-28</t>
        </is>
      </c>
      <c r="I948">
        <f>IF(MONTH(E948)&lt;=6,"Q1","Q2")</f>
        <v/>
      </c>
      <c r="J948">
        <f>YEAR(E948)*100+MONTH(E948)</f>
        <v/>
      </c>
      <c r="K948">
        <f>IF(COUNTIF($A$2:A948,A948)=1,1,0)</f>
        <v/>
      </c>
      <c r="L948">
        <f>IF(K948=1,IF(COUNTIFS($B$2:B948,B948,$I$2:I948,I948,$K$2:K948,1)=1,1,0),0)</f>
        <v/>
      </c>
      <c r="M948">
        <f>IF(Tree!$C$4="once per order",F948*K948,F948)</f>
        <v/>
      </c>
      <c r="N948">
        <f>IF(Tree!$C$4="once per order",K948,1)</f>
        <v/>
      </c>
      <c r="O948">
        <f>IF(Tree!$C$4="once per order",L948,1)</f>
        <v/>
      </c>
    </row>
    <row r="949">
      <c r="A949" t="inlineStr">
        <is>
          <t>KR-00637</t>
        </is>
      </c>
      <c r="B949" t="inlineStr">
        <is>
          <t>C-0288</t>
        </is>
      </c>
      <c r="C949" t="inlineStr">
        <is>
          <t>Business</t>
        </is>
      </c>
      <c r="D949" t="inlineStr">
        <is>
          <t>store</t>
        </is>
      </c>
      <c r="E949" s="7" t="n">
        <v>46229</v>
      </c>
      <c r="F949" t="n">
        <v>1428000</v>
      </c>
      <c r="G949" t="n">
        <v>571200</v>
      </c>
      <c r="H949" t="inlineStr">
        <is>
          <t>2026-07-28</t>
        </is>
      </c>
      <c r="I949">
        <f>IF(MONTH(E949)&lt;=6,"Q1","Q2")</f>
        <v/>
      </c>
      <c r="J949">
        <f>YEAR(E949)*100+MONTH(E949)</f>
        <v/>
      </c>
      <c r="K949">
        <f>IF(COUNTIF($A$2:A949,A949)=1,1,0)</f>
        <v/>
      </c>
      <c r="L949">
        <f>IF(K949=1,IF(COUNTIFS($B$2:B949,B949,$I$2:I949,I949,$K$2:K949,1)=1,1,0),0)</f>
        <v/>
      </c>
      <c r="M949">
        <f>IF(Tree!$C$4="once per order",F949*K949,F949)</f>
        <v/>
      </c>
      <c r="N949">
        <f>IF(Tree!$C$4="once per order",K949,1)</f>
        <v/>
      </c>
      <c r="O949">
        <f>IF(Tree!$C$4="once per order",L949,1)</f>
        <v/>
      </c>
    </row>
    <row r="950">
      <c r="A950" t="inlineStr">
        <is>
          <t>KR-00638</t>
        </is>
      </c>
      <c r="B950" t="inlineStr">
        <is>
          <t>C-0303</t>
        </is>
      </c>
      <c r="C950" t="inlineStr">
        <is>
          <t>Business</t>
        </is>
      </c>
      <c r="D950" t="inlineStr">
        <is>
          <t>app</t>
        </is>
      </c>
      <c r="E950" s="7" t="n">
        <v>46247</v>
      </c>
      <c r="F950" t="n">
        <v>573000</v>
      </c>
      <c r="G950" t="n">
        <v>343800</v>
      </c>
      <c r="H950" t="inlineStr">
        <is>
          <t>2026-08-15</t>
        </is>
      </c>
      <c r="I950">
        <f>IF(MONTH(E950)&lt;=6,"Q1","Q2")</f>
        <v/>
      </c>
      <c r="J950">
        <f>YEAR(E950)*100+MONTH(E950)</f>
        <v/>
      </c>
      <c r="K950">
        <f>IF(COUNTIF($A$2:A950,A950)=1,1,0)</f>
        <v/>
      </c>
      <c r="L950">
        <f>IF(K950=1,IF(COUNTIFS($B$2:B950,B950,$I$2:I950,I950,$K$2:K950,1)=1,1,0),0)</f>
        <v/>
      </c>
      <c r="M950">
        <f>IF(Tree!$C$4="once per order",F950*K950,F950)</f>
        <v/>
      </c>
      <c r="N950">
        <f>IF(Tree!$C$4="once per order",K950,1)</f>
        <v/>
      </c>
      <c r="O950">
        <f>IF(Tree!$C$4="once per order",L950,1)</f>
        <v/>
      </c>
    </row>
    <row r="951">
      <c r="A951" t="inlineStr">
        <is>
          <t>KR-00638</t>
        </is>
      </c>
      <c r="B951" t="inlineStr">
        <is>
          <t>C-0303</t>
        </is>
      </c>
      <c r="C951" t="inlineStr">
        <is>
          <t>Business</t>
        </is>
      </c>
      <c r="D951" t="inlineStr">
        <is>
          <t>app</t>
        </is>
      </c>
      <c r="E951" s="7" t="n">
        <v>46247</v>
      </c>
      <c r="F951" t="n">
        <v>573000</v>
      </c>
      <c r="G951" t="n">
        <v>229200</v>
      </c>
      <c r="H951" t="inlineStr">
        <is>
          <t>2026-08-15</t>
        </is>
      </c>
      <c r="I951">
        <f>IF(MONTH(E951)&lt;=6,"Q1","Q2")</f>
        <v/>
      </c>
      <c r="J951">
        <f>YEAR(E951)*100+MONTH(E951)</f>
        <v/>
      </c>
      <c r="K951">
        <f>IF(COUNTIF($A$2:A951,A951)=1,1,0)</f>
        <v/>
      </c>
      <c r="L951">
        <f>IF(K951=1,IF(COUNTIFS($B$2:B951,B951,$I$2:I951,I951,$K$2:K951,1)=1,1,0),0)</f>
        <v/>
      </c>
      <c r="M951">
        <f>IF(Tree!$C$4="once per order",F951*K951,F951)</f>
        <v/>
      </c>
      <c r="N951">
        <f>IF(Tree!$C$4="once per order",K951,1)</f>
        <v/>
      </c>
      <c r="O951">
        <f>IF(Tree!$C$4="once per order",L951,1)</f>
        <v/>
      </c>
    </row>
    <row r="952">
      <c r="A952" t="inlineStr">
        <is>
          <t>KR-00639</t>
        </is>
      </c>
      <c r="B952" t="inlineStr">
        <is>
          <t>C-0273</t>
        </is>
      </c>
      <c r="C952" t="inlineStr">
        <is>
          <t>Business</t>
        </is>
      </c>
      <c r="D952" t="inlineStr">
        <is>
          <t>web</t>
        </is>
      </c>
      <c r="E952" s="7" t="n">
        <v>46289</v>
      </c>
      <c r="F952" t="n">
        <v>1484000</v>
      </c>
      <c r="G952" t="n">
        <v>890400</v>
      </c>
      <c r="H952" t="inlineStr">
        <is>
          <t>2026-09-26</t>
        </is>
      </c>
      <c r="I952">
        <f>IF(MONTH(E952)&lt;=6,"Q1","Q2")</f>
        <v/>
      </c>
      <c r="J952">
        <f>YEAR(E952)*100+MONTH(E952)</f>
        <v/>
      </c>
      <c r="K952">
        <f>IF(COUNTIF($A$2:A952,A952)=1,1,0)</f>
        <v/>
      </c>
      <c r="L952">
        <f>IF(K952=1,IF(COUNTIFS($B$2:B952,B952,$I$2:I952,I952,$K$2:K952,1)=1,1,0),0)</f>
        <v/>
      </c>
      <c r="M952">
        <f>IF(Tree!$C$4="once per order",F952*K952,F952)</f>
        <v/>
      </c>
      <c r="N952">
        <f>IF(Tree!$C$4="once per order",K952,1)</f>
        <v/>
      </c>
      <c r="O952">
        <f>IF(Tree!$C$4="once per order",L952,1)</f>
        <v/>
      </c>
    </row>
    <row r="953">
      <c r="A953" t="inlineStr">
        <is>
          <t>KR-00639</t>
        </is>
      </c>
      <c r="B953" t="inlineStr">
        <is>
          <t>C-0273</t>
        </is>
      </c>
      <c r="C953" t="inlineStr">
        <is>
          <t>Business</t>
        </is>
      </c>
      <c r="D953" t="inlineStr">
        <is>
          <t>web</t>
        </is>
      </c>
      <c r="E953" s="7" t="n">
        <v>46289</v>
      </c>
      <c r="F953" t="n">
        <v>1484000</v>
      </c>
      <c r="G953" t="n">
        <v>593600</v>
      </c>
      <c r="H953" t="inlineStr">
        <is>
          <t>2026-09-26</t>
        </is>
      </c>
      <c r="I953">
        <f>IF(MONTH(E953)&lt;=6,"Q1","Q2")</f>
        <v/>
      </c>
      <c r="J953">
        <f>YEAR(E953)*100+MONTH(E953)</f>
        <v/>
      </c>
      <c r="K953">
        <f>IF(COUNTIF($A$2:A953,A953)=1,1,0)</f>
        <v/>
      </c>
      <c r="L953">
        <f>IF(K953=1,IF(COUNTIFS($B$2:B953,B953,$I$2:I953,I953,$K$2:K953,1)=1,1,0),0)</f>
        <v/>
      </c>
      <c r="M953">
        <f>IF(Tree!$C$4="once per order",F953*K953,F953)</f>
        <v/>
      </c>
      <c r="N953">
        <f>IF(Tree!$C$4="once per order",K953,1)</f>
        <v/>
      </c>
      <c r="O953">
        <f>IF(Tree!$C$4="once per order",L953,1)</f>
        <v/>
      </c>
    </row>
    <row r="954">
      <c r="A954" t="inlineStr">
        <is>
          <t>KR-00640</t>
        </is>
      </c>
      <c r="B954" t="inlineStr">
        <is>
          <t>C-0307</t>
        </is>
      </c>
      <c r="C954" t="inlineStr">
        <is>
          <t>Business</t>
        </is>
      </c>
      <c r="D954" t="inlineStr">
        <is>
          <t>store</t>
        </is>
      </c>
      <c r="E954" s="7" t="n">
        <v>46219</v>
      </c>
      <c r="F954" t="n">
        <v>1025000</v>
      </c>
      <c r="G954" t="n">
        <v>615000</v>
      </c>
      <c r="H954" t="inlineStr">
        <is>
          <t>2026-07-18</t>
        </is>
      </c>
      <c r="I954">
        <f>IF(MONTH(E954)&lt;=6,"Q1","Q2")</f>
        <v/>
      </c>
      <c r="J954">
        <f>YEAR(E954)*100+MONTH(E954)</f>
        <v/>
      </c>
      <c r="K954">
        <f>IF(COUNTIF($A$2:A954,A954)=1,1,0)</f>
        <v/>
      </c>
      <c r="L954">
        <f>IF(K954=1,IF(COUNTIFS($B$2:B954,B954,$I$2:I954,I954,$K$2:K954,1)=1,1,0),0)</f>
        <v/>
      </c>
      <c r="M954">
        <f>IF(Tree!$C$4="once per order",F954*K954,F954)</f>
        <v/>
      </c>
      <c r="N954">
        <f>IF(Tree!$C$4="once per order",K954,1)</f>
        <v/>
      </c>
      <c r="O954">
        <f>IF(Tree!$C$4="once per order",L954,1)</f>
        <v/>
      </c>
    </row>
    <row r="955">
      <c r="A955" t="inlineStr">
        <is>
          <t>KR-00640</t>
        </is>
      </c>
      <c r="B955" t="inlineStr">
        <is>
          <t>C-0307</t>
        </is>
      </c>
      <c r="C955" t="inlineStr">
        <is>
          <t>Business</t>
        </is>
      </c>
      <c r="D955" t="inlineStr">
        <is>
          <t>store</t>
        </is>
      </c>
      <c r="E955" s="7" t="n">
        <v>46219</v>
      </c>
      <c r="F955" t="n">
        <v>1025000</v>
      </c>
      <c r="G955" t="n">
        <v>410000</v>
      </c>
      <c r="H955" t="inlineStr">
        <is>
          <t>2026-07-18</t>
        </is>
      </c>
      <c r="I955">
        <f>IF(MONTH(E955)&lt;=6,"Q1","Q2")</f>
        <v/>
      </c>
      <c r="J955">
        <f>YEAR(E955)*100+MONTH(E955)</f>
        <v/>
      </c>
      <c r="K955">
        <f>IF(COUNTIF($A$2:A955,A955)=1,1,0)</f>
        <v/>
      </c>
      <c r="L955">
        <f>IF(K955=1,IF(COUNTIFS($B$2:B955,B955,$I$2:I955,I955,$K$2:K955,1)=1,1,0),0)</f>
        <v/>
      </c>
      <c r="M955">
        <f>IF(Tree!$C$4="once per order",F955*K955,F955)</f>
        <v/>
      </c>
      <c r="N955">
        <f>IF(Tree!$C$4="once per order",K955,1)</f>
        <v/>
      </c>
      <c r="O955">
        <f>IF(Tree!$C$4="once per order",L955,1)</f>
        <v/>
      </c>
    </row>
    <row r="956">
      <c r="A956" t="inlineStr">
        <is>
          <t>KR-00641</t>
        </is>
      </c>
      <c r="B956" t="inlineStr">
        <is>
          <t>C-0290</t>
        </is>
      </c>
      <c r="C956" t="inlineStr">
        <is>
          <t>Business</t>
        </is>
      </c>
      <c r="D956" t="inlineStr">
        <is>
          <t>store</t>
        </is>
      </c>
      <c r="E956" s="7" t="n">
        <v>46245</v>
      </c>
      <c r="F956" t="n">
        <v>763000</v>
      </c>
      <c r="G956" t="n">
        <v>457800</v>
      </c>
      <c r="H956" t="inlineStr">
        <is>
          <t>2026-08-13</t>
        </is>
      </c>
      <c r="I956">
        <f>IF(MONTH(E956)&lt;=6,"Q1","Q2")</f>
        <v/>
      </c>
      <c r="J956">
        <f>YEAR(E956)*100+MONTH(E956)</f>
        <v/>
      </c>
      <c r="K956">
        <f>IF(COUNTIF($A$2:A956,A956)=1,1,0)</f>
        <v/>
      </c>
      <c r="L956">
        <f>IF(K956=1,IF(COUNTIFS($B$2:B956,B956,$I$2:I956,I956,$K$2:K956,1)=1,1,0),0)</f>
        <v/>
      </c>
      <c r="M956">
        <f>IF(Tree!$C$4="once per order",F956*K956,F956)</f>
        <v/>
      </c>
      <c r="N956">
        <f>IF(Tree!$C$4="once per order",K956,1)</f>
        <v/>
      </c>
      <c r="O956">
        <f>IF(Tree!$C$4="once per order",L956,1)</f>
        <v/>
      </c>
    </row>
    <row r="957">
      <c r="A957" t="inlineStr">
        <is>
          <t>KR-00641</t>
        </is>
      </c>
      <c r="B957" t="inlineStr">
        <is>
          <t>C-0290</t>
        </is>
      </c>
      <c r="C957" t="inlineStr">
        <is>
          <t>Business</t>
        </is>
      </c>
      <c r="D957" t="inlineStr">
        <is>
          <t>store</t>
        </is>
      </c>
      <c r="E957" s="7" t="n">
        <v>46245</v>
      </c>
      <c r="F957" t="n">
        <v>763000</v>
      </c>
      <c r="G957" t="n">
        <v>305200</v>
      </c>
      <c r="H957" t="inlineStr">
        <is>
          <t>2026-08-13</t>
        </is>
      </c>
      <c r="I957">
        <f>IF(MONTH(E957)&lt;=6,"Q1","Q2")</f>
        <v/>
      </c>
      <c r="J957">
        <f>YEAR(E957)*100+MONTH(E957)</f>
        <v/>
      </c>
      <c r="K957">
        <f>IF(COUNTIF($A$2:A957,A957)=1,1,0)</f>
        <v/>
      </c>
      <c r="L957">
        <f>IF(K957=1,IF(COUNTIFS($B$2:B957,B957,$I$2:I957,I957,$K$2:K957,1)=1,1,0),0)</f>
        <v/>
      </c>
      <c r="M957">
        <f>IF(Tree!$C$4="once per order",F957*K957,F957)</f>
        <v/>
      </c>
      <c r="N957">
        <f>IF(Tree!$C$4="once per order",K957,1)</f>
        <v/>
      </c>
      <c r="O957">
        <f>IF(Tree!$C$4="once per order",L957,1)</f>
        <v/>
      </c>
    </row>
    <row r="958">
      <c r="A958" t="inlineStr">
        <is>
          <t>KR-00642</t>
        </is>
      </c>
      <c r="B958" t="inlineStr">
        <is>
          <t>C-0279</t>
        </is>
      </c>
      <c r="C958" t="inlineStr">
        <is>
          <t>Business</t>
        </is>
      </c>
      <c r="D958" t="inlineStr">
        <is>
          <t>web</t>
        </is>
      </c>
      <c r="E958" s="7" t="n">
        <v>46269</v>
      </c>
      <c r="F958" t="n">
        <v>525000</v>
      </c>
      <c r="G958" t="n">
        <v>315000</v>
      </c>
      <c r="H958" t="inlineStr">
        <is>
          <t>2026-09-06</t>
        </is>
      </c>
      <c r="I958">
        <f>IF(MONTH(E958)&lt;=6,"Q1","Q2")</f>
        <v/>
      </c>
      <c r="J958">
        <f>YEAR(E958)*100+MONTH(E958)</f>
        <v/>
      </c>
      <c r="K958">
        <f>IF(COUNTIF($A$2:A958,A958)=1,1,0)</f>
        <v/>
      </c>
      <c r="L958">
        <f>IF(K958=1,IF(COUNTIFS($B$2:B958,B958,$I$2:I958,I958,$K$2:K958,1)=1,1,0),0)</f>
        <v/>
      </c>
      <c r="M958">
        <f>IF(Tree!$C$4="once per order",F958*K958,F958)</f>
        <v/>
      </c>
      <c r="N958">
        <f>IF(Tree!$C$4="once per order",K958,1)</f>
        <v/>
      </c>
      <c r="O958">
        <f>IF(Tree!$C$4="once per order",L958,1)</f>
        <v/>
      </c>
    </row>
    <row r="959">
      <c r="A959" t="inlineStr">
        <is>
          <t>KR-00642</t>
        </is>
      </c>
      <c r="B959" t="inlineStr">
        <is>
          <t>C-0279</t>
        </is>
      </c>
      <c r="C959" t="inlineStr">
        <is>
          <t>Business</t>
        </is>
      </c>
      <c r="D959" t="inlineStr">
        <is>
          <t>web</t>
        </is>
      </c>
      <c r="E959" s="7" t="n">
        <v>46269</v>
      </c>
      <c r="F959" t="n">
        <v>525000</v>
      </c>
      <c r="G959" t="n">
        <v>210000</v>
      </c>
      <c r="H959" t="inlineStr">
        <is>
          <t>2026-09-06</t>
        </is>
      </c>
      <c r="I959">
        <f>IF(MONTH(E959)&lt;=6,"Q1","Q2")</f>
        <v/>
      </c>
      <c r="J959">
        <f>YEAR(E959)*100+MONTH(E959)</f>
        <v/>
      </c>
      <c r="K959">
        <f>IF(COUNTIF($A$2:A959,A959)=1,1,0)</f>
        <v/>
      </c>
      <c r="L959">
        <f>IF(K959=1,IF(COUNTIFS($B$2:B959,B959,$I$2:I959,I959,$K$2:K959,1)=1,1,0),0)</f>
        <v/>
      </c>
      <c r="M959">
        <f>IF(Tree!$C$4="once per order",F959*K959,F959)</f>
        <v/>
      </c>
      <c r="N959">
        <f>IF(Tree!$C$4="once per order",K959,1)</f>
        <v/>
      </c>
      <c r="O959">
        <f>IF(Tree!$C$4="once per order",L959,1)</f>
        <v/>
      </c>
    </row>
    <row r="960">
      <c r="A960" t="inlineStr">
        <is>
          <t>KR-00643</t>
        </is>
      </c>
      <c r="B960" t="inlineStr">
        <is>
          <t>C-0307</t>
        </is>
      </c>
      <c r="C960" t="inlineStr">
        <is>
          <t>Business</t>
        </is>
      </c>
      <c r="D960" t="inlineStr">
        <is>
          <t>store</t>
        </is>
      </c>
      <c r="E960" s="7" t="n">
        <v>46226</v>
      </c>
      <c r="F960" t="n">
        <v>832000</v>
      </c>
      <c r="G960" t="n">
        <v>499200</v>
      </c>
      <c r="H960" t="inlineStr">
        <is>
          <t>2026-07-25</t>
        </is>
      </c>
      <c r="I960">
        <f>IF(MONTH(E960)&lt;=6,"Q1","Q2")</f>
        <v/>
      </c>
      <c r="J960">
        <f>YEAR(E960)*100+MONTH(E960)</f>
        <v/>
      </c>
      <c r="K960">
        <f>IF(COUNTIF($A$2:A960,A960)=1,1,0)</f>
        <v/>
      </c>
      <c r="L960">
        <f>IF(K960=1,IF(COUNTIFS($B$2:B960,B960,$I$2:I960,I960,$K$2:K960,1)=1,1,0),0)</f>
        <v/>
      </c>
      <c r="M960">
        <f>IF(Tree!$C$4="once per order",F960*K960,F960)</f>
        <v/>
      </c>
      <c r="N960">
        <f>IF(Tree!$C$4="once per order",K960,1)</f>
        <v/>
      </c>
      <c r="O960">
        <f>IF(Tree!$C$4="once per order",L960,1)</f>
        <v/>
      </c>
    </row>
    <row r="961">
      <c r="A961" t="inlineStr">
        <is>
          <t>KR-00643</t>
        </is>
      </c>
      <c r="B961" t="inlineStr">
        <is>
          <t>C-0307</t>
        </is>
      </c>
      <c r="C961" t="inlineStr">
        <is>
          <t>Business</t>
        </is>
      </c>
      <c r="D961" t="inlineStr">
        <is>
          <t>store</t>
        </is>
      </c>
      <c r="E961" s="7" t="n">
        <v>46226</v>
      </c>
      <c r="F961" t="n">
        <v>832000</v>
      </c>
      <c r="G961" t="n">
        <v>332800</v>
      </c>
      <c r="H961" t="inlineStr">
        <is>
          <t>2026-07-25</t>
        </is>
      </c>
      <c r="I961">
        <f>IF(MONTH(E961)&lt;=6,"Q1","Q2")</f>
        <v/>
      </c>
      <c r="J961">
        <f>YEAR(E961)*100+MONTH(E961)</f>
        <v/>
      </c>
      <c r="K961">
        <f>IF(COUNTIF($A$2:A961,A961)=1,1,0)</f>
        <v/>
      </c>
      <c r="L961">
        <f>IF(K961=1,IF(COUNTIFS($B$2:B961,B961,$I$2:I961,I961,$K$2:K961,1)=1,1,0),0)</f>
        <v/>
      </c>
      <c r="M961">
        <f>IF(Tree!$C$4="once per order",F961*K961,F961)</f>
        <v/>
      </c>
      <c r="N961">
        <f>IF(Tree!$C$4="once per order",K961,1)</f>
        <v/>
      </c>
      <c r="O961">
        <f>IF(Tree!$C$4="once per order",L961,1)</f>
        <v/>
      </c>
    </row>
    <row r="962">
      <c r="A962" t="inlineStr">
        <is>
          <t>KR-00644</t>
        </is>
      </c>
      <c r="B962" t="inlineStr">
        <is>
          <t>C-0302</t>
        </is>
      </c>
      <c r="C962" t="inlineStr">
        <is>
          <t>Business</t>
        </is>
      </c>
      <c r="D962" t="inlineStr">
        <is>
          <t>web</t>
        </is>
      </c>
      <c r="E962" s="7" t="n">
        <v>46239</v>
      </c>
      <c r="F962" t="n">
        <v>225000</v>
      </c>
      <c r="G962" t="n">
        <v>135000</v>
      </c>
      <c r="H962" t="inlineStr">
        <is>
          <t>2026-08-07</t>
        </is>
      </c>
      <c r="I962">
        <f>IF(MONTH(E962)&lt;=6,"Q1","Q2")</f>
        <v/>
      </c>
      <c r="J962">
        <f>YEAR(E962)*100+MONTH(E962)</f>
        <v/>
      </c>
      <c r="K962">
        <f>IF(COUNTIF($A$2:A962,A962)=1,1,0)</f>
        <v/>
      </c>
      <c r="L962">
        <f>IF(K962=1,IF(COUNTIFS($B$2:B962,B962,$I$2:I962,I962,$K$2:K962,1)=1,1,0),0)</f>
        <v/>
      </c>
      <c r="M962">
        <f>IF(Tree!$C$4="once per order",F962*K962,F962)</f>
        <v/>
      </c>
      <c r="N962">
        <f>IF(Tree!$C$4="once per order",K962,1)</f>
        <v/>
      </c>
      <c r="O962">
        <f>IF(Tree!$C$4="once per order",L962,1)</f>
        <v/>
      </c>
    </row>
    <row r="963">
      <c r="A963" t="inlineStr">
        <is>
          <t>KR-00644</t>
        </is>
      </c>
      <c r="B963" t="inlineStr">
        <is>
          <t>C-0302</t>
        </is>
      </c>
      <c r="C963" t="inlineStr">
        <is>
          <t>Business</t>
        </is>
      </c>
      <c r="D963" t="inlineStr">
        <is>
          <t>web</t>
        </is>
      </c>
      <c r="E963" s="7" t="n">
        <v>46239</v>
      </c>
      <c r="F963" t="n">
        <v>225000</v>
      </c>
      <c r="G963" t="n">
        <v>90000</v>
      </c>
      <c r="H963" t="inlineStr">
        <is>
          <t>2026-08-07</t>
        </is>
      </c>
      <c r="I963">
        <f>IF(MONTH(E963)&lt;=6,"Q1","Q2")</f>
        <v/>
      </c>
      <c r="J963">
        <f>YEAR(E963)*100+MONTH(E963)</f>
        <v/>
      </c>
      <c r="K963">
        <f>IF(COUNTIF($A$2:A963,A963)=1,1,0)</f>
        <v/>
      </c>
      <c r="L963">
        <f>IF(K963=1,IF(COUNTIFS($B$2:B963,B963,$I$2:I963,I963,$K$2:K963,1)=1,1,0),0)</f>
        <v/>
      </c>
      <c r="M963">
        <f>IF(Tree!$C$4="once per order",F963*K963,F963)</f>
        <v/>
      </c>
      <c r="N963">
        <f>IF(Tree!$C$4="once per order",K963,1)</f>
        <v/>
      </c>
      <c r="O963">
        <f>IF(Tree!$C$4="once per order",L963,1)</f>
        <v/>
      </c>
    </row>
    <row r="964">
      <c r="A964" t="inlineStr">
        <is>
          <t>KR-00645</t>
        </is>
      </c>
      <c r="B964" t="inlineStr">
        <is>
          <t>C-0275</t>
        </is>
      </c>
      <c r="C964" t="inlineStr">
        <is>
          <t>Business</t>
        </is>
      </c>
      <c r="D964" t="inlineStr">
        <is>
          <t>store</t>
        </is>
      </c>
      <c r="E964" s="7" t="n">
        <v>46284</v>
      </c>
      <c r="F964" t="n">
        <v>803000</v>
      </c>
      <c r="G964" t="n">
        <v>481800</v>
      </c>
      <c r="H964" t="inlineStr">
        <is>
          <t>2026-09-21</t>
        </is>
      </c>
      <c r="I964">
        <f>IF(MONTH(E964)&lt;=6,"Q1","Q2")</f>
        <v/>
      </c>
      <c r="J964">
        <f>YEAR(E964)*100+MONTH(E964)</f>
        <v/>
      </c>
      <c r="K964">
        <f>IF(COUNTIF($A$2:A964,A964)=1,1,0)</f>
        <v/>
      </c>
      <c r="L964">
        <f>IF(K964=1,IF(COUNTIFS($B$2:B964,B964,$I$2:I964,I964,$K$2:K964,1)=1,1,0),0)</f>
        <v/>
      </c>
      <c r="M964">
        <f>IF(Tree!$C$4="once per order",F964*K964,F964)</f>
        <v/>
      </c>
      <c r="N964">
        <f>IF(Tree!$C$4="once per order",K964,1)</f>
        <v/>
      </c>
      <c r="O964">
        <f>IF(Tree!$C$4="once per order",L964,1)</f>
        <v/>
      </c>
    </row>
    <row r="965">
      <c r="A965" t="inlineStr">
        <is>
          <t>KR-00645</t>
        </is>
      </c>
      <c r="B965" t="inlineStr">
        <is>
          <t>C-0275</t>
        </is>
      </c>
      <c r="C965" t="inlineStr">
        <is>
          <t>Business</t>
        </is>
      </c>
      <c r="D965" t="inlineStr">
        <is>
          <t>store</t>
        </is>
      </c>
      <c r="E965" s="7" t="n">
        <v>46284</v>
      </c>
      <c r="F965" t="n">
        <v>803000</v>
      </c>
      <c r="G965" t="n">
        <v>321200</v>
      </c>
      <c r="H965" t="inlineStr">
        <is>
          <t>2026-09-21</t>
        </is>
      </c>
      <c r="I965">
        <f>IF(MONTH(E965)&lt;=6,"Q1","Q2")</f>
        <v/>
      </c>
      <c r="J965">
        <f>YEAR(E965)*100+MONTH(E965)</f>
        <v/>
      </c>
      <c r="K965">
        <f>IF(COUNTIF($A$2:A965,A965)=1,1,0)</f>
        <v/>
      </c>
      <c r="L965">
        <f>IF(K965=1,IF(COUNTIFS($B$2:B965,B965,$I$2:I965,I965,$K$2:K965,1)=1,1,0),0)</f>
        <v/>
      </c>
      <c r="M965">
        <f>IF(Tree!$C$4="once per order",F965*K965,F965)</f>
        <v/>
      </c>
      <c r="N965">
        <f>IF(Tree!$C$4="once per order",K965,1)</f>
        <v/>
      </c>
      <c r="O965">
        <f>IF(Tree!$C$4="once per order",L965,1)</f>
        <v/>
      </c>
    </row>
    <row r="966">
      <c r="A966" t="inlineStr">
        <is>
          <t>KR-00646</t>
        </is>
      </c>
      <c r="B966" t="inlineStr">
        <is>
          <t>C-0272</t>
        </is>
      </c>
      <c r="C966" t="inlineStr">
        <is>
          <t>Business</t>
        </is>
      </c>
      <c r="D966" t="inlineStr">
        <is>
          <t>app</t>
        </is>
      </c>
      <c r="E966" s="7" t="n">
        <v>46214</v>
      </c>
      <c r="F966" t="n">
        <v>533000</v>
      </c>
      <c r="G966" t="n">
        <v>319800</v>
      </c>
      <c r="H966" t="inlineStr">
        <is>
          <t>2026-07-13</t>
        </is>
      </c>
      <c r="I966">
        <f>IF(MONTH(E966)&lt;=6,"Q1","Q2")</f>
        <v/>
      </c>
      <c r="J966">
        <f>YEAR(E966)*100+MONTH(E966)</f>
        <v/>
      </c>
      <c r="K966">
        <f>IF(COUNTIF($A$2:A966,A966)=1,1,0)</f>
        <v/>
      </c>
      <c r="L966">
        <f>IF(K966=1,IF(COUNTIFS($B$2:B966,B966,$I$2:I966,I966,$K$2:K966,1)=1,1,0),0)</f>
        <v/>
      </c>
      <c r="M966">
        <f>IF(Tree!$C$4="once per order",F966*K966,F966)</f>
        <v/>
      </c>
      <c r="N966">
        <f>IF(Tree!$C$4="once per order",K966,1)</f>
        <v/>
      </c>
      <c r="O966">
        <f>IF(Tree!$C$4="once per order",L966,1)</f>
        <v/>
      </c>
    </row>
    <row r="967">
      <c r="A967" t="inlineStr">
        <is>
          <t>KR-00646</t>
        </is>
      </c>
      <c r="B967" t="inlineStr">
        <is>
          <t>C-0272</t>
        </is>
      </c>
      <c r="C967" t="inlineStr">
        <is>
          <t>Business</t>
        </is>
      </c>
      <c r="D967" t="inlineStr">
        <is>
          <t>app</t>
        </is>
      </c>
      <c r="E967" s="7" t="n">
        <v>46214</v>
      </c>
      <c r="F967" t="n">
        <v>533000</v>
      </c>
      <c r="G967" t="n">
        <v>213200</v>
      </c>
      <c r="H967" t="inlineStr">
        <is>
          <t>2026-07-13</t>
        </is>
      </c>
      <c r="I967">
        <f>IF(MONTH(E967)&lt;=6,"Q1","Q2")</f>
        <v/>
      </c>
      <c r="J967">
        <f>YEAR(E967)*100+MONTH(E967)</f>
        <v/>
      </c>
      <c r="K967">
        <f>IF(COUNTIF($A$2:A967,A967)=1,1,0)</f>
        <v/>
      </c>
      <c r="L967">
        <f>IF(K967=1,IF(COUNTIFS($B$2:B967,B967,$I$2:I967,I967,$K$2:K967,1)=1,1,0),0)</f>
        <v/>
      </c>
      <c r="M967">
        <f>IF(Tree!$C$4="once per order",F967*K967,F967)</f>
        <v/>
      </c>
      <c r="N967">
        <f>IF(Tree!$C$4="once per order",K967,1)</f>
        <v/>
      </c>
      <c r="O967">
        <f>IF(Tree!$C$4="once per order",L967,1)</f>
        <v/>
      </c>
    </row>
    <row r="968">
      <c r="A968" t="inlineStr">
        <is>
          <t>KR-00647</t>
        </is>
      </c>
      <c r="B968" t="inlineStr">
        <is>
          <t>C-0308</t>
        </is>
      </c>
      <c r="C968" t="inlineStr">
        <is>
          <t>Business</t>
        </is>
      </c>
      <c r="D968" t="inlineStr">
        <is>
          <t>app</t>
        </is>
      </c>
      <c r="E968" s="7" t="n">
        <v>46235</v>
      </c>
      <c r="F968" t="n">
        <v>573000</v>
      </c>
      <c r="G968" t="n">
        <v>343800</v>
      </c>
      <c r="H968" t="inlineStr">
        <is>
          <t>2026-08-03</t>
        </is>
      </c>
      <c r="I968">
        <f>IF(MONTH(E968)&lt;=6,"Q1","Q2")</f>
        <v/>
      </c>
      <c r="J968">
        <f>YEAR(E968)*100+MONTH(E968)</f>
        <v/>
      </c>
      <c r="K968">
        <f>IF(COUNTIF($A$2:A968,A968)=1,1,0)</f>
        <v/>
      </c>
      <c r="L968">
        <f>IF(K968=1,IF(COUNTIFS($B$2:B968,B968,$I$2:I968,I968,$K$2:K968,1)=1,1,0),0)</f>
        <v/>
      </c>
      <c r="M968">
        <f>IF(Tree!$C$4="once per order",F968*K968,F968)</f>
        <v/>
      </c>
      <c r="N968">
        <f>IF(Tree!$C$4="once per order",K968,1)</f>
        <v/>
      </c>
      <c r="O968">
        <f>IF(Tree!$C$4="once per order",L968,1)</f>
        <v/>
      </c>
    </row>
    <row r="969">
      <c r="A969" t="inlineStr">
        <is>
          <t>KR-00647</t>
        </is>
      </c>
      <c r="B969" t="inlineStr">
        <is>
          <t>C-0308</t>
        </is>
      </c>
      <c r="C969" t="inlineStr">
        <is>
          <t>Business</t>
        </is>
      </c>
      <c r="D969" t="inlineStr">
        <is>
          <t>app</t>
        </is>
      </c>
      <c r="E969" s="7" t="n">
        <v>46235</v>
      </c>
      <c r="F969" t="n">
        <v>573000</v>
      </c>
      <c r="G969" t="n">
        <v>229200</v>
      </c>
      <c r="H969" t="inlineStr">
        <is>
          <t>2026-08-03</t>
        </is>
      </c>
      <c r="I969">
        <f>IF(MONTH(E969)&lt;=6,"Q1","Q2")</f>
        <v/>
      </c>
      <c r="J969">
        <f>YEAR(E969)*100+MONTH(E969)</f>
        <v/>
      </c>
      <c r="K969">
        <f>IF(COUNTIF($A$2:A969,A969)=1,1,0)</f>
        <v/>
      </c>
      <c r="L969">
        <f>IF(K969=1,IF(COUNTIFS($B$2:B969,B969,$I$2:I969,I969,$K$2:K969,1)=1,1,0),0)</f>
        <v/>
      </c>
      <c r="M969">
        <f>IF(Tree!$C$4="once per order",F969*K969,F969)</f>
        <v/>
      </c>
      <c r="N969">
        <f>IF(Tree!$C$4="once per order",K969,1)</f>
        <v/>
      </c>
      <c r="O969">
        <f>IF(Tree!$C$4="once per order",L969,1)</f>
        <v/>
      </c>
    </row>
    <row r="970">
      <c r="A970" t="inlineStr">
        <is>
          <t>KR-00648</t>
        </is>
      </c>
      <c r="B970" t="inlineStr">
        <is>
          <t>C-0275</t>
        </is>
      </c>
      <c r="C970" t="inlineStr">
        <is>
          <t>Business</t>
        </is>
      </c>
      <c r="D970" t="inlineStr">
        <is>
          <t>web</t>
        </is>
      </c>
      <c r="E970" s="7" t="n">
        <v>46276</v>
      </c>
      <c r="F970" t="n">
        <v>468000</v>
      </c>
      <c r="G970" t="n">
        <v>280800</v>
      </c>
      <c r="H970" t="inlineStr">
        <is>
          <t>2026-09-13</t>
        </is>
      </c>
      <c r="I970">
        <f>IF(MONTH(E970)&lt;=6,"Q1","Q2")</f>
        <v/>
      </c>
      <c r="J970">
        <f>YEAR(E970)*100+MONTH(E970)</f>
        <v/>
      </c>
      <c r="K970">
        <f>IF(COUNTIF($A$2:A970,A970)=1,1,0)</f>
        <v/>
      </c>
      <c r="L970">
        <f>IF(K970=1,IF(COUNTIFS($B$2:B970,B970,$I$2:I970,I970,$K$2:K970,1)=1,1,0),0)</f>
        <v/>
      </c>
      <c r="M970">
        <f>IF(Tree!$C$4="once per order",F970*K970,F970)</f>
        <v/>
      </c>
      <c r="N970">
        <f>IF(Tree!$C$4="once per order",K970,1)</f>
        <v/>
      </c>
      <c r="O970">
        <f>IF(Tree!$C$4="once per order",L970,1)</f>
        <v/>
      </c>
    </row>
    <row r="971">
      <c r="A971" t="inlineStr">
        <is>
          <t>KR-00648</t>
        </is>
      </c>
      <c r="B971" t="inlineStr">
        <is>
          <t>C-0275</t>
        </is>
      </c>
      <c r="C971" t="inlineStr">
        <is>
          <t>Business</t>
        </is>
      </c>
      <c r="D971" t="inlineStr">
        <is>
          <t>web</t>
        </is>
      </c>
      <c r="E971" s="7" t="n">
        <v>46276</v>
      </c>
      <c r="F971" t="n">
        <v>468000</v>
      </c>
      <c r="G971" t="n">
        <v>187200</v>
      </c>
      <c r="H971" t="inlineStr">
        <is>
          <t>2026-09-13</t>
        </is>
      </c>
      <c r="I971">
        <f>IF(MONTH(E971)&lt;=6,"Q1","Q2")</f>
        <v/>
      </c>
      <c r="J971">
        <f>YEAR(E971)*100+MONTH(E971)</f>
        <v/>
      </c>
      <c r="K971">
        <f>IF(COUNTIF($A$2:A971,A971)=1,1,0)</f>
        <v/>
      </c>
      <c r="L971">
        <f>IF(K971=1,IF(COUNTIFS($B$2:B971,B971,$I$2:I971,I971,$K$2:K971,1)=1,1,0),0)</f>
        <v/>
      </c>
      <c r="M971">
        <f>IF(Tree!$C$4="once per order",F971*K971,F971)</f>
        <v/>
      </c>
      <c r="N971">
        <f>IF(Tree!$C$4="once per order",K971,1)</f>
        <v/>
      </c>
      <c r="O971">
        <f>IF(Tree!$C$4="once per order",L971,1)</f>
        <v/>
      </c>
    </row>
    <row r="972">
      <c r="A972" t="inlineStr">
        <is>
          <t>KR-00649</t>
        </is>
      </c>
      <c r="B972" t="inlineStr">
        <is>
          <t>C-0305</t>
        </is>
      </c>
      <c r="C972" t="inlineStr">
        <is>
          <t>Business</t>
        </is>
      </c>
      <c r="D972" t="inlineStr">
        <is>
          <t>app</t>
        </is>
      </c>
      <c r="E972" s="7" t="n">
        <v>46218</v>
      </c>
      <c r="F972" t="n">
        <v>1561000</v>
      </c>
      <c r="G972" t="n">
        <v>936600</v>
      </c>
      <c r="H972" t="inlineStr">
        <is>
          <t>2026-07-17</t>
        </is>
      </c>
      <c r="I972">
        <f>IF(MONTH(E972)&lt;=6,"Q1","Q2")</f>
        <v/>
      </c>
      <c r="J972">
        <f>YEAR(E972)*100+MONTH(E972)</f>
        <v/>
      </c>
      <c r="K972">
        <f>IF(COUNTIF($A$2:A972,A972)=1,1,0)</f>
        <v/>
      </c>
      <c r="L972">
        <f>IF(K972=1,IF(COUNTIFS($B$2:B972,B972,$I$2:I972,I972,$K$2:K972,1)=1,1,0),0)</f>
        <v/>
      </c>
      <c r="M972">
        <f>IF(Tree!$C$4="once per order",F972*K972,F972)</f>
        <v/>
      </c>
      <c r="N972">
        <f>IF(Tree!$C$4="once per order",K972,1)</f>
        <v/>
      </c>
      <c r="O972">
        <f>IF(Tree!$C$4="once per order",L972,1)</f>
        <v/>
      </c>
    </row>
    <row r="973">
      <c r="A973" t="inlineStr">
        <is>
          <t>KR-00649</t>
        </is>
      </c>
      <c r="B973" t="inlineStr">
        <is>
          <t>C-0305</t>
        </is>
      </c>
      <c r="C973" t="inlineStr">
        <is>
          <t>Business</t>
        </is>
      </c>
      <c r="D973" t="inlineStr">
        <is>
          <t>app</t>
        </is>
      </c>
      <c r="E973" s="7" t="n">
        <v>46218</v>
      </c>
      <c r="F973" t="n">
        <v>1561000</v>
      </c>
      <c r="G973" t="n">
        <v>624400</v>
      </c>
      <c r="H973" t="inlineStr">
        <is>
          <t>2026-07-17</t>
        </is>
      </c>
      <c r="I973">
        <f>IF(MONTH(E973)&lt;=6,"Q1","Q2")</f>
        <v/>
      </c>
      <c r="J973">
        <f>YEAR(E973)*100+MONTH(E973)</f>
        <v/>
      </c>
      <c r="K973">
        <f>IF(COUNTIF($A$2:A973,A973)=1,1,0)</f>
        <v/>
      </c>
      <c r="L973">
        <f>IF(K973=1,IF(COUNTIFS($B$2:B973,B973,$I$2:I973,I973,$K$2:K973,1)=1,1,0),0)</f>
        <v/>
      </c>
      <c r="M973">
        <f>IF(Tree!$C$4="once per order",F973*K973,F973)</f>
        <v/>
      </c>
      <c r="N973">
        <f>IF(Tree!$C$4="once per order",K973,1)</f>
        <v/>
      </c>
      <c r="O973">
        <f>IF(Tree!$C$4="once per order",L973,1)</f>
        <v/>
      </c>
    </row>
    <row r="974">
      <c r="A974" t="inlineStr">
        <is>
          <t>KR-00650</t>
        </is>
      </c>
      <c r="B974" t="inlineStr">
        <is>
          <t>C-0279</t>
        </is>
      </c>
      <c r="C974" t="inlineStr">
        <is>
          <t>Business</t>
        </is>
      </c>
      <c r="D974" t="inlineStr">
        <is>
          <t>store</t>
        </is>
      </c>
      <c r="E974" s="7" t="n">
        <v>46235</v>
      </c>
      <c r="F974" t="n">
        <v>1785000</v>
      </c>
      <c r="G974" t="n">
        <v>1071000</v>
      </c>
      <c r="H974" t="inlineStr">
        <is>
          <t>2026-08-03</t>
        </is>
      </c>
      <c r="I974">
        <f>IF(MONTH(E974)&lt;=6,"Q1","Q2")</f>
        <v/>
      </c>
      <c r="J974">
        <f>YEAR(E974)*100+MONTH(E974)</f>
        <v/>
      </c>
      <c r="K974">
        <f>IF(COUNTIF($A$2:A974,A974)=1,1,0)</f>
        <v/>
      </c>
      <c r="L974">
        <f>IF(K974=1,IF(COUNTIFS($B$2:B974,B974,$I$2:I974,I974,$K$2:K974,1)=1,1,0),0)</f>
        <v/>
      </c>
      <c r="M974">
        <f>IF(Tree!$C$4="once per order",F974*K974,F974)</f>
        <v/>
      </c>
      <c r="N974">
        <f>IF(Tree!$C$4="once per order",K974,1)</f>
        <v/>
      </c>
      <c r="O974">
        <f>IF(Tree!$C$4="once per order",L974,1)</f>
        <v/>
      </c>
    </row>
    <row r="975">
      <c r="A975" t="inlineStr">
        <is>
          <t>KR-00650</t>
        </is>
      </c>
      <c r="B975" t="inlineStr">
        <is>
          <t>C-0279</t>
        </is>
      </c>
      <c r="C975" t="inlineStr">
        <is>
          <t>Business</t>
        </is>
      </c>
      <c r="D975" t="inlineStr">
        <is>
          <t>store</t>
        </is>
      </c>
      <c r="E975" s="7" t="n">
        <v>46235</v>
      </c>
      <c r="F975" t="n">
        <v>1785000</v>
      </c>
      <c r="G975" t="n">
        <v>714000</v>
      </c>
      <c r="H975" t="inlineStr">
        <is>
          <t>2026-08-03</t>
        </is>
      </c>
      <c r="I975">
        <f>IF(MONTH(E975)&lt;=6,"Q1","Q2")</f>
        <v/>
      </c>
      <c r="J975">
        <f>YEAR(E975)*100+MONTH(E975)</f>
        <v/>
      </c>
      <c r="K975">
        <f>IF(COUNTIF($A$2:A975,A975)=1,1,0)</f>
        <v/>
      </c>
      <c r="L975">
        <f>IF(K975=1,IF(COUNTIFS($B$2:B975,B975,$I$2:I975,I975,$K$2:K975,1)=1,1,0),0)</f>
        <v/>
      </c>
      <c r="M975">
        <f>IF(Tree!$C$4="once per order",F975*K975,F975)</f>
        <v/>
      </c>
      <c r="N975">
        <f>IF(Tree!$C$4="once per order",K975,1)</f>
        <v/>
      </c>
      <c r="O975">
        <f>IF(Tree!$C$4="once per order",L975,1)</f>
        <v/>
      </c>
    </row>
    <row r="976">
      <c r="A976" t="inlineStr">
        <is>
          <t>KR-00651</t>
        </is>
      </c>
      <c r="B976" t="inlineStr">
        <is>
          <t>C-0293</t>
        </is>
      </c>
      <c r="C976" t="inlineStr">
        <is>
          <t>Business</t>
        </is>
      </c>
      <c r="D976" t="inlineStr">
        <is>
          <t>web</t>
        </is>
      </c>
      <c r="E976" s="7" t="n">
        <v>46292</v>
      </c>
      <c r="F976" t="n">
        <v>1187000</v>
      </c>
      <c r="G976" t="n">
        <v>712200</v>
      </c>
      <c r="H976" t="inlineStr">
        <is>
          <t>2026-09-28</t>
        </is>
      </c>
      <c r="I976">
        <f>IF(MONTH(E976)&lt;=6,"Q1","Q2")</f>
        <v/>
      </c>
      <c r="J976">
        <f>YEAR(E976)*100+MONTH(E976)</f>
        <v/>
      </c>
      <c r="K976">
        <f>IF(COUNTIF($A$2:A976,A976)=1,1,0)</f>
        <v/>
      </c>
      <c r="L976">
        <f>IF(K976=1,IF(COUNTIFS($B$2:B976,B976,$I$2:I976,I976,$K$2:K976,1)=1,1,0),0)</f>
        <v/>
      </c>
      <c r="M976">
        <f>IF(Tree!$C$4="once per order",F976*K976,F976)</f>
        <v/>
      </c>
      <c r="N976">
        <f>IF(Tree!$C$4="once per order",K976,1)</f>
        <v/>
      </c>
      <c r="O976">
        <f>IF(Tree!$C$4="once per order",L976,1)</f>
        <v/>
      </c>
    </row>
    <row r="977">
      <c r="A977" t="inlineStr">
        <is>
          <t>KR-00651</t>
        </is>
      </c>
      <c r="B977" t="inlineStr">
        <is>
          <t>C-0293</t>
        </is>
      </c>
      <c r="C977" t="inlineStr">
        <is>
          <t>Business</t>
        </is>
      </c>
      <c r="D977" t="inlineStr">
        <is>
          <t>web</t>
        </is>
      </c>
      <c r="E977" s="7" t="n">
        <v>46292</v>
      </c>
      <c r="F977" t="n">
        <v>1187000</v>
      </c>
      <c r="G977" t="n">
        <v>474800</v>
      </c>
      <c r="H977" t="inlineStr">
        <is>
          <t>2026-09-28</t>
        </is>
      </c>
      <c r="I977">
        <f>IF(MONTH(E977)&lt;=6,"Q1","Q2")</f>
        <v/>
      </c>
      <c r="J977">
        <f>YEAR(E977)*100+MONTH(E977)</f>
        <v/>
      </c>
      <c r="K977">
        <f>IF(COUNTIF($A$2:A977,A977)=1,1,0)</f>
        <v/>
      </c>
      <c r="L977">
        <f>IF(K977=1,IF(COUNTIFS($B$2:B977,B977,$I$2:I977,I977,$K$2:K977,1)=1,1,0),0)</f>
        <v/>
      </c>
      <c r="M977">
        <f>IF(Tree!$C$4="once per order",F977*K977,F977)</f>
        <v/>
      </c>
      <c r="N977">
        <f>IF(Tree!$C$4="once per order",K977,1)</f>
        <v/>
      </c>
      <c r="O977">
        <f>IF(Tree!$C$4="once per order",L977,1)</f>
        <v/>
      </c>
    </row>
    <row r="978">
      <c r="A978" t="inlineStr">
        <is>
          <t>KR-00652</t>
        </is>
      </c>
      <c r="B978" t="inlineStr">
        <is>
          <t>C-0277</t>
        </is>
      </c>
      <c r="C978" t="inlineStr">
        <is>
          <t>Business</t>
        </is>
      </c>
      <c r="D978" t="inlineStr">
        <is>
          <t>app</t>
        </is>
      </c>
      <c r="E978" s="7" t="n">
        <v>46226</v>
      </c>
      <c r="F978" t="n">
        <v>1251000</v>
      </c>
      <c r="G978" t="n">
        <v>750600</v>
      </c>
      <c r="H978" t="inlineStr">
        <is>
          <t>2026-07-25</t>
        </is>
      </c>
      <c r="I978">
        <f>IF(MONTH(E978)&lt;=6,"Q1","Q2")</f>
        <v/>
      </c>
      <c r="J978">
        <f>YEAR(E978)*100+MONTH(E978)</f>
        <v/>
      </c>
      <c r="K978">
        <f>IF(COUNTIF($A$2:A978,A978)=1,1,0)</f>
        <v/>
      </c>
      <c r="L978">
        <f>IF(K978=1,IF(COUNTIFS($B$2:B978,B978,$I$2:I978,I978,$K$2:K978,1)=1,1,0),0)</f>
        <v/>
      </c>
      <c r="M978">
        <f>IF(Tree!$C$4="once per order",F978*K978,F978)</f>
        <v/>
      </c>
      <c r="N978">
        <f>IF(Tree!$C$4="once per order",K978,1)</f>
        <v/>
      </c>
      <c r="O978">
        <f>IF(Tree!$C$4="once per order",L978,1)</f>
        <v/>
      </c>
    </row>
    <row r="979">
      <c r="A979" t="inlineStr">
        <is>
          <t>KR-00652</t>
        </is>
      </c>
      <c r="B979" t="inlineStr">
        <is>
          <t>C-0277</t>
        </is>
      </c>
      <c r="C979" t="inlineStr">
        <is>
          <t>Business</t>
        </is>
      </c>
      <c r="D979" t="inlineStr">
        <is>
          <t>app</t>
        </is>
      </c>
      <c r="E979" s="7" t="n">
        <v>46226</v>
      </c>
      <c r="F979" t="n">
        <v>1251000</v>
      </c>
      <c r="G979" t="n">
        <v>500400</v>
      </c>
      <c r="H979" t="inlineStr">
        <is>
          <t>2026-07-25</t>
        </is>
      </c>
      <c r="I979">
        <f>IF(MONTH(E979)&lt;=6,"Q1","Q2")</f>
        <v/>
      </c>
      <c r="J979">
        <f>YEAR(E979)*100+MONTH(E979)</f>
        <v/>
      </c>
      <c r="K979">
        <f>IF(COUNTIF($A$2:A979,A979)=1,1,0)</f>
        <v/>
      </c>
      <c r="L979">
        <f>IF(K979=1,IF(COUNTIFS($B$2:B979,B979,$I$2:I979,I979,$K$2:K979,1)=1,1,0),0)</f>
        <v/>
      </c>
      <c r="M979">
        <f>IF(Tree!$C$4="once per order",F979*K979,F979)</f>
        <v/>
      </c>
      <c r="N979">
        <f>IF(Tree!$C$4="once per order",K979,1)</f>
        <v/>
      </c>
      <c r="O979">
        <f>IF(Tree!$C$4="once per order",L979,1)</f>
        <v/>
      </c>
    </row>
    <row r="980">
      <c r="A980" t="inlineStr">
        <is>
          <t>KR-00653</t>
        </is>
      </c>
      <c r="B980" t="inlineStr">
        <is>
          <t>C-0277</t>
        </is>
      </c>
      <c r="C980" t="inlineStr">
        <is>
          <t>Business</t>
        </is>
      </c>
      <c r="D980" t="inlineStr">
        <is>
          <t>web</t>
        </is>
      </c>
      <c r="E980" s="7" t="n">
        <v>46250</v>
      </c>
      <c r="F980" t="n">
        <v>804000</v>
      </c>
      <c r="G980" t="n">
        <v>482400</v>
      </c>
      <c r="H980" t="inlineStr">
        <is>
          <t>2026-08-18</t>
        </is>
      </c>
      <c r="I980">
        <f>IF(MONTH(E980)&lt;=6,"Q1","Q2")</f>
        <v/>
      </c>
      <c r="J980">
        <f>YEAR(E980)*100+MONTH(E980)</f>
        <v/>
      </c>
      <c r="K980">
        <f>IF(COUNTIF($A$2:A980,A980)=1,1,0)</f>
        <v/>
      </c>
      <c r="L980">
        <f>IF(K980=1,IF(COUNTIFS($B$2:B980,B980,$I$2:I980,I980,$K$2:K980,1)=1,1,0),0)</f>
        <v/>
      </c>
      <c r="M980">
        <f>IF(Tree!$C$4="once per order",F980*K980,F980)</f>
        <v/>
      </c>
      <c r="N980">
        <f>IF(Tree!$C$4="once per order",K980,1)</f>
        <v/>
      </c>
      <c r="O980">
        <f>IF(Tree!$C$4="once per order",L980,1)</f>
        <v/>
      </c>
    </row>
    <row r="981">
      <c r="A981" t="inlineStr">
        <is>
          <t>KR-00653</t>
        </is>
      </c>
      <c r="B981" t="inlineStr">
        <is>
          <t>C-0277</t>
        </is>
      </c>
      <c r="C981" t="inlineStr">
        <is>
          <t>Business</t>
        </is>
      </c>
      <c r="D981" t="inlineStr">
        <is>
          <t>web</t>
        </is>
      </c>
      <c r="E981" s="7" t="n">
        <v>46250</v>
      </c>
      <c r="F981" t="n">
        <v>804000</v>
      </c>
      <c r="G981" t="n">
        <v>321600</v>
      </c>
      <c r="H981" t="inlineStr">
        <is>
          <t>2026-08-18</t>
        </is>
      </c>
      <c r="I981">
        <f>IF(MONTH(E981)&lt;=6,"Q1","Q2")</f>
        <v/>
      </c>
      <c r="J981">
        <f>YEAR(E981)*100+MONTH(E981)</f>
        <v/>
      </c>
      <c r="K981">
        <f>IF(COUNTIF($A$2:A981,A981)=1,1,0)</f>
        <v/>
      </c>
      <c r="L981">
        <f>IF(K981=1,IF(COUNTIFS($B$2:B981,B981,$I$2:I981,I981,$K$2:K981,1)=1,1,0),0)</f>
        <v/>
      </c>
      <c r="M981">
        <f>IF(Tree!$C$4="once per order",F981*K981,F981)</f>
        <v/>
      </c>
      <c r="N981">
        <f>IF(Tree!$C$4="once per order",K981,1)</f>
        <v/>
      </c>
      <c r="O981">
        <f>IF(Tree!$C$4="once per order",L981,1)</f>
        <v/>
      </c>
    </row>
    <row r="982">
      <c r="A982" t="inlineStr">
        <is>
          <t>KR-00654</t>
        </is>
      </c>
      <c r="B982" t="inlineStr">
        <is>
          <t>C-0278</t>
        </is>
      </c>
      <c r="C982" t="inlineStr">
        <is>
          <t>Business</t>
        </is>
      </c>
      <c r="D982" t="inlineStr">
        <is>
          <t>store</t>
        </is>
      </c>
      <c r="E982" s="7" t="n">
        <v>46279</v>
      </c>
      <c r="F982" t="n">
        <v>1791000</v>
      </c>
      <c r="G982" t="n">
        <v>1074600</v>
      </c>
      <c r="H982" t="inlineStr">
        <is>
          <t>2026-09-16</t>
        </is>
      </c>
      <c r="I982">
        <f>IF(MONTH(E982)&lt;=6,"Q1","Q2")</f>
        <v/>
      </c>
      <c r="J982">
        <f>YEAR(E982)*100+MONTH(E982)</f>
        <v/>
      </c>
      <c r="K982">
        <f>IF(COUNTIF($A$2:A982,A982)=1,1,0)</f>
        <v/>
      </c>
      <c r="L982">
        <f>IF(K982=1,IF(COUNTIFS($B$2:B982,B982,$I$2:I982,I982,$K$2:K982,1)=1,1,0),0)</f>
        <v/>
      </c>
      <c r="M982">
        <f>IF(Tree!$C$4="once per order",F982*K982,F982)</f>
        <v/>
      </c>
      <c r="N982">
        <f>IF(Tree!$C$4="once per order",K982,1)</f>
        <v/>
      </c>
      <c r="O982">
        <f>IF(Tree!$C$4="once per order",L982,1)</f>
        <v/>
      </c>
    </row>
    <row r="983">
      <c r="A983" t="inlineStr">
        <is>
          <t>KR-00654</t>
        </is>
      </c>
      <c r="B983" t="inlineStr">
        <is>
          <t>C-0278</t>
        </is>
      </c>
      <c r="C983" t="inlineStr">
        <is>
          <t>Business</t>
        </is>
      </c>
      <c r="D983" t="inlineStr">
        <is>
          <t>store</t>
        </is>
      </c>
      <c r="E983" s="7" t="n">
        <v>46279</v>
      </c>
      <c r="F983" t="n">
        <v>1791000</v>
      </c>
      <c r="G983" t="n">
        <v>716400</v>
      </c>
      <c r="H983" t="inlineStr">
        <is>
          <t>2026-09-16</t>
        </is>
      </c>
      <c r="I983">
        <f>IF(MONTH(E983)&lt;=6,"Q1","Q2")</f>
        <v/>
      </c>
      <c r="J983">
        <f>YEAR(E983)*100+MONTH(E983)</f>
        <v/>
      </c>
      <c r="K983">
        <f>IF(COUNTIF($A$2:A983,A983)=1,1,0)</f>
        <v/>
      </c>
      <c r="L983">
        <f>IF(K983=1,IF(COUNTIFS($B$2:B983,B983,$I$2:I983,I983,$K$2:K983,1)=1,1,0),0)</f>
        <v/>
      </c>
      <c r="M983">
        <f>IF(Tree!$C$4="once per order",F983*K983,F983)</f>
        <v/>
      </c>
      <c r="N983">
        <f>IF(Tree!$C$4="once per order",K983,1)</f>
        <v/>
      </c>
      <c r="O983">
        <f>IF(Tree!$C$4="once per order",L983,1)</f>
        <v/>
      </c>
    </row>
    <row r="984">
      <c r="A984" t="inlineStr">
        <is>
          <t>KR-00655</t>
        </is>
      </c>
      <c r="B984" t="inlineStr">
        <is>
          <t>C-0276</t>
        </is>
      </c>
      <c r="C984" t="inlineStr">
        <is>
          <t>Business</t>
        </is>
      </c>
      <c r="D984" t="inlineStr">
        <is>
          <t>web</t>
        </is>
      </c>
      <c r="E984" s="7" t="n">
        <v>46214</v>
      </c>
      <c r="F984" t="n">
        <v>408000</v>
      </c>
      <c r="G984" t="n">
        <v>244800</v>
      </c>
      <c r="H984" t="inlineStr">
        <is>
          <t>2026-07-13</t>
        </is>
      </c>
      <c r="I984">
        <f>IF(MONTH(E984)&lt;=6,"Q1","Q2")</f>
        <v/>
      </c>
      <c r="J984">
        <f>YEAR(E984)*100+MONTH(E984)</f>
        <v/>
      </c>
      <c r="K984">
        <f>IF(COUNTIF($A$2:A984,A984)=1,1,0)</f>
        <v/>
      </c>
      <c r="L984">
        <f>IF(K984=1,IF(COUNTIFS($B$2:B984,B984,$I$2:I984,I984,$K$2:K984,1)=1,1,0),0)</f>
        <v/>
      </c>
      <c r="M984">
        <f>IF(Tree!$C$4="once per order",F984*K984,F984)</f>
        <v/>
      </c>
      <c r="N984">
        <f>IF(Tree!$C$4="once per order",K984,1)</f>
        <v/>
      </c>
      <c r="O984">
        <f>IF(Tree!$C$4="once per order",L984,1)</f>
        <v/>
      </c>
    </row>
    <row r="985">
      <c r="A985" t="inlineStr">
        <is>
          <t>KR-00655</t>
        </is>
      </c>
      <c r="B985" t="inlineStr">
        <is>
          <t>C-0276</t>
        </is>
      </c>
      <c r="C985" t="inlineStr">
        <is>
          <t>Business</t>
        </is>
      </c>
      <c r="D985" t="inlineStr">
        <is>
          <t>web</t>
        </is>
      </c>
      <c r="E985" s="7" t="n">
        <v>46214</v>
      </c>
      <c r="F985" t="n">
        <v>408000</v>
      </c>
      <c r="G985" t="n">
        <v>163200</v>
      </c>
      <c r="H985" t="inlineStr">
        <is>
          <t>2026-07-13</t>
        </is>
      </c>
      <c r="I985">
        <f>IF(MONTH(E985)&lt;=6,"Q1","Q2")</f>
        <v/>
      </c>
      <c r="J985">
        <f>YEAR(E985)*100+MONTH(E985)</f>
        <v/>
      </c>
      <c r="K985">
        <f>IF(COUNTIF($A$2:A985,A985)=1,1,0)</f>
        <v/>
      </c>
      <c r="L985">
        <f>IF(K985=1,IF(COUNTIFS($B$2:B985,B985,$I$2:I985,I985,$K$2:K985,1)=1,1,0),0)</f>
        <v/>
      </c>
      <c r="M985">
        <f>IF(Tree!$C$4="once per order",F985*K985,F985)</f>
        <v/>
      </c>
      <c r="N985">
        <f>IF(Tree!$C$4="once per order",K985,1)</f>
        <v/>
      </c>
      <c r="O985">
        <f>IF(Tree!$C$4="once per order",L985,1)</f>
        <v/>
      </c>
    </row>
    <row r="986">
      <c r="A986" t="inlineStr">
        <is>
          <t>KR-00656</t>
        </is>
      </c>
      <c r="B986" t="inlineStr">
        <is>
          <t>C-0305</t>
        </is>
      </c>
      <c r="C986" t="inlineStr">
        <is>
          <t>Business</t>
        </is>
      </c>
      <c r="D986" t="inlineStr">
        <is>
          <t>store</t>
        </is>
      </c>
      <c r="E986" s="7" t="n">
        <v>46251</v>
      </c>
      <c r="F986" t="n">
        <v>983000</v>
      </c>
      <c r="G986" t="n">
        <v>589800</v>
      </c>
      <c r="H986" t="inlineStr">
        <is>
          <t>2026-08-19</t>
        </is>
      </c>
      <c r="I986">
        <f>IF(MONTH(E986)&lt;=6,"Q1","Q2")</f>
        <v/>
      </c>
      <c r="J986">
        <f>YEAR(E986)*100+MONTH(E986)</f>
        <v/>
      </c>
      <c r="K986">
        <f>IF(COUNTIF($A$2:A986,A986)=1,1,0)</f>
        <v/>
      </c>
      <c r="L986">
        <f>IF(K986=1,IF(COUNTIFS($B$2:B986,B986,$I$2:I986,I986,$K$2:K986,1)=1,1,0),0)</f>
        <v/>
      </c>
      <c r="M986">
        <f>IF(Tree!$C$4="once per order",F986*K986,F986)</f>
        <v/>
      </c>
      <c r="N986">
        <f>IF(Tree!$C$4="once per order",K986,1)</f>
        <v/>
      </c>
      <c r="O986">
        <f>IF(Tree!$C$4="once per order",L986,1)</f>
        <v/>
      </c>
    </row>
    <row r="987">
      <c r="A987" t="inlineStr">
        <is>
          <t>KR-00656</t>
        </is>
      </c>
      <c r="B987" t="inlineStr">
        <is>
          <t>C-0305</t>
        </is>
      </c>
      <c r="C987" t="inlineStr">
        <is>
          <t>Business</t>
        </is>
      </c>
      <c r="D987" t="inlineStr">
        <is>
          <t>store</t>
        </is>
      </c>
      <c r="E987" s="7" t="n">
        <v>46251</v>
      </c>
      <c r="F987" t="n">
        <v>983000</v>
      </c>
      <c r="G987" t="n">
        <v>393200</v>
      </c>
      <c r="H987" t="inlineStr">
        <is>
          <t>2026-08-19</t>
        </is>
      </c>
      <c r="I987">
        <f>IF(MONTH(E987)&lt;=6,"Q1","Q2")</f>
        <v/>
      </c>
      <c r="J987">
        <f>YEAR(E987)*100+MONTH(E987)</f>
        <v/>
      </c>
      <c r="K987">
        <f>IF(COUNTIF($A$2:A987,A987)=1,1,0)</f>
        <v/>
      </c>
      <c r="L987">
        <f>IF(K987=1,IF(COUNTIFS($B$2:B987,B987,$I$2:I987,I987,$K$2:K987,1)=1,1,0),0)</f>
        <v/>
      </c>
      <c r="M987">
        <f>IF(Tree!$C$4="once per order",F987*K987,F987)</f>
        <v/>
      </c>
      <c r="N987">
        <f>IF(Tree!$C$4="once per order",K987,1)</f>
        <v/>
      </c>
      <c r="O987">
        <f>IF(Tree!$C$4="once per order",L987,1)</f>
        <v/>
      </c>
    </row>
    <row r="988">
      <c r="A988" t="inlineStr">
        <is>
          <t>KR-00657</t>
        </is>
      </c>
      <c r="B988" t="inlineStr">
        <is>
          <t>C-0306</t>
        </is>
      </c>
      <c r="C988" t="inlineStr">
        <is>
          <t>Business</t>
        </is>
      </c>
      <c r="D988" t="inlineStr">
        <is>
          <t>web</t>
        </is>
      </c>
      <c r="E988" s="7" t="n">
        <v>46270</v>
      </c>
      <c r="F988" t="n">
        <v>1737000</v>
      </c>
      <c r="G988" t="n">
        <v>1042200</v>
      </c>
      <c r="H988" t="inlineStr">
        <is>
          <t>2026-09-07</t>
        </is>
      </c>
      <c r="I988">
        <f>IF(MONTH(E988)&lt;=6,"Q1","Q2")</f>
        <v/>
      </c>
      <c r="J988">
        <f>YEAR(E988)*100+MONTH(E988)</f>
        <v/>
      </c>
      <c r="K988">
        <f>IF(COUNTIF($A$2:A988,A988)=1,1,0)</f>
        <v/>
      </c>
      <c r="L988">
        <f>IF(K988=1,IF(COUNTIFS($B$2:B988,B988,$I$2:I988,I988,$K$2:K988,1)=1,1,0),0)</f>
        <v/>
      </c>
      <c r="M988">
        <f>IF(Tree!$C$4="once per order",F988*K988,F988)</f>
        <v/>
      </c>
      <c r="N988">
        <f>IF(Tree!$C$4="once per order",K988,1)</f>
        <v/>
      </c>
      <c r="O988">
        <f>IF(Tree!$C$4="once per order",L988,1)</f>
        <v/>
      </c>
    </row>
    <row r="989">
      <c r="A989" t="inlineStr">
        <is>
          <t>KR-00657</t>
        </is>
      </c>
      <c r="B989" t="inlineStr">
        <is>
          <t>C-0306</t>
        </is>
      </c>
      <c r="C989" t="inlineStr">
        <is>
          <t>Business</t>
        </is>
      </c>
      <c r="D989" t="inlineStr">
        <is>
          <t>web</t>
        </is>
      </c>
      <c r="E989" s="7" t="n">
        <v>46270</v>
      </c>
      <c r="F989" t="n">
        <v>1737000</v>
      </c>
      <c r="G989" t="n">
        <v>694800</v>
      </c>
      <c r="H989" t="inlineStr">
        <is>
          <t>2026-09-07</t>
        </is>
      </c>
      <c r="I989">
        <f>IF(MONTH(E989)&lt;=6,"Q1","Q2")</f>
        <v/>
      </c>
      <c r="J989">
        <f>YEAR(E989)*100+MONTH(E989)</f>
        <v/>
      </c>
      <c r="K989">
        <f>IF(COUNTIF($A$2:A989,A989)=1,1,0)</f>
        <v/>
      </c>
      <c r="L989">
        <f>IF(K989=1,IF(COUNTIFS($B$2:B989,B989,$I$2:I989,I989,$K$2:K989,1)=1,1,0),0)</f>
        <v/>
      </c>
      <c r="M989">
        <f>IF(Tree!$C$4="once per order",F989*K989,F989)</f>
        <v/>
      </c>
      <c r="N989">
        <f>IF(Tree!$C$4="once per order",K989,1)</f>
        <v/>
      </c>
      <c r="O989">
        <f>IF(Tree!$C$4="once per order",L989,1)</f>
        <v/>
      </c>
    </row>
    <row r="990">
      <c r="A990" t="inlineStr">
        <is>
          <t>KR-00658</t>
        </is>
      </c>
      <c r="B990" t="inlineStr">
        <is>
          <t>C-0279</t>
        </is>
      </c>
      <c r="C990" t="inlineStr">
        <is>
          <t>Business</t>
        </is>
      </c>
      <c r="D990" t="inlineStr">
        <is>
          <t>store</t>
        </is>
      </c>
      <c r="E990" s="7" t="n">
        <v>46211</v>
      </c>
      <c r="F990" t="n">
        <v>256000</v>
      </c>
      <c r="G990" t="n">
        <v>153600</v>
      </c>
      <c r="H990" t="inlineStr">
        <is>
          <t>2026-07-10</t>
        </is>
      </c>
      <c r="I990">
        <f>IF(MONTH(E990)&lt;=6,"Q1","Q2")</f>
        <v/>
      </c>
      <c r="J990">
        <f>YEAR(E990)*100+MONTH(E990)</f>
        <v/>
      </c>
      <c r="K990">
        <f>IF(COUNTIF($A$2:A990,A990)=1,1,0)</f>
        <v/>
      </c>
      <c r="L990">
        <f>IF(K990=1,IF(COUNTIFS($B$2:B990,B990,$I$2:I990,I990,$K$2:K990,1)=1,1,0),0)</f>
        <v/>
      </c>
      <c r="M990">
        <f>IF(Tree!$C$4="once per order",F990*K990,F990)</f>
        <v/>
      </c>
      <c r="N990">
        <f>IF(Tree!$C$4="once per order",K990,1)</f>
        <v/>
      </c>
      <c r="O990">
        <f>IF(Tree!$C$4="once per order",L990,1)</f>
        <v/>
      </c>
    </row>
    <row r="991">
      <c r="A991" t="inlineStr">
        <is>
          <t>KR-00658</t>
        </is>
      </c>
      <c r="B991" t="inlineStr">
        <is>
          <t>C-0279</t>
        </is>
      </c>
      <c r="C991" t="inlineStr">
        <is>
          <t>Business</t>
        </is>
      </c>
      <c r="D991" t="inlineStr">
        <is>
          <t>store</t>
        </is>
      </c>
      <c r="E991" s="7" t="n">
        <v>46211</v>
      </c>
      <c r="F991" t="n">
        <v>256000</v>
      </c>
      <c r="G991" t="n">
        <v>102400</v>
      </c>
      <c r="H991" t="inlineStr">
        <is>
          <t>2026-07-10</t>
        </is>
      </c>
      <c r="I991">
        <f>IF(MONTH(E991)&lt;=6,"Q1","Q2")</f>
        <v/>
      </c>
      <c r="J991">
        <f>YEAR(E991)*100+MONTH(E991)</f>
        <v/>
      </c>
      <c r="K991">
        <f>IF(COUNTIF($A$2:A991,A991)=1,1,0)</f>
        <v/>
      </c>
      <c r="L991">
        <f>IF(K991=1,IF(COUNTIFS($B$2:B991,B991,$I$2:I991,I991,$K$2:K991,1)=1,1,0),0)</f>
        <v/>
      </c>
      <c r="M991">
        <f>IF(Tree!$C$4="once per order",F991*K991,F991)</f>
        <v/>
      </c>
      <c r="N991">
        <f>IF(Tree!$C$4="once per order",K991,1)</f>
        <v/>
      </c>
      <c r="O991">
        <f>IF(Tree!$C$4="once per order",L991,1)</f>
        <v/>
      </c>
    </row>
    <row r="992">
      <c r="A992" t="inlineStr">
        <is>
          <t>KR-00659</t>
        </is>
      </c>
      <c r="B992" t="inlineStr">
        <is>
          <t>C-0275</t>
        </is>
      </c>
      <c r="C992" t="inlineStr">
        <is>
          <t>Business</t>
        </is>
      </c>
      <c r="D992" t="inlineStr">
        <is>
          <t>web</t>
        </is>
      </c>
      <c r="E992" s="7" t="n">
        <v>46238</v>
      </c>
      <c r="F992" t="n">
        <v>1173000</v>
      </c>
      <c r="G992" t="n">
        <v>703800</v>
      </c>
      <c r="H992" t="inlineStr">
        <is>
          <t>2026-08-06</t>
        </is>
      </c>
      <c r="I992">
        <f>IF(MONTH(E992)&lt;=6,"Q1","Q2")</f>
        <v/>
      </c>
      <c r="J992">
        <f>YEAR(E992)*100+MONTH(E992)</f>
        <v/>
      </c>
      <c r="K992">
        <f>IF(COUNTIF($A$2:A992,A992)=1,1,0)</f>
        <v/>
      </c>
      <c r="L992">
        <f>IF(K992=1,IF(COUNTIFS($B$2:B992,B992,$I$2:I992,I992,$K$2:K992,1)=1,1,0),0)</f>
        <v/>
      </c>
      <c r="M992">
        <f>IF(Tree!$C$4="once per order",F992*K992,F992)</f>
        <v/>
      </c>
      <c r="N992">
        <f>IF(Tree!$C$4="once per order",K992,1)</f>
        <v/>
      </c>
      <c r="O992">
        <f>IF(Tree!$C$4="once per order",L992,1)</f>
        <v/>
      </c>
    </row>
    <row r="993">
      <c r="A993" t="inlineStr">
        <is>
          <t>KR-00659</t>
        </is>
      </c>
      <c r="B993" t="inlineStr">
        <is>
          <t>C-0275</t>
        </is>
      </c>
      <c r="C993" t="inlineStr">
        <is>
          <t>Business</t>
        </is>
      </c>
      <c r="D993" t="inlineStr">
        <is>
          <t>web</t>
        </is>
      </c>
      <c r="E993" s="7" t="n">
        <v>46238</v>
      </c>
      <c r="F993" t="n">
        <v>1173000</v>
      </c>
      <c r="G993" t="n">
        <v>469200</v>
      </c>
      <c r="H993" t="inlineStr">
        <is>
          <t>2026-08-06</t>
        </is>
      </c>
      <c r="I993">
        <f>IF(MONTH(E993)&lt;=6,"Q1","Q2")</f>
        <v/>
      </c>
      <c r="J993">
        <f>YEAR(E993)*100+MONTH(E993)</f>
        <v/>
      </c>
      <c r="K993">
        <f>IF(COUNTIF($A$2:A993,A993)=1,1,0)</f>
        <v/>
      </c>
      <c r="L993">
        <f>IF(K993=1,IF(COUNTIFS($B$2:B993,B993,$I$2:I993,I993,$K$2:K993,1)=1,1,0),0)</f>
        <v/>
      </c>
      <c r="M993">
        <f>IF(Tree!$C$4="once per order",F993*K993,F993)</f>
        <v/>
      </c>
      <c r="N993">
        <f>IF(Tree!$C$4="once per order",K993,1)</f>
        <v/>
      </c>
      <c r="O993">
        <f>IF(Tree!$C$4="once per order",L993,1)</f>
        <v/>
      </c>
    </row>
    <row r="994">
      <c r="A994" t="inlineStr">
        <is>
          <t>KR-00660</t>
        </is>
      </c>
      <c r="B994" t="inlineStr">
        <is>
          <t>C-0282</t>
        </is>
      </c>
      <c r="C994" t="inlineStr">
        <is>
          <t>Business</t>
        </is>
      </c>
      <c r="D994" t="inlineStr">
        <is>
          <t>app</t>
        </is>
      </c>
      <c r="E994" s="7" t="n">
        <v>46290</v>
      </c>
      <c r="F994" t="n">
        <v>657000</v>
      </c>
      <c r="G994" t="n">
        <v>394200</v>
      </c>
      <c r="H994" t="inlineStr">
        <is>
          <t>2026-09-27</t>
        </is>
      </c>
      <c r="I994">
        <f>IF(MONTH(E994)&lt;=6,"Q1","Q2")</f>
        <v/>
      </c>
      <c r="J994">
        <f>YEAR(E994)*100+MONTH(E994)</f>
        <v/>
      </c>
      <c r="K994">
        <f>IF(COUNTIF($A$2:A994,A994)=1,1,0)</f>
        <v/>
      </c>
      <c r="L994">
        <f>IF(K994=1,IF(COUNTIFS($B$2:B994,B994,$I$2:I994,I994,$K$2:K994,1)=1,1,0),0)</f>
        <v/>
      </c>
      <c r="M994">
        <f>IF(Tree!$C$4="once per order",F994*K994,F994)</f>
        <v/>
      </c>
      <c r="N994">
        <f>IF(Tree!$C$4="once per order",K994,1)</f>
        <v/>
      </c>
      <c r="O994">
        <f>IF(Tree!$C$4="once per order",L994,1)</f>
        <v/>
      </c>
    </row>
    <row r="995">
      <c r="A995" t="inlineStr">
        <is>
          <t>KR-00660</t>
        </is>
      </c>
      <c r="B995" t="inlineStr">
        <is>
          <t>C-0282</t>
        </is>
      </c>
      <c r="C995" t="inlineStr">
        <is>
          <t>Business</t>
        </is>
      </c>
      <c r="D995" t="inlineStr">
        <is>
          <t>app</t>
        </is>
      </c>
      <c r="E995" s="7" t="n">
        <v>46290</v>
      </c>
      <c r="F995" t="n">
        <v>657000</v>
      </c>
      <c r="G995" t="n">
        <v>262800</v>
      </c>
      <c r="H995" t="inlineStr">
        <is>
          <t>2026-09-27</t>
        </is>
      </c>
      <c r="I995">
        <f>IF(MONTH(E995)&lt;=6,"Q1","Q2")</f>
        <v/>
      </c>
      <c r="J995">
        <f>YEAR(E995)*100+MONTH(E995)</f>
        <v/>
      </c>
      <c r="K995">
        <f>IF(COUNTIF($A$2:A995,A995)=1,1,0)</f>
        <v/>
      </c>
      <c r="L995">
        <f>IF(K995=1,IF(COUNTIFS($B$2:B995,B995,$I$2:I995,I995,$K$2:K995,1)=1,1,0),0)</f>
        <v/>
      </c>
      <c r="M995">
        <f>IF(Tree!$C$4="once per order",F995*K995,F995)</f>
        <v/>
      </c>
      <c r="N995">
        <f>IF(Tree!$C$4="once per order",K995,1)</f>
        <v/>
      </c>
      <c r="O995">
        <f>IF(Tree!$C$4="once per order",L995,1)</f>
        <v/>
      </c>
    </row>
    <row r="996">
      <c r="A996" t="inlineStr">
        <is>
          <t>KR-00661</t>
        </is>
      </c>
      <c r="B996" t="inlineStr">
        <is>
          <t>C-0309</t>
        </is>
      </c>
      <c r="C996" t="inlineStr">
        <is>
          <t>Business</t>
        </is>
      </c>
      <c r="D996" t="inlineStr">
        <is>
          <t>store</t>
        </is>
      </c>
      <c r="E996" s="7" t="n">
        <v>46231</v>
      </c>
      <c r="F996" t="n">
        <v>1158000</v>
      </c>
      <c r="G996" t="n">
        <v>694800</v>
      </c>
      <c r="H996" t="inlineStr">
        <is>
          <t>2026-07-28</t>
        </is>
      </c>
      <c r="I996">
        <f>IF(MONTH(E996)&lt;=6,"Q1","Q2")</f>
        <v/>
      </c>
      <c r="J996">
        <f>YEAR(E996)*100+MONTH(E996)</f>
        <v/>
      </c>
      <c r="K996">
        <f>IF(COUNTIF($A$2:A996,A996)=1,1,0)</f>
        <v/>
      </c>
      <c r="L996">
        <f>IF(K996=1,IF(COUNTIFS($B$2:B996,B996,$I$2:I996,I996,$K$2:K996,1)=1,1,0),0)</f>
        <v/>
      </c>
      <c r="M996">
        <f>IF(Tree!$C$4="once per order",F996*K996,F996)</f>
        <v/>
      </c>
      <c r="N996">
        <f>IF(Tree!$C$4="once per order",K996,1)</f>
        <v/>
      </c>
      <c r="O996">
        <f>IF(Tree!$C$4="once per order",L996,1)</f>
        <v/>
      </c>
    </row>
    <row r="997">
      <c r="A997" t="inlineStr">
        <is>
          <t>KR-00661</t>
        </is>
      </c>
      <c r="B997" t="inlineStr">
        <is>
          <t>C-0309</t>
        </is>
      </c>
      <c r="C997" t="inlineStr">
        <is>
          <t>Business</t>
        </is>
      </c>
      <c r="D997" t="inlineStr">
        <is>
          <t>store</t>
        </is>
      </c>
      <c r="E997" s="7" t="n">
        <v>46231</v>
      </c>
      <c r="F997" t="n">
        <v>1158000</v>
      </c>
      <c r="G997" t="n">
        <v>463200</v>
      </c>
      <c r="H997" t="inlineStr">
        <is>
          <t>2026-07-28</t>
        </is>
      </c>
      <c r="I997">
        <f>IF(MONTH(E997)&lt;=6,"Q1","Q2")</f>
        <v/>
      </c>
      <c r="J997">
        <f>YEAR(E997)*100+MONTH(E997)</f>
        <v/>
      </c>
      <c r="K997">
        <f>IF(COUNTIF($A$2:A997,A997)=1,1,0)</f>
        <v/>
      </c>
      <c r="L997">
        <f>IF(K997=1,IF(COUNTIFS($B$2:B997,B997,$I$2:I997,I997,$K$2:K997,1)=1,1,0),0)</f>
        <v/>
      </c>
      <c r="M997">
        <f>IF(Tree!$C$4="once per order",F997*K997,F997)</f>
        <v/>
      </c>
      <c r="N997">
        <f>IF(Tree!$C$4="once per order",K997,1)</f>
        <v/>
      </c>
      <c r="O997">
        <f>IF(Tree!$C$4="once per order",L997,1)</f>
        <v/>
      </c>
    </row>
    <row r="998">
      <c r="A998" t="inlineStr">
        <is>
          <t>KR-00662</t>
        </is>
      </c>
      <c r="B998" t="inlineStr">
        <is>
          <t>C-0286</t>
        </is>
      </c>
      <c r="C998" t="inlineStr">
        <is>
          <t>Business</t>
        </is>
      </c>
      <c r="D998" t="inlineStr">
        <is>
          <t>store</t>
        </is>
      </c>
      <c r="E998" s="7" t="n">
        <v>46243</v>
      </c>
      <c r="F998" t="n">
        <v>1007000</v>
      </c>
      <c r="G998" t="n">
        <v>604200</v>
      </c>
      <c r="H998" t="inlineStr">
        <is>
          <t>2026-08-11</t>
        </is>
      </c>
      <c r="I998">
        <f>IF(MONTH(E998)&lt;=6,"Q1","Q2")</f>
        <v/>
      </c>
      <c r="J998">
        <f>YEAR(E998)*100+MONTH(E998)</f>
        <v/>
      </c>
      <c r="K998">
        <f>IF(COUNTIF($A$2:A998,A998)=1,1,0)</f>
        <v/>
      </c>
      <c r="L998">
        <f>IF(K998=1,IF(COUNTIFS($B$2:B998,B998,$I$2:I998,I998,$K$2:K998,1)=1,1,0),0)</f>
        <v/>
      </c>
      <c r="M998">
        <f>IF(Tree!$C$4="once per order",F998*K998,F998)</f>
        <v/>
      </c>
      <c r="N998">
        <f>IF(Tree!$C$4="once per order",K998,1)</f>
        <v/>
      </c>
      <c r="O998">
        <f>IF(Tree!$C$4="once per order",L998,1)</f>
        <v/>
      </c>
    </row>
    <row r="999">
      <c r="A999" t="inlineStr">
        <is>
          <t>KR-00662</t>
        </is>
      </c>
      <c r="B999" t="inlineStr">
        <is>
          <t>C-0286</t>
        </is>
      </c>
      <c r="C999" t="inlineStr">
        <is>
          <t>Business</t>
        </is>
      </c>
      <c r="D999" t="inlineStr">
        <is>
          <t>store</t>
        </is>
      </c>
      <c r="E999" s="7" t="n">
        <v>46243</v>
      </c>
      <c r="F999" t="n">
        <v>1007000</v>
      </c>
      <c r="G999" t="n">
        <v>402800</v>
      </c>
      <c r="H999" t="inlineStr">
        <is>
          <t>2026-08-11</t>
        </is>
      </c>
      <c r="I999">
        <f>IF(MONTH(E999)&lt;=6,"Q1","Q2")</f>
        <v/>
      </c>
      <c r="J999">
        <f>YEAR(E999)*100+MONTH(E999)</f>
        <v/>
      </c>
      <c r="K999">
        <f>IF(COUNTIF($A$2:A999,A999)=1,1,0)</f>
        <v/>
      </c>
      <c r="L999">
        <f>IF(K999=1,IF(COUNTIFS($B$2:B999,B999,$I$2:I999,I999,$K$2:K999,1)=1,1,0),0)</f>
        <v/>
      </c>
      <c r="M999">
        <f>IF(Tree!$C$4="once per order",F999*K999,F999)</f>
        <v/>
      </c>
      <c r="N999">
        <f>IF(Tree!$C$4="once per order",K999,1)</f>
        <v/>
      </c>
      <c r="O999">
        <f>IF(Tree!$C$4="once per order",L999,1)</f>
        <v/>
      </c>
    </row>
    <row r="1000">
      <c r="A1000" t="inlineStr">
        <is>
          <t>KR-00663</t>
        </is>
      </c>
      <c r="B1000" t="inlineStr">
        <is>
          <t>C-0288</t>
        </is>
      </c>
      <c r="C1000" t="inlineStr">
        <is>
          <t>Business</t>
        </is>
      </c>
      <c r="D1000" t="inlineStr">
        <is>
          <t>app</t>
        </is>
      </c>
      <c r="E1000" s="7" t="n">
        <v>46276</v>
      </c>
      <c r="F1000" t="n">
        <v>426000</v>
      </c>
      <c r="G1000" t="n">
        <v>255600</v>
      </c>
      <c r="H1000" t="inlineStr">
        <is>
          <t>2026-09-13</t>
        </is>
      </c>
      <c r="I1000">
        <f>IF(MONTH(E1000)&lt;=6,"Q1","Q2")</f>
        <v/>
      </c>
      <c r="J1000">
        <f>YEAR(E1000)*100+MONTH(E1000)</f>
        <v/>
      </c>
      <c r="K1000">
        <f>IF(COUNTIF($A$2:A1000,A1000)=1,1,0)</f>
        <v/>
      </c>
      <c r="L1000">
        <f>IF(K1000=1,IF(COUNTIFS($B$2:B1000,B1000,$I$2:I1000,I1000,$K$2:K1000,1)=1,1,0),0)</f>
        <v/>
      </c>
      <c r="M1000">
        <f>IF(Tree!$C$4="once per order",F1000*K1000,F1000)</f>
        <v/>
      </c>
      <c r="N1000">
        <f>IF(Tree!$C$4="once per order",K1000,1)</f>
        <v/>
      </c>
      <c r="O1000">
        <f>IF(Tree!$C$4="once per order",L1000,1)</f>
        <v/>
      </c>
    </row>
    <row r="1001">
      <c r="A1001" t="inlineStr">
        <is>
          <t>KR-00663</t>
        </is>
      </c>
      <c r="B1001" t="inlineStr">
        <is>
          <t>C-0288</t>
        </is>
      </c>
      <c r="C1001" t="inlineStr">
        <is>
          <t>Business</t>
        </is>
      </c>
      <c r="D1001" t="inlineStr">
        <is>
          <t>app</t>
        </is>
      </c>
      <c r="E1001" s="7" t="n">
        <v>46276</v>
      </c>
      <c r="F1001" t="n">
        <v>426000</v>
      </c>
      <c r="G1001" t="n">
        <v>170400</v>
      </c>
      <c r="H1001" t="inlineStr">
        <is>
          <t>2026-09-13</t>
        </is>
      </c>
      <c r="I1001">
        <f>IF(MONTH(E1001)&lt;=6,"Q1","Q2")</f>
        <v/>
      </c>
      <c r="J1001">
        <f>YEAR(E1001)*100+MONTH(E1001)</f>
        <v/>
      </c>
      <c r="K1001">
        <f>IF(COUNTIF($A$2:A1001,A1001)=1,1,0)</f>
        <v/>
      </c>
      <c r="L1001">
        <f>IF(K1001=1,IF(COUNTIFS($B$2:B1001,B1001,$I$2:I1001,I1001,$K$2:K1001,1)=1,1,0),0)</f>
        <v/>
      </c>
      <c r="M1001">
        <f>IF(Tree!$C$4="once per order",F1001*K1001,F1001)</f>
        <v/>
      </c>
      <c r="N1001">
        <f>IF(Tree!$C$4="once per order",K1001,1)</f>
        <v/>
      </c>
      <c r="O1001">
        <f>IF(Tree!$C$4="once per order",L1001,1)</f>
        <v/>
      </c>
    </row>
    <row r="1002">
      <c r="A1002" t="inlineStr">
        <is>
          <t>KR-00664</t>
        </is>
      </c>
      <c r="B1002" t="inlineStr">
        <is>
          <t>C-0309</t>
        </is>
      </c>
      <c r="C1002" t="inlineStr">
        <is>
          <t>Business</t>
        </is>
      </c>
      <c r="D1002" t="inlineStr">
        <is>
          <t>app</t>
        </is>
      </c>
      <c r="E1002" s="7" t="n">
        <v>46230</v>
      </c>
      <c r="F1002" t="n">
        <v>288000</v>
      </c>
      <c r="G1002" t="n">
        <v>172800</v>
      </c>
      <c r="H1002" t="inlineStr">
        <is>
          <t>2026-07-28</t>
        </is>
      </c>
      <c r="I1002">
        <f>IF(MONTH(E1002)&lt;=6,"Q1","Q2")</f>
        <v/>
      </c>
      <c r="J1002">
        <f>YEAR(E1002)*100+MONTH(E1002)</f>
        <v/>
      </c>
      <c r="K1002">
        <f>IF(COUNTIF($A$2:A1002,A1002)=1,1,0)</f>
        <v/>
      </c>
      <c r="L1002">
        <f>IF(K1002=1,IF(COUNTIFS($B$2:B1002,B1002,$I$2:I1002,I1002,$K$2:K1002,1)=1,1,0),0)</f>
        <v/>
      </c>
      <c r="M1002">
        <f>IF(Tree!$C$4="once per order",F1002*K1002,F1002)</f>
        <v/>
      </c>
      <c r="N1002">
        <f>IF(Tree!$C$4="once per order",K1002,1)</f>
        <v/>
      </c>
      <c r="O1002">
        <f>IF(Tree!$C$4="once per order",L1002,1)</f>
        <v/>
      </c>
    </row>
    <row r="1003">
      <c r="A1003" t="inlineStr">
        <is>
          <t>KR-00664</t>
        </is>
      </c>
      <c r="B1003" t="inlineStr">
        <is>
          <t>C-0309</t>
        </is>
      </c>
      <c r="C1003" t="inlineStr">
        <is>
          <t>Business</t>
        </is>
      </c>
      <c r="D1003" t="inlineStr">
        <is>
          <t>app</t>
        </is>
      </c>
      <c r="E1003" s="7" t="n">
        <v>46230</v>
      </c>
      <c r="F1003" t="n">
        <v>288000</v>
      </c>
      <c r="G1003" t="n">
        <v>115200</v>
      </c>
      <c r="H1003" t="inlineStr">
        <is>
          <t>2026-07-28</t>
        </is>
      </c>
      <c r="I1003">
        <f>IF(MONTH(E1003)&lt;=6,"Q1","Q2")</f>
        <v/>
      </c>
      <c r="J1003">
        <f>YEAR(E1003)*100+MONTH(E1003)</f>
        <v/>
      </c>
      <c r="K1003">
        <f>IF(COUNTIF($A$2:A1003,A1003)=1,1,0)</f>
        <v/>
      </c>
      <c r="L1003">
        <f>IF(K1003=1,IF(COUNTIFS($B$2:B1003,B1003,$I$2:I1003,I1003,$K$2:K1003,1)=1,1,0),0)</f>
        <v/>
      </c>
      <c r="M1003">
        <f>IF(Tree!$C$4="once per order",F1003*K1003,F1003)</f>
        <v/>
      </c>
      <c r="N1003">
        <f>IF(Tree!$C$4="once per order",K1003,1)</f>
        <v/>
      </c>
      <c r="O1003">
        <f>IF(Tree!$C$4="once per order",L1003,1)</f>
        <v/>
      </c>
    </row>
    <row r="1004">
      <c r="A1004" t="inlineStr">
        <is>
          <t>KR-00665</t>
        </is>
      </c>
      <c r="B1004" t="inlineStr">
        <is>
          <t>C-0296</t>
        </is>
      </c>
      <c r="C1004" t="inlineStr">
        <is>
          <t>Business</t>
        </is>
      </c>
      <c r="D1004" t="inlineStr">
        <is>
          <t>app</t>
        </is>
      </c>
      <c r="E1004" s="7" t="n">
        <v>46241</v>
      </c>
      <c r="F1004" t="n">
        <v>1254000</v>
      </c>
      <c r="G1004" t="n">
        <v>752400</v>
      </c>
      <c r="H1004" t="inlineStr">
        <is>
          <t>2026-08-09</t>
        </is>
      </c>
      <c r="I1004">
        <f>IF(MONTH(E1004)&lt;=6,"Q1","Q2")</f>
        <v/>
      </c>
      <c r="J1004">
        <f>YEAR(E1004)*100+MONTH(E1004)</f>
        <v/>
      </c>
      <c r="K1004">
        <f>IF(COUNTIF($A$2:A1004,A1004)=1,1,0)</f>
        <v/>
      </c>
      <c r="L1004">
        <f>IF(K1004=1,IF(COUNTIFS($B$2:B1004,B1004,$I$2:I1004,I1004,$K$2:K1004,1)=1,1,0),0)</f>
        <v/>
      </c>
      <c r="M1004">
        <f>IF(Tree!$C$4="once per order",F1004*K1004,F1004)</f>
        <v/>
      </c>
      <c r="N1004">
        <f>IF(Tree!$C$4="once per order",K1004,1)</f>
        <v/>
      </c>
      <c r="O1004">
        <f>IF(Tree!$C$4="once per order",L1004,1)</f>
        <v/>
      </c>
    </row>
    <row r="1005">
      <c r="A1005" t="inlineStr">
        <is>
          <t>KR-00665</t>
        </is>
      </c>
      <c r="B1005" t="inlineStr">
        <is>
          <t>C-0296</t>
        </is>
      </c>
      <c r="C1005" t="inlineStr">
        <is>
          <t>Business</t>
        </is>
      </c>
      <c r="D1005" t="inlineStr">
        <is>
          <t>app</t>
        </is>
      </c>
      <c r="E1005" s="7" t="n">
        <v>46241</v>
      </c>
      <c r="F1005" t="n">
        <v>1254000</v>
      </c>
      <c r="G1005" t="n">
        <v>501600</v>
      </c>
      <c r="H1005" t="inlineStr">
        <is>
          <t>2026-08-09</t>
        </is>
      </c>
      <c r="I1005">
        <f>IF(MONTH(E1005)&lt;=6,"Q1","Q2")</f>
        <v/>
      </c>
      <c r="J1005">
        <f>YEAR(E1005)*100+MONTH(E1005)</f>
        <v/>
      </c>
      <c r="K1005">
        <f>IF(COUNTIF($A$2:A1005,A1005)=1,1,0)</f>
        <v/>
      </c>
      <c r="L1005">
        <f>IF(K1005=1,IF(COUNTIFS($B$2:B1005,B1005,$I$2:I1005,I1005,$K$2:K1005,1)=1,1,0),0)</f>
        <v/>
      </c>
      <c r="M1005">
        <f>IF(Tree!$C$4="once per order",F1005*K1005,F1005)</f>
        <v/>
      </c>
      <c r="N1005">
        <f>IF(Tree!$C$4="once per order",K1005,1)</f>
        <v/>
      </c>
      <c r="O1005">
        <f>IF(Tree!$C$4="once per order",L1005,1)</f>
        <v/>
      </c>
    </row>
    <row r="1006">
      <c r="A1006" t="inlineStr">
        <is>
          <t>KR-00666</t>
        </is>
      </c>
      <c r="B1006" t="inlineStr">
        <is>
          <t>C-0275</t>
        </is>
      </c>
      <c r="C1006" t="inlineStr">
        <is>
          <t>Business</t>
        </is>
      </c>
      <c r="D1006" t="inlineStr">
        <is>
          <t>web</t>
        </is>
      </c>
      <c r="E1006" s="7" t="n">
        <v>46285</v>
      </c>
      <c r="F1006" t="n">
        <v>214000</v>
      </c>
      <c r="G1006" t="n">
        <v>128400</v>
      </c>
      <c r="H1006" t="inlineStr">
        <is>
          <t>2026-09-22</t>
        </is>
      </c>
      <c r="I1006">
        <f>IF(MONTH(E1006)&lt;=6,"Q1","Q2")</f>
        <v/>
      </c>
      <c r="J1006">
        <f>YEAR(E1006)*100+MONTH(E1006)</f>
        <v/>
      </c>
      <c r="K1006">
        <f>IF(COUNTIF($A$2:A1006,A1006)=1,1,0)</f>
        <v/>
      </c>
      <c r="L1006">
        <f>IF(K1006=1,IF(COUNTIFS($B$2:B1006,B1006,$I$2:I1006,I1006,$K$2:K1006,1)=1,1,0),0)</f>
        <v/>
      </c>
      <c r="M1006">
        <f>IF(Tree!$C$4="once per order",F1006*K1006,F1006)</f>
        <v/>
      </c>
      <c r="N1006">
        <f>IF(Tree!$C$4="once per order",K1006,1)</f>
        <v/>
      </c>
      <c r="O1006">
        <f>IF(Tree!$C$4="once per order",L1006,1)</f>
        <v/>
      </c>
    </row>
    <row r="1007">
      <c r="A1007" t="inlineStr">
        <is>
          <t>KR-00666</t>
        </is>
      </c>
      <c r="B1007" t="inlineStr">
        <is>
          <t>C-0275</t>
        </is>
      </c>
      <c r="C1007" t="inlineStr">
        <is>
          <t>Business</t>
        </is>
      </c>
      <c r="D1007" t="inlineStr">
        <is>
          <t>web</t>
        </is>
      </c>
      <c r="E1007" s="7" t="n">
        <v>46285</v>
      </c>
      <c r="F1007" t="n">
        <v>214000</v>
      </c>
      <c r="G1007" t="n">
        <v>85600</v>
      </c>
      <c r="H1007" t="inlineStr">
        <is>
          <t>2026-09-22</t>
        </is>
      </c>
      <c r="I1007">
        <f>IF(MONTH(E1007)&lt;=6,"Q1","Q2")</f>
        <v/>
      </c>
      <c r="J1007">
        <f>YEAR(E1007)*100+MONTH(E1007)</f>
        <v/>
      </c>
      <c r="K1007">
        <f>IF(COUNTIF($A$2:A1007,A1007)=1,1,0)</f>
        <v/>
      </c>
      <c r="L1007">
        <f>IF(K1007=1,IF(COUNTIFS($B$2:B1007,B1007,$I$2:I1007,I1007,$K$2:K1007,1)=1,1,0),0)</f>
        <v/>
      </c>
      <c r="M1007">
        <f>IF(Tree!$C$4="once per order",F1007*K1007,F1007)</f>
        <v/>
      </c>
      <c r="N1007">
        <f>IF(Tree!$C$4="once per order",K1007,1)</f>
        <v/>
      </c>
      <c r="O1007">
        <f>IF(Tree!$C$4="once per order",L1007,1)</f>
        <v/>
      </c>
    </row>
    <row r="1008">
      <c r="A1008" t="inlineStr">
        <is>
          <t>KR-00667</t>
        </is>
      </c>
      <c r="B1008" t="inlineStr">
        <is>
          <t>C-0286</t>
        </is>
      </c>
      <c r="C1008" t="inlineStr">
        <is>
          <t>Business</t>
        </is>
      </c>
      <c r="D1008" t="inlineStr">
        <is>
          <t>app</t>
        </is>
      </c>
      <c r="E1008" s="7" t="n">
        <v>46216</v>
      </c>
      <c r="F1008" t="n">
        <v>19857600</v>
      </c>
      <c r="G1008" t="n">
        <v>11914560</v>
      </c>
      <c r="H1008" t="inlineStr">
        <is>
          <t>2026-07-15</t>
        </is>
      </c>
      <c r="I1008">
        <f>IF(MONTH(E1008)&lt;=6,"Q1","Q2")</f>
        <v/>
      </c>
      <c r="J1008">
        <f>YEAR(E1008)*100+MONTH(E1008)</f>
        <v/>
      </c>
      <c r="K1008">
        <f>IF(COUNTIF($A$2:A1008,A1008)=1,1,0)</f>
        <v/>
      </c>
      <c r="L1008">
        <f>IF(K1008=1,IF(COUNTIFS($B$2:B1008,B1008,$I$2:I1008,I1008,$K$2:K1008,1)=1,1,0),0)</f>
        <v/>
      </c>
      <c r="M1008">
        <f>IF(Tree!$C$4="once per order",F1008*K1008,F1008)</f>
        <v/>
      </c>
      <c r="N1008">
        <f>IF(Tree!$C$4="once per order",K1008,1)</f>
        <v/>
      </c>
      <c r="O1008">
        <f>IF(Tree!$C$4="once per order",L1008,1)</f>
        <v/>
      </c>
    </row>
    <row r="1009">
      <c r="A1009" t="inlineStr">
        <is>
          <t>KR-00667</t>
        </is>
      </c>
      <c r="B1009" t="inlineStr">
        <is>
          <t>C-0286</t>
        </is>
      </c>
      <c r="C1009" t="inlineStr">
        <is>
          <t>Business</t>
        </is>
      </c>
      <c r="D1009" t="inlineStr">
        <is>
          <t>app</t>
        </is>
      </c>
      <c r="E1009" s="7" t="n">
        <v>46216</v>
      </c>
      <c r="F1009" t="n">
        <v>19857600</v>
      </c>
      <c r="G1009" t="n">
        <v>7943040</v>
      </c>
      <c r="H1009" t="inlineStr">
        <is>
          <t>2026-07-15</t>
        </is>
      </c>
      <c r="I1009">
        <f>IF(MONTH(E1009)&lt;=6,"Q1","Q2")</f>
        <v/>
      </c>
      <c r="J1009">
        <f>YEAR(E1009)*100+MONTH(E1009)</f>
        <v/>
      </c>
      <c r="K1009">
        <f>IF(COUNTIF($A$2:A1009,A1009)=1,1,0)</f>
        <v/>
      </c>
      <c r="L1009">
        <f>IF(K1009=1,IF(COUNTIFS($B$2:B1009,B1009,$I$2:I1009,I1009,$K$2:K1009,1)=1,1,0),0)</f>
        <v/>
      </c>
      <c r="M1009">
        <f>IF(Tree!$C$4="once per order",F1009*K1009,F1009)</f>
        <v/>
      </c>
      <c r="N1009">
        <f>IF(Tree!$C$4="once per order",K1009,1)</f>
        <v/>
      </c>
      <c r="O1009">
        <f>IF(Tree!$C$4="once per order",L1009,1)</f>
        <v/>
      </c>
    </row>
    <row r="1010">
      <c r="A1010" t="inlineStr">
        <is>
          <t>KR-00668</t>
        </is>
      </c>
      <c r="B1010" t="inlineStr">
        <is>
          <t>C-0161</t>
        </is>
      </c>
      <c r="C1010" t="inlineStr">
        <is>
          <t>Retail-Plus</t>
        </is>
      </c>
      <c r="D1010" t="inlineStr">
        <is>
          <t>app</t>
        </is>
      </c>
      <c r="E1010" s="7" t="n">
        <v>46215</v>
      </c>
      <c r="F1010" t="n">
        <v>4200</v>
      </c>
      <c r="G1010" t="n">
        <v>2520</v>
      </c>
      <c r="H1010" t="inlineStr">
        <is>
          <t>2026-07-14</t>
        </is>
      </c>
      <c r="I1010">
        <f>IF(MONTH(E1010)&lt;=6,"Q1","Q2")</f>
        <v/>
      </c>
      <c r="J1010">
        <f>YEAR(E1010)*100+MONTH(E1010)</f>
        <v/>
      </c>
      <c r="K1010">
        <f>IF(COUNTIF($A$2:A1010,A1010)=1,1,0)</f>
        <v/>
      </c>
      <c r="L1010">
        <f>IF(K1010=1,IF(COUNTIFS($B$2:B1010,B1010,$I$2:I1010,I1010,$K$2:K1010,1)=1,1,0),0)</f>
        <v/>
      </c>
      <c r="M1010">
        <f>IF(Tree!$C$4="once per order",F1010*K1010,F1010)</f>
        <v/>
      </c>
      <c r="N1010">
        <f>IF(Tree!$C$4="once per order",K1010,1)</f>
        <v/>
      </c>
      <c r="O1010">
        <f>IF(Tree!$C$4="once per order",L1010,1)</f>
        <v/>
      </c>
    </row>
    <row r="1011">
      <c r="A1011" t="inlineStr">
        <is>
          <t>KR-00668</t>
        </is>
      </c>
      <c r="B1011" t="inlineStr">
        <is>
          <t>C-0161</t>
        </is>
      </c>
      <c r="C1011" t="inlineStr">
        <is>
          <t>Retail-Plus</t>
        </is>
      </c>
      <c r="D1011" t="inlineStr">
        <is>
          <t>app</t>
        </is>
      </c>
      <c r="E1011" s="7" t="n">
        <v>46215</v>
      </c>
      <c r="F1011" t="n">
        <v>4200</v>
      </c>
      <c r="G1011" t="n">
        <v>1680</v>
      </c>
      <c r="H1011" t="inlineStr">
        <is>
          <t>2026-07-14</t>
        </is>
      </c>
      <c r="I1011">
        <f>IF(MONTH(E1011)&lt;=6,"Q1","Q2")</f>
        <v/>
      </c>
      <c r="J1011">
        <f>YEAR(E1011)*100+MONTH(E1011)</f>
        <v/>
      </c>
      <c r="K1011">
        <f>IF(COUNTIF($A$2:A1011,A1011)=1,1,0)</f>
        <v/>
      </c>
      <c r="L1011">
        <f>IF(K1011=1,IF(COUNTIFS($B$2:B1011,B1011,$I$2:I1011,I1011,$K$2:K1011,1)=1,1,0),0)</f>
        <v/>
      </c>
      <c r="M1011">
        <f>IF(Tree!$C$4="once per order",F1011*K1011,F1011)</f>
        <v/>
      </c>
      <c r="N1011">
        <f>IF(Tree!$C$4="once per order",K1011,1)</f>
        <v/>
      </c>
      <c r="O1011">
        <f>IF(Tree!$C$4="once per order",L1011,1)</f>
        <v/>
      </c>
    </row>
    <row r="1012">
      <c r="A1012" t="inlineStr">
        <is>
          <t>KR-00669</t>
        </is>
      </c>
      <c r="B1012" t="inlineStr">
        <is>
          <t>C-0161</t>
        </is>
      </c>
      <c r="C1012" t="inlineStr">
        <is>
          <t>Retail-Plus</t>
        </is>
      </c>
      <c r="D1012" t="inlineStr">
        <is>
          <t>web</t>
        </is>
      </c>
      <c r="E1012" s="7" t="n">
        <v>46247</v>
      </c>
      <c r="F1012" t="n">
        <v>3100</v>
      </c>
      <c r="G1012" t="n">
        <v>1860</v>
      </c>
      <c r="H1012" t="inlineStr">
        <is>
          <t>2026-08-15</t>
        </is>
      </c>
      <c r="I1012">
        <f>IF(MONTH(E1012)&lt;=6,"Q1","Q2")</f>
        <v/>
      </c>
      <c r="J1012">
        <f>YEAR(E1012)*100+MONTH(E1012)</f>
        <v/>
      </c>
      <c r="K1012">
        <f>IF(COUNTIF($A$2:A1012,A1012)=1,1,0)</f>
        <v/>
      </c>
      <c r="L1012">
        <f>IF(K1012=1,IF(COUNTIFS($B$2:B1012,B1012,$I$2:I1012,I1012,$K$2:K1012,1)=1,1,0),0)</f>
        <v/>
      </c>
      <c r="M1012">
        <f>IF(Tree!$C$4="once per order",F1012*K1012,F1012)</f>
        <v/>
      </c>
      <c r="N1012">
        <f>IF(Tree!$C$4="once per order",K1012,1)</f>
        <v/>
      </c>
      <c r="O1012">
        <f>IF(Tree!$C$4="once per order",L1012,1)</f>
        <v/>
      </c>
    </row>
    <row r="1013">
      <c r="A1013" t="inlineStr">
        <is>
          <t>KR-00669</t>
        </is>
      </c>
      <c r="B1013" t="inlineStr">
        <is>
          <t>C-0161</t>
        </is>
      </c>
      <c r="C1013" t="inlineStr">
        <is>
          <t>Retail-Plus</t>
        </is>
      </c>
      <c r="D1013" t="inlineStr">
        <is>
          <t>web</t>
        </is>
      </c>
      <c r="E1013" s="7" t="n">
        <v>46247</v>
      </c>
      <c r="F1013" t="n">
        <v>3100</v>
      </c>
      <c r="G1013" t="n">
        <v>1240</v>
      </c>
      <c r="H1013" t="inlineStr">
        <is>
          <t>2026-08-15</t>
        </is>
      </c>
      <c r="I1013">
        <f>IF(MONTH(E1013)&lt;=6,"Q1","Q2")</f>
        <v/>
      </c>
      <c r="J1013">
        <f>YEAR(E1013)*100+MONTH(E1013)</f>
        <v/>
      </c>
      <c r="K1013">
        <f>IF(COUNTIF($A$2:A1013,A1013)=1,1,0)</f>
        <v/>
      </c>
      <c r="L1013">
        <f>IF(K1013=1,IF(COUNTIFS($B$2:B1013,B1013,$I$2:I1013,I1013,$K$2:K1013,1)=1,1,0),0)</f>
        <v/>
      </c>
      <c r="M1013">
        <f>IF(Tree!$C$4="once per order",F1013*K1013,F1013)</f>
        <v/>
      </c>
      <c r="N1013">
        <f>IF(Tree!$C$4="once per order",K1013,1)</f>
        <v/>
      </c>
      <c r="O1013">
        <f>IF(Tree!$C$4="once per order",L1013,1)</f>
        <v/>
      </c>
    </row>
    <row r="1014">
      <c r="A1014" t="inlineStr">
        <is>
          <t>KR-00670</t>
        </is>
      </c>
      <c r="B1014" t="inlineStr">
        <is>
          <t>C-0161</t>
        </is>
      </c>
      <c r="C1014" t="inlineStr">
        <is>
          <t>Retail-Plus</t>
        </is>
      </c>
      <c r="D1014" t="inlineStr">
        <is>
          <t>app</t>
        </is>
      </c>
      <c r="E1014" s="7" t="n">
        <v>46279</v>
      </c>
      <c r="F1014" t="n">
        <v>1900</v>
      </c>
      <c r="G1014" t="n">
        <v>1900</v>
      </c>
      <c r="H1014" t="inlineStr">
        <is>
          <t>2026-09-16</t>
        </is>
      </c>
      <c r="I1014">
        <f>IF(MONTH(E1014)&lt;=6,"Q1","Q2")</f>
        <v/>
      </c>
      <c r="J1014">
        <f>YEAR(E1014)*100+MONTH(E1014)</f>
        <v/>
      </c>
      <c r="K1014">
        <f>IF(COUNTIF($A$2:A1014,A1014)=1,1,0)</f>
        <v/>
      </c>
      <c r="L1014">
        <f>IF(K1014=1,IF(COUNTIFS($B$2:B1014,B1014,$I$2:I1014,I1014,$K$2:K1014,1)=1,1,0),0)</f>
        <v/>
      </c>
      <c r="M1014">
        <f>IF(Tree!$C$4="once per order",F1014*K1014,F1014)</f>
        <v/>
      </c>
      <c r="N1014">
        <f>IF(Tree!$C$4="once per order",K1014,1)</f>
        <v/>
      </c>
      <c r="O1014">
        <f>IF(Tree!$C$4="once per order",L1014,1)</f>
        <v/>
      </c>
    </row>
    <row r="1015">
      <c r="A1015" t="inlineStr">
        <is>
          <t>KR-00671</t>
        </is>
      </c>
      <c r="B1015" t="inlineStr">
        <is>
          <t>C-0171</t>
        </is>
      </c>
      <c r="C1015" t="inlineStr">
        <is>
          <t>Retail-Plus</t>
        </is>
      </c>
      <c r="D1015" t="inlineStr">
        <is>
          <t>web</t>
        </is>
      </c>
      <c r="E1015" s="7" t="n">
        <v>46215</v>
      </c>
      <c r="F1015" t="n">
        <v>3800</v>
      </c>
      <c r="G1015" t="n">
        <v>2280</v>
      </c>
      <c r="H1015" t="inlineStr">
        <is>
          <t>2026-07-14</t>
        </is>
      </c>
      <c r="I1015">
        <f>IF(MONTH(E1015)&lt;=6,"Q1","Q2")</f>
        <v/>
      </c>
      <c r="J1015">
        <f>YEAR(E1015)*100+MONTH(E1015)</f>
        <v/>
      </c>
      <c r="K1015">
        <f>IF(COUNTIF($A$2:A1015,A1015)=1,1,0)</f>
        <v/>
      </c>
      <c r="L1015">
        <f>IF(K1015=1,IF(COUNTIFS($B$2:B1015,B1015,$I$2:I1015,I1015,$K$2:K1015,1)=1,1,0),0)</f>
        <v/>
      </c>
      <c r="M1015">
        <f>IF(Tree!$C$4="once per order",F1015*K1015,F1015)</f>
        <v/>
      </c>
      <c r="N1015">
        <f>IF(Tree!$C$4="once per order",K1015,1)</f>
        <v/>
      </c>
      <c r="O1015">
        <f>IF(Tree!$C$4="once per order",L1015,1)</f>
        <v/>
      </c>
    </row>
    <row r="1016">
      <c r="A1016" t="inlineStr">
        <is>
          <t>KR-00671</t>
        </is>
      </c>
      <c r="B1016" t="inlineStr">
        <is>
          <t>C-0171</t>
        </is>
      </c>
      <c r="C1016" t="inlineStr">
        <is>
          <t>Retail-Plus</t>
        </is>
      </c>
      <c r="D1016" t="inlineStr">
        <is>
          <t>web</t>
        </is>
      </c>
      <c r="E1016" s="7" t="n">
        <v>46215</v>
      </c>
      <c r="F1016" t="n">
        <v>3800</v>
      </c>
      <c r="G1016" t="n">
        <v>1520</v>
      </c>
      <c r="H1016" t="inlineStr">
        <is>
          <t>2026-07-14</t>
        </is>
      </c>
      <c r="I1016">
        <f>IF(MONTH(E1016)&lt;=6,"Q1","Q2")</f>
        <v/>
      </c>
      <c r="J1016">
        <f>YEAR(E1016)*100+MONTH(E1016)</f>
        <v/>
      </c>
      <c r="K1016">
        <f>IF(COUNTIF($A$2:A1016,A1016)=1,1,0)</f>
        <v/>
      </c>
      <c r="L1016">
        <f>IF(K1016=1,IF(COUNTIFS($B$2:B1016,B1016,$I$2:I1016,I1016,$K$2:K1016,1)=1,1,0),0)</f>
        <v/>
      </c>
      <c r="M1016">
        <f>IF(Tree!$C$4="once per order",F1016*K1016,F1016)</f>
        <v/>
      </c>
      <c r="N1016">
        <f>IF(Tree!$C$4="once per order",K1016,1)</f>
        <v/>
      </c>
      <c r="O1016">
        <f>IF(Tree!$C$4="once per order",L1016,1)</f>
        <v/>
      </c>
    </row>
    <row r="1017">
      <c r="A1017" t="inlineStr">
        <is>
          <t>KR-00672</t>
        </is>
      </c>
      <c r="B1017" t="inlineStr">
        <is>
          <t>C-0171</t>
        </is>
      </c>
      <c r="C1017" t="inlineStr">
        <is>
          <t>Retail-Plus</t>
        </is>
      </c>
      <c r="D1017" t="inlineStr">
        <is>
          <t>app</t>
        </is>
      </c>
      <c r="E1017" s="7" t="n">
        <v>46247</v>
      </c>
      <c r="F1017" t="n">
        <v>2600</v>
      </c>
      <c r="G1017" t="n">
        <v>2600</v>
      </c>
      <c r="H1017" t="inlineStr">
        <is>
          <t>2026-08-15</t>
        </is>
      </c>
      <c r="I1017">
        <f>IF(MONTH(E1017)&lt;=6,"Q1","Q2")</f>
        <v/>
      </c>
      <c r="J1017">
        <f>YEAR(E1017)*100+MONTH(E1017)</f>
        <v/>
      </c>
      <c r="K1017">
        <f>IF(COUNTIF($A$2:A1017,A1017)=1,1,0)</f>
        <v/>
      </c>
      <c r="L1017">
        <f>IF(K1017=1,IF(COUNTIFS($B$2:B1017,B1017,$I$2:I1017,I1017,$K$2:K1017,1)=1,1,0),0)</f>
        <v/>
      </c>
      <c r="M1017">
        <f>IF(Tree!$C$4="once per order",F1017*K1017,F1017)</f>
        <v/>
      </c>
      <c r="N1017">
        <f>IF(Tree!$C$4="once per order",K1017,1)</f>
        <v/>
      </c>
      <c r="O1017">
        <f>IF(Tree!$C$4="once per order",L1017,1)</f>
        <v/>
      </c>
    </row>
    <row r="1018">
      <c r="A1018" t="inlineStr">
        <is>
          <t>KR-00673</t>
        </is>
      </c>
      <c r="B1018" t="inlineStr">
        <is>
          <t>C-0171</t>
        </is>
      </c>
      <c r="C1018" t="inlineStr">
        <is>
          <t>Retail-Plus</t>
        </is>
      </c>
      <c r="D1018" t="inlineStr">
        <is>
          <t>web</t>
        </is>
      </c>
      <c r="E1018" s="7" t="n">
        <v>46279</v>
      </c>
      <c r="F1018" t="n">
        <v>1400</v>
      </c>
      <c r="G1018" t="n">
        <v>1400</v>
      </c>
      <c r="H1018" t="inlineStr">
        <is>
          <t>2026-09-16</t>
        </is>
      </c>
      <c r="I1018">
        <f>IF(MONTH(E1018)&lt;=6,"Q1","Q2")</f>
        <v/>
      </c>
      <c r="J1018">
        <f>YEAR(E1018)*100+MONTH(E1018)</f>
        <v/>
      </c>
      <c r="K1018">
        <f>IF(COUNTIF($A$2:A1018,A1018)=1,1,0)</f>
        <v/>
      </c>
      <c r="L1018">
        <f>IF(K1018=1,IF(COUNTIFS($B$2:B1018,B1018,$I$2:I1018,I1018,$K$2:K1018,1)=1,1,0),0)</f>
        <v/>
      </c>
      <c r="M1018">
        <f>IF(Tree!$C$4="once per order",F1018*K1018,F1018)</f>
        <v/>
      </c>
      <c r="N1018">
        <f>IF(Tree!$C$4="once per order",K1018,1)</f>
        <v/>
      </c>
      <c r="O1018">
        <f>IF(Tree!$C$4="once per order",L1018,1)</f>
        <v/>
      </c>
    </row>
    <row r="1019">
      <c r="A1019" t="inlineStr">
        <is>
          <t>KR-00674</t>
        </is>
      </c>
      <c r="B1019" t="inlineStr">
        <is>
          <t>C-0175</t>
        </is>
      </c>
      <c r="C1019" t="inlineStr">
        <is>
          <t>Retail-Plus</t>
        </is>
      </c>
      <c r="D1019" t="inlineStr">
        <is>
          <t>web</t>
        </is>
      </c>
      <c r="E1019" s="7" t="n">
        <v>46215</v>
      </c>
      <c r="F1019" t="n">
        <v>4400</v>
      </c>
      <c r="G1019" t="n">
        <v>2640</v>
      </c>
      <c r="H1019" t="inlineStr">
        <is>
          <t>2026-07-14</t>
        </is>
      </c>
      <c r="I1019">
        <f>IF(MONTH(E1019)&lt;=6,"Q1","Q2")</f>
        <v/>
      </c>
      <c r="J1019">
        <f>YEAR(E1019)*100+MONTH(E1019)</f>
        <v/>
      </c>
      <c r="K1019">
        <f>IF(COUNTIF($A$2:A1019,A1019)=1,1,0)</f>
        <v/>
      </c>
      <c r="L1019">
        <f>IF(K1019=1,IF(COUNTIFS($B$2:B1019,B1019,$I$2:I1019,I1019,$K$2:K1019,1)=1,1,0),0)</f>
        <v/>
      </c>
      <c r="M1019">
        <f>IF(Tree!$C$4="once per order",F1019*K1019,F1019)</f>
        <v/>
      </c>
      <c r="N1019">
        <f>IF(Tree!$C$4="once per order",K1019,1)</f>
        <v/>
      </c>
      <c r="O1019">
        <f>IF(Tree!$C$4="once per order",L1019,1)</f>
        <v/>
      </c>
    </row>
    <row r="1020">
      <c r="A1020" t="inlineStr">
        <is>
          <t>KR-00674</t>
        </is>
      </c>
      <c r="B1020" t="inlineStr">
        <is>
          <t>C-0175</t>
        </is>
      </c>
      <c r="C1020" t="inlineStr">
        <is>
          <t>Retail-Plus</t>
        </is>
      </c>
      <c r="D1020" t="inlineStr">
        <is>
          <t>web</t>
        </is>
      </c>
      <c r="E1020" s="7" t="n">
        <v>46215</v>
      </c>
      <c r="F1020" t="n">
        <v>4400</v>
      </c>
      <c r="G1020" t="n">
        <v>1760</v>
      </c>
      <c r="H1020" t="inlineStr">
        <is>
          <t>2026-07-14</t>
        </is>
      </c>
      <c r="I1020">
        <f>IF(MONTH(E1020)&lt;=6,"Q1","Q2")</f>
        <v/>
      </c>
      <c r="J1020">
        <f>YEAR(E1020)*100+MONTH(E1020)</f>
        <v/>
      </c>
      <c r="K1020">
        <f>IF(COUNTIF($A$2:A1020,A1020)=1,1,0)</f>
        <v/>
      </c>
      <c r="L1020">
        <f>IF(K1020=1,IF(COUNTIFS($B$2:B1020,B1020,$I$2:I1020,I1020,$K$2:K1020,1)=1,1,0),0)</f>
        <v/>
      </c>
      <c r="M1020">
        <f>IF(Tree!$C$4="once per order",F1020*K1020,F1020)</f>
        <v/>
      </c>
      <c r="N1020">
        <f>IF(Tree!$C$4="once per order",K1020,1)</f>
        <v/>
      </c>
      <c r="O1020">
        <f>IF(Tree!$C$4="once per order",L1020,1)</f>
        <v/>
      </c>
    </row>
    <row r="1021">
      <c r="A1021" t="inlineStr">
        <is>
          <t>KR-00675</t>
        </is>
      </c>
      <c r="B1021" t="inlineStr">
        <is>
          <t>C-0175</t>
        </is>
      </c>
      <c r="C1021" t="inlineStr">
        <is>
          <t>Retail-Plus</t>
        </is>
      </c>
      <c r="D1021" t="inlineStr">
        <is>
          <t>store</t>
        </is>
      </c>
      <c r="E1021" s="7" t="n">
        <v>46247</v>
      </c>
      <c r="F1021" t="n">
        <v>2900</v>
      </c>
      <c r="G1021" t="n">
        <v>1740</v>
      </c>
      <c r="H1021" t="inlineStr">
        <is>
          <t>2026-08-15</t>
        </is>
      </c>
      <c r="I1021">
        <f>IF(MONTH(E1021)&lt;=6,"Q1","Q2")</f>
        <v/>
      </c>
      <c r="J1021">
        <f>YEAR(E1021)*100+MONTH(E1021)</f>
        <v/>
      </c>
      <c r="K1021">
        <f>IF(COUNTIF($A$2:A1021,A1021)=1,1,0)</f>
        <v/>
      </c>
      <c r="L1021">
        <f>IF(K1021=1,IF(COUNTIFS($B$2:B1021,B1021,$I$2:I1021,I1021,$K$2:K1021,1)=1,1,0),0)</f>
        <v/>
      </c>
      <c r="M1021">
        <f>IF(Tree!$C$4="once per order",F1021*K1021,F1021)</f>
        <v/>
      </c>
      <c r="N1021">
        <f>IF(Tree!$C$4="once per order",K1021,1)</f>
        <v/>
      </c>
      <c r="O1021">
        <f>IF(Tree!$C$4="once per order",L1021,1)</f>
        <v/>
      </c>
    </row>
    <row r="1022">
      <c r="A1022" t="inlineStr">
        <is>
          <t>KR-00675</t>
        </is>
      </c>
      <c r="B1022" t="inlineStr">
        <is>
          <t>C-0175</t>
        </is>
      </c>
      <c r="C1022" t="inlineStr">
        <is>
          <t>Retail-Plus</t>
        </is>
      </c>
      <c r="D1022" t="inlineStr">
        <is>
          <t>store</t>
        </is>
      </c>
      <c r="E1022" s="7" t="n">
        <v>46247</v>
      </c>
      <c r="F1022" t="n">
        <v>2900</v>
      </c>
      <c r="G1022" t="n">
        <v>1160</v>
      </c>
      <c r="H1022" t="inlineStr">
        <is>
          <t>2026-08-15</t>
        </is>
      </c>
      <c r="I1022">
        <f>IF(MONTH(E1022)&lt;=6,"Q1","Q2")</f>
        <v/>
      </c>
      <c r="J1022">
        <f>YEAR(E1022)*100+MONTH(E1022)</f>
        <v/>
      </c>
      <c r="K1022">
        <f>IF(COUNTIF($A$2:A1022,A1022)=1,1,0)</f>
        <v/>
      </c>
      <c r="L1022">
        <f>IF(K1022=1,IF(COUNTIFS($B$2:B1022,B1022,$I$2:I1022,I1022,$K$2:K1022,1)=1,1,0),0)</f>
        <v/>
      </c>
      <c r="M1022">
        <f>IF(Tree!$C$4="once per order",F1022*K1022,F1022)</f>
        <v/>
      </c>
      <c r="N1022">
        <f>IF(Tree!$C$4="once per order",K1022,1)</f>
        <v/>
      </c>
      <c r="O1022">
        <f>IF(Tree!$C$4="once per order",L1022,1)</f>
        <v/>
      </c>
    </row>
    <row r="1023">
      <c r="A1023" t="inlineStr">
        <is>
          <t>KR-00676</t>
        </is>
      </c>
      <c r="B1023" t="inlineStr">
        <is>
          <t>C-0175</t>
        </is>
      </c>
      <c r="C1023" t="inlineStr">
        <is>
          <t>Retail-Plus</t>
        </is>
      </c>
      <c r="D1023" t="inlineStr">
        <is>
          <t>web</t>
        </is>
      </c>
      <c r="E1023" s="7" t="n">
        <v>46279</v>
      </c>
      <c r="F1023" t="n">
        <v>1600</v>
      </c>
      <c r="G1023" t="n">
        <v>1600</v>
      </c>
      <c r="H1023" t="inlineStr">
        <is>
          <t>2026-09-16</t>
        </is>
      </c>
      <c r="I1023">
        <f>IF(MONTH(E1023)&lt;=6,"Q1","Q2")</f>
        <v/>
      </c>
      <c r="J1023">
        <f>YEAR(E1023)*100+MONTH(E1023)</f>
        <v/>
      </c>
      <c r="K1023">
        <f>IF(COUNTIF($A$2:A1023,A1023)=1,1,0)</f>
        <v/>
      </c>
      <c r="L1023">
        <f>IF(K1023=1,IF(COUNTIFS($B$2:B1023,B1023,$I$2:I1023,I1023,$K$2:K1023,1)=1,1,0),0)</f>
        <v/>
      </c>
      <c r="M1023">
        <f>IF(Tree!$C$4="once per order",F1023*K1023,F1023)</f>
        <v/>
      </c>
      <c r="N1023">
        <f>IF(Tree!$C$4="once per order",K1023,1)</f>
        <v/>
      </c>
      <c r="O1023">
        <f>IF(Tree!$C$4="once per order",L1023,1)</f>
        <v/>
      </c>
    </row>
    <row r="1024">
      <c r="A1024" t="inlineStr">
        <is>
          <t>KR-00677</t>
        </is>
      </c>
      <c r="B1024" t="inlineStr">
        <is>
          <t>C-0213</t>
        </is>
      </c>
      <c r="C1024" t="inlineStr">
        <is>
          <t>Retail-Plus</t>
        </is>
      </c>
      <c r="D1024" t="inlineStr">
        <is>
          <t>store</t>
        </is>
      </c>
      <c r="E1024" s="7" t="n">
        <v>46219</v>
      </c>
      <c r="F1024" t="n">
        <v>2290</v>
      </c>
      <c r="G1024" t="n">
        <v>2290</v>
      </c>
      <c r="H1024" t="inlineStr">
        <is>
          <t>2026-07-18</t>
        </is>
      </c>
      <c r="I1024">
        <f>IF(MONTH(E1024)&lt;=6,"Q1","Q2")</f>
        <v/>
      </c>
      <c r="J1024">
        <f>YEAR(E1024)*100+MONTH(E1024)</f>
        <v/>
      </c>
      <c r="K1024">
        <f>IF(COUNTIF($A$2:A1024,A1024)=1,1,0)</f>
        <v/>
      </c>
      <c r="L1024">
        <f>IF(K1024=1,IF(COUNTIFS($B$2:B1024,B1024,$I$2:I1024,I1024,$K$2:K1024,1)=1,1,0),0)</f>
        <v/>
      </c>
      <c r="M1024">
        <f>IF(Tree!$C$4="once per order",F1024*K1024,F1024)</f>
        <v/>
      </c>
      <c r="N1024">
        <f>IF(Tree!$C$4="once per order",K1024,1)</f>
        <v/>
      </c>
      <c r="O1024">
        <f>IF(Tree!$C$4="once per order",L1024,1)</f>
        <v/>
      </c>
    </row>
    <row r="1025">
      <c r="A1025" t="inlineStr">
        <is>
          <t>KR-00678</t>
        </is>
      </c>
      <c r="B1025" t="inlineStr">
        <is>
          <t>C-0212</t>
        </is>
      </c>
      <c r="C1025" t="inlineStr">
        <is>
          <t>Retail-Plus</t>
        </is>
      </c>
      <c r="D1025" t="inlineStr">
        <is>
          <t>store</t>
        </is>
      </c>
      <c r="E1025" s="7" t="n">
        <v>46239</v>
      </c>
      <c r="F1025" t="n">
        <v>1230</v>
      </c>
      <c r="G1025" t="n">
        <v>1230</v>
      </c>
      <c r="H1025" t="inlineStr">
        <is>
          <t>2026-08-07</t>
        </is>
      </c>
      <c r="I1025">
        <f>IF(MONTH(E1025)&lt;=6,"Q1","Q2")</f>
        <v/>
      </c>
      <c r="J1025">
        <f>YEAR(E1025)*100+MONTH(E1025)</f>
        <v/>
      </c>
      <c r="K1025">
        <f>IF(COUNTIF($A$2:A1025,A1025)=1,1,0)</f>
        <v/>
      </c>
      <c r="L1025">
        <f>IF(K1025=1,IF(COUNTIFS($B$2:B1025,B1025,$I$2:I1025,I1025,$K$2:K1025,1)=1,1,0),0)</f>
        <v/>
      </c>
      <c r="M1025">
        <f>IF(Tree!$C$4="once per order",F1025*K1025,F1025)</f>
        <v/>
      </c>
      <c r="N1025">
        <f>IF(Tree!$C$4="once per order",K1025,1)</f>
        <v/>
      </c>
      <c r="O1025">
        <f>IF(Tree!$C$4="once per order",L1025,1)</f>
        <v/>
      </c>
    </row>
    <row r="1026">
      <c r="A1026" t="inlineStr">
        <is>
          <t>KR-00679</t>
        </is>
      </c>
      <c r="B1026" t="inlineStr">
        <is>
          <t>C-0239</t>
        </is>
      </c>
      <c r="C1026" t="inlineStr">
        <is>
          <t>Retail-Plus</t>
        </is>
      </c>
      <c r="D1026" t="inlineStr">
        <is>
          <t>store</t>
        </is>
      </c>
      <c r="E1026" s="7" t="n">
        <v>46285</v>
      </c>
      <c r="F1026" t="n">
        <v>2670</v>
      </c>
      <c r="G1026" t="n">
        <v>2670</v>
      </c>
      <c r="H1026" t="inlineStr">
        <is>
          <t>2026-09-22</t>
        </is>
      </c>
      <c r="I1026">
        <f>IF(MONTH(E1026)&lt;=6,"Q1","Q2")</f>
        <v/>
      </c>
      <c r="J1026">
        <f>YEAR(E1026)*100+MONTH(E1026)</f>
        <v/>
      </c>
      <c r="K1026">
        <f>IF(COUNTIF($A$2:A1026,A1026)=1,1,0)</f>
        <v/>
      </c>
      <c r="L1026">
        <f>IF(K1026=1,IF(COUNTIFS($B$2:B1026,B1026,$I$2:I1026,I1026,$K$2:K1026,1)=1,1,0),0)</f>
        <v/>
      </c>
      <c r="M1026">
        <f>IF(Tree!$C$4="once per order",F1026*K1026,F1026)</f>
        <v/>
      </c>
      <c r="N1026">
        <f>IF(Tree!$C$4="once per order",K1026,1)</f>
        <v/>
      </c>
      <c r="O1026">
        <f>IF(Tree!$C$4="once per order",L1026,1)</f>
        <v/>
      </c>
    </row>
    <row r="1027">
      <c r="A1027" t="inlineStr">
        <is>
          <t>KR-00680</t>
        </is>
      </c>
      <c r="B1027" t="inlineStr">
        <is>
          <t>C-0164</t>
        </is>
      </c>
      <c r="C1027" t="inlineStr">
        <is>
          <t>Retail-Plus</t>
        </is>
      </c>
      <c r="D1027" t="inlineStr">
        <is>
          <t>app</t>
        </is>
      </c>
      <c r="E1027" s="7" t="n">
        <v>46231</v>
      </c>
      <c r="F1027" t="n">
        <v>4170</v>
      </c>
      <c r="G1027" t="n">
        <v>2502</v>
      </c>
      <c r="H1027" t="inlineStr">
        <is>
          <t>2026-07-28</t>
        </is>
      </c>
      <c r="I1027">
        <f>IF(MONTH(E1027)&lt;=6,"Q1","Q2")</f>
        <v/>
      </c>
      <c r="J1027">
        <f>YEAR(E1027)*100+MONTH(E1027)</f>
        <v/>
      </c>
      <c r="K1027">
        <f>IF(COUNTIF($A$2:A1027,A1027)=1,1,0)</f>
        <v/>
      </c>
      <c r="L1027">
        <f>IF(K1027=1,IF(COUNTIFS($B$2:B1027,B1027,$I$2:I1027,I1027,$K$2:K1027,1)=1,1,0),0)</f>
        <v/>
      </c>
      <c r="M1027">
        <f>IF(Tree!$C$4="once per order",F1027*K1027,F1027)</f>
        <v/>
      </c>
      <c r="N1027">
        <f>IF(Tree!$C$4="once per order",K1027,1)</f>
        <v/>
      </c>
      <c r="O1027">
        <f>IF(Tree!$C$4="once per order",L1027,1)</f>
        <v/>
      </c>
    </row>
    <row r="1028">
      <c r="A1028" t="inlineStr">
        <is>
          <t>KR-00680</t>
        </is>
      </c>
      <c r="B1028" t="inlineStr">
        <is>
          <t>C-0164</t>
        </is>
      </c>
      <c r="C1028" t="inlineStr">
        <is>
          <t>Retail-Plus</t>
        </is>
      </c>
      <c r="D1028" t="inlineStr">
        <is>
          <t>app</t>
        </is>
      </c>
      <c r="E1028" s="7" t="n">
        <v>46231</v>
      </c>
      <c r="F1028" t="n">
        <v>4170</v>
      </c>
      <c r="G1028" t="n">
        <v>1668</v>
      </c>
      <c r="H1028" t="inlineStr">
        <is>
          <t>2026-07-28</t>
        </is>
      </c>
      <c r="I1028">
        <f>IF(MONTH(E1028)&lt;=6,"Q1","Q2")</f>
        <v/>
      </c>
      <c r="J1028">
        <f>YEAR(E1028)*100+MONTH(E1028)</f>
        <v/>
      </c>
      <c r="K1028">
        <f>IF(COUNTIF($A$2:A1028,A1028)=1,1,0)</f>
        <v/>
      </c>
      <c r="L1028">
        <f>IF(K1028=1,IF(COUNTIFS($B$2:B1028,B1028,$I$2:I1028,I1028,$K$2:K1028,1)=1,1,0),0)</f>
        <v/>
      </c>
      <c r="M1028">
        <f>IF(Tree!$C$4="once per order",F1028*K1028,F1028)</f>
        <v/>
      </c>
      <c r="N1028">
        <f>IF(Tree!$C$4="once per order",K1028,1)</f>
        <v/>
      </c>
      <c r="O1028">
        <f>IF(Tree!$C$4="once per order",L1028,1)</f>
        <v/>
      </c>
    </row>
    <row r="1029">
      <c r="A1029" t="inlineStr">
        <is>
          <t>KR-00681</t>
        </is>
      </c>
      <c r="B1029" t="inlineStr">
        <is>
          <t>C-0263</t>
        </is>
      </c>
      <c r="C1029" t="inlineStr">
        <is>
          <t>Retail-Plus</t>
        </is>
      </c>
      <c r="D1029" t="inlineStr">
        <is>
          <t>app</t>
        </is>
      </c>
      <c r="E1029" s="7" t="n">
        <v>46255</v>
      </c>
      <c r="F1029" t="n">
        <v>3690</v>
      </c>
      <c r="G1029" t="n">
        <v>2214</v>
      </c>
      <c r="H1029" t="inlineStr">
        <is>
          <t>2026-08-23</t>
        </is>
      </c>
      <c r="I1029">
        <f>IF(MONTH(E1029)&lt;=6,"Q1","Q2")</f>
        <v/>
      </c>
      <c r="J1029">
        <f>YEAR(E1029)*100+MONTH(E1029)</f>
        <v/>
      </c>
      <c r="K1029">
        <f>IF(COUNTIF($A$2:A1029,A1029)=1,1,0)</f>
        <v/>
      </c>
      <c r="L1029">
        <f>IF(K1029=1,IF(COUNTIFS($B$2:B1029,B1029,$I$2:I1029,I1029,$K$2:K1029,1)=1,1,0),0)</f>
        <v/>
      </c>
      <c r="M1029">
        <f>IF(Tree!$C$4="once per order",F1029*K1029,F1029)</f>
        <v/>
      </c>
      <c r="N1029">
        <f>IF(Tree!$C$4="once per order",K1029,1)</f>
        <v/>
      </c>
      <c r="O1029">
        <f>IF(Tree!$C$4="once per order",L1029,1)</f>
        <v/>
      </c>
    </row>
    <row r="1030">
      <c r="A1030" t="inlineStr">
        <is>
          <t>KR-00681</t>
        </is>
      </c>
      <c r="B1030" t="inlineStr">
        <is>
          <t>C-0263</t>
        </is>
      </c>
      <c r="C1030" t="inlineStr">
        <is>
          <t>Retail-Plus</t>
        </is>
      </c>
      <c r="D1030" t="inlineStr">
        <is>
          <t>app</t>
        </is>
      </c>
      <c r="E1030" s="7" t="n">
        <v>46255</v>
      </c>
      <c r="F1030" t="n">
        <v>3690</v>
      </c>
      <c r="G1030" t="n">
        <v>1476</v>
      </c>
      <c r="H1030" t="inlineStr">
        <is>
          <t>2026-08-23</t>
        </is>
      </c>
      <c r="I1030">
        <f>IF(MONTH(E1030)&lt;=6,"Q1","Q2")</f>
        <v/>
      </c>
      <c r="J1030">
        <f>YEAR(E1030)*100+MONTH(E1030)</f>
        <v/>
      </c>
      <c r="K1030">
        <f>IF(COUNTIF($A$2:A1030,A1030)=1,1,0)</f>
        <v/>
      </c>
      <c r="L1030">
        <f>IF(K1030=1,IF(COUNTIFS($B$2:B1030,B1030,$I$2:I1030,I1030,$K$2:K1030,1)=1,1,0),0)</f>
        <v/>
      </c>
      <c r="M1030">
        <f>IF(Tree!$C$4="once per order",F1030*K1030,F1030)</f>
        <v/>
      </c>
      <c r="N1030">
        <f>IF(Tree!$C$4="once per order",K1030,1)</f>
        <v/>
      </c>
      <c r="O1030">
        <f>IF(Tree!$C$4="once per order",L1030,1)</f>
        <v/>
      </c>
    </row>
    <row r="1031">
      <c r="A1031" t="inlineStr">
        <is>
          <t>KR-00682</t>
        </is>
      </c>
      <c r="B1031" t="inlineStr">
        <is>
          <t>C-0160</t>
        </is>
      </c>
      <c r="C1031" t="inlineStr">
        <is>
          <t>Retail-Plus</t>
        </is>
      </c>
      <c r="D1031" t="inlineStr">
        <is>
          <t>store</t>
        </is>
      </c>
      <c r="E1031" s="7" t="n">
        <v>46284</v>
      </c>
      <c r="F1031" t="n">
        <v>2520</v>
      </c>
      <c r="G1031" t="n">
        <v>2520</v>
      </c>
      <c r="H1031" t="inlineStr">
        <is>
          <t>2026-09-21</t>
        </is>
      </c>
      <c r="I1031">
        <f>IF(MONTH(E1031)&lt;=6,"Q1","Q2")</f>
        <v/>
      </c>
      <c r="J1031">
        <f>YEAR(E1031)*100+MONTH(E1031)</f>
        <v/>
      </c>
      <c r="K1031">
        <f>IF(COUNTIF($A$2:A1031,A1031)=1,1,0)</f>
        <v/>
      </c>
      <c r="L1031">
        <f>IF(K1031=1,IF(COUNTIFS($B$2:B1031,B1031,$I$2:I1031,I1031,$K$2:K1031,1)=1,1,0),0)</f>
        <v/>
      </c>
      <c r="M1031">
        <f>IF(Tree!$C$4="once per order",F1031*K1031,F1031)</f>
        <v/>
      </c>
      <c r="N1031">
        <f>IF(Tree!$C$4="once per order",K1031,1)</f>
        <v/>
      </c>
      <c r="O1031">
        <f>IF(Tree!$C$4="once per order",L1031,1)</f>
        <v/>
      </c>
    </row>
    <row r="1032">
      <c r="A1032" t="inlineStr">
        <is>
          <t>KR-00683</t>
        </is>
      </c>
      <c r="B1032" t="inlineStr">
        <is>
          <t>C-0211</t>
        </is>
      </c>
      <c r="C1032" t="inlineStr">
        <is>
          <t>Retail-Plus</t>
        </is>
      </c>
      <c r="D1032" t="inlineStr">
        <is>
          <t>store</t>
        </is>
      </c>
      <c r="E1032" s="7" t="n">
        <v>46219</v>
      </c>
      <c r="F1032" t="n">
        <v>4360</v>
      </c>
      <c r="G1032" t="n">
        <v>2616</v>
      </c>
      <c r="H1032" t="inlineStr">
        <is>
          <t>2026-07-18</t>
        </is>
      </c>
      <c r="I1032">
        <f>IF(MONTH(E1032)&lt;=6,"Q1","Q2")</f>
        <v/>
      </c>
      <c r="J1032">
        <f>YEAR(E1032)*100+MONTH(E1032)</f>
        <v/>
      </c>
      <c r="K1032">
        <f>IF(COUNTIF($A$2:A1032,A1032)=1,1,0)</f>
        <v/>
      </c>
      <c r="L1032">
        <f>IF(K1032=1,IF(COUNTIFS($B$2:B1032,B1032,$I$2:I1032,I1032,$K$2:K1032,1)=1,1,0),0)</f>
        <v/>
      </c>
      <c r="M1032">
        <f>IF(Tree!$C$4="once per order",F1032*K1032,F1032)</f>
        <v/>
      </c>
      <c r="N1032">
        <f>IF(Tree!$C$4="once per order",K1032,1)</f>
        <v/>
      </c>
      <c r="O1032">
        <f>IF(Tree!$C$4="once per order",L1032,1)</f>
        <v/>
      </c>
    </row>
    <row r="1033">
      <c r="A1033" t="inlineStr">
        <is>
          <t>KR-00683</t>
        </is>
      </c>
      <c r="B1033" t="inlineStr">
        <is>
          <t>C-0211</t>
        </is>
      </c>
      <c r="C1033" t="inlineStr">
        <is>
          <t>Retail-Plus</t>
        </is>
      </c>
      <c r="D1033" t="inlineStr">
        <is>
          <t>store</t>
        </is>
      </c>
      <c r="E1033" s="7" t="n">
        <v>46219</v>
      </c>
      <c r="F1033" t="n">
        <v>4360</v>
      </c>
      <c r="G1033" t="n">
        <v>1744</v>
      </c>
      <c r="H1033" t="inlineStr">
        <is>
          <t>2026-07-18</t>
        </is>
      </c>
      <c r="I1033">
        <f>IF(MONTH(E1033)&lt;=6,"Q1","Q2")</f>
        <v/>
      </c>
      <c r="J1033">
        <f>YEAR(E1033)*100+MONTH(E1033)</f>
        <v/>
      </c>
      <c r="K1033">
        <f>IF(COUNTIF($A$2:A1033,A1033)=1,1,0)</f>
        <v/>
      </c>
      <c r="L1033">
        <f>IF(K1033=1,IF(COUNTIFS($B$2:B1033,B1033,$I$2:I1033,I1033,$K$2:K1033,1)=1,1,0),0)</f>
        <v/>
      </c>
      <c r="M1033">
        <f>IF(Tree!$C$4="once per order",F1033*K1033,F1033)</f>
        <v/>
      </c>
      <c r="N1033">
        <f>IF(Tree!$C$4="once per order",K1033,1)</f>
        <v/>
      </c>
      <c r="O1033">
        <f>IF(Tree!$C$4="once per order",L1033,1)</f>
        <v/>
      </c>
    </row>
    <row r="1034">
      <c r="A1034" t="inlineStr">
        <is>
          <t>KR-00684</t>
        </is>
      </c>
      <c r="B1034" t="inlineStr">
        <is>
          <t>C-0181</t>
        </is>
      </c>
      <c r="C1034" t="inlineStr">
        <is>
          <t>Retail-Plus</t>
        </is>
      </c>
      <c r="D1034" t="inlineStr">
        <is>
          <t>web</t>
        </is>
      </c>
      <c r="E1034" s="7" t="n">
        <v>46245</v>
      </c>
      <c r="F1034" t="n">
        <v>2430</v>
      </c>
      <c r="G1034" t="n">
        <v>2430</v>
      </c>
      <c r="H1034" t="inlineStr">
        <is>
          <t>2026-08-13</t>
        </is>
      </c>
      <c r="I1034">
        <f>IF(MONTH(E1034)&lt;=6,"Q1","Q2")</f>
        <v/>
      </c>
      <c r="J1034">
        <f>YEAR(E1034)*100+MONTH(E1034)</f>
        <v/>
      </c>
      <c r="K1034">
        <f>IF(COUNTIF($A$2:A1034,A1034)=1,1,0)</f>
        <v/>
      </c>
      <c r="L1034">
        <f>IF(K1034=1,IF(COUNTIFS($B$2:B1034,B1034,$I$2:I1034,I1034,$K$2:K1034,1)=1,1,0),0)</f>
        <v/>
      </c>
      <c r="M1034">
        <f>IF(Tree!$C$4="once per order",F1034*K1034,F1034)</f>
        <v/>
      </c>
      <c r="N1034">
        <f>IF(Tree!$C$4="once per order",K1034,1)</f>
        <v/>
      </c>
      <c r="O1034">
        <f>IF(Tree!$C$4="once per order",L1034,1)</f>
        <v/>
      </c>
    </row>
    <row r="1035">
      <c r="A1035" t="inlineStr">
        <is>
          <t>KR-00685</t>
        </is>
      </c>
      <c r="B1035" t="inlineStr">
        <is>
          <t>C-0197</t>
        </is>
      </c>
      <c r="C1035" t="inlineStr">
        <is>
          <t>Retail-Plus</t>
        </is>
      </c>
      <c r="D1035" t="inlineStr">
        <is>
          <t>store</t>
        </is>
      </c>
      <c r="E1035" s="7" t="n">
        <v>46288</v>
      </c>
      <c r="F1035" t="n">
        <v>3600</v>
      </c>
      <c r="G1035" t="n">
        <v>2160</v>
      </c>
      <c r="H1035" t="inlineStr">
        <is>
          <t>2026-09-25</t>
        </is>
      </c>
      <c r="I1035">
        <f>IF(MONTH(E1035)&lt;=6,"Q1","Q2")</f>
        <v/>
      </c>
      <c r="J1035">
        <f>YEAR(E1035)*100+MONTH(E1035)</f>
        <v/>
      </c>
      <c r="K1035">
        <f>IF(COUNTIF($A$2:A1035,A1035)=1,1,0)</f>
        <v/>
      </c>
      <c r="L1035">
        <f>IF(K1035=1,IF(COUNTIFS($B$2:B1035,B1035,$I$2:I1035,I1035,$K$2:K1035,1)=1,1,0),0)</f>
        <v/>
      </c>
      <c r="M1035">
        <f>IF(Tree!$C$4="once per order",F1035*K1035,F1035)</f>
        <v/>
      </c>
      <c r="N1035">
        <f>IF(Tree!$C$4="once per order",K1035,1)</f>
        <v/>
      </c>
      <c r="O1035">
        <f>IF(Tree!$C$4="once per order",L1035,1)</f>
        <v/>
      </c>
    </row>
    <row r="1036">
      <c r="A1036" t="inlineStr">
        <is>
          <t>KR-00685</t>
        </is>
      </c>
      <c r="B1036" t="inlineStr">
        <is>
          <t>C-0197</t>
        </is>
      </c>
      <c r="C1036" t="inlineStr">
        <is>
          <t>Retail-Plus</t>
        </is>
      </c>
      <c r="D1036" t="inlineStr">
        <is>
          <t>store</t>
        </is>
      </c>
      <c r="E1036" s="7" t="n">
        <v>46288</v>
      </c>
      <c r="F1036" t="n">
        <v>3600</v>
      </c>
      <c r="G1036" t="n">
        <v>1440</v>
      </c>
      <c r="H1036" t="inlineStr">
        <is>
          <t>2026-09-25</t>
        </is>
      </c>
      <c r="I1036">
        <f>IF(MONTH(E1036)&lt;=6,"Q1","Q2")</f>
        <v/>
      </c>
      <c r="J1036">
        <f>YEAR(E1036)*100+MONTH(E1036)</f>
        <v/>
      </c>
      <c r="K1036">
        <f>IF(COUNTIF($A$2:A1036,A1036)=1,1,0)</f>
        <v/>
      </c>
      <c r="L1036">
        <f>IF(K1036=1,IF(COUNTIFS($B$2:B1036,B1036,$I$2:I1036,I1036,$K$2:K1036,1)=1,1,0),0)</f>
        <v/>
      </c>
      <c r="M1036">
        <f>IF(Tree!$C$4="once per order",F1036*K1036,F1036)</f>
        <v/>
      </c>
      <c r="N1036">
        <f>IF(Tree!$C$4="once per order",K1036,1)</f>
        <v/>
      </c>
      <c r="O1036">
        <f>IF(Tree!$C$4="once per order",L1036,1)</f>
        <v/>
      </c>
    </row>
    <row r="1037">
      <c r="A1037" t="inlineStr">
        <is>
          <t>KR-00686</t>
        </is>
      </c>
      <c r="B1037" t="inlineStr">
        <is>
          <t>C-0238</t>
        </is>
      </c>
      <c r="C1037" t="inlineStr">
        <is>
          <t>Retail-Plus</t>
        </is>
      </c>
      <c r="D1037" t="inlineStr">
        <is>
          <t>app</t>
        </is>
      </c>
      <c r="E1037" s="7" t="n">
        <v>46222</v>
      </c>
      <c r="F1037" t="n">
        <v>2400</v>
      </c>
      <c r="G1037" t="n">
        <v>2400</v>
      </c>
      <c r="H1037" t="inlineStr">
        <is>
          <t>2026-07-21</t>
        </is>
      </c>
      <c r="I1037">
        <f>IF(MONTH(E1037)&lt;=6,"Q1","Q2")</f>
        <v/>
      </c>
      <c r="J1037">
        <f>YEAR(E1037)*100+MONTH(E1037)</f>
        <v/>
      </c>
      <c r="K1037">
        <f>IF(COUNTIF($A$2:A1037,A1037)=1,1,0)</f>
        <v/>
      </c>
      <c r="L1037">
        <f>IF(K1037=1,IF(COUNTIFS($B$2:B1037,B1037,$I$2:I1037,I1037,$K$2:K1037,1)=1,1,0),0)</f>
        <v/>
      </c>
      <c r="M1037">
        <f>IF(Tree!$C$4="once per order",F1037*K1037,F1037)</f>
        <v/>
      </c>
      <c r="N1037">
        <f>IF(Tree!$C$4="once per order",K1037,1)</f>
        <v/>
      </c>
      <c r="O1037">
        <f>IF(Tree!$C$4="once per order",L1037,1)</f>
        <v/>
      </c>
    </row>
    <row r="1038">
      <c r="A1038" t="inlineStr">
        <is>
          <t>KR-00687</t>
        </is>
      </c>
      <c r="B1038" t="inlineStr">
        <is>
          <t>C-0234</t>
        </is>
      </c>
      <c r="C1038" t="inlineStr">
        <is>
          <t>Retail-Plus</t>
        </is>
      </c>
      <c r="D1038" t="inlineStr">
        <is>
          <t>store</t>
        </is>
      </c>
      <c r="E1038" s="7" t="n">
        <v>46253</v>
      </c>
      <c r="F1038" t="n">
        <v>2930</v>
      </c>
      <c r="G1038" t="n">
        <v>1758</v>
      </c>
      <c r="H1038" t="inlineStr">
        <is>
          <t>2026-08-21</t>
        </is>
      </c>
      <c r="I1038">
        <f>IF(MONTH(E1038)&lt;=6,"Q1","Q2")</f>
        <v/>
      </c>
      <c r="J1038">
        <f>YEAR(E1038)*100+MONTH(E1038)</f>
        <v/>
      </c>
      <c r="K1038">
        <f>IF(COUNTIF($A$2:A1038,A1038)=1,1,0)</f>
        <v/>
      </c>
      <c r="L1038">
        <f>IF(K1038=1,IF(COUNTIFS($B$2:B1038,B1038,$I$2:I1038,I1038,$K$2:K1038,1)=1,1,0),0)</f>
        <v/>
      </c>
      <c r="M1038">
        <f>IF(Tree!$C$4="once per order",F1038*K1038,F1038)</f>
        <v/>
      </c>
      <c r="N1038">
        <f>IF(Tree!$C$4="once per order",K1038,1)</f>
        <v/>
      </c>
      <c r="O1038">
        <f>IF(Tree!$C$4="once per order",L1038,1)</f>
        <v/>
      </c>
    </row>
    <row r="1039">
      <c r="A1039" t="inlineStr">
        <is>
          <t>KR-00687</t>
        </is>
      </c>
      <c r="B1039" t="inlineStr">
        <is>
          <t>C-0234</t>
        </is>
      </c>
      <c r="C1039" t="inlineStr">
        <is>
          <t>Retail-Plus</t>
        </is>
      </c>
      <c r="D1039" t="inlineStr">
        <is>
          <t>store</t>
        </is>
      </c>
      <c r="E1039" s="7" t="n">
        <v>46253</v>
      </c>
      <c r="F1039" t="n">
        <v>2930</v>
      </c>
      <c r="G1039" t="n">
        <v>1172</v>
      </c>
      <c r="H1039" t="inlineStr">
        <is>
          <t>2026-08-21</t>
        </is>
      </c>
      <c r="I1039">
        <f>IF(MONTH(E1039)&lt;=6,"Q1","Q2")</f>
        <v/>
      </c>
      <c r="J1039">
        <f>YEAR(E1039)*100+MONTH(E1039)</f>
        <v/>
      </c>
      <c r="K1039">
        <f>IF(COUNTIF($A$2:A1039,A1039)=1,1,0)</f>
        <v/>
      </c>
      <c r="L1039">
        <f>IF(K1039=1,IF(COUNTIFS($B$2:B1039,B1039,$I$2:I1039,I1039,$K$2:K1039,1)=1,1,0),0)</f>
        <v/>
      </c>
      <c r="M1039">
        <f>IF(Tree!$C$4="once per order",F1039*K1039,F1039)</f>
        <v/>
      </c>
      <c r="N1039">
        <f>IF(Tree!$C$4="once per order",K1039,1)</f>
        <v/>
      </c>
      <c r="O1039">
        <f>IF(Tree!$C$4="once per order",L1039,1)</f>
        <v/>
      </c>
    </row>
    <row r="1040">
      <c r="A1040" t="inlineStr">
        <is>
          <t>KR-00688</t>
        </is>
      </c>
      <c r="B1040" t="inlineStr">
        <is>
          <t>C-0213</t>
        </is>
      </c>
      <c r="C1040" t="inlineStr">
        <is>
          <t>Retail-Plus</t>
        </is>
      </c>
      <c r="D1040" t="inlineStr">
        <is>
          <t>app</t>
        </is>
      </c>
      <c r="E1040" s="7" t="n">
        <v>46270</v>
      </c>
      <c r="F1040" t="n">
        <v>1920</v>
      </c>
      <c r="G1040" t="n">
        <v>1920</v>
      </c>
      <c r="H1040" t="inlineStr">
        <is>
          <t>2026-09-07</t>
        </is>
      </c>
      <c r="I1040">
        <f>IF(MONTH(E1040)&lt;=6,"Q1","Q2")</f>
        <v/>
      </c>
      <c r="J1040">
        <f>YEAR(E1040)*100+MONTH(E1040)</f>
        <v/>
      </c>
      <c r="K1040">
        <f>IF(COUNTIF($A$2:A1040,A1040)=1,1,0)</f>
        <v/>
      </c>
      <c r="L1040">
        <f>IF(K1040=1,IF(COUNTIFS($B$2:B1040,B1040,$I$2:I1040,I1040,$K$2:K1040,1)=1,1,0),0)</f>
        <v/>
      </c>
      <c r="M1040">
        <f>IF(Tree!$C$4="once per order",F1040*K1040,F1040)</f>
        <v/>
      </c>
      <c r="N1040">
        <f>IF(Tree!$C$4="once per order",K1040,1)</f>
        <v/>
      </c>
      <c r="O1040">
        <f>IF(Tree!$C$4="once per order",L1040,1)</f>
        <v/>
      </c>
    </row>
    <row r="1041">
      <c r="A1041" t="inlineStr">
        <is>
          <t>KR-00689</t>
        </is>
      </c>
      <c r="B1041" t="inlineStr">
        <is>
          <t>C-0216</t>
        </is>
      </c>
      <c r="C1041" t="inlineStr">
        <is>
          <t>Retail-Plus</t>
        </is>
      </c>
      <c r="D1041" t="inlineStr">
        <is>
          <t>app</t>
        </is>
      </c>
      <c r="E1041" s="7" t="n">
        <v>46226</v>
      </c>
      <c r="F1041" t="n">
        <v>4300</v>
      </c>
      <c r="G1041" t="n">
        <v>2580</v>
      </c>
      <c r="H1041" t="inlineStr">
        <is>
          <t>2026-07-25</t>
        </is>
      </c>
      <c r="I1041">
        <f>IF(MONTH(E1041)&lt;=6,"Q1","Q2")</f>
        <v/>
      </c>
      <c r="J1041">
        <f>YEAR(E1041)*100+MONTH(E1041)</f>
        <v/>
      </c>
      <c r="K1041">
        <f>IF(COUNTIF($A$2:A1041,A1041)=1,1,0)</f>
        <v/>
      </c>
      <c r="L1041">
        <f>IF(K1041=1,IF(COUNTIFS($B$2:B1041,B1041,$I$2:I1041,I1041,$K$2:K1041,1)=1,1,0),0)</f>
        <v/>
      </c>
      <c r="M1041">
        <f>IF(Tree!$C$4="once per order",F1041*K1041,F1041)</f>
        <v/>
      </c>
      <c r="N1041">
        <f>IF(Tree!$C$4="once per order",K1041,1)</f>
        <v/>
      </c>
      <c r="O1041">
        <f>IF(Tree!$C$4="once per order",L1041,1)</f>
        <v/>
      </c>
    </row>
    <row r="1042">
      <c r="A1042" t="inlineStr">
        <is>
          <t>KR-00689</t>
        </is>
      </c>
      <c r="B1042" t="inlineStr">
        <is>
          <t>C-0216</t>
        </is>
      </c>
      <c r="C1042" t="inlineStr">
        <is>
          <t>Retail-Plus</t>
        </is>
      </c>
      <c r="D1042" t="inlineStr">
        <is>
          <t>app</t>
        </is>
      </c>
      <c r="E1042" s="7" t="n">
        <v>46226</v>
      </c>
      <c r="F1042" t="n">
        <v>4300</v>
      </c>
      <c r="G1042" t="n">
        <v>1720</v>
      </c>
      <c r="H1042" t="inlineStr">
        <is>
          <t>2026-07-25</t>
        </is>
      </c>
      <c r="I1042">
        <f>IF(MONTH(E1042)&lt;=6,"Q1","Q2")</f>
        <v/>
      </c>
      <c r="J1042">
        <f>YEAR(E1042)*100+MONTH(E1042)</f>
        <v/>
      </c>
      <c r="K1042">
        <f>IF(COUNTIF($A$2:A1042,A1042)=1,1,0)</f>
        <v/>
      </c>
      <c r="L1042">
        <f>IF(K1042=1,IF(COUNTIFS($B$2:B1042,B1042,$I$2:I1042,I1042,$K$2:K1042,1)=1,1,0),0)</f>
        <v/>
      </c>
      <c r="M1042">
        <f>IF(Tree!$C$4="once per order",F1042*K1042,F1042)</f>
        <v/>
      </c>
      <c r="N1042">
        <f>IF(Tree!$C$4="once per order",K1042,1)</f>
        <v/>
      </c>
      <c r="O1042">
        <f>IF(Tree!$C$4="once per order",L1042,1)</f>
        <v/>
      </c>
    </row>
    <row r="1043">
      <c r="A1043" t="inlineStr">
        <is>
          <t>KR-00690</t>
        </is>
      </c>
      <c r="B1043" t="inlineStr">
        <is>
          <t>C-0184</t>
        </is>
      </c>
      <c r="C1043" t="inlineStr">
        <is>
          <t>Retail-Plus</t>
        </is>
      </c>
      <c r="D1043" t="inlineStr">
        <is>
          <t>app</t>
        </is>
      </c>
      <c r="E1043" s="7" t="n">
        <v>46260</v>
      </c>
      <c r="F1043" t="n">
        <v>3490</v>
      </c>
      <c r="G1043" t="n">
        <v>2094</v>
      </c>
      <c r="H1043" t="inlineStr">
        <is>
          <t>2026-08-28</t>
        </is>
      </c>
      <c r="I1043">
        <f>IF(MONTH(E1043)&lt;=6,"Q1","Q2")</f>
        <v/>
      </c>
      <c r="J1043">
        <f>YEAR(E1043)*100+MONTH(E1043)</f>
        <v/>
      </c>
      <c r="K1043">
        <f>IF(COUNTIF($A$2:A1043,A1043)=1,1,0)</f>
        <v/>
      </c>
      <c r="L1043">
        <f>IF(K1043=1,IF(COUNTIFS($B$2:B1043,B1043,$I$2:I1043,I1043,$K$2:K1043,1)=1,1,0),0)</f>
        <v/>
      </c>
      <c r="M1043">
        <f>IF(Tree!$C$4="once per order",F1043*K1043,F1043)</f>
        <v/>
      </c>
      <c r="N1043">
        <f>IF(Tree!$C$4="once per order",K1043,1)</f>
        <v/>
      </c>
      <c r="O1043">
        <f>IF(Tree!$C$4="once per order",L1043,1)</f>
        <v/>
      </c>
    </row>
    <row r="1044">
      <c r="A1044" t="inlineStr">
        <is>
          <t>KR-00690</t>
        </is>
      </c>
      <c r="B1044" t="inlineStr">
        <is>
          <t>C-0184</t>
        </is>
      </c>
      <c r="C1044" t="inlineStr">
        <is>
          <t>Retail-Plus</t>
        </is>
      </c>
      <c r="D1044" t="inlineStr">
        <is>
          <t>app</t>
        </is>
      </c>
      <c r="E1044" s="7" t="n">
        <v>46260</v>
      </c>
      <c r="F1044" t="n">
        <v>3490</v>
      </c>
      <c r="G1044" t="n">
        <v>1396</v>
      </c>
      <c r="H1044" t="inlineStr">
        <is>
          <t>2026-08-28</t>
        </is>
      </c>
      <c r="I1044">
        <f>IF(MONTH(E1044)&lt;=6,"Q1","Q2")</f>
        <v/>
      </c>
      <c r="J1044">
        <f>YEAR(E1044)*100+MONTH(E1044)</f>
        <v/>
      </c>
      <c r="K1044">
        <f>IF(COUNTIF($A$2:A1044,A1044)=1,1,0)</f>
        <v/>
      </c>
      <c r="L1044">
        <f>IF(K1044=1,IF(COUNTIFS($B$2:B1044,B1044,$I$2:I1044,I1044,$K$2:K1044,1)=1,1,0),0)</f>
        <v/>
      </c>
      <c r="M1044">
        <f>IF(Tree!$C$4="once per order",F1044*K1044,F1044)</f>
        <v/>
      </c>
      <c r="N1044">
        <f>IF(Tree!$C$4="once per order",K1044,1)</f>
        <v/>
      </c>
      <c r="O1044">
        <f>IF(Tree!$C$4="once per order",L1044,1)</f>
        <v/>
      </c>
    </row>
    <row r="1045">
      <c r="A1045" t="inlineStr">
        <is>
          <t>KR-00691</t>
        </is>
      </c>
      <c r="B1045" t="inlineStr">
        <is>
          <t>C-0269</t>
        </is>
      </c>
      <c r="C1045" t="inlineStr">
        <is>
          <t>Retail-Plus</t>
        </is>
      </c>
      <c r="D1045" t="inlineStr">
        <is>
          <t>store</t>
        </is>
      </c>
      <c r="E1045" s="7" t="n">
        <v>46276</v>
      </c>
      <c r="F1045" t="n">
        <v>1700</v>
      </c>
      <c r="G1045" t="n">
        <v>1700</v>
      </c>
      <c r="H1045" t="inlineStr">
        <is>
          <t>2026-09-13</t>
        </is>
      </c>
      <c r="I1045">
        <f>IF(MONTH(E1045)&lt;=6,"Q1","Q2")</f>
        <v/>
      </c>
      <c r="J1045">
        <f>YEAR(E1045)*100+MONTH(E1045)</f>
        <v/>
      </c>
      <c r="K1045">
        <f>IF(COUNTIF($A$2:A1045,A1045)=1,1,0)</f>
        <v/>
      </c>
      <c r="L1045">
        <f>IF(K1045=1,IF(COUNTIFS($B$2:B1045,B1045,$I$2:I1045,I1045,$K$2:K1045,1)=1,1,0),0)</f>
        <v/>
      </c>
      <c r="M1045">
        <f>IF(Tree!$C$4="once per order",F1045*K1045,F1045)</f>
        <v/>
      </c>
      <c r="N1045">
        <f>IF(Tree!$C$4="once per order",K1045,1)</f>
        <v/>
      </c>
      <c r="O1045">
        <f>IF(Tree!$C$4="once per order",L1045,1)</f>
        <v/>
      </c>
    </row>
    <row r="1046">
      <c r="A1046" t="inlineStr">
        <is>
          <t>KR-00692</t>
        </is>
      </c>
      <c r="B1046" t="inlineStr">
        <is>
          <t>C-0181</t>
        </is>
      </c>
      <c r="C1046" t="inlineStr">
        <is>
          <t>Retail-Plus</t>
        </is>
      </c>
      <c r="D1046" t="inlineStr">
        <is>
          <t>app</t>
        </is>
      </c>
      <c r="E1046" s="7" t="n">
        <v>46208</v>
      </c>
      <c r="F1046" t="n">
        <v>3340</v>
      </c>
      <c r="G1046" t="n">
        <v>2004</v>
      </c>
      <c r="H1046" t="inlineStr">
        <is>
          <t>2026-07-07</t>
        </is>
      </c>
      <c r="I1046">
        <f>IF(MONTH(E1046)&lt;=6,"Q1","Q2")</f>
        <v/>
      </c>
      <c r="J1046">
        <f>YEAR(E1046)*100+MONTH(E1046)</f>
        <v/>
      </c>
      <c r="K1046">
        <f>IF(COUNTIF($A$2:A1046,A1046)=1,1,0)</f>
        <v/>
      </c>
      <c r="L1046">
        <f>IF(K1046=1,IF(COUNTIFS($B$2:B1046,B1046,$I$2:I1046,I1046,$K$2:K1046,1)=1,1,0),0)</f>
        <v/>
      </c>
      <c r="M1046">
        <f>IF(Tree!$C$4="once per order",F1046*K1046,F1046)</f>
        <v/>
      </c>
      <c r="N1046">
        <f>IF(Tree!$C$4="once per order",K1046,1)</f>
        <v/>
      </c>
      <c r="O1046">
        <f>IF(Tree!$C$4="once per order",L1046,1)</f>
        <v/>
      </c>
    </row>
    <row r="1047">
      <c r="A1047" t="inlineStr">
        <is>
          <t>KR-00692</t>
        </is>
      </c>
      <c r="B1047" t="inlineStr">
        <is>
          <t>C-0181</t>
        </is>
      </c>
      <c r="C1047" t="inlineStr">
        <is>
          <t>Retail-Plus</t>
        </is>
      </c>
      <c r="D1047" t="inlineStr">
        <is>
          <t>app</t>
        </is>
      </c>
      <c r="E1047" s="7" t="n">
        <v>46208</v>
      </c>
      <c r="F1047" t="n">
        <v>3340</v>
      </c>
      <c r="G1047" t="n">
        <v>1336</v>
      </c>
      <c r="H1047" t="inlineStr">
        <is>
          <t>2026-07-07</t>
        </is>
      </c>
      <c r="I1047">
        <f>IF(MONTH(E1047)&lt;=6,"Q1","Q2")</f>
        <v/>
      </c>
      <c r="J1047">
        <f>YEAR(E1047)*100+MONTH(E1047)</f>
        <v/>
      </c>
      <c r="K1047">
        <f>IF(COUNTIF($A$2:A1047,A1047)=1,1,0)</f>
        <v/>
      </c>
      <c r="L1047">
        <f>IF(K1047=1,IF(COUNTIFS($B$2:B1047,B1047,$I$2:I1047,I1047,$K$2:K1047,1)=1,1,0),0)</f>
        <v/>
      </c>
      <c r="M1047">
        <f>IF(Tree!$C$4="once per order",F1047*K1047,F1047)</f>
        <v/>
      </c>
      <c r="N1047">
        <f>IF(Tree!$C$4="once per order",K1047,1)</f>
        <v/>
      </c>
      <c r="O1047">
        <f>IF(Tree!$C$4="once per order",L1047,1)</f>
        <v/>
      </c>
    </row>
    <row r="1048">
      <c r="A1048" t="inlineStr">
        <is>
          <t>KR-00693</t>
        </is>
      </c>
      <c r="B1048" t="inlineStr">
        <is>
          <t>C-0222</t>
        </is>
      </c>
      <c r="C1048" t="inlineStr">
        <is>
          <t>Retail-Plus</t>
        </is>
      </c>
      <c r="D1048" t="inlineStr">
        <is>
          <t>web</t>
        </is>
      </c>
      <c r="E1048" s="7" t="n">
        <v>46246</v>
      </c>
      <c r="F1048" t="n">
        <v>2820</v>
      </c>
      <c r="G1048" t="n">
        <v>1692</v>
      </c>
      <c r="H1048" t="inlineStr">
        <is>
          <t>2026-08-14</t>
        </is>
      </c>
      <c r="I1048">
        <f>IF(MONTH(E1048)&lt;=6,"Q1","Q2")</f>
        <v/>
      </c>
      <c r="J1048">
        <f>YEAR(E1048)*100+MONTH(E1048)</f>
        <v/>
      </c>
      <c r="K1048">
        <f>IF(COUNTIF($A$2:A1048,A1048)=1,1,0)</f>
        <v/>
      </c>
      <c r="L1048">
        <f>IF(K1048=1,IF(COUNTIFS($B$2:B1048,B1048,$I$2:I1048,I1048,$K$2:K1048,1)=1,1,0),0)</f>
        <v/>
      </c>
      <c r="M1048">
        <f>IF(Tree!$C$4="once per order",F1048*K1048,F1048)</f>
        <v/>
      </c>
      <c r="N1048">
        <f>IF(Tree!$C$4="once per order",K1048,1)</f>
        <v/>
      </c>
      <c r="O1048">
        <f>IF(Tree!$C$4="once per order",L1048,1)</f>
        <v/>
      </c>
    </row>
    <row r="1049">
      <c r="A1049" t="inlineStr">
        <is>
          <t>KR-00693</t>
        </is>
      </c>
      <c r="B1049" t="inlineStr">
        <is>
          <t>C-0222</t>
        </is>
      </c>
      <c r="C1049" t="inlineStr">
        <is>
          <t>Retail-Plus</t>
        </is>
      </c>
      <c r="D1049" t="inlineStr">
        <is>
          <t>web</t>
        </is>
      </c>
      <c r="E1049" s="7" t="n">
        <v>46246</v>
      </c>
      <c r="F1049" t="n">
        <v>2820</v>
      </c>
      <c r="G1049" t="n">
        <v>1128</v>
      </c>
      <c r="H1049" t="inlineStr">
        <is>
          <t>2026-08-14</t>
        </is>
      </c>
      <c r="I1049">
        <f>IF(MONTH(E1049)&lt;=6,"Q1","Q2")</f>
        <v/>
      </c>
      <c r="J1049">
        <f>YEAR(E1049)*100+MONTH(E1049)</f>
        <v/>
      </c>
      <c r="K1049">
        <f>IF(COUNTIF($A$2:A1049,A1049)=1,1,0)</f>
        <v/>
      </c>
      <c r="L1049">
        <f>IF(K1049=1,IF(COUNTIFS($B$2:B1049,B1049,$I$2:I1049,I1049,$K$2:K1049,1)=1,1,0),0)</f>
        <v/>
      </c>
      <c r="M1049">
        <f>IF(Tree!$C$4="once per order",F1049*K1049,F1049)</f>
        <v/>
      </c>
      <c r="N1049">
        <f>IF(Tree!$C$4="once per order",K1049,1)</f>
        <v/>
      </c>
      <c r="O1049">
        <f>IF(Tree!$C$4="once per order",L1049,1)</f>
        <v/>
      </c>
    </row>
    <row r="1050">
      <c r="A1050" t="inlineStr">
        <is>
          <t>KR-00694</t>
        </is>
      </c>
      <c r="B1050" t="inlineStr">
        <is>
          <t>C-0159</t>
        </is>
      </c>
      <c r="C1050" t="inlineStr">
        <is>
          <t>Retail-Plus</t>
        </is>
      </c>
      <c r="D1050" t="inlineStr">
        <is>
          <t>web</t>
        </is>
      </c>
      <c r="E1050" s="7" t="n">
        <v>46286</v>
      </c>
      <c r="F1050" t="n">
        <v>1660</v>
      </c>
      <c r="G1050" t="n">
        <v>1660</v>
      </c>
      <c r="H1050" t="inlineStr">
        <is>
          <t>2026-09-23</t>
        </is>
      </c>
      <c r="I1050">
        <f>IF(MONTH(E1050)&lt;=6,"Q1","Q2")</f>
        <v/>
      </c>
      <c r="J1050">
        <f>YEAR(E1050)*100+MONTH(E1050)</f>
        <v/>
      </c>
      <c r="K1050">
        <f>IF(COUNTIF($A$2:A1050,A1050)=1,1,0)</f>
        <v/>
      </c>
      <c r="L1050">
        <f>IF(K1050=1,IF(COUNTIFS($B$2:B1050,B1050,$I$2:I1050,I1050,$K$2:K1050,1)=1,1,0),0)</f>
        <v/>
      </c>
      <c r="M1050">
        <f>IF(Tree!$C$4="once per order",F1050*K1050,F1050)</f>
        <v/>
      </c>
      <c r="N1050">
        <f>IF(Tree!$C$4="once per order",K1050,1)</f>
        <v/>
      </c>
      <c r="O1050">
        <f>IF(Tree!$C$4="once per order",L1050,1)</f>
        <v/>
      </c>
    </row>
    <row r="1051">
      <c r="A1051" t="inlineStr">
        <is>
          <t>KR-00695</t>
        </is>
      </c>
      <c r="B1051" t="inlineStr">
        <is>
          <t>C-0154</t>
        </is>
      </c>
      <c r="C1051" t="inlineStr">
        <is>
          <t>Retail-Plus</t>
        </is>
      </c>
      <c r="D1051" t="inlineStr">
        <is>
          <t>app</t>
        </is>
      </c>
      <c r="E1051" s="7" t="n">
        <v>46220</v>
      </c>
      <c r="F1051" t="n">
        <v>3220</v>
      </c>
      <c r="G1051" t="n">
        <v>1932</v>
      </c>
      <c r="H1051" t="inlineStr">
        <is>
          <t>2026-07-19</t>
        </is>
      </c>
      <c r="I1051">
        <f>IF(MONTH(E1051)&lt;=6,"Q1","Q2")</f>
        <v/>
      </c>
      <c r="J1051">
        <f>YEAR(E1051)*100+MONTH(E1051)</f>
        <v/>
      </c>
      <c r="K1051">
        <f>IF(COUNTIF($A$2:A1051,A1051)=1,1,0)</f>
        <v/>
      </c>
      <c r="L1051">
        <f>IF(K1051=1,IF(COUNTIFS($B$2:B1051,B1051,$I$2:I1051,I1051,$K$2:K1051,1)=1,1,0),0)</f>
        <v/>
      </c>
      <c r="M1051">
        <f>IF(Tree!$C$4="once per order",F1051*K1051,F1051)</f>
        <v/>
      </c>
      <c r="N1051">
        <f>IF(Tree!$C$4="once per order",K1051,1)</f>
        <v/>
      </c>
      <c r="O1051">
        <f>IF(Tree!$C$4="once per order",L1051,1)</f>
        <v/>
      </c>
    </row>
    <row r="1052">
      <c r="A1052" t="inlineStr">
        <is>
          <t>KR-00695</t>
        </is>
      </c>
      <c r="B1052" t="inlineStr">
        <is>
          <t>C-0154</t>
        </is>
      </c>
      <c r="C1052" t="inlineStr">
        <is>
          <t>Retail-Plus</t>
        </is>
      </c>
      <c r="D1052" t="inlineStr">
        <is>
          <t>app</t>
        </is>
      </c>
      <c r="E1052" s="7" t="n">
        <v>46220</v>
      </c>
      <c r="F1052" t="n">
        <v>3220</v>
      </c>
      <c r="G1052" t="n">
        <v>1288</v>
      </c>
      <c r="H1052" t="inlineStr">
        <is>
          <t>2026-07-19</t>
        </is>
      </c>
      <c r="I1052">
        <f>IF(MONTH(E1052)&lt;=6,"Q1","Q2")</f>
        <v/>
      </c>
      <c r="J1052">
        <f>YEAR(E1052)*100+MONTH(E1052)</f>
        <v/>
      </c>
      <c r="K1052">
        <f>IF(COUNTIF($A$2:A1052,A1052)=1,1,0)</f>
        <v/>
      </c>
      <c r="L1052">
        <f>IF(K1052=1,IF(COUNTIFS($B$2:B1052,B1052,$I$2:I1052,I1052,$K$2:K1052,1)=1,1,0),0)</f>
        <v/>
      </c>
      <c r="M1052">
        <f>IF(Tree!$C$4="once per order",F1052*K1052,F1052)</f>
        <v/>
      </c>
      <c r="N1052">
        <f>IF(Tree!$C$4="once per order",K1052,1)</f>
        <v/>
      </c>
      <c r="O1052">
        <f>IF(Tree!$C$4="once per order",L1052,1)</f>
        <v/>
      </c>
    </row>
    <row r="1053">
      <c r="A1053" t="inlineStr">
        <is>
          <t>KR-00696</t>
        </is>
      </c>
      <c r="B1053" t="inlineStr">
        <is>
          <t>C-0157</t>
        </is>
      </c>
      <c r="C1053" t="inlineStr">
        <is>
          <t>Retail-Plus</t>
        </is>
      </c>
      <c r="D1053" t="inlineStr">
        <is>
          <t>web</t>
        </is>
      </c>
      <c r="E1053" s="7" t="n">
        <v>46248</v>
      </c>
      <c r="F1053" t="n">
        <v>2200</v>
      </c>
      <c r="G1053" t="n">
        <v>2200</v>
      </c>
      <c r="H1053" t="inlineStr">
        <is>
          <t>2026-08-16</t>
        </is>
      </c>
      <c r="I1053">
        <f>IF(MONTH(E1053)&lt;=6,"Q1","Q2")</f>
        <v/>
      </c>
      <c r="J1053">
        <f>YEAR(E1053)*100+MONTH(E1053)</f>
        <v/>
      </c>
      <c r="K1053">
        <f>IF(COUNTIF($A$2:A1053,A1053)=1,1,0)</f>
        <v/>
      </c>
      <c r="L1053">
        <f>IF(K1053=1,IF(COUNTIFS($B$2:B1053,B1053,$I$2:I1053,I1053,$K$2:K1053,1)=1,1,0),0)</f>
        <v/>
      </c>
      <c r="M1053">
        <f>IF(Tree!$C$4="once per order",F1053*K1053,F1053)</f>
        <v/>
      </c>
      <c r="N1053">
        <f>IF(Tree!$C$4="once per order",K1053,1)</f>
        <v/>
      </c>
      <c r="O1053">
        <f>IF(Tree!$C$4="once per order",L1053,1)</f>
        <v/>
      </c>
    </row>
    <row r="1054">
      <c r="A1054" t="inlineStr">
        <is>
          <t>KR-00697</t>
        </is>
      </c>
      <c r="B1054" t="inlineStr">
        <is>
          <t>C-0186</t>
        </is>
      </c>
      <c r="C1054" t="inlineStr">
        <is>
          <t>Retail-Plus</t>
        </is>
      </c>
      <c r="D1054" t="inlineStr">
        <is>
          <t>store</t>
        </is>
      </c>
      <c r="E1054" s="7" t="n">
        <v>46272</v>
      </c>
      <c r="F1054" t="n">
        <v>1570</v>
      </c>
      <c r="G1054" t="n">
        <v>1570</v>
      </c>
      <c r="H1054" t="inlineStr">
        <is>
          <t>2026-09-09</t>
        </is>
      </c>
      <c r="I1054">
        <f>IF(MONTH(E1054)&lt;=6,"Q1","Q2")</f>
        <v/>
      </c>
      <c r="J1054">
        <f>YEAR(E1054)*100+MONTH(E1054)</f>
        <v/>
      </c>
      <c r="K1054">
        <f>IF(COUNTIF($A$2:A1054,A1054)=1,1,0)</f>
        <v/>
      </c>
      <c r="L1054">
        <f>IF(K1054=1,IF(COUNTIFS($B$2:B1054,B1054,$I$2:I1054,I1054,$K$2:K1054,1)=1,1,0),0)</f>
        <v/>
      </c>
      <c r="M1054">
        <f>IF(Tree!$C$4="once per order",F1054*K1054,F1054)</f>
        <v/>
      </c>
      <c r="N1054">
        <f>IF(Tree!$C$4="once per order",K1054,1)</f>
        <v/>
      </c>
      <c r="O1054">
        <f>IF(Tree!$C$4="once per order",L1054,1)</f>
        <v/>
      </c>
    </row>
    <row r="1055">
      <c r="A1055" t="inlineStr">
        <is>
          <t>KR-00698</t>
        </is>
      </c>
      <c r="B1055" t="inlineStr">
        <is>
          <t>C-0155</t>
        </is>
      </c>
      <c r="C1055" t="inlineStr">
        <is>
          <t>Retail-Plus</t>
        </is>
      </c>
      <c r="D1055" t="inlineStr">
        <is>
          <t>app</t>
        </is>
      </c>
      <c r="E1055" s="7" t="n">
        <v>46222</v>
      </c>
      <c r="F1055" t="n">
        <v>4410</v>
      </c>
      <c r="G1055" t="n">
        <v>2646</v>
      </c>
      <c r="H1055" t="inlineStr">
        <is>
          <t>2026-07-21</t>
        </is>
      </c>
      <c r="I1055">
        <f>IF(MONTH(E1055)&lt;=6,"Q1","Q2")</f>
        <v/>
      </c>
      <c r="J1055">
        <f>YEAR(E1055)*100+MONTH(E1055)</f>
        <v/>
      </c>
      <c r="K1055">
        <f>IF(COUNTIF($A$2:A1055,A1055)=1,1,0)</f>
        <v/>
      </c>
      <c r="L1055">
        <f>IF(K1055=1,IF(COUNTIFS($B$2:B1055,B1055,$I$2:I1055,I1055,$K$2:K1055,1)=1,1,0),0)</f>
        <v/>
      </c>
      <c r="M1055">
        <f>IF(Tree!$C$4="once per order",F1055*K1055,F1055)</f>
        <v/>
      </c>
      <c r="N1055">
        <f>IF(Tree!$C$4="once per order",K1055,1)</f>
        <v/>
      </c>
      <c r="O1055">
        <f>IF(Tree!$C$4="once per order",L1055,1)</f>
        <v/>
      </c>
    </row>
    <row r="1056">
      <c r="A1056" t="inlineStr">
        <is>
          <t>KR-00698</t>
        </is>
      </c>
      <c r="B1056" t="inlineStr">
        <is>
          <t>C-0155</t>
        </is>
      </c>
      <c r="C1056" t="inlineStr">
        <is>
          <t>Retail-Plus</t>
        </is>
      </c>
      <c r="D1056" t="inlineStr">
        <is>
          <t>app</t>
        </is>
      </c>
      <c r="E1056" s="7" t="n">
        <v>46222</v>
      </c>
      <c r="F1056" t="n">
        <v>4410</v>
      </c>
      <c r="G1056" t="n">
        <v>1764</v>
      </c>
      <c r="H1056" t="inlineStr">
        <is>
          <t>2026-07-21</t>
        </is>
      </c>
      <c r="I1056">
        <f>IF(MONTH(E1056)&lt;=6,"Q1","Q2")</f>
        <v/>
      </c>
      <c r="J1056">
        <f>YEAR(E1056)*100+MONTH(E1056)</f>
        <v/>
      </c>
      <c r="K1056">
        <f>IF(COUNTIF($A$2:A1056,A1056)=1,1,0)</f>
        <v/>
      </c>
      <c r="L1056">
        <f>IF(K1056=1,IF(COUNTIFS($B$2:B1056,B1056,$I$2:I1056,I1056,$K$2:K1056,1)=1,1,0),0)</f>
        <v/>
      </c>
      <c r="M1056">
        <f>IF(Tree!$C$4="once per order",F1056*K1056,F1056)</f>
        <v/>
      </c>
      <c r="N1056">
        <f>IF(Tree!$C$4="once per order",K1056,1)</f>
        <v/>
      </c>
      <c r="O1056">
        <f>IF(Tree!$C$4="once per order",L1056,1)</f>
        <v/>
      </c>
    </row>
    <row r="1057">
      <c r="A1057" t="inlineStr">
        <is>
          <t>KR-00699</t>
        </is>
      </c>
      <c r="B1057" t="inlineStr">
        <is>
          <t>C-0189</t>
        </is>
      </c>
      <c r="C1057" t="inlineStr">
        <is>
          <t>Retail-Plus</t>
        </is>
      </c>
      <c r="D1057" t="inlineStr">
        <is>
          <t>store</t>
        </is>
      </c>
      <c r="E1057" s="7" t="n">
        <v>46247</v>
      </c>
      <c r="F1057" t="n">
        <v>3480</v>
      </c>
      <c r="G1057" t="n">
        <v>2088</v>
      </c>
      <c r="H1057" t="inlineStr">
        <is>
          <t>2026-08-15</t>
        </is>
      </c>
      <c r="I1057">
        <f>IF(MONTH(E1057)&lt;=6,"Q1","Q2")</f>
        <v/>
      </c>
      <c r="J1057">
        <f>YEAR(E1057)*100+MONTH(E1057)</f>
        <v/>
      </c>
      <c r="K1057">
        <f>IF(COUNTIF($A$2:A1057,A1057)=1,1,0)</f>
        <v/>
      </c>
      <c r="L1057">
        <f>IF(K1057=1,IF(COUNTIFS($B$2:B1057,B1057,$I$2:I1057,I1057,$K$2:K1057,1)=1,1,0),0)</f>
        <v/>
      </c>
      <c r="M1057">
        <f>IF(Tree!$C$4="once per order",F1057*K1057,F1057)</f>
        <v/>
      </c>
      <c r="N1057">
        <f>IF(Tree!$C$4="once per order",K1057,1)</f>
        <v/>
      </c>
      <c r="O1057">
        <f>IF(Tree!$C$4="once per order",L1057,1)</f>
        <v/>
      </c>
    </row>
    <row r="1058">
      <c r="A1058" t="inlineStr">
        <is>
          <t>KR-00699</t>
        </is>
      </c>
      <c r="B1058" t="inlineStr">
        <is>
          <t>C-0189</t>
        </is>
      </c>
      <c r="C1058" t="inlineStr">
        <is>
          <t>Retail-Plus</t>
        </is>
      </c>
      <c r="D1058" t="inlineStr">
        <is>
          <t>store</t>
        </is>
      </c>
      <c r="E1058" s="7" t="n">
        <v>46247</v>
      </c>
      <c r="F1058" t="n">
        <v>3480</v>
      </c>
      <c r="G1058" t="n">
        <v>1392</v>
      </c>
      <c r="H1058" t="inlineStr">
        <is>
          <t>2026-08-15</t>
        </is>
      </c>
      <c r="I1058">
        <f>IF(MONTH(E1058)&lt;=6,"Q1","Q2")</f>
        <v/>
      </c>
      <c r="J1058">
        <f>YEAR(E1058)*100+MONTH(E1058)</f>
        <v/>
      </c>
      <c r="K1058">
        <f>IF(COUNTIF($A$2:A1058,A1058)=1,1,0)</f>
        <v/>
      </c>
      <c r="L1058">
        <f>IF(K1058=1,IF(COUNTIFS($B$2:B1058,B1058,$I$2:I1058,I1058,$K$2:K1058,1)=1,1,0),0)</f>
        <v/>
      </c>
      <c r="M1058">
        <f>IF(Tree!$C$4="once per order",F1058*K1058,F1058)</f>
        <v/>
      </c>
      <c r="N1058">
        <f>IF(Tree!$C$4="once per order",K1058,1)</f>
        <v/>
      </c>
      <c r="O1058">
        <f>IF(Tree!$C$4="once per order",L1058,1)</f>
        <v/>
      </c>
    </row>
    <row r="1059">
      <c r="A1059" t="inlineStr">
        <is>
          <t>KR-00700</t>
        </is>
      </c>
      <c r="B1059" t="inlineStr">
        <is>
          <t>C-0194</t>
        </is>
      </c>
      <c r="C1059" t="inlineStr">
        <is>
          <t>Retail-Plus</t>
        </is>
      </c>
      <c r="D1059" t="inlineStr">
        <is>
          <t>web</t>
        </is>
      </c>
      <c r="E1059" s="7" t="n">
        <v>46286</v>
      </c>
      <c r="F1059" t="n">
        <v>3570</v>
      </c>
      <c r="G1059" t="n">
        <v>2142</v>
      </c>
      <c r="H1059" t="inlineStr">
        <is>
          <t>2026-09-23</t>
        </is>
      </c>
      <c r="I1059">
        <f>IF(MONTH(E1059)&lt;=6,"Q1","Q2")</f>
        <v/>
      </c>
      <c r="J1059">
        <f>YEAR(E1059)*100+MONTH(E1059)</f>
        <v/>
      </c>
      <c r="K1059">
        <f>IF(COUNTIF($A$2:A1059,A1059)=1,1,0)</f>
        <v/>
      </c>
      <c r="L1059">
        <f>IF(K1059=1,IF(COUNTIFS($B$2:B1059,B1059,$I$2:I1059,I1059,$K$2:K1059,1)=1,1,0),0)</f>
        <v/>
      </c>
      <c r="M1059">
        <f>IF(Tree!$C$4="once per order",F1059*K1059,F1059)</f>
        <v/>
      </c>
      <c r="N1059">
        <f>IF(Tree!$C$4="once per order",K1059,1)</f>
        <v/>
      </c>
      <c r="O1059">
        <f>IF(Tree!$C$4="once per order",L1059,1)</f>
        <v/>
      </c>
    </row>
    <row r="1060">
      <c r="A1060" t="inlineStr">
        <is>
          <t>KR-00700</t>
        </is>
      </c>
      <c r="B1060" t="inlineStr">
        <is>
          <t>C-0194</t>
        </is>
      </c>
      <c r="C1060" t="inlineStr">
        <is>
          <t>Retail-Plus</t>
        </is>
      </c>
      <c r="D1060" t="inlineStr">
        <is>
          <t>web</t>
        </is>
      </c>
      <c r="E1060" s="7" t="n">
        <v>46286</v>
      </c>
      <c r="F1060" t="n">
        <v>3570</v>
      </c>
      <c r="G1060" t="n">
        <v>1428</v>
      </c>
      <c r="H1060" t="inlineStr">
        <is>
          <t>2026-09-23</t>
        </is>
      </c>
      <c r="I1060">
        <f>IF(MONTH(E1060)&lt;=6,"Q1","Q2")</f>
        <v/>
      </c>
      <c r="J1060">
        <f>YEAR(E1060)*100+MONTH(E1060)</f>
        <v/>
      </c>
      <c r="K1060">
        <f>IF(COUNTIF($A$2:A1060,A1060)=1,1,0)</f>
        <v/>
      </c>
      <c r="L1060">
        <f>IF(K1060=1,IF(COUNTIFS($B$2:B1060,B1060,$I$2:I1060,I1060,$K$2:K1060,1)=1,1,0),0)</f>
        <v/>
      </c>
      <c r="M1060">
        <f>IF(Tree!$C$4="once per order",F1060*K1060,F1060)</f>
        <v/>
      </c>
      <c r="N1060">
        <f>IF(Tree!$C$4="once per order",K1060,1)</f>
        <v/>
      </c>
      <c r="O1060">
        <f>IF(Tree!$C$4="once per order",L1060,1)</f>
        <v/>
      </c>
    </row>
    <row r="1061">
      <c r="A1061" t="inlineStr">
        <is>
          <t>KR-00701</t>
        </is>
      </c>
      <c r="B1061" t="inlineStr">
        <is>
          <t>C-0198</t>
        </is>
      </c>
      <c r="C1061" t="inlineStr">
        <is>
          <t>Retail-Plus</t>
        </is>
      </c>
      <c r="D1061" t="inlineStr">
        <is>
          <t>app</t>
        </is>
      </c>
      <c r="E1061" s="7" t="n">
        <v>46206</v>
      </c>
      <c r="F1061" t="n">
        <v>1850</v>
      </c>
      <c r="G1061" t="n">
        <v>1850</v>
      </c>
      <c r="H1061" t="inlineStr">
        <is>
          <t>2026-07-05</t>
        </is>
      </c>
      <c r="I1061">
        <f>IF(MONTH(E1061)&lt;=6,"Q1","Q2")</f>
        <v/>
      </c>
      <c r="J1061">
        <f>YEAR(E1061)*100+MONTH(E1061)</f>
        <v/>
      </c>
      <c r="K1061">
        <f>IF(COUNTIF($A$2:A1061,A1061)=1,1,0)</f>
        <v/>
      </c>
      <c r="L1061">
        <f>IF(K1061=1,IF(COUNTIFS($B$2:B1061,B1061,$I$2:I1061,I1061,$K$2:K1061,1)=1,1,0),0)</f>
        <v/>
      </c>
      <c r="M1061">
        <f>IF(Tree!$C$4="once per order",F1061*K1061,F1061)</f>
        <v/>
      </c>
      <c r="N1061">
        <f>IF(Tree!$C$4="once per order",K1061,1)</f>
        <v/>
      </c>
      <c r="O1061">
        <f>IF(Tree!$C$4="once per order",L1061,1)</f>
        <v/>
      </c>
    </row>
    <row r="1062">
      <c r="A1062" t="inlineStr">
        <is>
          <t>KR-00702</t>
        </is>
      </c>
      <c r="B1062" t="inlineStr">
        <is>
          <t>C-0183</t>
        </is>
      </c>
      <c r="C1062" t="inlineStr">
        <is>
          <t>Retail-Plus</t>
        </is>
      </c>
      <c r="D1062" t="inlineStr">
        <is>
          <t>app</t>
        </is>
      </c>
      <c r="E1062" s="7" t="n">
        <v>46239</v>
      </c>
      <c r="F1062" t="n">
        <v>1280</v>
      </c>
      <c r="G1062" t="n">
        <v>1280</v>
      </c>
      <c r="H1062" t="inlineStr">
        <is>
          <t>2026-08-07</t>
        </is>
      </c>
      <c r="I1062">
        <f>IF(MONTH(E1062)&lt;=6,"Q1","Q2")</f>
        <v/>
      </c>
      <c r="J1062">
        <f>YEAR(E1062)*100+MONTH(E1062)</f>
        <v/>
      </c>
      <c r="K1062">
        <f>IF(COUNTIF($A$2:A1062,A1062)=1,1,0)</f>
        <v/>
      </c>
      <c r="L1062">
        <f>IF(K1062=1,IF(COUNTIFS($B$2:B1062,B1062,$I$2:I1062,I1062,$K$2:K1062,1)=1,1,0),0)</f>
        <v/>
      </c>
      <c r="M1062">
        <f>IF(Tree!$C$4="once per order",F1062*K1062,F1062)</f>
        <v/>
      </c>
      <c r="N1062">
        <f>IF(Tree!$C$4="once per order",K1062,1)</f>
        <v/>
      </c>
      <c r="O1062">
        <f>IF(Tree!$C$4="once per order",L1062,1)</f>
        <v/>
      </c>
    </row>
    <row r="1063">
      <c r="A1063" t="inlineStr">
        <is>
          <t>KR-00703</t>
        </is>
      </c>
      <c r="B1063" t="inlineStr">
        <is>
          <t>C-0224</t>
        </is>
      </c>
      <c r="C1063" t="inlineStr">
        <is>
          <t>Retail-Plus</t>
        </is>
      </c>
      <c r="D1063" t="inlineStr">
        <is>
          <t>store</t>
        </is>
      </c>
      <c r="E1063" s="7" t="n">
        <v>46266</v>
      </c>
      <c r="F1063" t="n">
        <v>3920</v>
      </c>
      <c r="G1063" t="n">
        <v>2352</v>
      </c>
      <c r="H1063" t="inlineStr">
        <is>
          <t>2026-09-03</t>
        </is>
      </c>
      <c r="I1063">
        <f>IF(MONTH(E1063)&lt;=6,"Q1","Q2")</f>
        <v/>
      </c>
      <c r="J1063">
        <f>YEAR(E1063)*100+MONTH(E1063)</f>
        <v/>
      </c>
      <c r="K1063">
        <f>IF(COUNTIF($A$2:A1063,A1063)=1,1,0)</f>
        <v/>
      </c>
      <c r="L1063">
        <f>IF(K1063=1,IF(COUNTIFS($B$2:B1063,B1063,$I$2:I1063,I1063,$K$2:K1063,1)=1,1,0),0)</f>
        <v/>
      </c>
      <c r="M1063">
        <f>IF(Tree!$C$4="once per order",F1063*K1063,F1063)</f>
        <v/>
      </c>
      <c r="N1063">
        <f>IF(Tree!$C$4="once per order",K1063,1)</f>
        <v/>
      </c>
      <c r="O1063">
        <f>IF(Tree!$C$4="once per order",L1063,1)</f>
        <v/>
      </c>
    </row>
    <row r="1064">
      <c r="A1064" t="inlineStr">
        <is>
          <t>KR-00703</t>
        </is>
      </c>
      <c r="B1064" t="inlineStr">
        <is>
          <t>C-0224</t>
        </is>
      </c>
      <c r="C1064" t="inlineStr">
        <is>
          <t>Retail-Plus</t>
        </is>
      </c>
      <c r="D1064" t="inlineStr">
        <is>
          <t>store</t>
        </is>
      </c>
      <c r="E1064" s="7" t="n">
        <v>46266</v>
      </c>
      <c r="F1064" t="n">
        <v>3920</v>
      </c>
      <c r="G1064" t="n">
        <v>1568</v>
      </c>
      <c r="H1064" t="inlineStr">
        <is>
          <t>2026-09-03</t>
        </is>
      </c>
      <c r="I1064">
        <f>IF(MONTH(E1064)&lt;=6,"Q1","Q2")</f>
        <v/>
      </c>
      <c r="J1064">
        <f>YEAR(E1064)*100+MONTH(E1064)</f>
        <v/>
      </c>
      <c r="K1064">
        <f>IF(COUNTIF($A$2:A1064,A1064)=1,1,0)</f>
        <v/>
      </c>
      <c r="L1064">
        <f>IF(K1064=1,IF(COUNTIFS($B$2:B1064,B1064,$I$2:I1064,I1064,$K$2:K1064,1)=1,1,0),0)</f>
        <v/>
      </c>
      <c r="M1064">
        <f>IF(Tree!$C$4="once per order",F1064*K1064,F1064)</f>
        <v/>
      </c>
      <c r="N1064">
        <f>IF(Tree!$C$4="once per order",K1064,1)</f>
        <v/>
      </c>
      <c r="O1064">
        <f>IF(Tree!$C$4="once per order",L1064,1)</f>
        <v/>
      </c>
    </row>
    <row r="1065">
      <c r="A1065" t="inlineStr">
        <is>
          <t>KR-00704</t>
        </is>
      </c>
      <c r="B1065" t="inlineStr">
        <is>
          <t>C-0187</t>
        </is>
      </c>
      <c r="C1065" t="inlineStr">
        <is>
          <t>Retail-Plus</t>
        </is>
      </c>
      <c r="D1065" t="inlineStr">
        <is>
          <t>store</t>
        </is>
      </c>
      <c r="E1065" s="7" t="n">
        <v>46210</v>
      </c>
      <c r="F1065" t="n">
        <v>2530</v>
      </c>
      <c r="G1065" t="n">
        <v>2530</v>
      </c>
      <c r="H1065" t="inlineStr">
        <is>
          <t>2026-07-09</t>
        </is>
      </c>
      <c r="I1065">
        <f>IF(MONTH(E1065)&lt;=6,"Q1","Q2")</f>
        <v/>
      </c>
      <c r="J1065">
        <f>YEAR(E1065)*100+MONTH(E1065)</f>
        <v/>
      </c>
      <c r="K1065">
        <f>IF(COUNTIF($A$2:A1065,A1065)=1,1,0)</f>
        <v/>
      </c>
      <c r="L1065">
        <f>IF(K1065=1,IF(COUNTIFS($B$2:B1065,B1065,$I$2:I1065,I1065,$K$2:K1065,1)=1,1,0),0)</f>
        <v/>
      </c>
      <c r="M1065">
        <f>IF(Tree!$C$4="once per order",F1065*K1065,F1065)</f>
        <v/>
      </c>
      <c r="N1065">
        <f>IF(Tree!$C$4="once per order",K1065,1)</f>
        <v/>
      </c>
      <c r="O1065">
        <f>IF(Tree!$C$4="once per order",L1065,1)</f>
        <v/>
      </c>
    </row>
    <row r="1066">
      <c r="A1066" t="inlineStr">
        <is>
          <t>KR-00705</t>
        </is>
      </c>
      <c r="B1066" t="inlineStr">
        <is>
          <t>C-0206</t>
        </is>
      </c>
      <c r="C1066" t="inlineStr">
        <is>
          <t>Retail-Plus</t>
        </is>
      </c>
      <c r="D1066" t="inlineStr">
        <is>
          <t>app</t>
        </is>
      </c>
      <c r="E1066" s="7" t="n">
        <v>46238</v>
      </c>
      <c r="F1066" t="n">
        <v>3480</v>
      </c>
      <c r="G1066" t="n">
        <v>2088</v>
      </c>
      <c r="H1066" t="inlineStr">
        <is>
          <t>2026-08-06</t>
        </is>
      </c>
      <c r="I1066">
        <f>IF(MONTH(E1066)&lt;=6,"Q1","Q2")</f>
        <v/>
      </c>
      <c r="J1066">
        <f>YEAR(E1066)*100+MONTH(E1066)</f>
        <v/>
      </c>
      <c r="K1066">
        <f>IF(COUNTIF($A$2:A1066,A1066)=1,1,0)</f>
        <v/>
      </c>
      <c r="L1066">
        <f>IF(K1066=1,IF(COUNTIFS($B$2:B1066,B1066,$I$2:I1066,I1066,$K$2:K1066,1)=1,1,0),0)</f>
        <v/>
      </c>
      <c r="M1066">
        <f>IF(Tree!$C$4="once per order",F1066*K1066,F1066)</f>
        <v/>
      </c>
      <c r="N1066">
        <f>IF(Tree!$C$4="once per order",K1066,1)</f>
        <v/>
      </c>
      <c r="O1066">
        <f>IF(Tree!$C$4="once per order",L1066,1)</f>
        <v/>
      </c>
    </row>
    <row r="1067">
      <c r="A1067" t="inlineStr">
        <is>
          <t>KR-00705</t>
        </is>
      </c>
      <c r="B1067" t="inlineStr">
        <is>
          <t>C-0206</t>
        </is>
      </c>
      <c r="C1067" t="inlineStr">
        <is>
          <t>Retail-Plus</t>
        </is>
      </c>
      <c r="D1067" t="inlineStr">
        <is>
          <t>app</t>
        </is>
      </c>
      <c r="E1067" s="7" t="n">
        <v>46238</v>
      </c>
      <c r="F1067" t="n">
        <v>3480</v>
      </c>
      <c r="G1067" t="n">
        <v>1392</v>
      </c>
      <c r="H1067" t="inlineStr">
        <is>
          <t>2026-08-06</t>
        </is>
      </c>
      <c r="I1067">
        <f>IF(MONTH(E1067)&lt;=6,"Q1","Q2")</f>
        <v/>
      </c>
      <c r="J1067">
        <f>YEAR(E1067)*100+MONTH(E1067)</f>
        <v/>
      </c>
      <c r="K1067">
        <f>IF(COUNTIF($A$2:A1067,A1067)=1,1,0)</f>
        <v/>
      </c>
      <c r="L1067">
        <f>IF(K1067=1,IF(COUNTIFS($B$2:B1067,B1067,$I$2:I1067,I1067,$K$2:K1067,1)=1,1,0),0)</f>
        <v/>
      </c>
      <c r="M1067">
        <f>IF(Tree!$C$4="once per order",F1067*K1067,F1067)</f>
        <v/>
      </c>
      <c r="N1067">
        <f>IF(Tree!$C$4="once per order",K1067,1)</f>
        <v/>
      </c>
      <c r="O1067">
        <f>IF(Tree!$C$4="once per order",L1067,1)</f>
        <v/>
      </c>
    </row>
    <row r="1068">
      <c r="A1068" t="inlineStr">
        <is>
          <t>KR-00706</t>
        </is>
      </c>
      <c r="B1068" t="inlineStr">
        <is>
          <t>C-0212</t>
        </is>
      </c>
      <c r="C1068" t="inlineStr">
        <is>
          <t>Retail-Plus</t>
        </is>
      </c>
      <c r="D1068" t="inlineStr">
        <is>
          <t>app</t>
        </is>
      </c>
      <c r="E1068" s="7" t="n">
        <v>46274</v>
      </c>
      <c r="F1068" t="n">
        <v>3190</v>
      </c>
      <c r="G1068" t="n">
        <v>1914</v>
      </c>
      <c r="H1068" t="inlineStr">
        <is>
          <t>2026-09-11</t>
        </is>
      </c>
      <c r="I1068">
        <f>IF(MONTH(E1068)&lt;=6,"Q1","Q2")</f>
        <v/>
      </c>
      <c r="J1068">
        <f>YEAR(E1068)*100+MONTH(E1068)</f>
        <v/>
      </c>
      <c r="K1068">
        <f>IF(COUNTIF($A$2:A1068,A1068)=1,1,0)</f>
        <v/>
      </c>
      <c r="L1068">
        <f>IF(K1068=1,IF(COUNTIFS($B$2:B1068,B1068,$I$2:I1068,I1068,$K$2:K1068,1)=1,1,0),0)</f>
        <v/>
      </c>
      <c r="M1068">
        <f>IF(Tree!$C$4="once per order",F1068*K1068,F1068)</f>
        <v/>
      </c>
      <c r="N1068">
        <f>IF(Tree!$C$4="once per order",K1068,1)</f>
        <v/>
      </c>
      <c r="O1068">
        <f>IF(Tree!$C$4="once per order",L1068,1)</f>
        <v/>
      </c>
    </row>
    <row r="1069">
      <c r="A1069" t="inlineStr">
        <is>
          <t>KR-00706</t>
        </is>
      </c>
      <c r="B1069" t="inlineStr">
        <is>
          <t>C-0212</t>
        </is>
      </c>
      <c r="C1069" t="inlineStr">
        <is>
          <t>Retail-Plus</t>
        </is>
      </c>
      <c r="D1069" t="inlineStr">
        <is>
          <t>app</t>
        </is>
      </c>
      <c r="E1069" s="7" t="n">
        <v>46274</v>
      </c>
      <c r="F1069" t="n">
        <v>3190</v>
      </c>
      <c r="G1069" t="n">
        <v>1276</v>
      </c>
      <c r="H1069" t="inlineStr">
        <is>
          <t>2026-09-11</t>
        </is>
      </c>
      <c r="I1069">
        <f>IF(MONTH(E1069)&lt;=6,"Q1","Q2")</f>
        <v/>
      </c>
      <c r="J1069">
        <f>YEAR(E1069)*100+MONTH(E1069)</f>
        <v/>
      </c>
      <c r="K1069">
        <f>IF(COUNTIF($A$2:A1069,A1069)=1,1,0)</f>
        <v/>
      </c>
      <c r="L1069">
        <f>IF(K1069=1,IF(COUNTIFS($B$2:B1069,B1069,$I$2:I1069,I1069,$K$2:K1069,1)=1,1,0),0)</f>
        <v/>
      </c>
      <c r="M1069">
        <f>IF(Tree!$C$4="once per order",F1069*K1069,F1069)</f>
        <v/>
      </c>
      <c r="N1069">
        <f>IF(Tree!$C$4="once per order",K1069,1)</f>
        <v/>
      </c>
      <c r="O1069">
        <f>IF(Tree!$C$4="once per order",L1069,1)</f>
        <v/>
      </c>
    </row>
    <row r="1070">
      <c r="A1070" t="inlineStr">
        <is>
          <t>KR-00707</t>
        </is>
      </c>
      <c r="B1070" t="inlineStr">
        <is>
          <t>C-0177</t>
        </is>
      </c>
      <c r="C1070" t="inlineStr">
        <is>
          <t>Retail-Plus</t>
        </is>
      </c>
      <c r="D1070" t="inlineStr">
        <is>
          <t>web</t>
        </is>
      </c>
      <c r="E1070" s="7" t="n">
        <v>46227</v>
      </c>
      <c r="F1070" t="n">
        <v>4350</v>
      </c>
      <c r="G1070" t="n">
        <v>2610</v>
      </c>
      <c r="H1070" t="inlineStr">
        <is>
          <t>2026-07-26</t>
        </is>
      </c>
      <c r="I1070">
        <f>IF(MONTH(E1070)&lt;=6,"Q1","Q2")</f>
        <v/>
      </c>
      <c r="J1070">
        <f>YEAR(E1070)*100+MONTH(E1070)</f>
        <v/>
      </c>
      <c r="K1070">
        <f>IF(COUNTIF($A$2:A1070,A1070)=1,1,0)</f>
        <v/>
      </c>
      <c r="L1070">
        <f>IF(K1070=1,IF(COUNTIFS($B$2:B1070,B1070,$I$2:I1070,I1070,$K$2:K1070,1)=1,1,0),0)</f>
        <v/>
      </c>
      <c r="M1070">
        <f>IF(Tree!$C$4="once per order",F1070*K1070,F1070)</f>
        <v/>
      </c>
      <c r="N1070">
        <f>IF(Tree!$C$4="once per order",K1070,1)</f>
        <v/>
      </c>
      <c r="O1070">
        <f>IF(Tree!$C$4="once per order",L1070,1)</f>
        <v/>
      </c>
    </row>
    <row r="1071">
      <c r="A1071" t="inlineStr">
        <is>
          <t>KR-00707</t>
        </is>
      </c>
      <c r="B1071" t="inlineStr">
        <is>
          <t>C-0177</t>
        </is>
      </c>
      <c r="C1071" t="inlineStr">
        <is>
          <t>Retail-Plus</t>
        </is>
      </c>
      <c r="D1071" t="inlineStr">
        <is>
          <t>web</t>
        </is>
      </c>
      <c r="E1071" s="7" t="n">
        <v>46227</v>
      </c>
      <c r="F1071" t="n">
        <v>4350</v>
      </c>
      <c r="G1071" t="n">
        <v>1740</v>
      </c>
      <c r="H1071" t="inlineStr">
        <is>
          <t>2026-07-26</t>
        </is>
      </c>
      <c r="I1071">
        <f>IF(MONTH(E1071)&lt;=6,"Q1","Q2")</f>
        <v/>
      </c>
      <c r="J1071">
        <f>YEAR(E1071)*100+MONTH(E1071)</f>
        <v/>
      </c>
      <c r="K1071">
        <f>IF(COUNTIF($A$2:A1071,A1071)=1,1,0)</f>
        <v/>
      </c>
      <c r="L1071">
        <f>IF(K1071=1,IF(COUNTIFS($B$2:B1071,B1071,$I$2:I1071,I1071,$K$2:K1071,1)=1,1,0),0)</f>
        <v/>
      </c>
      <c r="M1071">
        <f>IF(Tree!$C$4="once per order",F1071*K1071,F1071)</f>
        <v/>
      </c>
      <c r="N1071">
        <f>IF(Tree!$C$4="once per order",K1071,1)</f>
        <v/>
      </c>
      <c r="O1071">
        <f>IF(Tree!$C$4="once per order",L1071,1)</f>
        <v/>
      </c>
    </row>
    <row r="1072">
      <c r="A1072" t="inlineStr">
        <is>
          <t>KR-00708</t>
        </is>
      </c>
      <c r="B1072" t="inlineStr">
        <is>
          <t>C-0153</t>
        </is>
      </c>
      <c r="C1072" t="inlineStr">
        <is>
          <t>Retail-Plus</t>
        </is>
      </c>
      <c r="D1072" t="inlineStr">
        <is>
          <t>web</t>
        </is>
      </c>
      <c r="E1072" s="7" t="n">
        <v>46236</v>
      </c>
      <c r="F1072" t="n">
        <v>1730</v>
      </c>
      <c r="G1072" t="n">
        <v>1730</v>
      </c>
      <c r="H1072" t="inlineStr">
        <is>
          <t>2026-08-04</t>
        </is>
      </c>
      <c r="I1072">
        <f>IF(MONTH(E1072)&lt;=6,"Q1","Q2")</f>
        <v/>
      </c>
      <c r="J1072">
        <f>YEAR(E1072)*100+MONTH(E1072)</f>
        <v/>
      </c>
      <c r="K1072">
        <f>IF(COUNTIF($A$2:A1072,A1072)=1,1,0)</f>
        <v/>
      </c>
      <c r="L1072">
        <f>IF(K1072=1,IF(COUNTIFS($B$2:B1072,B1072,$I$2:I1072,I1072,$K$2:K1072,1)=1,1,0),0)</f>
        <v/>
      </c>
      <c r="M1072">
        <f>IF(Tree!$C$4="once per order",F1072*K1072,F1072)</f>
        <v/>
      </c>
      <c r="N1072">
        <f>IF(Tree!$C$4="once per order",K1072,1)</f>
        <v/>
      </c>
      <c r="O1072">
        <f>IF(Tree!$C$4="once per order",L1072,1)</f>
        <v/>
      </c>
    </row>
    <row r="1073">
      <c r="A1073" t="inlineStr">
        <is>
          <t>KR-00709</t>
        </is>
      </c>
      <c r="B1073" t="inlineStr">
        <is>
          <t>C-0154</t>
        </is>
      </c>
      <c r="C1073" t="inlineStr">
        <is>
          <t>Retail-Plus</t>
        </is>
      </c>
      <c r="D1073" t="inlineStr">
        <is>
          <t>store</t>
        </is>
      </c>
      <c r="E1073" s="7" t="n">
        <v>46277</v>
      </c>
      <c r="F1073" t="n">
        <v>4150</v>
      </c>
      <c r="G1073" t="n">
        <v>2490</v>
      </c>
      <c r="H1073" t="inlineStr">
        <is>
          <t>2026-09-14</t>
        </is>
      </c>
      <c r="I1073">
        <f>IF(MONTH(E1073)&lt;=6,"Q1","Q2")</f>
        <v/>
      </c>
      <c r="J1073">
        <f>YEAR(E1073)*100+MONTH(E1073)</f>
        <v/>
      </c>
      <c r="K1073">
        <f>IF(COUNTIF($A$2:A1073,A1073)=1,1,0)</f>
        <v/>
      </c>
      <c r="L1073">
        <f>IF(K1073=1,IF(COUNTIFS($B$2:B1073,B1073,$I$2:I1073,I1073,$K$2:K1073,1)=1,1,0),0)</f>
        <v/>
      </c>
      <c r="M1073">
        <f>IF(Tree!$C$4="once per order",F1073*K1073,F1073)</f>
        <v/>
      </c>
      <c r="N1073">
        <f>IF(Tree!$C$4="once per order",K1073,1)</f>
        <v/>
      </c>
      <c r="O1073">
        <f>IF(Tree!$C$4="once per order",L1073,1)</f>
        <v/>
      </c>
    </row>
    <row r="1074">
      <c r="A1074" t="inlineStr">
        <is>
          <t>KR-00709</t>
        </is>
      </c>
      <c r="B1074" t="inlineStr">
        <is>
          <t>C-0154</t>
        </is>
      </c>
      <c r="C1074" t="inlineStr">
        <is>
          <t>Retail-Plus</t>
        </is>
      </c>
      <c r="D1074" t="inlineStr">
        <is>
          <t>store</t>
        </is>
      </c>
      <c r="E1074" s="7" t="n">
        <v>46277</v>
      </c>
      <c r="F1074" t="n">
        <v>4150</v>
      </c>
      <c r="G1074" t="n">
        <v>1660</v>
      </c>
      <c r="H1074" t="inlineStr">
        <is>
          <t>2026-09-14</t>
        </is>
      </c>
      <c r="I1074">
        <f>IF(MONTH(E1074)&lt;=6,"Q1","Q2")</f>
        <v/>
      </c>
      <c r="J1074">
        <f>YEAR(E1074)*100+MONTH(E1074)</f>
        <v/>
      </c>
      <c r="K1074">
        <f>IF(COUNTIF($A$2:A1074,A1074)=1,1,0)</f>
        <v/>
      </c>
      <c r="L1074">
        <f>IF(K1074=1,IF(COUNTIFS($B$2:B1074,B1074,$I$2:I1074,I1074,$K$2:K1074,1)=1,1,0),0)</f>
        <v/>
      </c>
      <c r="M1074">
        <f>IF(Tree!$C$4="once per order",F1074*K1074,F1074)</f>
        <v/>
      </c>
      <c r="N1074">
        <f>IF(Tree!$C$4="once per order",K1074,1)</f>
        <v/>
      </c>
      <c r="O1074">
        <f>IF(Tree!$C$4="once per order",L1074,1)</f>
        <v/>
      </c>
    </row>
    <row r="1075">
      <c r="A1075" t="inlineStr">
        <is>
          <t>KR-00710</t>
        </is>
      </c>
      <c r="B1075" t="inlineStr">
        <is>
          <t>C-0236</t>
        </is>
      </c>
      <c r="C1075" t="inlineStr">
        <is>
          <t>Retail-Plus</t>
        </is>
      </c>
      <c r="D1075" t="inlineStr">
        <is>
          <t>store</t>
        </is>
      </c>
      <c r="E1075" s="7" t="n">
        <v>46220</v>
      </c>
      <c r="F1075" t="n">
        <v>4500</v>
      </c>
      <c r="G1075" t="n">
        <v>2700</v>
      </c>
      <c r="H1075" t="inlineStr">
        <is>
          <t>2026-07-19</t>
        </is>
      </c>
      <c r="I1075">
        <f>IF(MONTH(E1075)&lt;=6,"Q1","Q2")</f>
        <v/>
      </c>
      <c r="J1075">
        <f>YEAR(E1075)*100+MONTH(E1075)</f>
        <v/>
      </c>
      <c r="K1075">
        <f>IF(COUNTIF($A$2:A1075,A1075)=1,1,0)</f>
        <v/>
      </c>
      <c r="L1075">
        <f>IF(K1075=1,IF(COUNTIFS($B$2:B1075,B1075,$I$2:I1075,I1075,$K$2:K1075,1)=1,1,0),0)</f>
        <v/>
      </c>
      <c r="M1075">
        <f>IF(Tree!$C$4="once per order",F1075*K1075,F1075)</f>
        <v/>
      </c>
      <c r="N1075">
        <f>IF(Tree!$C$4="once per order",K1075,1)</f>
        <v/>
      </c>
      <c r="O1075">
        <f>IF(Tree!$C$4="once per order",L1075,1)</f>
        <v/>
      </c>
    </row>
    <row r="1076">
      <c r="A1076" t="inlineStr">
        <is>
          <t>KR-00710</t>
        </is>
      </c>
      <c r="B1076" t="inlineStr">
        <is>
          <t>C-0236</t>
        </is>
      </c>
      <c r="C1076" t="inlineStr">
        <is>
          <t>Retail-Plus</t>
        </is>
      </c>
      <c r="D1076" t="inlineStr">
        <is>
          <t>store</t>
        </is>
      </c>
      <c r="E1076" s="7" t="n">
        <v>46220</v>
      </c>
      <c r="F1076" t="n">
        <v>4500</v>
      </c>
      <c r="G1076" t="n">
        <v>1800</v>
      </c>
      <c r="H1076" t="inlineStr">
        <is>
          <t>2026-07-19</t>
        </is>
      </c>
      <c r="I1076">
        <f>IF(MONTH(E1076)&lt;=6,"Q1","Q2")</f>
        <v/>
      </c>
      <c r="J1076">
        <f>YEAR(E1076)*100+MONTH(E1076)</f>
        <v/>
      </c>
      <c r="K1076">
        <f>IF(COUNTIF($A$2:A1076,A1076)=1,1,0)</f>
        <v/>
      </c>
      <c r="L1076">
        <f>IF(K1076=1,IF(COUNTIFS($B$2:B1076,B1076,$I$2:I1076,I1076,$K$2:K1076,1)=1,1,0),0)</f>
        <v/>
      </c>
      <c r="M1076">
        <f>IF(Tree!$C$4="once per order",F1076*K1076,F1076)</f>
        <v/>
      </c>
      <c r="N1076">
        <f>IF(Tree!$C$4="once per order",K1076,1)</f>
        <v/>
      </c>
      <c r="O1076">
        <f>IF(Tree!$C$4="once per order",L1076,1)</f>
        <v/>
      </c>
    </row>
    <row r="1077">
      <c r="A1077" t="inlineStr">
        <is>
          <t>KR-00711</t>
        </is>
      </c>
      <c r="B1077" t="inlineStr">
        <is>
          <t>C-0173</t>
        </is>
      </c>
      <c r="C1077" t="inlineStr">
        <is>
          <t>Retail-Plus</t>
        </is>
      </c>
      <c r="D1077" t="inlineStr">
        <is>
          <t>web</t>
        </is>
      </c>
      <c r="E1077" s="7" t="n">
        <v>46247</v>
      </c>
      <c r="F1077" t="n">
        <v>4320</v>
      </c>
      <c r="G1077" t="n">
        <v>2592</v>
      </c>
      <c r="H1077" t="inlineStr">
        <is>
          <t>2026-08-15</t>
        </is>
      </c>
      <c r="I1077">
        <f>IF(MONTH(E1077)&lt;=6,"Q1","Q2")</f>
        <v/>
      </c>
      <c r="J1077">
        <f>YEAR(E1077)*100+MONTH(E1077)</f>
        <v/>
      </c>
      <c r="K1077">
        <f>IF(COUNTIF($A$2:A1077,A1077)=1,1,0)</f>
        <v/>
      </c>
      <c r="L1077">
        <f>IF(K1077=1,IF(COUNTIFS($B$2:B1077,B1077,$I$2:I1077,I1077,$K$2:K1077,1)=1,1,0),0)</f>
        <v/>
      </c>
      <c r="M1077">
        <f>IF(Tree!$C$4="once per order",F1077*K1077,F1077)</f>
        <v/>
      </c>
      <c r="N1077">
        <f>IF(Tree!$C$4="once per order",K1077,1)</f>
        <v/>
      </c>
      <c r="O1077">
        <f>IF(Tree!$C$4="once per order",L1077,1)</f>
        <v/>
      </c>
    </row>
    <row r="1078">
      <c r="A1078" t="inlineStr">
        <is>
          <t>KR-00711</t>
        </is>
      </c>
      <c r="B1078" t="inlineStr">
        <is>
          <t>C-0173</t>
        </is>
      </c>
      <c r="C1078" t="inlineStr">
        <is>
          <t>Retail-Plus</t>
        </is>
      </c>
      <c r="D1078" t="inlineStr">
        <is>
          <t>web</t>
        </is>
      </c>
      <c r="E1078" s="7" t="n">
        <v>46247</v>
      </c>
      <c r="F1078" t="n">
        <v>4320</v>
      </c>
      <c r="G1078" t="n">
        <v>1728</v>
      </c>
      <c r="H1078" t="inlineStr">
        <is>
          <t>2026-08-15</t>
        </is>
      </c>
      <c r="I1078">
        <f>IF(MONTH(E1078)&lt;=6,"Q1","Q2")</f>
        <v/>
      </c>
      <c r="J1078">
        <f>YEAR(E1078)*100+MONTH(E1078)</f>
        <v/>
      </c>
      <c r="K1078">
        <f>IF(COUNTIF($A$2:A1078,A1078)=1,1,0)</f>
        <v/>
      </c>
      <c r="L1078">
        <f>IF(K1078=1,IF(COUNTIFS($B$2:B1078,B1078,$I$2:I1078,I1078,$K$2:K1078,1)=1,1,0),0)</f>
        <v/>
      </c>
      <c r="M1078">
        <f>IF(Tree!$C$4="once per order",F1078*K1078,F1078)</f>
        <v/>
      </c>
      <c r="N1078">
        <f>IF(Tree!$C$4="once per order",K1078,1)</f>
        <v/>
      </c>
      <c r="O1078">
        <f>IF(Tree!$C$4="once per order",L1078,1)</f>
        <v/>
      </c>
    </row>
    <row r="1079">
      <c r="A1079" t="inlineStr">
        <is>
          <t>KR-00712</t>
        </is>
      </c>
      <c r="B1079" t="inlineStr">
        <is>
          <t>C-0167</t>
        </is>
      </c>
      <c r="C1079" t="inlineStr">
        <is>
          <t>Retail-Plus</t>
        </is>
      </c>
      <c r="D1079" t="inlineStr">
        <is>
          <t>store</t>
        </is>
      </c>
      <c r="E1079" s="7" t="n">
        <v>46279</v>
      </c>
      <c r="F1079" t="n">
        <v>3480</v>
      </c>
      <c r="G1079" t="n">
        <v>2088</v>
      </c>
      <c r="H1079" t="inlineStr">
        <is>
          <t>2026-09-16</t>
        </is>
      </c>
      <c r="I1079">
        <f>IF(MONTH(E1079)&lt;=6,"Q1","Q2")</f>
        <v/>
      </c>
      <c r="J1079">
        <f>YEAR(E1079)*100+MONTH(E1079)</f>
        <v/>
      </c>
      <c r="K1079">
        <f>IF(COUNTIF($A$2:A1079,A1079)=1,1,0)</f>
        <v/>
      </c>
      <c r="L1079">
        <f>IF(K1079=1,IF(COUNTIFS($B$2:B1079,B1079,$I$2:I1079,I1079,$K$2:K1079,1)=1,1,0),0)</f>
        <v/>
      </c>
      <c r="M1079">
        <f>IF(Tree!$C$4="once per order",F1079*K1079,F1079)</f>
        <v/>
      </c>
      <c r="N1079">
        <f>IF(Tree!$C$4="once per order",K1079,1)</f>
        <v/>
      </c>
      <c r="O1079">
        <f>IF(Tree!$C$4="once per order",L1079,1)</f>
        <v/>
      </c>
    </row>
    <row r="1080">
      <c r="A1080" t="inlineStr">
        <is>
          <t>KR-00712</t>
        </is>
      </c>
      <c r="B1080" t="inlineStr">
        <is>
          <t>C-0167</t>
        </is>
      </c>
      <c r="C1080" t="inlineStr">
        <is>
          <t>Retail-Plus</t>
        </is>
      </c>
      <c r="D1080" t="inlineStr">
        <is>
          <t>store</t>
        </is>
      </c>
      <c r="E1080" s="7" t="n">
        <v>46279</v>
      </c>
      <c r="F1080" t="n">
        <v>3480</v>
      </c>
      <c r="G1080" t="n">
        <v>1392</v>
      </c>
      <c r="H1080" t="inlineStr">
        <is>
          <t>2026-09-16</t>
        </is>
      </c>
      <c r="I1080">
        <f>IF(MONTH(E1080)&lt;=6,"Q1","Q2")</f>
        <v/>
      </c>
      <c r="J1080">
        <f>YEAR(E1080)*100+MONTH(E1080)</f>
        <v/>
      </c>
      <c r="K1080">
        <f>IF(COUNTIF($A$2:A1080,A1080)=1,1,0)</f>
        <v/>
      </c>
      <c r="L1080">
        <f>IF(K1080=1,IF(COUNTIFS($B$2:B1080,B1080,$I$2:I1080,I1080,$K$2:K1080,1)=1,1,0),0)</f>
        <v/>
      </c>
      <c r="M1080">
        <f>IF(Tree!$C$4="once per order",F1080*K1080,F1080)</f>
        <v/>
      </c>
      <c r="N1080">
        <f>IF(Tree!$C$4="once per order",K1080,1)</f>
        <v/>
      </c>
      <c r="O1080">
        <f>IF(Tree!$C$4="once per order",L1080,1)</f>
        <v/>
      </c>
    </row>
    <row r="1081">
      <c r="A1081" t="inlineStr">
        <is>
          <t>KR-00713</t>
        </is>
      </c>
      <c r="B1081" t="inlineStr">
        <is>
          <t>C-0156</t>
        </is>
      </c>
      <c r="C1081" t="inlineStr">
        <is>
          <t>Retail-Plus</t>
        </is>
      </c>
      <c r="D1081" t="inlineStr">
        <is>
          <t>store</t>
        </is>
      </c>
      <c r="E1081" s="7" t="n">
        <v>46225</v>
      </c>
      <c r="F1081" t="n">
        <v>3240</v>
      </c>
      <c r="G1081" t="n">
        <v>1944</v>
      </c>
      <c r="H1081" t="inlineStr">
        <is>
          <t>2026-07-24</t>
        </is>
      </c>
      <c r="I1081">
        <f>IF(MONTH(E1081)&lt;=6,"Q1","Q2")</f>
        <v/>
      </c>
      <c r="J1081">
        <f>YEAR(E1081)*100+MONTH(E1081)</f>
        <v/>
      </c>
      <c r="K1081">
        <f>IF(COUNTIF($A$2:A1081,A1081)=1,1,0)</f>
        <v/>
      </c>
      <c r="L1081">
        <f>IF(K1081=1,IF(COUNTIFS($B$2:B1081,B1081,$I$2:I1081,I1081,$K$2:K1081,1)=1,1,0),0)</f>
        <v/>
      </c>
      <c r="M1081">
        <f>IF(Tree!$C$4="once per order",F1081*K1081,F1081)</f>
        <v/>
      </c>
      <c r="N1081">
        <f>IF(Tree!$C$4="once per order",K1081,1)</f>
        <v/>
      </c>
      <c r="O1081">
        <f>IF(Tree!$C$4="once per order",L1081,1)</f>
        <v/>
      </c>
    </row>
    <row r="1082">
      <c r="A1082" t="inlineStr">
        <is>
          <t>KR-00713</t>
        </is>
      </c>
      <c r="B1082" t="inlineStr">
        <is>
          <t>C-0156</t>
        </is>
      </c>
      <c r="C1082" t="inlineStr">
        <is>
          <t>Retail-Plus</t>
        </is>
      </c>
      <c r="D1082" t="inlineStr">
        <is>
          <t>store</t>
        </is>
      </c>
      <c r="E1082" s="7" t="n">
        <v>46225</v>
      </c>
      <c r="F1082" t="n">
        <v>3240</v>
      </c>
      <c r="G1082" t="n">
        <v>1296</v>
      </c>
      <c r="H1082" t="inlineStr">
        <is>
          <t>2026-07-24</t>
        </is>
      </c>
      <c r="I1082">
        <f>IF(MONTH(E1082)&lt;=6,"Q1","Q2")</f>
        <v/>
      </c>
      <c r="J1082">
        <f>YEAR(E1082)*100+MONTH(E1082)</f>
        <v/>
      </c>
      <c r="K1082">
        <f>IF(COUNTIF($A$2:A1082,A1082)=1,1,0)</f>
        <v/>
      </c>
      <c r="L1082">
        <f>IF(K1082=1,IF(COUNTIFS($B$2:B1082,B1082,$I$2:I1082,I1082,$K$2:K1082,1)=1,1,0),0)</f>
        <v/>
      </c>
      <c r="M1082">
        <f>IF(Tree!$C$4="once per order",F1082*K1082,F1082)</f>
        <v/>
      </c>
      <c r="N1082">
        <f>IF(Tree!$C$4="once per order",K1082,1)</f>
        <v/>
      </c>
      <c r="O1082">
        <f>IF(Tree!$C$4="once per order",L1082,1)</f>
        <v/>
      </c>
    </row>
    <row r="1083">
      <c r="A1083" t="inlineStr">
        <is>
          <t>KR-00714</t>
        </is>
      </c>
      <c r="B1083" t="inlineStr">
        <is>
          <t>C-0238</t>
        </is>
      </c>
      <c r="C1083" t="inlineStr">
        <is>
          <t>Retail-Plus</t>
        </is>
      </c>
      <c r="D1083" t="inlineStr">
        <is>
          <t>store</t>
        </is>
      </c>
      <c r="E1083" s="7" t="n">
        <v>46255</v>
      </c>
      <c r="F1083" t="n">
        <v>1410</v>
      </c>
      <c r="G1083" t="n">
        <v>1410</v>
      </c>
      <c r="H1083" t="inlineStr">
        <is>
          <t>2026-08-23</t>
        </is>
      </c>
      <c r="I1083">
        <f>IF(MONTH(E1083)&lt;=6,"Q1","Q2")</f>
        <v/>
      </c>
      <c r="J1083">
        <f>YEAR(E1083)*100+MONTH(E1083)</f>
        <v/>
      </c>
      <c r="K1083">
        <f>IF(COUNTIF($A$2:A1083,A1083)=1,1,0)</f>
        <v/>
      </c>
      <c r="L1083">
        <f>IF(K1083=1,IF(COUNTIFS($B$2:B1083,B1083,$I$2:I1083,I1083,$K$2:K1083,1)=1,1,0),0)</f>
        <v/>
      </c>
      <c r="M1083">
        <f>IF(Tree!$C$4="once per order",F1083*K1083,F1083)</f>
        <v/>
      </c>
      <c r="N1083">
        <f>IF(Tree!$C$4="once per order",K1083,1)</f>
        <v/>
      </c>
      <c r="O1083">
        <f>IF(Tree!$C$4="once per order",L1083,1)</f>
        <v/>
      </c>
    </row>
    <row r="1084">
      <c r="A1084" t="inlineStr">
        <is>
          <t>KR-00715</t>
        </is>
      </c>
      <c r="B1084" t="inlineStr">
        <is>
          <t>C-0156</t>
        </is>
      </c>
      <c r="C1084" t="inlineStr">
        <is>
          <t>Retail-Plus</t>
        </is>
      </c>
      <c r="D1084" t="inlineStr">
        <is>
          <t>app</t>
        </is>
      </c>
      <c r="E1084" s="7" t="n">
        <v>46276</v>
      </c>
      <c r="F1084" t="n">
        <v>4120</v>
      </c>
      <c r="G1084" t="n">
        <v>2472</v>
      </c>
      <c r="H1084" t="inlineStr">
        <is>
          <t>2026-09-13</t>
        </is>
      </c>
      <c r="I1084">
        <f>IF(MONTH(E1084)&lt;=6,"Q1","Q2")</f>
        <v/>
      </c>
      <c r="J1084">
        <f>YEAR(E1084)*100+MONTH(E1084)</f>
        <v/>
      </c>
      <c r="K1084">
        <f>IF(COUNTIF($A$2:A1084,A1084)=1,1,0)</f>
        <v/>
      </c>
      <c r="L1084">
        <f>IF(K1084=1,IF(COUNTIFS($B$2:B1084,B1084,$I$2:I1084,I1084,$K$2:K1084,1)=1,1,0),0)</f>
        <v/>
      </c>
      <c r="M1084">
        <f>IF(Tree!$C$4="once per order",F1084*K1084,F1084)</f>
        <v/>
      </c>
      <c r="N1084">
        <f>IF(Tree!$C$4="once per order",K1084,1)</f>
        <v/>
      </c>
      <c r="O1084">
        <f>IF(Tree!$C$4="once per order",L1084,1)</f>
        <v/>
      </c>
    </row>
    <row r="1085">
      <c r="A1085" t="inlineStr">
        <is>
          <t>KR-00715</t>
        </is>
      </c>
      <c r="B1085" t="inlineStr">
        <is>
          <t>C-0156</t>
        </is>
      </c>
      <c r="C1085" t="inlineStr">
        <is>
          <t>Retail-Plus</t>
        </is>
      </c>
      <c r="D1085" t="inlineStr">
        <is>
          <t>app</t>
        </is>
      </c>
      <c r="E1085" s="7" t="n">
        <v>46276</v>
      </c>
      <c r="F1085" t="n">
        <v>4120</v>
      </c>
      <c r="G1085" t="n">
        <v>1648</v>
      </c>
      <c r="H1085" t="inlineStr">
        <is>
          <t>2026-09-13</t>
        </is>
      </c>
      <c r="I1085">
        <f>IF(MONTH(E1085)&lt;=6,"Q1","Q2")</f>
        <v/>
      </c>
      <c r="J1085">
        <f>YEAR(E1085)*100+MONTH(E1085)</f>
        <v/>
      </c>
      <c r="K1085">
        <f>IF(COUNTIF($A$2:A1085,A1085)=1,1,0)</f>
        <v/>
      </c>
      <c r="L1085">
        <f>IF(K1085=1,IF(COUNTIFS($B$2:B1085,B1085,$I$2:I1085,I1085,$K$2:K1085,1)=1,1,0),0)</f>
        <v/>
      </c>
      <c r="M1085">
        <f>IF(Tree!$C$4="once per order",F1085*K1085,F1085)</f>
        <v/>
      </c>
      <c r="N1085">
        <f>IF(Tree!$C$4="once per order",K1085,1)</f>
        <v/>
      </c>
      <c r="O1085">
        <f>IF(Tree!$C$4="once per order",L1085,1)</f>
        <v/>
      </c>
    </row>
    <row r="1086">
      <c r="A1086" t="inlineStr">
        <is>
          <t>KR-00716</t>
        </is>
      </c>
      <c r="B1086" t="inlineStr">
        <is>
          <t>C-0188</t>
        </is>
      </c>
      <c r="C1086" t="inlineStr">
        <is>
          <t>Retail-Plus</t>
        </is>
      </c>
      <c r="D1086" t="inlineStr">
        <is>
          <t>store</t>
        </is>
      </c>
      <c r="E1086" s="7" t="n">
        <v>46205</v>
      </c>
      <c r="F1086" t="n">
        <v>2660</v>
      </c>
      <c r="G1086" t="n">
        <v>2660</v>
      </c>
      <c r="H1086" t="inlineStr">
        <is>
          <t>2026-07-04</t>
        </is>
      </c>
      <c r="I1086">
        <f>IF(MONTH(E1086)&lt;=6,"Q1","Q2")</f>
        <v/>
      </c>
      <c r="J1086">
        <f>YEAR(E1086)*100+MONTH(E1086)</f>
        <v/>
      </c>
      <c r="K1086">
        <f>IF(COUNTIF($A$2:A1086,A1086)=1,1,0)</f>
        <v/>
      </c>
      <c r="L1086">
        <f>IF(K1086=1,IF(COUNTIFS($B$2:B1086,B1086,$I$2:I1086,I1086,$K$2:K1086,1)=1,1,0),0)</f>
        <v/>
      </c>
      <c r="M1086">
        <f>IF(Tree!$C$4="once per order",F1086*K1086,F1086)</f>
        <v/>
      </c>
      <c r="N1086">
        <f>IF(Tree!$C$4="once per order",K1086,1)</f>
        <v/>
      </c>
      <c r="O1086">
        <f>IF(Tree!$C$4="once per order",L1086,1)</f>
        <v/>
      </c>
    </row>
    <row r="1087">
      <c r="A1087" t="inlineStr">
        <is>
          <t>KR-00717</t>
        </is>
      </c>
      <c r="B1087" t="inlineStr">
        <is>
          <t>C-0151</t>
        </is>
      </c>
      <c r="C1087" t="inlineStr">
        <is>
          <t>Retail-Plus</t>
        </is>
      </c>
      <c r="D1087" t="inlineStr">
        <is>
          <t>app</t>
        </is>
      </c>
      <c r="E1087" s="7" t="n">
        <v>46262</v>
      </c>
      <c r="F1087" t="n">
        <v>2540</v>
      </c>
      <c r="G1087" t="n">
        <v>2540</v>
      </c>
      <c r="H1087" t="inlineStr">
        <is>
          <t>2026-08-28</t>
        </is>
      </c>
      <c r="I1087">
        <f>IF(MONTH(E1087)&lt;=6,"Q1","Q2")</f>
        <v/>
      </c>
      <c r="J1087">
        <f>YEAR(E1087)*100+MONTH(E1087)</f>
        <v/>
      </c>
      <c r="K1087">
        <f>IF(COUNTIF($A$2:A1087,A1087)=1,1,0)</f>
        <v/>
      </c>
      <c r="L1087">
        <f>IF(K1087=1,IF(COUNTIFS($B$2:B1087,B1087,$I$2:I1087,I1087,$K$2:K1087,1)=1,1,0),0)</f>
        <v/>
      </c>
      <c r="M1087">
        <f>IF(Tree!$C$4="once per order",F1087*K1087,F1087)</f>
        <v/>
      </c>
      <c r="N1087">
        <f>IF(Tree!$C$4="once per order",K1087,1)</f>
        <v/>
      </c>
      <c r="O1087">
        <f>IF(Tree!$C$4="once per order",L1087,1)</f>
        <v/>
      </c>
    </row>
    <row r="1088">
      <c r="A1088" t="inlineStr">
        <is>
          <t>KR-00718</t>
        </is>
      </c>
      <c r="B1088" t="inlineStr">
        <is>
          <t>C-0170</t>
        </is>
      </c>
      <c r="C1088" t="inlineStr">
        <is>
          <t>Retail-Plus</t>
        </is>
      </c>
      <c r="D1088" t="inlineStr">
        <is>
          <t>web</t>
        </is>
      </c>
      <c r="E1088" s="7" t="n">
        <v>46273</v>
      </c>
      <c r="F1088" t="n">
        <v>3990</v>
      </c>
      <c r="G1088" t="n">
        <v>2394</v>
      </c>
      <c r="H1088" t="inlineStr">
        <is>
          <t>2026-09-10</t>
        </is>
      </c>
      <c r="I1088">
        <f>IF(MONTH(E1088)&lt;=6,"Q1","Q2")</f>
        <v/>
      </c>
      <c r="J1088">
        <f>YEAR(E1088)*100+MONTH(E1088)</f>
        <v/>
      </c>
      <c r="K1088">
        <f>IF(COUNTIF($A$2:A1088,A1088)=1,1,0)</f>
        <v/>
      </c>
      <c r="L1088">
        <f>IF(K1088=1,IF(COUNTIFS($B$2:B1088,B1088,$I$2:I1088,I1088,$K$2:K1088,1)=1,1,0),0)</f>
        <v/>
      </c>
      <c r="M1088">
        <f>IF(Tree!$C$4="once per order",F1088*K1088,F1088)</f>
        <v/>
      </c>
      <c r="N1088">
        <f>IF(Tree!$C$4="once per order",K1088,1)</f>
        <v/>
      </c>
      <c r="O1088">
        <f>IF(Tree!$C$4="once per order",L1088,1)</f>
        <v/>
      </c>
    </row>
    <row r="1089">
      <c r="A1089" t="inlineStr">
        <is>
          <t>KR-00718</t>
        </is>
      </c>
      <c r="B1089" t="inlineStr">
        <is>
          <t>C-0170</t>
        </is>
      </c>
      <c r="C1089" t="inlineStr">
        <is>
          <t>Retail-Plus</t>
        </is>
      </c>
      <c r="D1089" t="inlineStr">
        <is>
          <t>web</t>
        </is>
      </c>
      <c r="E1089" s="7" t="n">
        <v>46273</v>
      </c>
      <c r="F1089" t="n">
        <v>3990</v>
      </c>
      <c r="G1089" t="n">
        <v>1596</v>
      </c>
      <c r="H1089" t="inlineStr">
        <is>
          <t>2026-09-10</t>
        </is>
      </c>
      <c r="I1089">
        <f>IF(MONTH(E1089)&lt;=6,"Q1","Q2")</f>
        <v/>
      </c>
      <c r="J1089">
        <f>YEAR(E1089)*100+MONTH(E1089)</f>
        <v/>
      </c>
      <c r="K1089">
        <f>IF(COUNTIF($A$2:A1089,A1089)=1,1,0)</f>
        <v/>
      </c>
      <c r="L1089">
        <f>IF(K1089=1,IF(COUNTIFS($B$2:B1089,B1089,$I$2:I1089,I1089,$K$2:K1089,1)=1,1,0),0)</f>
        <v/>
      </c>
      <c r="M1089">
        <f>IF(Tree!$C$4="once per order",F1089*K1089,F1089)</f>
        <v/>
      </c>
      <c r="N1089">
        <f>IF(Tree!$C$4="once per order",K1089,1)</f>
        <v/>
      </c>
      <c r="O1089">
        <f>IF(Tree!$C$4="once per order",L1089,1)</f>
        <v/>
      </c>
    </row>
    <row r="1090">
      <c r="A1090" t="inlineStr">
        <is>
          <t>KR-00719</t>
        </is>
      </c>
      <c r="B1090" t="inlineStr">
        <is>
          <t>C-0248</t>
        </is>
      </c>
      <c r="C1090" t="inlineStr">
        <is>
          <t>Retail-Plus</t>
        </is>
      </c>
      <c r="D1090" t="inlineStr">
        <is>
          <t>store</t>
        </is>
      </c>
      <c r="E1090" s="7" t="n">
        <v>46213</v>
      </c>
      <c r="F1090" t="n">
        <v>3970</v>
      </c>
      <c r="G1090" t="n">
        <v>2382</v>
      </c>
      <c r="H1090" t="inlineStr">
        <is>
          <t>2026-07-12</t>
        </is>
      </c>
      <c r="I1090">
        <f>IF(MONTH(E1090)&lt;=6,"Q1","Q2")</f>
        <v/>
      </c>
      <c r="J1090">
        <f>YEAR(E1090)*100+MONTH(E1090)</f>
        <v/>
      </c>
      <c r="K1090">
        <f>IF(COUNTIF($A$2:A1090,A1090)=1,1,0)</f>
        <v/>
      </c>
      <c r="L1090">
        <f>IF(K1090=1,IF(COUNTIFS($B$2:B1090,B1090,$I$2:I1090,I1090,$K$2:K1090,1)=1,1,0),0)</f>
        <v/>
      </c>
      <c r="M1090">
        <f>IF(Tree!$C$4="once per order",F1090*K1090,F1090)</f>
        <v/>
      </c>
      <c r="N1090">
        <f>IF(Tree!$C$4="once per order",K1090,1)</f>
        <v/>
      </c>
      <c r="O1090">
        <f>IF(Tree!$C$4="once per order",L1090,1)</f>
        <v/>
      </c>
    </row>
    <row r="1091">
      <c r="A1091" t="inlineStr">
        <is>
          <t>KR-00719</t>
        </is>
      </c>
      <c r="B1091" t="inlineStr">
        <is>
          <t>C-0248</t>
        </is>
      </c>
      <c r="C1091" t="inlineStr">
        <is>
          <t>Retail-Plus</t>
        </is>
      </c>
      <c r="D1091" t="inlineStr">
        <is>
          <t>store</t>
        </is>
      </c>
      <c r="E1091" s="7" t="n">
        <v>46213</v>
      </c>
      <c r="F1091" t="n">
        <v>3970</v>
      </c>
      <c r="G1091" t="n">
        <v>1588</v>
      </c>
      <c r="H1091" t="inlineStr">
        <is>
          <t>2026-07-12</t>
        </is>
      </c>
      <c r="I1091">
        <f>IF(MONTH(E1091)&lt;=6,"Q1","Q2")</f>
        <v/>
      </c>
      <c r="J1091">
        <f>YEAR(E1091)*100+MONTH(E1091)</f>
        <v/>
      </c>
      <c r="K1091">
        <f>IF(COUNTIF($A$2:A1091,A1091)=1,1,0)</f>
        <v/>
      </c>
      <c r="L1091">
        <f>IF(K1091=1,IF(COUNTIFS($B$2:B1091,B1091,$I$2:I1091,I1091,$K$2:K1091,1)=1,1,0),0)</f>
        <v/>
      </c>
      <c r="M1091">
        <f>IF(Tree!$C$4="once per order",F1091*K1091,F1091)</f>
        <v/>
      </c>
      <c r="N1091">
        <f>IF(Tree!$C$4="once per order",K1091,1)</f>
        <v/>
      </c>
      <c r="O1091">
        <f>IF(Tree!$C$4="once per order",L1091,1)</f>
        <v/>
      </c>
    </row>
    <row r="1092">
      <c r="A1092" t="inlineStr">
        <is>
          <t>KR-00720</t>
        </is>
      </c>
      <c r="B1092" t="inlineStr">
        <is>
          <t>C-0197</t>
        </is>
      </c>
      <c r="C1092" t="inlineStr">
        <is>
          <t>Retail-Plus</t>
        </is>
      </c>
      <c r="D1092" t="inlineStr">
        <is>
          <t>web</t>
        </is>
      </c>
      <c r="E1092" s="7" t="n">
        <v>46240</v>
      </c>
      <c r="F1092" t="n">
        <v>1820</v>
      </c>
      <c r="G1092" t="n">
        <v>1820</v>
      </c>
      <c r="H1092" t="inlineStr">
        <is>
          <t>2026-08-08</t>
        </is>
      </c>
      <c r="I1092">
        <f>IF(MONTH(E1092)&lt;=6,"Q1","Q2")</f>
        <v/>
      </c>
      <c r="J1092">
        <f>YEAR(E1092)*100+MONTH(E1092)</f>
        <v/>
      </c>
      <c r="K1092">
        <f>IF(COUNTIF($A$2:A1092,A1092)=1,1,0)</f>
        <v/>
      </c>
      <c r="L1092">
        <f>IF(K1092=1,IF(COUNTIFS($B$2:B1092,B1092,$I$2:I1092,I1092,$K$2:K1092,1)=1,1,0),0)</f>
        <v/>
      </c>
      <c r="M1092">
        <f>IF(Tree!$C$4="once per order",F1092*K1092,F1092)</f>
        <v/>
      </c>
      <c r="N1092">
        <f>IF(Tree!$C$4="once per order",K1092,1)</f>
        <v/>
      </c>
      <c r="O1092">
        <f>IF(Tree!$C$4="once per order",L1092,1)</f>
        <v/>
      </c>
    </row>
    <row r="1093">
      <c r="A1093" t="inlineStr">
        <is>
          <t>KR-00721</t>
        </is>
      </c>
      <c r="B1093" t="inlineStr">
        <is>
          <t>C-0240</t>
        </is>
      </c>
      <c r="C1093" t="inlineStr">
        <is>
          <t>Retail-Plus</t>
        </is>
      </c>
      <c r="D1093" t="inlineStr">
        <is>
          <t>web</t>
        </is>
      </c>
      <c r="E1093" s="7" t="n">
        <v>46269</v>
      </c>
      <c r="F1093" t="n">
        <v>4040</v>
      </c>
      <c r="G1093" t="n">
        <v>2424</v>
      </c>
      <c r="H1093" t="inlineStr">
        <is>
          <t>2026-09-06</t>
        </is>
      </c>
      <c r="I1093">
        <f>IF(MONTH(E1093)&lt;=6,"Q1","Q2")</f>
        <v/>
      </c>
      <c r="J1093">
        <f>YEAR(E1093)*100+MONTH(E1093)</f>
        <v/>
      </c>
      <c r="K1093">
        <f>IF(COUNTIF($A$2:A1093,A1093)=1,1,0)</f>
        <v/>
      </c>
      <c r="L1093">
        <f>IF(K1093=1,IF(COUNTIFS($B$2:B1093,B1093,$I$2:I1093,I1093,$K$2:K1093,1)=1,1,0),0)</f>
        <v/>
      </c>
      <c r="M1093">
        <f>IF(Tree!$C$4="once per order",F1093*K1093,F1093)</f>
        <v/>
      </c>
      <c r="N1093">
        <f>IF(Tree!$C$4="once per order",K1093,1)</f>
        <v/>
      </c>
      <c r="O1093">
        <f>IF(Tree!$C$4="once per order",L1093,1)</f>
        <v/>
      </c>
    </row>
    <row r="1094">
      <c r="A1094" t="inlineStr">
        <is>
          <t>KR-00721</t>
        </is>
      </c>
      <c r="B1094" t="inlineStr">
        <is>
          <t>C-0240</t>
        </is>
      </c>
      <c r="C1094" t="inlineStr">
        <is>
          <t>Retail-Plus</t>
        </is>
      </c>
      <c r="D1094" t="inlineStr">
        <is>
          <t>web</t>
        </is>
      </c>
      <c r="E1094" s="7" t="n">
        <v>46269</v>
      </c>
      <c r="F1094" t="n">
        <v>4040</v>
      </c>
      <c r="G1094" t="n">
        <v>1616</v>
      </c>
      <c r="H1094" t="inlineStr">
        <is>
          <t>2026-09-06</t>
        </is>
      </c>
      <c r="I1094">
        <f>IF(MONTH(E1094)&lt;=6,"Q1","Q2")</f>
        <v/>
      </c>
      <c r="J1094">
        <f>YEAR(E1094)*100+MONTH(E1094)</f>
        <v/>
      </c>
      <c r="K1094">
        <f>IF(COUNTIF($A$2:A1094,A1094)=1,1,0)</f>
        <v/>
      </c>
      <c r="L1094">
        <f>IF(K1094=1,IF(COUNTIFS($B$2:B1094,B1094,$I$2:I1094,I1094,$K$2:K1094,1)=1,1,0),0)</f>
        <v/>
      </c>
      <c r="M1094">
        <f>IF(Tree!$C$4="once per order",F1094*K1094,F1094)</f>
        <v/>
      </c>
      <c r="N1094">
        <f>IF(Tree!$C$4="once per order",K1094,1)</f>
        <v/>
      </c>
      <c r="O1094">
        <f>IF(Tree!$C$4="once per order",L1094,1)</f>
        <v/>
      </c>
    </row>
    <row r="1095">
      <c r="A1095" t="inlineStr">
        <is>
          <t>KR-00722</t>
        </is>
      </c>
      <c r="B1095" t="inlineStr">
        <is>
          <t>C-0242</t>
        </is>
      </c>
      <c r="C1095" t="inlineStr">
        <is>
          <t>Retail-Plus</t>
        </is>
      </c>
      <c r="D1095" t="inlineStr">
        <is>
          <t>app</t>
        </is>
      </c>
      <c r="E1095" s="7" t="n">
        <v>46215</v>
      </c>
      <c r="F1095" t="n">
        <v>3350</v>
      </c>
      <c r="G1095" t="n">
        <v>2010</v>
      </c>
      <c r="H1095" t="inlineStr">
        <is>
          <t>2026-07-14</t>
        </is>
      </c>
      <c r="I1095">
        <f>IF(MONTH(E1095)&lt;=6,"Q1","Q2")</f>
        <v/>
      </c>
      <c r="J1095">
        <f>YEAR(E1095)*100+MONTH(E1095)</f>
        <v/>
      </c>
      <c r="K1095">
        <f>IF(COUNTIF($A$2:A1095,A1095)=1,1,0)</f>
        <v/>
      </c>
      <c r="L1095">
        <f>IF(K1095=1,IF(COUNTIFS($B$2:B1095,B1095,$I$2:I1095,I1095,$K$2:K1095,1)=1,1,0),0)</f>
        <v/>
      </c>
      <c r="M1095">
        <f>IF(Tree!$C$4="once per order",F1095*K1095,F1095)</f>
        <v/>
      </c>
      <c r="N1095">
        <f>IF(Tree!$C$4="once per order",K1095,1)</f>
        <v/>
      </c>
      <c r="O1095">
        <f>IF(Tree!$C$4="once per order",L1095,1)</f>
        <v/>
      </c>
    </row>
    <row r="1096">
      <c r="A1096" t="inlineStr">
        <is>
          <t>KR-00722</t>
        </is>
      </c>
      <c r="B1096" t="inlineStr">
        <is>
          <t>C-0242</t>
        </is>
      </c>
      <c r="C1096" t="inlineStr">
        <is>
          <t>Retail-Plus</t>
        </is>
      </c>
      <c r="D1096" t="inlineStr">
        <is>
          <t>app</t>
        </is>
      </c>
      <c r="E1096" s="7" t="n">
        <v>46215</v>
      </c>
      <c r="F1096" t="n">
        <v>3350</v>
      </c>
      <c r="G1096" t="n">
        <v>1340</v>
      </c>
      <c r="H1096" t="inlineStr">
        <is>
          <t>2026-07-14</t>
        </is>
      </c>
      <c r="I1096">
        <f>IF(MONTH(E1096)&lt;=6,"Q1","Q2")</f>
        <v/>
      </c>
      <c r="J1096">
        <f>YEAR(E1096)*100+MONTH(E1096)</f>
        <v/>
      </c>
      <c r="K1096">
        <f>IF(COUNTIF($A$2:A1096,A1096)=1,1,0)</f>
        <v/>
      </c>
      <c r="L1096">
        <f>IF(K1096=1,IF(COUNTIFS($B$2:B1096,B1096,$I$2:I1096,I1096,$K$2:K1096,1)=1,1,0),0)</f>
        <v/>
      </c>
      <c r="M1096">
        <f>IF(Tree!$C$4="once per order",F1096*K1096,F1096)</f>
        <v/>
      </c>
      <c r="N1096">
        <f>IF(Tree!$C$4="once per order",K1096,1)</f>
        <v/>
      </c>
      <c r="O1096">
        <f>IF(Tree!$C$4="once per order",L1096,1)</f>
        <v/>
      </c>
    </row>
    <row r="1097">
      <c r="A1097" t="inlineStr">
        <is>
          <t>KR-00723</t>
        </is>
      </c>
      <c r="B1097" t="inlineStr">
        <is>
          <t>C-0188</t>
        </is>
      </c>
      <c r="C1097" t="inlineStr">
        <is>
          <t>Retail-Plus</t>
        </is>
      </c>
      <c r="D1097" t="inlineStr">
        <is>
          <t>web</t>
        </is>
      </c>
      <c r="E1097" s="7" t="n">
        <v>46257</v>
      </c>
      <c r="F1097" t="n">
        <v>4380</v>
      </c>
      <c r="G1097" t="n">
        <v>2628</v>
      </c>
      <c r="H1097" t="inlineStr">
        <is>
          <t>2026-08-25</t>
        </is>
      </c>
      <c r="I1097">
        <f>IF(MONTH(E1097)&lt;=6,"Q1","Q2")</f>
        <v/>
      </c>
      <c r="J1097">
        <f>YEAR(E1097)*100+MONTH(E1097)</f>
        <v/>
      </c>
      <c r="K1097">
        <f>IF(COUNTIF($A$2:A1097,A1097)=1,1,0)</f>
        <v/>
      </c>
      <c r="L1097">
        <f>IF(K1097=1,IF(COUNTIFS($B$2:B1097,B1097,$I$2:I1097,I1097,$K$2:K1097,1)=1,1,0),0)</f>
        <v/>
      </c>
      <c r="M1097">
        <f>IF(Tree!$C$4="once per order",F1097*K1097,F1097)</f>
        <v/>
      </c>
      <c r="N1097">
        <f>IF(Tree!$C$4="once per order",K1097,1)</f>
        <v/>
      </c>
      <c r="O1097">
        <f>IF(Tree!$C$4="once per order",L1097,1)</f>
        <v/>
      </c>
    </row>
    <row r="1098">
      <c r="A1098" t="inlineStr">
        <is>
          <t>KR-00723</t>
        </is>
      </c>
      <c r="B1098" t="inlineStr">
        <is>
          <t>C-0188</t>
        </is>
      </c>
      <c r="C1098" t="inlineStr">
        <is>
          <t>Retail-Plus</t>
        </is>
      </c>
      <c r="D1098" t="inlineStr">
        <is>
          <t>web</t>
        </is>
      </c>
      <c r="E1098" s="7" t="n">
        <v>46257</v>
      </c>
      <c r="F1098" t="n">
        <v>4380</v>
      </c>
      <c r="G1098" t="n">
        <v>1752</v>
      </c>
      <c r="H1098" t="inlineStr">
        <is>
          <t>2026-08-25</t>
        </is>
      </c>
      <c r="I1098">
        <f>IF(MONTH(E1098)&lt;=6,"Q1","Q2")</f>
        <v/>
      </c>
      <c r="J1098">
        <f>YEAR(E1098)*100+MONTH(E1098)</f>
        <v/>
      </c>
      <c r="K1098">
        <f>IF(COUNTIF($A$2:A1098,A1098)=1,1,0)</f>
        <v/>
      </c>
      <c r="L1098">
        <f>IF(K1098=1,IF(COUNTIFS($B$2:B1098,B1098,$I$2:I1098,I1098,$K$2:K1098,1)=1,1,0),0)</f>
        <v/>
      </c>
      <c r="M1098">
        <f>IF(Tree!$C$4="once per order",F1098*K1098,F1098)</f>
        <v/>
      </c>
      <c r="N1098">
        <f>IF(Tree!$C$4="once per order",K1098,1)</f>
        <v/>
      </c>
      <c r="O1098">
        <f>IF(Tree!$C$4="once per order",L1098,1)</f>
        <v/>
      </c>
    </row>
    <row r="1099">
      <c r="A1099" t="inlineStr">
        <is>
          <t>KR-00724</t>
        </is>
      </c>
      <c r="B1099" t="inlineStr">
        <is>
          <t>C-0239</t>
        </is>
      </c>
      <c r="C1099" t="inlineStr">
        <is>
          <t>Retail-Plus</t>
        </is>
      </c>
      <c r="D1099" t="inlineStr">
        <is>
          <t>web</t>
        </is>
      </c>
      <c r="E1099" s="7" t="n">
        <v>46280</v>
      </c>
      <c r="F1099" t="n">
        <v>4000</v>
      </c>
      <c r="G1099" t="n">
        <v>2400</v>
      </c>
      <c r="H1099" t="inlineStr">
        <is>
          <t>2026-09-17</t>
        </is>
      </c>
      <c r="I1099">
        <f>IF(MONTH(E1099)&lt;=6,"Q1","Q2")</f>
        <v/>
      </c>
      <c r="J1099">
        <f>YEAR(E1099)*100+MONTH(E1099)</f>
        <v/>
      </c>
      <c r="K1099">
        <f>IF(COUNTIF($A$2:A1099,A1099)=1,1,0)</f>
        <v/>
      </c>
      <c r="L1099">
        <f>IF(K1099=1,IF(COUNTIFS($B$2:B1099,B1099,$I$2:I1099,I1099,$K$2:K1099,1)=1,1,0),0)</f>
        <v/>
      </c>
      <c r="M1099">
        <f>IF(Tree!$C$4="once per order",F1099*K1099,F1099)</f>
        <v/>
      </c>
      <c r="N1099">
        <f>IF(Tree!$C$4="once per order",K1099,1)</f>
        <v/>
      </c>
      <c r="O1099">
        <f>IF(Tree!$C$4="once per order",L1099,1)</f>
        <v/>
      </c>
    </row>
    <row r="1100">
      <c r="A1100" t="inlineStr">
        <is>
          <t>KR-00724</t>
        </is>
      </c>
      <c r="B1100" t="inlineStr">
        <is>
          <t>C-0239</t>
        </is>
      </c>
      <c r="C1100" t="inlineStr">
        <is>
          <t>Retail-Plus</t>
        </is>
      </c>
      <c r="D1100" t="inlineStr">
        <is>
          <t>web</t>
        </is>
      </c>
      <c r="E1100" s="7" t="n">
        <v>46280</v>
      </c>
      <c r="F1100" t="n">
        <v>4000</v>
      </c>
      <c r="G1100" t="n">
        <v>1600</v>
      </c>
      <c r="H1100" t="inlineStr">
        <is>
          <t>2026-09-17</t>
        </is>
      </c>
      <c r="I1100">
        <f>IF(MONTH(E1100)&lt;=6,"Q1","Q2")</f>
        <v/>
      </c>
      <c r="J1100">
        <f>YEAR(E1100)*100+MONTH(E1100)</f>
        <v/>
      </c>
      <c r="K1100">
        <f>IF(COUNTIF($A$2:A1100,A1100)=1,1,0)</f>
        <v/>
      </c>
      <c r="L1100">
        <f>IF(K1100=1,IF(COUNTIFS($B$2:B1100,B1100,$I$2:I1100,I1100,$K$2:K1100,1)=1,1,0),0)</f>
        <v/>
      </c>
      <c r="M1100">
        <f>IF(Tree!$C$4="once per order",F1100*K1100,F1100)</f>
        <v/>
      </c>
      <c r="N1100">
        <f>IF(Tree!$C$4="once per order",K1100,1)</f>
        <v/>
      </c>
      <c r="O1100">
        <f>IF(Tree!$C$4="once per order",L1100,1)</f>
        <v/>
      </c>
    </row>
    <row r="1101">
      <c r="A1101" t="inlineStr">
        <is>
          <t>KR-00725</t>
        </is>
      </c>
      <c r="B1101" t="inlineStr">
        <is>
          <t>C-0183</t>
        </is>
      </c>
      <c r="C1101" t="inlineStr">
        <is>
          <t>Retail-Plus</t>
        </is>
      </c>
      <c r="D1101" t="inlineStr">
        <is>
          <t>web</t>
        </is>
      </c>
      <c r="E1101" s="7" t="n">
        <v>46216</v>
      </c>
      <c r="F1101" t="n">
        <v>4150</v>
      </c>
      <c r="G1101" t="n">
        <v>2490</v>
      </c>
      <c r="H1101" t="inlineStr">
        <is>
          <t>2026-07-15</t>
        </is>
      </c>
      <c r="I1101">
        <f>IF(MONTH(E1101)&lt;=6,"Q1","Q2")</f>
        <v/>
      </c>
      <c r="J1101">
        <f>YEAR(E1101)*100+MONTH(E1101)</f>
        <v/>
      </c>
      <c r="K1101">
        <f>IF(COUNTIF($A$2:A1101,A1101)=1,1,0)</f>
        <v/>
      </c>
      <c r="L1101">
        <f>IF(K1101=1,IF(COUNTIFS($B$2:B1101,B1101,$I$2:I1101,I1101,$K$2:K1101,1)=1,1,0),0)</f>
        <v/>
      </c>
      <c r="M1101">
        <f>IF(Tree!$C$4="once per order",F1101*K1101,F1101)</f>
        <v/>
      </c>
      <c r="N1101">
        <f>IF(Tree!$C$4="once per order",K1101,1)</f>
        <v/>
      </c>
      <c r="O1101">
        <f>IF(Tree!$C$4="once per order",L1101,1)</f>
        <v/>
      </c>
    </row>
    <row r="1102">
      <c r="A1102" t="inlineStr">
        <is>
          <t>KR-00725</t>
        </is>
      </c>
      <c r="B1102" t="inlineStr">
        <is>
          <t>C-0183</t>
        </is>
      </c>
      <c r="C1102" t="inlineStr">
        <is>
          <t>Retail-Plus</t>
        </is>
      </c>
      <c r="D1102" t="inlineStr">
        <is>
          <t>web</t>
        </is>
      </c>
      <c r="E1102" s="7" t="n">
        <v>46216</v>
      </c>
      <c r="F1102" t="n">
        <v>4150</v>
      </c>
      <c r="G1102" t="n">
        <v>1660</v>
      </c>
      <c r="H1102" t="inlineStr">
        <is>
          <t>2026-07-15</t>
        </is>
      </c>
      <c r="I1102">
        <f>IF(MONTH(E1102)&lt;=6,"Q1","Q2")</f>
        <v/>
      </c>
      <c r="J1102">
        <f>YEAR(E1102)*100+MONTH(E1102)</f>
        <v/>
      </c>
      <c r="K1102">
        <f>IF(COUNTIF($A$2:A1102,A1102)=1,1,0)</f>
        <v/>
      </c>
      <c r="L1102">
        <f>IF(K1102=1,IF(COUNTIFS($B$2:B1102,B1102,$I$2:I1102,I1102,$K$2:K1102,1)=1,1,0),0)</f>
        <v/>
      </c>
      <c r="M1102">
        <f>IF(Tree!$C$4="once per order",F1102*K1102,F1102)</f>
        <v/>
      </c>
      <c r="N1102">
        <f>IF(Tree!$C$4="once per order",K1102,1)</f>
        <v/>
      </c>
      <c r="O1102">
        <f>IF(Tree!$C$4="once per order",L1102,1)</f>
        <v/>
      </c>
    </row>
    <row r="1103">
      <c r="A1103" t="inlineStr">
        <is>
          <t>KR-00726</t>
        </is>
      </c>
      <c r="B1103" t="inlineStr">
        <is>
          <t>C-0167</t>
        </is>
      </c>
      <c r="C1103" t="inlineStr">
        <is>
          <t>Retail-Plus</t>
        </is>
      </c>
      <c r="D1103" t="inlineStr">
        <is>
          <t>store</t>
        </is>
      </c>
      <c r="E1103" s="7" t="n">
        <v>46251</v>
      </c>
      <c r="F1103" t="n">
        <v>3220</v>
      </c>
      <c r="G1103" t="n">
        <v>1932</v>
      </c>
      <c r="H1103" t="inlineStr">
        <is>
          <t>2026-08-19</t>
        </is>
      </c>
      <c r="I1103">
        <f>IF(MONTH(E1103)&lt;=6,"Q1","Q2")</f>
        <v/>
      </c>
      <c r="J1103">
        <f>YEAR(E1103)*100+MONTH(E1103)</f>
        <v/>
      </c>
      <c r="K1103">
        <f>IF(COUNTIF($A$2:A1103,A1103)=1,1,0)</f>
        <v/>
      </c>
      <c r="L1103">
        <f>IF(K1103=1,IF(COUNTIFS($B$2:B1103,B1103,$I$2:I1103,I1103,$K$2:K1103,1)=1,1,0),0)</f>
        <v/>
      </c>
      <c r="M1103">
        <f>IF(Tree!$C$4="once per order",F1103*K1103,F1103)</f>
        <v/>
      </c>
      <c r="N1103">
        <f>IF(Tree!$C$4="once per order",K1103,1)</f>
        <v/>
      </c>
      <c r="O1103">
        <f>IF(Tree!$C$4="once per order",L1103,1)</f>
        <v/>
      </c>
    </row>
    <row r="1104">
      <c r="A1104" t="inlineStr">
        <is>
          <t>KR-00726</t>
        </is>
      </c>
      <c r="B1104" t="inlineStr">
        <is>
          <t>C-0167</t>
        </is>
      </c>
      <c r="C1104" t="inlineStr">
        <is>
          <t>Retail-Plus</t>
        </is>
      </c>
      <c r="D1104" t="inlineStr">
        <is>
          <t>store</t>
        </is>
      </c>
      <c r="E1104" s="7" t="n">
        <v>46251</v>
      </c>
      <c r="F1104" t="n">
        <v>3220</v>
      </c>
      <c r="G1104" t="n">
        <v>1288</v>
      </c>
      <c r="H1104" t="inlineStr">
        <is>
          <t>2026-08-19</t>
        </is>
      </c>
      <c r="I1104">
        <f>IF(MONTH(E1104)&lt;=6,"Q1","Q2")</f>
        <v/>
      </c>
      <c r="J1104">
        <f>YEAR(E1104)*100+MONTH(E1104)</f>
        <v/>
      </c>
      <c r="K1104">
        <f>IF(COUNTIF($A$2:A1104,A1104)=1,1,0)</f>
        <v/>
      </c>
      <c r="L1104">
        <f>IF(K1104=1,IF(COUNTIFS($B$2:B1104,B1104,$I$2:I1104,I1104,$K$2:K1104,1)=1,1,0),0)</f>
        <v/>
      </c>
      <c r="M1104">
        <f>IF(Tree!$C$4="once per order",F1104*K1104,F1104)</f>
        <v/>
      </c>
      <c r="N1104">
        <f>IF(Tree!$C$4="once per order",K1104,1)</f>
        <v/>
      </c>
      <c r="O1104">
        <f>IF(Tree!$C$4="once per order",L1104,1)</f>
        <v/>
      </c>
    </row>
    <row r="1105">
      <c r="A1105" t="inlineStr">
        <is>
          <t>KR-00727</t>
        </is>
      </c>
      <c r="B1105" t="inlineStr">
        <is>
          <t>C-0152</t>
        </is>
      </c>
      <c r="C1105" t="inlineStr">
        <is>
          <t>Retail-Plus</t>
        </is>
      </c>
      <c r="D1105" t="inlineStr">
        <is>
          <t>app</t>
        </is>
      </c>
      <c r="E1105" s="7" t="n">
        <v>46270</v>
      </c>
      <c r="F1105" t="n">
        <v>3350</v>
      </c>
      <c r="G1105" t="n">
        <v>2010</v>
      </c>
      <c r="H1105" t="inlineStr">
        <is>
          <t>2026-09-07</t>
        </is>
      </c>
      <c r="I1105">
        <f>IF(MONTH(E1105)&lt;=6,"Q1","Q2")</f>
        <v/>
      </c>
      <c r="J1105">
        <f>YEAR(E1105)*100+MONTH(E1105)</f>
        <v/>
      </c>
      <c r="K1105">
        <f>IF(COUNTIF($A$2:A1105,A1105)=1,1,0)</f>
        <v/>
      </c>
      <c r="L1105">
        <f>IF(K1105=1,IF(COUNTIFS($B$2:B1105,B1105,$I$2:I1105,I1105,$K$2:K1105,1)=1,1,0),0)</f>
        <v/>
      </c>
      <c r="M1105">
        <f>IF(Tree!$C$4="once per order",F1105*K1105,F1105)</f>
        <v/>
      </c>
      <c r="N1105">
        <f>IF(Tree!$C$4="once per order",K1105,1)</f>
        <v/>
      </c>
      <c r="O1105">
        <f>IF(Tree!$C$4="once per order",L1105,1)</f>
        <v/>
      </c>
    </row>
    <row r="1106">
      <c r="A1106" t="inlineStr">
        <is>
          <t>KR-00727</t>
        </is>
      </c>
      <c r="B1106" t="inlineStr">
        <is>
          <t>C-0152</t>
        </is>
      </c>
      <c r="C1106" t="inlineStr">
        <is>
          <t>Retail-Plus</t>
        </is>
      </c>
      <c r="D1106" t="inlineStr">
        <is>
          <t>app</t>
        </is>
      </c>
      <c r="E1106" s="7" t="n">
        <v>46270</v>
      </c>
      <c r="F1106" t="n">
        <v>3350</v>
      </c>
      <c r="G1106" t="n">
        <v>1340</v>
      </c>
      <c r="H1106" t="inlineStr">
        <is>
          <t>2026-09-07</t>
        </is>
      </c>
      <c r="I1106">
        <f>IF(MONTH(E1106)&lt;=6,"Q1","Q2")</f>
        <v/>
      </c>
      <c r="J1106">
        <f>YEAR(E1106)*100+MONTH(E1106)</f>
        <v/>
      </c>
      <c r="K1106">
        <f>IF(COUNTIF($A$2:A1106,A1106)=1,1,0)</f>
        <v/>
      </c>
      <c r="L1106">
        <f>IF(K1106=1,IF(COUNTIFS($B$2:B1106,B1106,$I$2:I1106,I1106,$K$2:K1106,1)=1,1,0),0)</f>
        <v/>
      </c>
      <c r="M1106">
        <f>IF(Tree!$C$4="once per order",F1106*K1106,F1106)</f>
        <v/>
      </c>
      <c r="N1106">
        <f>IF(Tree!$C$4="once per order",K1106,1)</f>
        <v/>
      </c>
      <c r="O1106">
        <f>IF(Tree!$C$4="once per order",L1106,1)</f>
        <v/>
      </c>
    </row>
    <row r="1107">
      <c r="A1107" t="inlineStr">
        <is>
          <t>KR-00728</t>
        </is>
      </c>
      <c r="B1107" t="inlineStr">
        <is>
          <t>C-0183</t>
        </is>
      </c>
      <c r="C1107" t="inlineStr">
        <is>
          <t>Retail-Plus</t>
        </is>
      </c>
      <c r="D1107" t="inlineStr">
        <is>
          <t>web</t>
        </is>
      </c>
      <c r="E1107" s="7" t="n">
        <v>46224</v>
      </c>
      <c r="F1107" t="n">
        <v>1710</v>
      </c>
      <c r="G1107" t="n">
        <v>1710</v>
      </c>
      <c r="H1107" t="inlineStr">
        <is>
          <t>2026-07-23</t>
        </is>
      </c>
      <c r="I1107">
        <f>IF(MONTH(E1107)&lt;=6,"Q1","Q2")</f>
        <v/>
      </c>
      <c r="J1107">
        <f>YEAR(E1107)*100+MONTH(E1107)</f>
        <v/>
      </c>
      <c r="K1107">
        <f>IF(COUNTIF($A$2:A1107,A1107)=1,1,0)</f>
        <v/>
      </c>
      <c r="L1107">
        <f>IF(K1107=1,IF(COUNTIFS($B$2:B1107,B1107,$I$2:I1107,I1107,$K$2:K1107,1)=1,1,0),0)</f>
        <v/>
      </c>
      <c r="M1107">
        <f>IF(Tree!$C$4="once per order",F1107*K1107,F1107)</f>
        <v/>
      </c>
      <c r="N1107">
        <f>IF(Tree!$C$4="once per order",K1107,1)</f>
        <v/>
      </c>
      <c r="O1107">
        <f>IF(Tree!$C$4="once per order",L1107,1)</f>
        <v/>
      </c>
    </row>
    <row r="1108">
      <c r="A1108" t="inlineStr">
        <is>
          <t>KR-00729</t>
        </is>
      </c>
      <c r="B1108" t="inlineStr">
        <is>
          <t>C-0151</t>
        </is>
      </c>
      <c r="C1108" t="inlineStr">
        <is>
          <t>Retail-Plus</t>
        </is>
      </c>
      <c r="D1108" t="inlineStr">
        <is>
          <t>app</t>
        </is>
      </c>
      <c r="E1108" s="7" t="n">
        <v>46238</v>
      </c>
      <c r="F1108" t="n">
        <v>4350</v>
      </c>
      <c r="G1108" t="n">
        <v>2610</v>
      </c>
      <c r="H1108" t="inlineStr">
        <is>
          <t>2026-08-06</t>
        </is>
      </c>
      <c r="I1108">
        <f>IF(MONTH(E1108)&lt;=6,"Q1","Q2")</f>
        <v/>
      </c>
      <c r="J1108">
        <f>YEAR(E1108)*100+MONTH(E1108)</f>
        <v/>
      </c>
      <c r="K1108">
        <f>IF(COUNTIF($A$2:A1108,A1108)=1,1,0)</f>
        <v/>
      </c>
      <c r="L1108">
        <f>IF(K1108=1,IF(COUNTIFS($B$2:B1108,B1108,$I$2:I1108,I1108,$K$2:K1108,1)=1,1,0),0)</f>
        <v/>
      </c>
      <c r="M1108">
        <f>IF(Tree!$C$4="once per order",F1108*K1108,F1108)</f>
        <v/>
      </c>
      <c r="N1108">
        <f>IF(Tree!$C$4="once per order",K1108,1)</f>
        <v/>
      </c>
      <c r="O1108">
        <f>IF(Tree!$C$4="once per order",L1108,1)</f>
        <v/>
      </c>
    </row>
    <row r="1109">
      <c r="A1109" t="inlineStr">
        <is>
          <t>KR-00729</t>
        </is>
      </c>
      <c r="B1109" t="inlineStr">
        <is>
          <t>C-0151</t>
        </is>
      </c>
      <c r="C1109" t="inlineStr">
        <is>
          <t>Retail-Plus</t>
        </is>
      </c>
      <c r="D1109" t="inlineStr">
        <is>
          <t>app</t>
        </is>
      </c>
      <c r="E1109" s="7" t="n">
        <v>46238</v>
      </c>
      <c r="F1109" t="n">
        <v>4350</v>
      </c>
      <c r="G1109" t="n">
        <v>1740</v>
      </c>
      <c r="H1109" t="inlineStr">
        <is>
          <t>2026-08-06</t>
        </is>
      </c>
      <c r="I1109">
        <f>IF(MONTH(E1109)&lt;=6,"Q1","Q2")</f>
        <v/>
      </c>
      <c r="J1109">
        <f>YEAR(E1109)*100+MONTH(E1109)</f>
        <v/>
      </c>
      <c r="K1109">
        <f>IF(COUNTIF($A$2:A1109,A1109)=1,1,0)</f>
        <v/>
      </c>
      <c r="L1109">
        <f>IF(K1109=1,IF(COUNTIFS($B$2:B1109,B1109,$I$2:I1109,I1109,$K$2:K1109,1)=1,1,0),0)</f>
        <v/>
      </c>
      <c r="M1109">
        <f>IF(Tree!$C$4="once per order",F1109*K1109,F1109)</f>
        <v/>
      </c>
      <c r="N1109">
        <f>IF(Tree!$C$4="once per order",K1109,1)</f>
        <v/>
      </c>
      <c r="O1109">
        <f>IF(Tree!$C$4="once per order",L1109,1)</f>
        <v/>
      </c>
    </row>
    <row r="1110">
      <c r="A1110" t="inlineStr">
        <is>
          <t>KR-00730</t>
        </is>
      </c>
      <c r="B1110" t="inlineStr">
        <is>
          <t>C-0254</t>
        </is>
      </c>
      <c r="C1110" t="inlineStr">
        <is>
          <t>Retail-Plus</t>
        </is>
      </c>
      <c r="D1110" t="inlineStr">
        <is>
          <t>web</t>
        </is>
      </c>
      <c r="E1110" s="7" t="n">
        <v>46269</v>
      </c>
      <c r="F1110" t="n">
        <v>2230</v>
      </c>
      <c r="G1110" t="n">
        <v>2230</v>
      </c>
      <c r="H1110" t="inlineStr">
        <is>
          <t>2026-09-06</t>
        </is>
      </c>
      <c r="I1110">
        <f>IF(MONTH(E1110)&lt;=6,"Q1","Q2")</f>
        <v/>
      </c>
      <c r="J1110">
        <f>YEAR(E1110)*100+MONTH(E1110)</f>
        <v/>
      </c>
      <c r="K1110">
        <f>IF(COUNTIF($A$2:A1110,A1110)=1,1,0)</f>
        <v/>
      </c>
      <c r="L1110">
        <f>IF(K1110=1,IF(COUNTIFS($B$2:B1110,B1110,$I$2:I1110,I1110,$K$2:K1110,1)=1,1,0),0)</f>
        <v/>
      </c>
      <c r="M1110">
        <f>IF(Tree!$C$4="once per order",F1110*K1110,F1110)</f>
        <v/>
      </c>
      <c r="N1110">
        <f>IF(Tree!$C$4="once per order",K1110,1)</f>
        <v/>
      </c>
      <c r="O1110">
        <f>IF(Tree!$C$4="once per order",L1110,1)</f>
        <v/>
      </c>
    </row>
    <row r="1111">
      <c r="A1111" t="inlineStr">
        <is>
          <t>KR-00731</t>
        </is>
      </c>
      <c r="B1111" t="inlineStr">
        <is>
          <t>C-0269</t>
        </is>
      </c>
      <c r="C1111" t="inlineStr">
        <is>
          <t>Retail-Plus</t>
        </is>
      </c>
      <c r="D1111" t="inlineStr">
        <is>
          <t>web</t>
        </is>
      </c>
      <c r="E1111" s="7" t="n">
        <v>46208</v>
      </c>
      <c r="F1111" t="n">
        <v>3430</v>
      </c>
      <c r="G1111" t="n">
        <v>2058</v>
      </c>
      <c r="H1111" t="inlineStr">
        <is>
          <t>2026-07-07</t>
        </is>
      </c>
      <c r="I1111">
        <f>IF(MONTH(E1111)&lt;=6,"Q1","Q2")</f>
        <v/>
      </c>
      <c r="J1111">
        <f>YEAR(E1111)*100+MONTH(E1111)</f>
        <v/>
      </c>
      <c r="K1111">
        <f>IF(COUNTIF($A$2:A1111,A1111)=1,1,0)</f>
        <v/>
      </c>
      <c r="L1111">
        <f>IF(K1111=1,IF(COUNTIFS($B$2:B1111,B1111,$I$2:I1111,I1111,$K$2:K1111,1)=1,1,0),0)</f>
        <v/>
      </c>
      <c r="M1111">
        <f>IF(Tree!$C$4="once per order",F1111*K1111,F1111)</f>
        <v/>
      </c>
      <c r="N1111">
        <f>IF(Tree!$C$4="once per order",K1111,1)</f>
        <v/>
      </c>
      <c r="O1111">
        <f>IF(Tree!$C$4="once per order",L1111,1)</f>
        <v/>
      </c>
    </row>
    <row r="1112">
      <c r="A1112" t="inlineStr">
        <is>
          <t>KR-00731</t>
        </is>
      </c>
      <c r="B1112" t="inlineStr">
        <is>
          <t>C-0269</t>
        </is>
      </c>
      <c r="C1112" t="inlineStr">
        <is>
          <t>Retail-Plus</t>
        </is>
      </c>
      <c r="D1112" t="inlineStr">
        <is>
          <t>web</t>
        </is>
      </c>
      <c r="E1112" s="7" t="n">
        <v>46208</v>
      </c>
      <c r="F1112" t="n">
        <v>3430</v>
      </c>
      <c r="G1112" t="n">
        <v>1372</v>
      </c>
      <c r="H1112" t="inlineStr">
        <is>
          <t>2026-07-07</t>
        </is>
      </c>
      <c r="I1112">
        <f>IF(MONTH(E1112)&lt;=6,"Q1","Q2")</f>
        <v/>
      </c>
      <c r="J1112">
        <f>YEAR(E1112)*100+MONTH(E1112)</f>
        <v/>
      </c>
      <c r="K1112">
        <f>IF(COUNTIF($A$2:A1112,A1112)=1,1,0)</f>
        <v/>
      </c>
      <c r="L1112">
        <f>IF(K1112=1,IF(COUNTIFS($B$2:B1112,B1112,$I$2:I1112,I1112,$K$2:K1112,1)=1,1,0),0)</f>
        <v/>
      </c>
      <c r="M1112">
        <f>IF(Tree!$C$4="once per order",F1112*K1112,F1112)</f>
        <v/>
      </c>
      <c r="N1112">
        <f>IF(Tree!$C$4="once per order",K1112,1)</f>
        <v/>
      </c>
      <c r="O1112">
        <f>IF(Tree!$C$4="once per order",L1112,1)</f>
        <v/>
      </c>
    </row>
    <row r="1113">
      <c r="A1113" t="inlineStr">
        <is>
          <t>KR-00732</t>
        </is>
      </c>
      <c r="B1113" t="inlineStr">
        <is>
          <t>C-0169</t>
        </is>
      </c>
      <c r="C1113" t="inlineStr">
        <is>
          <t>Retail-Plus</t>
        </is>
      </c>
      <c r="D1113" t="inlineStr">
        <is>
          <t>app</t>
        </is>
      </c>
      <c r="E1113" s="7" t="n">
        <v>46251</v>
      </c>
      <c r="F1113" t="n">
        <v>2140</v>
      </c>
      <c r="G1113" t="n">
        <v>2140</v>
      </c>
      <c r="H1113" t="inlineStr">
        <is>
          <t>2026-08-19</t>
        </is>
      </c>
      <c r="I1113">
        <f>IF(MONTH(E1113)&lt;=6,"Q1","Q2")</f>
        <v/>
      </c>
      <c r="J1113">
        <f>YEAR(E1113)*100+MONTH(E1113)</f>
        <v/>
      </c>
      <c r="K1113">
        <f>IF(COUNTIF($A$2:A1113,A1113)=1,1,0)</f>
        <v/>
      </c>
      <c r="L1113">
        <f>IF(K1113=1,IF(COUNTIFS($B$2:B1113,B1113,$I$2:I1113,I1113,$K$2:K1113,1)=1,1,0),0)</f>
        <v/>
      </c>
      <c r="M1113">
        <f>IF(Tree!$C$4="once per order",F1113*K1113,F1113)</f>
        <v/>
      </c>
      <c r="N1113">
        <f>IF(Tree!$C$4="once per order",K1113,1)</f>
        <v/>
      </c>
      <c r="O1113">
        <f>IF(Tree!$C$4="once per order",L1113,1)</f>
        <v/>
      </c>
    </row>
    <row r="1114">
      <c r="A1114" t="inlineStr">
        <is>
          <t>KR-00733</t>
        </is>
      </c>
      <c r="B1114" t="inlineStr">
        <is>
          <t>C-0169</t>
        </is>
      </c>
      <c r="C1114" t="inlineStr">
        <is>
          <t>Retail-Plus</t>
        </is>
      </c>
      <c r="D1114" t="inlineStr">
        <is>
          <t>web</t>
        </is>
      </c>
      <c r="E1114" s="7" t="n">
        <v>46285</v>
      </c>
      <c r="F1114" t="n">
        <v>2200</v>
      </c>
      <c r="G1114" t="n">
        <v>2200</v>
      </c>
      <c r="H1114" t="inlineStr">
        <is>
          <t>2026-09-22</t>
        </is>
      </c>
      <c r="I1114">
        <f>IF(MONTH(E1114)&lt;=6,"Q1","Q2")</f>
        <v/>
      </c>
      <c r="J1114">
        <f>YEAR(E1114)*100+MONTH(E1114)</f>
        <v/>
      </c>
      <c r="K1114">
        <f>IF(COUNTIF($A$2:A1114,A1114)=1,1,0)</f>
        <v/>
      </c>
      <c r="L1114">
        <f>IF(K1114=1,IF(COUNTIFS($B$2:B1114,B1114,$I$2:I1114,I1114,$K$2:K1114,1)=1,1,0),0)</f>
        <v/>
      </c>
      <c r="M1114">
        <f>IF(Tree!$C$4="once per order",F1114*K1114,F1114)</f>
        <v/>
      </c>
      <c r="N1114">
        <f>IF(Tree!$C$4="once per order",K1114,1)</f>
        <v/>
      </c>
      <c r="O1114">
        <f>IF(Tree!$C$4="once per order",L1114,1)</f>
        <v/>
      </c>
    </row>
    <row r="1115">
      <c r="A1115" t="inlineStr">
        <is>
          <t>KR-00734</t>
        </is>
      </c>
      <c r="B1115" t="inlineStr">
        <is>
          <t>C-0185</t>
        </is>
      </c>
      <c r="C1115" t="inlineStr">
        <is>
          <t>Retail-Plus</t>
        </is>
      </c>
      <c r="D1115" t="inlineStr">
        <is>
          <t>web</t>
        </is>
      </c>
      <c r="E1115" s="7" t="n">
        <v>46221</v>
      </c>
      <c r="F1115" t="n">
        <v>1900</v>
      </c>
      <c r="G1115" t="n">
        <v>1900</v>
      </c>
      <c r="H1115" t="inlineStr">
        <is>
          <t>2026-07-20</t>
        </is>
      </c>
      <c r="I1115">
        <f>IF(MONTH(E1115)&lt;=6,"Q1","Q2")</f>
        <v/>
      </c>
      <c r="J1115">
        <f>YEAR(E1115)*100+MONTH(E1115)</f>
        <v/>
      </c>
      <c r="K1115">
        <f>IF(COUNTIF($A$2:A1115,A1115)=1,1,0)</f>
        <v/>
      </c>
      <c r="L1115">
        <f>IF(K1115=1,IF(COUNTIFS($B$2:B1115,B1115,$I$2:I1115,I1115,$K$2:K1115,1)=1,1,0),0)</f>
        <v/>
      </c>
      <c r="M1115">
        <f>IF(Tree!$C$4="once per order",F1115*K1115,F1115)</f>
        <v/>
      </c>
      <c r="N1115">
        <f>IF(Tree!$C$4="once per order",K1115,1)</f>
        <v/>
      </c>
      <c r="O1115">
        <f>IF(Tree!$C$4="once per order",L1115,1)</f>
        <v/>
      </c>
    </row>
    <row r="1116">
      <c r="A1116" t="inlineStr">
        <is>
          <t>KR-00735</t>
        </is>
      </c>
      <c r="B1116" t="inlineStr">
        <is>
          <t>C-0155</t>
        </is>
      </c>
      <c r="C1116" t="inlineStr">
        <is>
          <t>Retail-Plus</t>
        </is>
      </c>
      <c r="D1116" t="inlineStr">
        <is>
          <t>web</t>
        </is>
      </c>
      <c r="E1116" s="7" t="n">
        <v>46250</v>
      </c>
      <c r="F1116" t="n">
        <v>2740</v>
      </c>
      <c r="G1116" t="n">
        <v>2740</v>
      </c>
      <c r="H1116" t="inlineStr">
        <is>
          <t>2026-08-18</t>
        </is>
      </c>
      <c r="I1116">
        <f>IF(MONTH(E1116)&lt;=6,"Q1","Q2")</f>
        <v/>
      </c>
      <c r="J1116">
        <f>YEAR(E1116)*100+MONTH(E1116)</f>
        <v/>
      </c>
      <c r="K1116">
        <f>IF(COUNTIF($A$2:A1116,A1116)=1,1,0)</f>
        <v/>
      </c>
      <c r="L1116">
        <f>IF(K1116=1,IF(COUNTIFS($B$2:B1116,B1116,$I$2:I1116,I1116,$K$2:K1116,1)=1,1,0),0)</f>
        <v/>
      </c>
      <c r="M1116">
        <f>IF(Tree!$C$4="once per order",F1116*K1116,F1116)</f>
        <v/>
      </c>
      <c r="N1116">
        <f>IF(Tree!$C$4="once per order",K1116,1)</f>
        <v/>
      </c>
      <c r="O1116">
        <f>IF(Tree!$C$4="once per order",L1116,1)</f>
        <v/>
      </c>
    </row>
    <row r="1117">
      <c r="A1117" t="inlineStr">
        <is>
          <t>KR-00736</t>
        </is>
      </c>
      <c r="B1117" t="inlineStr">
        <is>
          <t>C-0205</t>
        </is>
      </c>
      <c r="C1117" t="inlineStr">
        <is>
          <t>Retail-Plus</t>
        </is>
      </c>
      <c r="D1117" t="inlineStr">
        <is>
          <t>web</t>
        </is>
      </c>
      <c r="E1117" s="7" t="n">
        <v>46286</v>
      </c>
      <c r="F1117" t="n">
        <v>1990</v>
      </c>
      <c r="G1117" t="n">
        <v>1990</v>
      </c>
      <c r="H1117" t="inlineStr">
        <is>
          <t>2026-09-23</t>
        </is>
      </c>
      <c r="I1117">
        <f>IF(MONTH(E1117)&lt;=6,"Q1","Q2")</f>
        <v/>
      </c>
      <c r="J1117">
        <f>YEAR(E1117)*100+MONTH(E1117)</f>
        <v/>
      </c>
      <c r="K1117">
        <f>IF(COUNTIF($A$2:A1117,A1117)=1,1,0)</f>
        <v/>
      </c>
      <c r="L1117">
        <f>IF(K1117=1,IF(COUNTIFS($B$2:B1117,B1117,$I$2:I1117,I1117,$K$2:K1117,1)=1,1,0),0)</f>
        <v/>
      </c>
      <c r="M1117">
        <f>IF(Tree!$C$4="once per order",F1117*K1117,F1117)</f>
        <v/>
      </c>
      <c r="N1117">
        <f>IF(Tree!$C$4="once per order",K1117,1)</f>
        <v/>
      </c>
      <c r="O1117">
        <f>IF(Tree!$C$4="once per order",L1117,1)</f>
        <v/>
      </c>
    </row>
    <row r="1118">
      <c r="A1118" t="inlineStr">
        <is>
          <t>KR-00737</t>
        </is>
      </c>
      <c r="B1118" t="inlineStr">
        <is>
          <t>C-0191</t>
        </is>
      </c>
      <c r="C1118" t="inlineStr">
        <is>
          <t>Retail-Plus</t>
        </is>
      </c>
      <c r="D1118" t="inlineStr">
        <is>
          <t>store</t>
        </is>
      </c>
      <c r="E1118" s="7" t="n">
        <v>46229</v>
      </c>
      <c r="F1118" t="n">
        <v>2210</v>
      </c>
      <c r="G1118" t="n">
        <v>2210</v>
      </c>
      <c r="H1118" t="inlineStr">
        <is>
          <t>2026-07-28</t>
        </is>
      </c>
      <c r="I1118">
        <f>IF(MONTH(E1118)&lt;=6,"Q1","Q2")</f>
        <v/>
      </c>
      <c r="J1118">
        <f>YEAR(E1118)*100+MONTH(E1118)</f>
        <v/>
      </c>
      <c r="K1118">
        <f>IF(COUNTIF($A$2:A1118,A1118)=1,1,0)</f>
        <v/>
      </c>
      <c r="L1118">
        <f>IF(K1118=1,IF(COUNTIFS($B$2:B1118,B1118,$I$2:I1118,I1118,$K$2:K1118,1)=1,1,0),0)</f>
        <v/>
      </c>
      <c r="M1118">
        <f>IF(Tree!$C$4="once per order",F1118*K1118,F1118)</f>
        <v/>
      </c>
      <c r="N1118">
        <f>IF(Tree!$C$4="once per order",K1118,1)</f>
        <v/>
      </c>
      <c r="O1118">
        <f>IF(Tree!$C$4="once per order",L1118,1)</f>
        <v/>
      </c>
    </row>
    <row r="1119">
      <c r="A1119" t="inlineStr">
        <is>
          <t>KR-00738</t>
        </is>
      </c>
      <c r="B1119" t="inlineStr">
        <is>
          <t>C-0224</t>
        </is>
      </c>
      <c r="C1119" t="inlineStr">
        <is>
          <t>Retail-Plus</t>
        </is>
      </c>
      <c r="D1119" t="inlineStr">
        <is>
          <t>app</t>
        </is>
      </c>
      <c r="E1119" s="7" t="n">
        <v>46259</v>
      </c>
      <c r="F1119" t="n">
        <v>3790</v>
      </c>
      <c r="G1119" t="n">
        <v>2274</v>
      </c>
      <c r="H1119" t="inlineStr">
        <is>
          <t>2026-08-27</t>
        </is>
      </c>
      <c r="I1119">
        <f>IF(MONTH(E1119)&lt;=6,"Q1","Q2")</f>
        <v/>
      </c>
      <c r="J1119">
        <f>YEAR(E1119)*100+MONTH(E1119)</f>
        <v/>
      </c>
      <c r="K1119">
        <f>IF(COUNTIF($A$2:A1119,A1119)=1,1,0)</f>
        <v/>
      </c>
      <c r="L1119">
        <f>IF(K1119=1,IF(COUNTIFS($B$2:B1119,B1119,$I$2:I1119,I1119,$K$2:K1119,1)=1,1,0),0)</f>
        <v/>
      </c>
      <c r="M1119">
        <f>IF(Tree!$C$4="once per order",F1119*K1119,F1119)</f>
        <v/>
      </c>
      <c r="N1119">
        <f>IF(Tree!$C$4="once per order",K1119,1)</f>
        <v/>
      </c>
      <c r="O1119">
        <f>IF(Tree!$C$4="once per order",L1119,1)</f>
        <v/>
      </c>
    </row>
    <row r="1120">
      <c r="A1120" t="inlineStr">
        <is>
          <t>KR-00738</t>
        </is>
      </c>
      <c r="B1120" t="inlineStr">
        <is>
          <t>C-0224</t>
        </is>
      </c>
      <c r="C1120" t="inlineStr">
        <is>
          <t>Retail-Plus</t>
        </is>
      </c>
      <c r="D1120" t="inlineStr">
        <is>
          <t>app</t>
        </is>
      </c>
      <c r="E1120" s="7" t="n">
        <v>46259</v>
      </c>
      <c r="F1120" t="n">
        <v>3790</v>
      </c>
      <c r="G1120" t="n">
        <v>1516</v>
      </c>
      <c r="H1120" t="inlineStr">
        <is>
          <t>2026-08-27</t>
        </is>
      </c>
      <c r="I1120">
        <f>IF(MONTH(E1120)&lt;=6,"Q1","Q2")</f>
        <v/>
      </c>
      <c r="J1120">
        <f>YEAR(E1120)*100+MONTH(E1120)</f>
        <v/>
      </c>
      <c r="K1120">
        <f>IF(COUNTIF($A$2:A1120,A1120)=1,1,0)</f>
        <v/>
      </c>
      <c r="L1120">
        <f>IF(K1120=1,IF(COUNTIFS($B$2:B1120,B1120,$I$2:I1120,I1120,$K$2:K1120,1)=1,1,0),0)</f>
        <v/>
      </c>
      <c r="M1120">
        <f>IF(Tree!$C$4="once per order",F1120*K1120,F1120)</f>
        <v/>
      </c>
      <c r="N1120">
        <f>IF(Tree!$C$4="once per order",K1120,1)</f>
        <v/>
      </c>
      <c r="O1120">
        <f>IF(Tree!$C$4="once per order",L1120,1)</f>
        <v/>
      </c>
    </row>
    <row r="1121">
      <c r="A1121" t="inlineStr">
        <is>
          <t>KR-00739</t>
        </is>
      </c>
      <c r="B1121" t="inlineStr">
        <is>
          <t>C-0185</t>
        </is>
      </c>
      <c r="C1121" t="inlineStr">
        <is>
          <t>Retail-Plus</t>
        </is>
      </c>
      <c r="D1121" t="inlineStr">
        <is>
          <t>web</t>
        </is>
      </c>
      <c r="E1121" s="7" t="n">
        <v>46267</v>
      </c>
      <c r="F1121" t="n">
        <v>1450</v>
      </c>
      <c r="G1121" t="n">
        <v>1450</v>
      </c>
      <c r="H1121" t="inlineStr">
        <is>
          <t>2026-09-04</t>
        </is>
      </c>
      <c r="I1121">
        <f>IF(MONTH(E1121)&lt;=6,"Q1","Q2")</f>
        <v/>
      </c>
      <c r="J1121">
        <f>YEAR(E1121)*100+MONTH(E1121)</f>
        <v/>
      </c>
      <c r="K1121">
        <f>IF(COUNTIF($A$2:A1121,A1121)=1,1,0)</f>
        <v/>
      </c>
      <c r="L1121">
        <f>IF(K1121=1,IF(COUNTIFS($B$2:B1121,B1121,$I$2:I1121,I1121,$K$2:K1121,1)=1,1,0),0)</f>
        <v/>
      </c>
      <c r="M1121">
        <f>IF(Tree!$C$4="once per order",F1121*K1121,F1121)</f>
        <v/>
      </c>
      <c r="N1121">
        <f>IF(Tree!$C$4="once per order",K1121,1)</f>
        <v/>
      </c>
      <c r="O1121">
        <f>IF(Tree!$C$4="once per order",L1121,1)</f>
        <v/>
      </c>
    </row>
    <row r="1122">
      <c r="A1122" t="inlineStr">
        <is>
          <t>KR-00740</t>
        </is>
      </c>
      <c r="B1122" t="inlineStr">
        <is>
          <t>C-0181</t>
        </is>
      </c>
      <c r="C1122" t="inlineStr">
        <is>
          <t>Retail-Plus</t>
        </is>
      </c>
      <c r="D1122" t="inlineStr">
        <is>
          <t>web</t>
        </is>
      </c>
      <c r="E1122" s="7" t="n">
        <v>46214</v>
      </c>
      <c r="F1122" t="n">
        <v>1350</v>
      </c>
      <c r="G1122" t="n">
        <v>1350</v>
      </c>
      <c r="H1122" t="inlineStr">
        <is>
          <t>2026-07-13</t>
        </is>
      </c>
      <c r="I1122">
        <f>IF(MONTH(E1122)&lt;=6,"Q1","Q2")</f>
        <v/>
      </c>
      <c r="J1122">
        <f>YEAR(E1122)*100+MONTH(E1122)</f>
        <v/>
      </c>
      <c r="K1122">
        <f>IF(COUNTIF($A$2:A1122,A1122)=1,1,0)</f>
        <v/>
      </c>
      <c r="L1122">
        <f>IF(K1122=1,IF(COUNTIFS($B$2:B1122,B1122,$I$2:I1122,I1122,$K$2:K1122,1)=1,1,0),0)</f>
        <v/>
      </c>
      <c r="M1122">
        <f>IF(Tree!$C$4="once per order",F1122*K1122,F1122)</f>
        <v/>
      </c>
      <c r="N1122">
        <f>IF(Tree!$C$4="once per order",K1122,1)</f>
        <v/>
      </c>
      <c r="O1122">
        <f>IF(Tree!$C$4="once per order",L1122,1)</f>
        <v/>
      </c>
    </row>
    <row r="1123">
      <c r="A1123" t="inlineStr">
        <is>
          <t>KR-00741</t>
        </is>
      </c>
      <c r="B1123" t="inlineStr">
        <is>
          <t>C-0239</t>
        </is>
      </c>
      <c r="C1123" t="inlineStr">
        <is>
          <t>Retail-Plus</t>
        </is>
      </c>
      <c r="D1123" t="inlineStr">
        <is>
          <t>store</t>
        </is>
      </c>
      <c r="E1123" s="7" t="n">
        <v>46257</v>
      </c>
      <c r="F1123" t="n">
        <v>3370</v>
      </c>
      <c r="G1123" t="n">
        <v>2022</v>
      </c>
      <c r="H1123" t="inlineStr">
        <is>
          <t>2026-08-25</t>
        </is>
      </c>
      <c r="I1123">
        <f>IF(MONTH(E1123)&lt;=6,"Q1","Q2")</f>
        <v/>
      </c>
      <c r="J1123">
        <f>YEAR(E1123)*100+MONTH(E1123)</f>
        <v/>
      </c>
      <c r="K1123">
        <f>IF(COUNTIF($A$2:A1123,A1123)=1,1,0)</f>
        <v/>
      </c>
      <c r="L1123">
        <f>IF(K1123=1,IF(COUNTIFS($B$2:B1123,B1123,$I$2:I1123,I1123,$K$2:K1123,1)=1,1,0),0)</f>
        <v/>
      </c>
      <c r="M1123">
        <f>IF(Tree!$C$4="once per order",F1123*K1123,F1123)</f>
        <v/>
      </c>
      <c r="N1123">
        <f>IF(Tree!$C$4="once per order",K1123,1)</f>
        <v/>
      </c>
      <c r="O1123">
        <f>IF(Tree!$C$4="once per order",L1123,1)</f>
        <v/>
      </c>
    </row>
    <row r="1124">
      <c r="A1124" t="inlineStr">
        <is>
          <t>KR-00741</t>
        </is>
      </c>
      <c r="B1124" t="inlineStr">
        <is>
          <t>C-0239</t>
        </is>
      </c>
      <c r="C1124" t="inlineStr">
        <is>
          <t>Retail-Plus</t>
        </is>
      </c>
      <c r="D1124" t="inlineStr">
        <is>
          <t>store</t>
        </is>
      </c>
      <c r="E1124" s="7" t="n">
        <v>46257</v>
      </c>
      <c r="F1124" t="n">
        <v>3370</v>
      </c>
      <c r="G1124" t="n">
        <v>1348</v>
      </c>
      <c r="H1124" t="inlineStr">
        <is>
          <t>2026-08-25</t>
        </is>
      </c>
      <c r="I1124">
        <f>IF(MONTH(E1124)&lt;=6,"Q1","Q2")</f>
        <v/>
      </c>
      <c r="J1124">
        <f>YEAR(E1124)*100+MONTH(E1124)</f>
        <v/>
      </c>
      <c r="K1124">
        <f>IF(COUNTIF($A$2:A1124,A1124)=1,1,0)</f>
        <v/>
      </c>
      <c r="L1124">
        <f>IF(K1124=1,IF(COUNTIFS($B$2:B1124,B1124,$I$2:I1124,I1124,$K$2:K1124,1)=1,1,0),0)</f>
        <v/>
      </c>
      <c r="M1124">
        <f>IF(Tree!$C$4="once per order",F1124*K1124,F1124)</f>
        <v/>
      </c>
      <c r="N1124">
        <f>IF(Tree!$C$4="once per order",K1124,1)</f>
        <v/>
      </c>
      <c r="O1124">
        <f>IF(Tree!$C$4="once per order",L1124,1)</f>
        <v/>
      </c>
    </row>
    <row r="1125">
      <c r="A1125" t="inlineStr">
        <is>
          <t>KR-00742</t>
        </is>
      </c>
      <c r="B1125" t="inlineStr">
        <is>
          <t>C-0231</t>
        </is>
      </c>
      <c r="C1125" t="inlineStr">
        <is>
          <t>Retail-Plus</t>
        </is>
      </c>
      <c r="D1125" t="inlineStr">
        <is>
          <t>web</t>
        </is>
      </c>
      <c r="E1125" s="7" t="n">
        <v>46266</v>
      </c>
      <c r="F1125" t="n">
        <v>1340</v>
      </c>
      <c r="G1125" t="n">
        <v>1340</v>
      </c>
      <c r="H1125" t="inlineStr">
        <is>
          <t>2026-09-03</t>
        </is>
      </c>
      <c r="I1125">
        <f>IF(MONTH(E1125)&lt;=6,"Q1","Q2")</f>
        <v/>
      </c>
      <c r="J1125">
        <f>YEAR(E1125)*100+MONTH(E1125)</f>
        <v/>
      </c>
      <c r="K1125">
        <f>IF(COUNTIF($A$2:A1125,A1125)=1,1,0)</f>
        <v/>
      </c>
      <c r="L1125">
        <f>IF(K1125=1,IF(COUNTIFS($B$2:B1125,B1125,$I$2:I1125,I1125,$K$2:K1125,1)=1,1,0),0)</f>
        <v/>
      </c>
      <c r="M1125">
        <f>IF(Tree!$C$4="once per order",F1125*K1125,F1125)</f>
        <v/>
      </c>
      <c r="N1125">
        <f>IF(Tree!$C$4="once per order",K1125,1)</f>
        <v/>
      </c>
      <c r="O1125">
        <f>IF(Tree!$C$4="once per order",L1125,1)</f>
        <v/>
      </c>
    </row>
    <row r="1126">
      <c r="A1126" t="inlineStr">
        <is>
          <t>KR-00743</t>
        </is>
      </c>
      <c r="B1126" t="inlineStr">
        <is>
          <t>C-0212</t>
        </is>
      </c>
      <c r="C1126" t="inlineStr">
        <is>
          <t>Retail-Plus</t>
        </is>
      </c>
      <c r="D1126" t="inlineStr">
        <is>
          <t>app</t>
        </is>
      </c>
      <c r="E1126" s="7" t="n">
        <v>46219</v>
      </c>
      <c r="F1126" t="n">
        <v>4130</v>
      </c>
      <c r="G1126" t="n">
        <v>2478</v>
      </c>
      <c r="H1126" t="inlineStr">
        <is>
          <t>2026-07-18</t>
        </is>
      </c>
      <c r="I1126">
        <f>IF(MONTH(E1126)&lt;=6,"Q1","Q2")</f>
        <v/>
      </c>
      <c r="J1126">
        <f>YEAR(E1126)*100+MONTH(E1126)</f>
        <v/>
      </c>
      <c r="K1126">
        <f>IF(COUNTIF($A$2:A1126,A1126)=1,1,0)</f>
        <v/>
      </c>
      <c r="L1126">
        <f>IF(K1126=1,IF(COUNTIFS($B$2:B1126,B1126,$I$2:I1126,I1126,$K$2:K1126,1)=1,1,0),0)</f>
        <v/>
      </c>
      <c r="M1126">
        <f>IF(Tree!$C$4="once per order",F1126*K1126,F1126)</f>
        <v/>
      </c>
      <c r="N1126">
        <f>IF(Tree!$C$4="once per order",K1126,1)</f>
        <v/>
      </c>
      <c r="O1126">
        <f>IF(Tree!$C$4="once per order",L1126,1)</f>
        <v/>
      </c>
    </row>
    <row r="1127">
      <c r="A1127" t="inlineStr">
        <is>
          <t>KR-00743</t>
        </is>
      </c>
      <c r="B1127" t="inlineStr">
        <is>
          <t>C-0212</t>
        </is>
      </c>
      <c r="C1127" t="inlineStr">
        <is>
          <t>Retail-Plus</t>
        </is>
      </c>
      <c r="D1127" t="inlineStr">
        <is>
          <t>app</t>
        </is>
      </c>
      <c r="E1127" s="7" t="n">
        <v>46219</v>
      </c>
      <c r="F1127" t="n">
        <v>4130</v>
      </c>
      <c r="G1127" t="n">
        <v>1652</v>
      </c>
      <c r="H1127" t="inlineStr">
        <is>
          <t>2026-07-18</t>
        </is>
      </c>
      <c r="I1127">
        <f>IF(MONTH(E1127)&lt;=6,"Q1","Q2")</f>
        <v/>
      </c>
      <c r="J1127">
        <f>YEAR(E1127)*100+MONTH(E1127)</f>
        <v/>
      </c>
      <c r="K1127">
        <f>IF(COUNTIF($A$2:A1127,A1127)=1,1,0)</f>
        <v/>
      </c>
      <c r="L1127">
        <f>IF(K1127=1,IF(COUNTIFS($B$2:B1127,B1127,$I$2:I1127,I1127,$K$2:K1127,1)=1,1,0),0)</f>
        <v/>
      </c>
      <c r="M1127">
        <f>IF(Tree!$C$4="once per order",F1127*K1127,F1127)</f>
        <v/>
      </c>
      <c r="N1127">
        <f>IF(Tree!$C$4="once per order",K1127,1)</f>
        <v/>
      </c>
      <c r="O1127">
        <f>IF(Tree!$C$4="once per order",L1127,1)</f>
        <v/>
      </c>
    </row>
    <row r="1128">
      <c r="A1128" t="inlineStr">
        <is>
          <t>KR-00744</t>
        </is>
      </c>
      <c r="B1128" t="inlineStr">
        <is>
          <t>C-0196</t>
        </is>
      </c>
      <c r="C1128" t="inlineStr">
        <is>
          <t>Retail-Plus</t>
        </is>
      </c>
      <c r="D1128" t="inlineStr">
        <is>
          <t>store</t>
        </is>
      </c>
      <c r="E1128" s="7" t="n">
        <v>46248</v>
      </c>
      <c r="F1128" t="n">
        <v>2380</v>
      </c>
      <c r="G1128" t="n">
        <v>2380</v>
      </c>
      <c r="H1128" t="inlineStr">
        <is>
          <t>2026-08-16</t>
        </is>
      </c>
      <c r="I1128">
        <f>IF(MONTH(E1128)&lt;=6,"Q1","Q2")</f>
        <v/>
      </c>
      <c r="J1128">
        <f>YEAR(E1128)*100+MONTH(E1128)</f>
        <v/>
      </c>
      <c r="K1128">
        <f>IF(COUNTIF($A$2:A1128,A1128)=1,1,0)</f>
        <v/>
      </c>
      <c r="L1128">
        <f>IF(K1128=1,IF(COUNTIFS($B$2:B1128,B1128,$I$2:I1128,I1128,$K$2:K1128,1)=1,1,0),0)</f>
        <v/>
      </c>
      <c r="M1128">
        <f>IF(Tree!$C$4="once per order",F1128*K1128,F1128)</f>
        <v/>
      </c>
      <c r="N1128">
        <f>IF(Tree!$C$4="once per order",K1128,1)</f>
        <v/>
      </c>
      <c r="O1128">
        <f>IF(Tree!$C$4="once per order",L1128,1)</f>
        <v/>
      </c>
    </row>
    <row r="1129">
      <c r="A1129" t="inlineStr">
        <is>
          <t>KR-00745</t>
        </is>
      </c>
      <c r="B1129" t="inlineStr">
        <is>
          <t>C-0219</t>
        </is>
      </c>
      <c r="C1129" t="inlineStr">
        <is>
          <t>Retail-Plus</t>
        </is>
      </c>
      <c r="D1129" t="inlineStr">
        <is>
          <t>app</t>
        </is>
      </c>
      <c r="E1129" s="7" t="n">
        <v>46281</v>
      </c>
      <c r="F1129" t="n">
        <v>1920</v>
      </c>
      <c r="G1129" t="n">
        <v>1920</v>
      </c>
      <c r="H1129" t="inlineStr">
        <is>
          <t>2026-09-18</t>
        </is>
      </c>
      <c r="I1129">
        <f>IF(MONTH(E1129)&lt;=6,"Q1","Q2")</f>
        <v/>
      </c>
      <c r="J1129">
        <f>YEAR(E1129)*100+MONTH(E1129)</f>
        <v/>
      </c>
      <c r="K1129">
        <f>IF(COUNTIF($A$2:A1129,A1129)=1,1,0)</f>
        <v/>
      </c>
      <c r="L1129">
        <f>IF(K1129=1,IF(COUNTIFS($B$2:B1129,B1129,$I$2:I1129,I1129,$K$2:K1129,1)=1,1,0),0)</f>
        <v/>
      </c>
      <c r="M1129">
        <f>IF(Tree!$C$4="once per order",F1129*K1129,F1129)</f>
        <v/>
      </c>
      <c r="N1129">
        <f>IF(Tree!$C$4="once per order",K1129,1)</f>
        <v/>
      </c>
      <c r="O1129">
        <f>IF(Tree!$C$4="once per order",L1129,1)</f>
        <v/>
      </c>
    </row>
    <row r="1130">
      <c r="A1130" t="inlineStr">
        <is>
          <t>KR-00746</t>
        </is>
      </c>
      <c r="B1130" t="inlineStr">
        <is>
          <t>C-0165</t>
        </is>
      </c>
      <c r="C1130" t="inlineStr">
        <is>
          <t>Retail-Plus</t>
        </is>
      </c>
      <c r="D1130" t="inlineStr">
        <is>
          <t>web</t>
        </is>
      </c>
      <c r="E1130" s="7" t="n">
        <v>46206</v>
      </c>
      <c r="F1130" t="n">
        <v>3110</v>
      </c>
      <c r="G1130" t="n">
        <v>1866</v>
      </c>
      <c r="H1130" t="inlineStr">
        <is>
          <t>2026-07-05</t>
        </is>
      </c>
      <c r="I1130">
        <f>IF(MONTH(E1130)&lt;=6,"Q1","Q2")</f>
        <v/>
      </c>
      <c r="J1130">
        <f>YEAR(E1130)*100+MONTH(E1130)</f>
        <v/>
      </c>
      <c r="K1130">
        <f>IF(COUNTIF($A$2:A1130,A1130)=1,1,0)</f>
        <v/>
      </c>
      <c r="L1130">
        <f>IF(K1130=1,IF(COUNTIFS($B$2:B1130,B1130,$I$2:I1130,I1130,$K$2:K1130,1)=1,1,0),0)</f>
        <v/>
      </c>
      <c r="M1130">
        <f>IF(Tree!$C$4="once per order",F1130*K1130,F1130)</f>
        <v/>
      </c>
      <c r="N1130">
        <f>IF(Tree!$C$4="once per order",K1130,1)</f>
        <v/>
      </c>
      <c r="O1130">
        <f>IF(Tree!$C$4="once per order",L1130,1)</f>
        <v/>
      </c>
    </row>
    <row r="1131">
      <c r="A1131" t="inlineStr">
        <is>
          <t>KR-00746</t>
        </is>
      </c>
      <c r="B1131" t="inlineStr">
        <is>
          <t>C-0165</t>
        </is>
      </c>
      <c r="C1131" t="inlineStr">
        <is>
          <t>Retail-Plus</t>
        </is>
      </c>
      <c r="D1131" t="inlineStr">
        <is>
          <t>web</t>
        </is>
      </c>
      <c r="E1131" s="7" t="n">
        <v>46206</v>
      </c>
      <c r="F1131" t="n">
        <v>3110</v>
      </c>
      <c r="G1131" t="n">
        <v>1244</v>
      </c>
      <c r="H1131" t="inlineStr">
        <is>
          <t>2026-07-05</t>
        </is>
      </c>
      <c r="I1131">
        <f>IF(MONTH(E1131)&lt;=6,"Q1","Q2")</f>
        <v/>
      </c>
      <c r="J1131">
        <f>YEAR(E1131)*100+MONTH(E1131)</f>
        <v/>
      </c>
      <c r="K1131">
        <f>IF(COUNTIF($A$2:A1131,A1131)=1,1,0)</f>
        <v/>
      </c>
      <c r="L1131">
        <f>IF(K1131=1,IF(COUNTIFS($B$2:B1131,B1131,$I$2:I1131,I1131,$K$2:K1131,1)=1,1,0),0)</f>
        <v/>
      </c>
      <c r="M1131">
        <f>IF(Tree!$C$4="once per order",F1131*K1131,F1131)</f>
        <v/>
      </c>
      <c r="N1131">
        <f>IF(Tree!$C$4="once per order",K1131,1)</f>
        <v/>
      </c>
      <c r="O1131">
        <f>IF(Tree!$C$4="once per order",L1131,1)</f>
        <v/>
      </c>
    </row>
    <row r="1132">
      <c r="A1132" t="inlineStr">
        <is>
          <t>KR-00747</t>
        </is>
      </c>
      <c r="B1132" t="inlineStr">
        <is>
          <t>C-0164</t>
        </is>
      </c>
      <c r="C1132" t="inlineStr">
        <is>
          <t>Retail-Plus</t>
        </is>
      </c>
      <c r="D1132" t="inlineStr">
        <is>
          <t>app</t>
        </is>
      </c>
      <c r="E1132" s="7" t="n">
        <v>46237</v>
      </c>
      <c r="F1132" t="n">
        <v>3490</v>
      </c>
      <c r="G1132" t="n">
        <v>2094</v>
      </c>
      <c r="H1132" t="inlineStr">
        <is>
          <t>2026-08-05</t>
        </is>
      </c>
      <c r="I1132">
        <f>IF(MONTH(E1132)&lt;=6,"Q1","Q2")</f>
        <v/>
      </c>
      <c r="J1132">
        <f>YEAR(E1132)*100+MONTH(E1132)</f>
        <v/>
      </c>
      <c r="K1132">
        <f>IF(COUNTIF($A$2:A1132,A1132)=1,1,0)</f>
        <v/>
      </c>
      <c r="L1132">
        <f>IF(K1132=1,IF(COUNTIFS($B$2:B1132,B1132,$I$2:I1132,I1132,$K$2:K1132,1)=1,1,0),0)</f>
        <v/>
      </c>
      <c r="M1132">
        <f>IF(Tree!$C$4="once per order",F1132*K1132,F1132)</f>
        <v/>
      </c>
      <c r="N1132">
        <f>IF(Tree!$C$4="once per order",K1132,1)</f>
        <v/>
      </c>
      <c r="O1132">
        <f>IF(Tree!$C$4="once per order",L1132,1)</f>
        <v/>
      </c>
    </row>
    <row r="1133">
      <c r="A1133" t="inlineStr">
        <is>
          <t>KR-00747</t>
        </is>
      </c>
      <c r="B1133" t="inlineStr">
        <is>
          <t>C-0164</t>
        </is>
      </c>
      <c r="C1133" t="inlineStr">
        <is>
          <t>Retail-Plus</t>
        </is>
      </c>
      <c r="D1133" t="inlineStr">
        <is>
          <t>app</t>
        </is>
      </c>
      <c r="E1133" s="7" t="n">
        <v>46237</v>
      </c>
      <c r="F1133" t="n">
        <v>3490</v>
      </c>
      <c r="G1133" t="n">
        <v>1396</v>
      </c>
      <c r="H1133" t="inlineStr">
        <is>
          <t>2026-08-05</t>
        </is>
      </c>
      <c r="I1133">
        <f>IF(MONTH(E1133)&lt;=6,"Q1","Q2")</f>
        <v/>
      </c>
      <c r="J1133">
        <f>YEAR(E1133)*100+MONTH(E1133)</f>
        <v/>
      </c>
      <c r="K1133">
        <f>IF(COUNTIF($A$2:A1133,A1133)=1,1,0)</f>
        <v/>
      </c>
      <c r="L1133">
        <f>IF(K1133=1,IF(COUNTIFS($B$2:B1133,B1133,$I$2:I1133,I1133,$K$2:K1133,1)=1,1,0),0)</f>
        <v/>
      </c>
      <c r="M1133">
        <f>IF(Tree!$C$4="once per order",F1133*K1133,F1133)</f>
        <v/>
      </c>
      <c r="N1133">
        <f>IF(Tree!$C$4="once per order",K1133,1)</f>
        <v/>
      </c>
      <c r="O1133">
        <f>IF(Tree!$C$4="once per order",L1133,1)</f>
        <v/>
      </c>
    </row>
    <row r="1134">
      <c r="A1134" t="inlineStr">
        <is>
          <t>KR-00748</t>
        </is>
      </c>
      <c r="B1134" t="inlineStr">
        <is>
          <t>C-0245</t>
        </is>
      </c>
      <c r="C1134" t="inlineStr">
        <is>
          <t>Retail-Plus</t>
        </is>
      </c>
      <c r="D1134" t="inlineStr">
        <is>
          <t>web</t>
        </is>
      </c>
      <c r="E1134" s="7" t="n">
        <v>46269</v>
      </c>
      <c r="F1134" t="n">
        <v>1590</v>
      </c>
      <c r="G1134" t="n">
        <v>1590</v>
      </c>
      <c r="H1134" t="inlineStr">
        <is>
          <t>2026-09-06</t>
        </is>
      </c>
      <c r="I1134">
        <f>IF(MONTH(E1134)&lt;=6,"Q1","Q2")</f>
        <v/>
      </c>
      <c r="J1134">
        <f>YEAR(E1134)*100+MONTH(E1134)</f>
        <v/>
      </c>
      <c r="K1134">
        <f>IF(COUNTIF($A$2:A1134,A1134)=1,1,0)</f>
        <v/>
      </c>
      <c r="L1134">
        <f>IF(K1134=1,IF(COUNTIFS($B$2:B1134,B1134,$I$2:I1134,I1134,$K$2:K1134,1)=1,1,0),0)</f>
        <v/>
      </c>
      <c r="M1134">
        <f>IF(Tree!$C$4="once per order",F1134*K1134,F1134)</f>
        <v/>
      </c>
      <c r="N1134">
        <f>IF(Tree!$C$4="once per order",K1134,1)</f>
        <v/>
      </c>
      <c r="O1134">
        <f>IF(Tree!$C$4="once per order",L1134,1)</f>
        <v/>
      </c>
    </row>
    <row r="1135">
      <c r="A1135" t="inlineStr">
        <is>
          <t>KR-00749</t>
        </is>
      </c>
      <c r="B1135" t="inlineStr">
        <is>
          <t>C-0270</t>
        </is>
      </c>
      <c r="C1135" t="inlineStr">
        <is>
          <t>Retail-Plus</t>
        </is>
      </c>
      <c r="D1135" t="inlineStr">
        <is>
          <t>web</t>
        </is>
      </c>
      <c r="E1135" s="7" t="n">
        <v>46220</v>
      </c>
      <c r="F1135" t="n">
        <v>4330</v>
      </c>
      <c r="G1135" t="n">
        <v>2598</v>
      </c>
      <c r="H1135" t="inlineStr">
        <is>
          <t>2026-07-19</t>
        </is>
      </c>
      <c r="I1135">
        <f>IF(MONTH(E1135)&lt;=6,"Q1","Q2")</f>
        <v/>
      </c>
      <c r="J1135">
        <f>YEAR(E1135)*100+MONTH(E1135)</f>
        <v/>
      </c>
      <c r="K1135">
        <f>IF(COUNTIF($A$2:A1135,A1135)=1,1,0)</f>
        <v/>
      </c>
      <c r="L1135">
        <f>IF(K1135=1,IF(COUNTIFS($B$2:B1135,B1135,$I$2:I1135,I1135,$K$2:K1135,1)=1,1,0),0)</f>
        <v/>
      </c>
      <c r="M1135">
        <f>IF(Tree!$C$4="once per order",F1135*K1135,F1135)</f>
        <v/>
      </c>
      <c r="N1135">
        <f>IF(Tree!$C$4="once per order",K1135,1)</f>
        <v/>
      </c>
      <c r="O1135">
        <f>IF(Tree!$C$4="once per order",L1135,1)</f>
        <v/>
      </c>
    </row>
    <row r="1136">
      <c r="A1136" t="inlineStr">
        <is>
          <t>KR-00749</t>
        </is>
      </c>
      <c r="B1136" t="inlineStr">
        <is>
          <t>C-0270</t>
        </is>
      </c>
      <c r="C1136" t="inlineStr">
        <is>
          <t>Retail-Plus</t>
        </is>
      </c>
      <c r="D1136" t="inlineStr">
        <is>
          <t>web</t>
        </is>
      </c>
      <c r="E1136" s="7" t="n">
        <v>46220</v>
      </c>
      <c r="F1136" t="n">
        <v>4330</v>
      </c>
      <c r="G1136" t="n">
        <v>1732</v>
      </c>
      <c r="H1136" t="inlineStr">
        <is>
          <t>2026-07-19</t>
        </is>
      </c>
      <c r="I1136">
        <f>IF(MONTH(E1136)&lt;=6,"Q1","Q2")</f>
        <v/>
      </c>
      <c r="J1136">
        <f>YEAR(E1136)*100+MONTH(E1136)</f>
        <v/>
      </c>
      <c r="K1136">
        <f>IF(COUNTIF($A$2:A1136,A1136)=1,1,0)</f>
        <v/>
      </c>
      <c r="L1136">
        <f>IF(K1136=1,IF(COUNTIFS($B$2:B1136,B1136,$I$2:I1136,I1136,$K$2:K1136,1)=1,1,0),0)</f>
        <v/>
      </c>
      <c r="M1136">
        <f>IF(Tree!$C$4="once per order",F1136*K1136,F1136)</f>
        <v/>
      </c>
      <c r="N1136">
        <f>IF(Tree!$C$4="once per order",K1136,1)</f>
        <v/>
      </c>
      <c r="O1136">
        <f>IF(Tree!$C$4="once per order",L1136,1)</f>
        <v/>
      </c>
    </row>
    <row r="1137">
      <c r="A1137" t="inlineStr">
        <is>
          <t>KR-00750</t>
        </is>
      </c>
      <c r="B1137" t="inlineStr">
        <is>
          <t>C-0181</t>
        </is>
      </c>
      <c r="C1137" t="inlineStr">
        <is>
          <t>Retail-Plus</t>
        </is>
      </c>
      <c r="D1137" t="inlineStr">
        <is>
          <t>store</t>
        </is>
      </c>
      <c r="E1137" s="7" t="n">
        <v>46247</v>
      </c>
      <c r="F1137" t="n">
        <v>1580</v>
      </c>
      <c r="G1137" t="n">
        <v>1580</v>
      </c>
      <c r="H1137" t="inlineStr">
        <is>
          <t>2026-08-15</t>
        </is>
      </c>
      <c r="I1137">
        <f>IF(MONTH(E1137)&lt;=6,"Q1","Q2")</f>
        <v/>
      </c>
      <c r="J1137">
        <f>YEAR(E1137)*100+MONTH(E1137)</f>
        <v/>
      </c>
      <c r="K1137">
        <f>IF(COUNTIF($A$2:A1137,A1137)=1,1,0)</f>
        <v/>
      </c>
      <c r="L1137">
        <f>IF(K1137=1,IF(COUNTIFS($B$2:B1137,B1137,$I$2:I1137,I1137,$K$2:K1137,1)=1,1,0),0)</f>
        <v/>
      </c>
      <c r="M1137">
        <f>IF(Tree!$C$4="once per order",F1137*K1137,F1137)</f>
        <v/>
      </c>
      <c r="N1137">
        <f>IF(Tree!$C$4="once per order",K1137,1)</f>
        <v/>
      </c>
      <c r="O1137">
        <f>IF(Tree!$C$4="once per order",L1137,1)</f>
        <v/>
      </c>
    </row>
    <row r="1138">
      <c r="A1138" t="inlineStr">
        <is>
          <t>KR-00751</t>
        </is>
      </c>
      <c r="B1138" t="inlineStr">
        <is>
          <t>C-0252</t>
        </is>
      </c>
      <c r="C1138" t="inlineStr">
        <is>
          <t>Retail-Plus</t>
        </is>
      </c>
      <c r="D1138" t="inlineStr">
        <is>
          <t>app</t>
        </is>
      </c>
      <c r="E1138" s="7" t="n">
        <v>46281</v>
      </c>
      <c r="F1138" t="n">
        <v>3150</v>
      </c>
      <c r="G1138" t="n">
        <v>1890</v>
      </c>
      <c r="H1138" t="inlineStr">
        <is>
          <t>2026-09-18</t>
        </is>
      </c>
      <c r="I1138">
        <f>IF(MONTH(E1138)&lt;=6,"Q1","Q2")</f>
        <v/>
      </c>
      <c r="J1138">
        <f>YEAR(E1138)*100+MONTH(E1138)</f>
        <v/>
      </c>
      <c r="K1138">
        <f>IF(COUNTIF($A$2:A1138,A1138)=1,1,0)</f>
        <v/>
      </c>
      <c r="L1138">
        <f>IF(K1138=1,IF(COUNTIFS($B$2:B1138,B1138,$I$2:I1138,I1138,$K$2:K1138,1)=1,1,0),0)</f>
        <v/>
      </c>
      <c r="M1138">
        <f>IF(Tree!$C$4="once per order",F1138*K1138,F1138)</f>
        <v/>
      </c>
      <c r="N1138">
        <f>IF(Tree!$C$4="once per order",K1138,1)</f>
        <v/>
      </c>
      <c r="O1138">
        <f>IF(Tree!$C$4="once per order",L1138,1)</f>
        <v/>
      </c>
    </row>
    <row r="1139">
      <c r="A1139" t="inlineStr">
        <is>
          <t>KR-00751</t>
        </is>
      </c>
      <c r="B1139" t="inlineStr">
        <is>
          <t>C-0252</t>
        </is>
      </c>
      <c r="C1139" t="inlineStr">
        <is>
          <t>Retail-Plus</t>
        </is>
      </c>
      <c r="D1139" t="inlineStr">
        <is>
          <t>app</t>
        </is>
      </c>
      <c r="E1139" s="7" t="n">
        <v>46281</v>
      </c>
      <c r="F1139" t="n">
        <v>3150</v>
      </c>
      <c r="G1139" t="n">
        <v>1260</v>
      </c>
      <c r="H1139" t="inlineStr">
        <is>
          <t>2026-09-18</t>
        </is>
      </c>
      <c r="I1139">
        <f>IF(MONTH(E1139)&lt;=6,"Q1","Q2")</f>
        <v/>
      </c>
      <c r="J1139">
        <f>YEAR(E1139)*100+MONTH(E1139)</f>
        <v/>
      </c>
      <c r="K1139">
        <f>IF(COUNTIF($A$2:A1139,A1139)=1,1,0)</f>
        <v/>
      </c>
      <c r="L1139">
        <f>IF(K1139=1,IF(COUNTIFS($B$2:B1139,B1139,$I$2:I1139,I1139,$K$2:K1139,1)=1,1,0),0)</f>
        <v/>
      </c>
      <c r="M1139">
        <f>IF(Tree!$C$4="once per order",F1139*K1139,F1139)</f>
        <v/>
      </c>
      <c r="N1139">
        <f>IF(Tree!$C$4="once per order",K1139,1)</f>
        <v/>
      </c>
      <c r="O1139">
        <f>IF(Tree!$C$4="once per order",L1139,1)</f>
        <v/>
      </c>
    </row>
    <row r="1140">
      <c r="A1140" t="inlineStr">
        <is>
          <t>KR-00752</t>
        </is>
      </c>
      <c r="B1140" t="inlineStr">
        <is>
          <t>C-0168</t>
        </is>
      </c>
      <c r="C1140" t="inlineStr">
        <is>
          <t>Retail-Plus</t>
        </is>
      </c>
      <c r="D1140" t="inlineStr">
        <is>
          <t>store</t>
        </is>
      </c>
      <c r="E1140" s="7" t="n">
        <v>46224</v>
      </c>
      <c r="F1140" t="n">
        <v>3720</v>
      </c>
      <c r="G1140" t="n">
        <v>2232</v>
      </c>
      <c r="H1140" t="inlineStr">
        <is>
          <t>2026-07-23</t>
        </is>
      </c>
      <c r="I1140">
        <f>IF(MONTH(E1140)&lt;=6,"Q1","Q2")</f>
        <v/>
      </c>
      <c r="J1140">
        <f>YEAR(E1140)*100+MONTH(E1140)</f>
        <v/>
      </c>
      <c r="K1140">
        <f>IF(COUNTIF($A$2:A1140,A1140)=1,1,0)</f>
        <v/>
      </c>
      <c r="L1140">
        <f>IF(K1140=1,IF(COUNTIFS($B$2:B1140,B1140,$I$2:I1140,I1140,$K$2:K1140,1)=1,1,0),0)</f>
        <v/>
      </c>
      <c r="M1140">
        <f>IF(Tree!$C$4="once per order",F1140*K1140,F1140)</f>
        <v/>
      </c>
      <c r="N1140">
        <f>IF(Tree!$C$4="once per order",K1140,1)</f>
        <v/>
      </c>
      <c r="O1140">
        <f>IF(Tree!$C$4="once per order",L1140,1)</f>
        <v/>
      </c>
    </row>
    <row r="1141">
      <c r="A1141" t="inlineStr">
        <is>
          <t>KR-00752</t>
        </is>
      </c>
      <c r="B1141" t="inlineStr">
        <is>
          <t>C-0168</t>
        </is>
      </c>
      <c r="C1141" t="inlineStr">
        <is>
          <t>Retail-Plus</t>
        </is>
      </c>
      <c r="D1141" t="inlineStr">
        <is>
          <t>store</t>
        </is>
      </c>
      <c r="E1141" s="7" t="n">
        <v>46224</v>
      </c>
      <c r="F1141" t="n">
        <v>3720</v>
      </c>
      <c r="G1141" t="n">
        <v>1488</v>
      </c>
      <c r="H1141" t="inlineStr">
        <is>
          <t>2026-07-23</t>
        </is>
      </c>
      <c r="I1141">
        <f>IF(MONTH(E1141)&lt;=6,"Q1","Q2")</f>
        <v/>
      </c>
      <c r="J1141">
        <f>YEAR(E1141)*100+MONTH(E1141)</f>
        <v/>
      </c>
      <c r="K1141">
        <f>IF(COUNTIF($A$2:A1141,A1141)=1,1,0)</f>
        <v/>
      </c>
      <c r="L1141">
        <f>IF(K1141=1,IF(COUNTIFS($B$2:B1141,B1141,$I$2:I1141,I1141,$K$2:K1141,1)=1,1,0),0)</f>
        <v/>
      </c>
      <c r="M1141">
        <f>IF(Tree!$C$4="once per order",F1141*K1141,F1141)</f>
        <v/>
      </c>
      <c r="N1141">
        <f>IF(Tree!$C$4="once per order",K1141,1)</f>
        <v/>
      </c>
      <c r="O1141">
        <f>IF(Tree!$C$4="once per order",L1141,1)</f>
        <v/>
      </c>
    </row>
    <row r="1142">
      <c r="A1142" t="inlineStr">
        <is>
          <t>KR-00753</t>
        </is>
      </c>
      <c r="B1142" t="inlineStr">
        <is>
          <t>C-0170</t>
        </is>
      </c>
      <c r="C1142" t="inlineStr">
        <is>
          <t>Retail-Plus</t>
        </is>
      </c>
      <c r="D1142" t="inlineStr">
        <is>
          <t>store</t>
        </is>
      </c>
      <c r="E1142" s="7" t="n">
        <v>46255</v>
      </c>
      <c r="F1142" t="n">
        <v>4150</v>
      </c>
      <c r="G1142" t="n">
        <v>2490</v>
      </c>
      <c r="H1142" t="inlineStr">
        <is>
          <t>2026-08-23</t>
        </is>
      </c>
      <c r="I1142">
        <f>IF(MONTH(E1142)&lt;=6,"Q1","Q2")</f>
        <v/>
      </c>
      <c r="J1142">
        <f>YEAR(E1142)*100+MONTH(E1142)</f>
        <v/>
      </c>
      <c r="K1142">
        <f>IF(COUNTIF($A$2:A1142,A1142)=1,1,0)</f>
        <v/>
      </c>
      <c r="L1142">
        <f>IF(K1142=1,IF(COUNTIFS($B$2:B1142,B1142,$I$2:I1142,I1142,$K$2:K1142,1)=1,1,0),0)</f>
        <v/>
      </c>
      <c r="M1142">
        <f>IF(Tree!$C$4="once per order",F1142*K1142,F1142)</f>
        <v/>
      </c>
      <c r="N1142">
        <f>IF(Tree!$C$4="once per order",K1142,1)</f>
        <v/>
      </c>
      <c r="O1142">
        <f>IF(Tree!$C$4="once per order",L1142,1)</f>
        <v/>
      </c>
    </row>
    <row r="1143">
      <c r="A1143" t="inlineStr">
        <is>
          <t>KR-00753</t>
        </is>
      </c>
      <c r="B1143" t="inlineStr">
        <is>
          <t>C-0170</t>
        </is>
      </c>
      <c r="C1143" t="inlineStr">
        <is>
          <t>Retail-Plus</t>
        </is>
      </c>
      <c r="D1143" t="inlineStr">
        <is>
          <t>store</t>
        </is>
      </c>
      <c r="E1143" s="7" t="n">
        <v>46255</v>
      </c>
      <c r="F1143" t="n">
        <v>4150</v>
      </c>
      <c r="G1143" t="n">
        <v>1660</v>
      </c>
      <c r="H1143" t="inlineStr">
        <is>
          <t>2026-08-23</t>
        </is>
      </c>
      <c r="I1143">
        <f>IF(MONTH(E1143)&lt;=6,"Q1","Q2")</f>
        <v/>
      </c>
      <c r="J1143">
        <f>YEAR(E1143)*100+MONTH(E1143)</f>
        <v/>
      </c>
      <c r="K1143">
        <f>IF(COUNTIF($A$2:A1143,A1143)=1,1,0)</f>
        <v/>
      </c>
      <c r="L1143">
        <f>IF(K1143=1,IF(COUNTIFS($B$2:B1143,B1143,$I$2:I1143,I1143,$K$2:K1143,1)=1,1,0),0)</f>
        <v/>
      </c>
      <c r="M1143">
        <f>IF(Tree!$C$4="once per order",F1143*K1143,F1143)</f>
        <v/>
      </c>
      <c r="N1143">
        <f>IF(Tree!$C$4="once per order",K1143,1)</f>
        <v/>
      </c>
      <c r="O1143">
        <f>IF(Tree!$C$4="once per order",L1143,1)</f>
        <v/>
      </c>
    </row>
    <row r="1144">
      <c r="A1144" t="inlineStr">
        <is>
          <t>KR-00754</t>
        </is>
      </c>
      <c r="B1144" t="inlineStr">
        <is>
          <t>C-0174</t>
        </is>
      </c>
      <c r="C1144" t="inlineStr">
        <is>
          <t>Retail-Plus</t>
        </is>
      </c>
      <c r="D1144" t="inlineStr">
        <is>
          <t>web</t>
        </is>
      </c>
      <c r="E1144" s="7" t="n">
        <v>46277</v>
      </c>
      <c r="F1144" t="n">
        <v>3780</v>
      </c>
      <c r="G1144" t="n">
        <v>2268</v>
      </c>
      <c r="H1144" t="inlineStr">
        <is>
          <t>2026-09-14</t>
        </is>
      </c>
      <c r="I1144">
        <f>IF(MONTH(E1144)&lt;=6,"Q1","Q2")</f>
        <v/>
      </c>
      <c r="J1144">
        <f>YEAR(E1144)*100+MONTH(E1144)</f>
        <v/>
      </c>
      <c r="K1144">
        <f>IF(COUNTIF($A$2:A1144,A1144)=1,1,0)</f>
        <v/>
      </c>
      <c r="L1144">
        <f>IF(K1144=1,IF(COUNTIFS($B$2:B1144,B1144,$I$2:I1144,I1144,$K$2:K1144,1)=1,1,0),0)</f>
        <v/>
      </c>
      <c r="M1144">
        <f>IF(Tree!$C$4="once per order",F1144*K1144,F1144)</f>
        <v/>
      </c>
      <c r="N1144">
        <f>IF(Tree!$C$4="once per order",K1144,1)</f>
        <v/>
      </c>
      <c r="O1144">
        <f>IF(Tree!$C$4="once per order",L1144,1)</f>
        <v/>
      </c>
    </row>
    <row r="1145">
      <c r="A1145" t="inlineStr">
        <is>
          <t>KR-00754</t>
        </is>
      </c>
      <c r="B1145" t="inlineStr">
        <is>
          <t>C-0174</t>
        </is>
      </c>
      <c r="C1145" t="inlineStr">
        <is>
          <t>Retail-Plus</t>
        </is>
      </c>
      <c r="D1145" t="inlineStr">
        <is>
          <t>web</t>
        </is>
      </c>
      <c r="E1145" s="7" t="n">
        <v>46277</v>
      </c>
      <c r="F1145" t="n">
        <v>3780</v>
      </c>
      <c r="G1145" t="n">
        <v>1512</v>
      </c>
      <c r="H1145" t="inlineStr">
        <is>
          <t>2026-09-14</t>
        </is>
      </c>
      <c r="I1145">
        <f>IF(MONTH(E1145)&lt;=6,"Q1","Q2")</f>
        <v/>
      </c>
      <c r="J1145">
        <f>YEAR(E1145)*100+MONTH(E1145)</f>
        <v/>
      </c>
      <c r="K1145">
        <f>IF(COUNTIF($A$2:A1145,A1145)=1,1,0)</f>
        <v/>
      </c>
      <c r="L1145">
        <f>IF(K1145=1,IF(COUNTIFS($B$2:B1145,B1145,$I$2:I1145,I1145,$K$2:K1145,1)=1,1,0),0)</f>
        <v/>
      </c>
      <c r="M1145">
        <f>IF(Tree!$C$4="once per order",F1145*K1145,F1145)</f>
        <v/>
      </c>
      <c r="N1145">
        <f>IF(Tree!$C$4="once per order",K1145,1)</f>
        <v/>
      </c>
      <c r="O1145">
        <f>IF(Tree!$C$4="once per order",L1145,1)</f>
        <v/>
      </c>
    </row>
    <row r="1146">
      <c r="A1146" t="inlineStr">
        <is>
          <t>KR-00755</t>
        </is>
      </c>
      <c r="B1146" t="inlineStr">
        <is>
          <t>C-0184</t>
        </is>
      </c>
      <c r="C1146" t="inlineStr">
        <is>
          <t>Retail-Plus</t>
        </is>
      </c>
      <c r="D1146" t="inlineStr">
        <is>
          <t>app</t>
        </is>
      </c>
      <c r="E1146" s="7" t="n">
        <v>46228</v>
      </c>
      <c r="F1146" t="n">
        <v>4090</v>
      </c>
      <c r="G1146" t="n">
        <v>2454</v>
      </c>
      <c r="H1146" t="inlineStr">
        <is>
          <t>2026-07-27</t>
        </is>
      </c>
      <c r="I1146">
        <f>IF(MONTH(E1146)&lt;=6,"Q1","Q2")</f>
        <v/>
      </c>
      <c r="J1146">
        <f>YEAR(E1146)*100+MONTH(E1146)</f>
        <v/>
      </c>
      <c r="K1146">
        <f>IF(COUNTIF($A$2:A1146,A1146)=1,1,0)</f>
        <v/>
      </c>
      <c r="L1146">
        <f>IF(K1146=1,IF(COUNTIFS($B$2:B1146,B1146,$I$2:I1146,I1146,$K$2:K1146,1)=1,1,0),0)</f>
        <v/>
      </c>
      <c r="M1146">
        <f>IF(Tree!$C$4="once per order",F1146*K1146,F1146)</f>
        <v/>
      </c>
      <c r="N1146">
        <f>IF(Tree!$C$4="once per order",K1146,1)</f>
        <v/>
      </c>
      <c r="O1146">
        <f>IF(Tree!$C$4="once per order",L1146,1)</f>
        <v/>
      </c>
    </row>
    <row r="1147">
      <c r="A1147" t="inlineStr">
        <is>
          <t>KR-00755</t>
        </is>
      </c>
      <c r="B1147" t="inlineStr">
        <is>
          <t>C-0184</t>
        </is>
      </c>
      <c r="C1147" t="inlineStr">
        <is>
          <t>Retail-Plus</t>
        </is>
      </c>
      <c r="D1147" t="inlineStr">
        <is>
          <t>app</t>
        </is>
      </c>
      <c r="E1147" s="7" t="n">
        <v>46228</v>
      </c>
      <c r="F1147" t="n">
        <v>4090</v>
      </c>
      <c r="G1147" t="n">
        <v>1636</v>
      </c>
      <c r="H1147" t="inlineStr">
        <is>
          <t>2026-07-27</t>
        </is>
      </c>
      <c r="I1147">
        <f>IF(MONTH(E1147)&lt;=6,"Q1","Q2")</f>
        <v/>
      </c>
      <c r="J1147">
        <f>YEAR(E1147)*100+MONTH(E1147)</f>
        <v/>
      </c>
      <c r="K1147">
        <f>IF(COUNTIF($A$2:A1147,A1147)=1,1,0)</f>
        <v/>
      </c>
      <c r="L1147">
        <f>IF(K1147=1,IF(COUNTIFS($B$2:B1147,B1147,$I$2:I1147,I1147,$K$2:K1147,1)=1,1,0),0)</f>
        <v/>
      </c>
      <c r="M1147">
        <f>IF(Tree!$C$4="once per order",F1147*K1147,F1147)</f>
        <v/>
      </c>
      <c r="N1147">
        <f>IF(Tree!$C$4="once per order",K1147,1)</f>
        <v/>
      </c>
      <c r="O1147">
        <f>IF(Tree!$C$4="once per order",L1147,1)</f>
        <v/>
      </c>
    </row>
    <row r="1148">
      <c r="A1148" t="inlineStr">
        <is>
          <t>KR-00756</t>
        </is>
      </c>
      <c r="B1148" t="inlineStr">
        <is>
          <t>C-0186</t>
        </is>
      </c>
      <c r="C1148" t="inlineStr">
        <is>
          <t>Retail-Plus</t>
        </is>
      </c>
      <c r="D1148" t="inlineStr">
        <is>
          <t>web</t>
        </is>
      </c>
      <c r="E1148" s="7" t="n">
        <v>46261</v>
      </c>
      <c r="F1148" t="n">
        <v>2500</v>
      </c>
      <c r="G1148" t="n">
        <v>2500</v>
      </c>
      <c r="H1148" t="inlineStr">
        <is>
          <t>2026-08-28</t>
        </is>
      </c>
      <c r="I1148">
        <f>IF(MONTH(E1148)&lt;=6,"Q1","Q2")</f>
        <v/>
      </c>
      <c r="J1148">
        <f>YEAR(E1148)*100+MONTH(E1148)</f>
        <v/>
      </c>
      <c r="K1148">
        <f>IF(COUNTIF($A$2:A1148,A1148)=1,1,0)</f>
        <v/>
      </c>
      <c r="L1148">
        <f>IF(K1148=1,IF(COUNTIFS($B$2:B1148,B1148,$I$2:I1148,I1148,$K$2:K1148,1)=1,1,0),0)</f>
        <v/>
      </c>
      <c r="M1148">
        <f>IF(Tree!$C$4="once per order",F1148*K1148,F1148)</f>
        <v/>
      </c>
      <c r="N1148">
        <f>IF(Tree!$C$4="once per order",K1148,1)</f>
        <v/>
      </c>
      <c r="O1148">
        <f>IF(Tree!$C$4="once per order",L1148,1)</f>
        <v/>
      </c>
    </row>
    <row r="1149">
      <c r="A1149" t="inlineStr">
        <is>
          <t>KR-00757</t>
        </is>
      </c>
      <c r="B1149" t="inlineStr">
        <is>
          <t>C-0261</t>
        </is>
      </c>
      <c r="C1149" t="inlineStr">
        <is>
          <t>Retail-Plus</t>
        </is>
      </c>
      <c r="D1149" t="inlineStr">
        <is>
          <t>app</t>
        </is>
      </c>
      <c r="E1149" s="7" t="n">
        <v>46292</v>
      </c>
      <c r="F1149" t="n">
        <v>1940</v>
      </c>
      <c r="G1149" t="n">
        <v>1940</v>
      </c>
      <c r="H1149" t="inlineStr">
        <is>
          <t>2026-09-28</t>
        </is>
      </c>
      <c r="I1149">
        <f>IF(MONTH(E1149)&lt;=6,"Q1","Q2")</f>
        <v/>
      </c>
      <c r="J1149">
        <f>YEAR(E1149)*100+MONTH(E1149)</f>
        <v/>
      </c>
      <c r="K1149">
        <f>IF(COUNTIF($A$2:A1149,A1149)=1,1,0)</f>
        <v/>
      </c>
      <c r="L1149">
        <f>IF(K1149=1,IF(COUNTIFS($B$2:B1149,B1149,$I$2:I1149,I1149,$K$2:K1149,1)=1,1,0),0)</f>
        <v/>
      </c>
      <c r="M1149">
        <f>IF(Tree!$C$4="once per order",F1149*K1149,F1149)</f>
        <v/>
      </c>
      <c r="N1149">
        <f>IF(Tree!$C$4="once per order",K1149,1)</f>
        <v/>
      </c>
      <c r="O1149">
        <f>IF(Tree!$C$4="once per order",L1149,1)</f>
        <v/>
      </c>
    </row>
    <row r="1150">
      <c r="A1150" t="inlineStr">
        <is>
          <t>KR-00758</t>
        </is>
      </c>
      <c r="B1150" t="inlineStr">
        <is>
          <t>C-0244</t>
        </is>
      </c>
      <c r="C1150" t="inlineStr">
        <is>
          <t>Retail-Plus</t>
        </is>
      </c>
      <c r="D1150" t="inlineStr">
        <is>
          <t>store</t>
        </is>
      </c>
      <c r="E1150" s="7" t="n">
        <v>46215</v>
      </c>
      <c r="F1150" t="n">
        <v>1300</v>
      </c>
      <c r="G1150" t="n">
        <v>1300</v>
      </c>
      <c r="H1150" t="inlineStr">
        <is>
          <t>2026-07-14</t>
        </is>
      </c>
      <c r="I1150">
        <f>IF(MONTH(E1150)&lt;=6,"Q1","Q2")</f>
        <v/>
      </c>
      <c r="J1150">
        <f>YEAR(E1150)*100+MONTH(E1150)</f>
        <v/>
      </c>
      <c r="K1150">
        <f>IF(COUNTIF($A$2:A1150,A1150)=1,1,0)</f>
        <v/>
      </c>
      <c r="L1150">
        <f>IF(K1150=1,IF(COUNTIFS($B$2:B1150,B1150,$I$2:I1150,I1150,$K$2:K1150,1)=1,1,0),0)</f>
        <v/>
      </c>
      <c r="M1150">
        <f>IF(Tree!$C$4="once per order",F1150*K1150,F1150)</f>
        <v/>
      </c>
      <c r="N1150">
        <f>IF(Tree!$C$4="once per order",K1150,1)</f>
        <v/>
      </c>
      <c r="O1150">
        <f>IF(Tree!$C$4="once per order",L1150,1)</f>
        <v/>
      </c>
    </row>
    <row r="1151">
      <c r="A1151" t="inlineStr">
        <is>
          <t>KR-00759</t>
        </is>
      </c>
      <c r="B1151" t="inlineStr">
        <is>
          <t>C-0205</t>
        </is>
      </c>
      <c r="C1151" t="inlineStr">
        <is>
          <t>Retail-Plus</t>
        </is>
      </c>
      <c r="D1151" t="inlineStr">
        <is>
          <t>app</t>
        </is>
      </c>
      <c r="E1151" s="7" t="n">
        <v>46247</v>
      </c>
      <c r="F1151" t="n">
        <v>3410</v>
      </c>
      <c r="G1151" t="n">
        <v>2046</v>
      </c>
      <c r="H1151" t="inlineStr">
        <is>
          <t>2026-08-15</t>
        </is>
      </c>
      <c r="I1151">
        <f>IF(MONTH(E1151)&lt;=6,"Q1","Q2")</f>
        <v/>
      </c>
      <c r="J1151">
        <f>YEAR(E1151)*100+MONTH(E1151)</f>
        <v/>
      </c>
      <c r="K1151">
        <f>IF(COUNTIF($A$2:A1151,A1151)=1,1,0)</f>
        <v/>
      </c>
      <c r="L1151">
        <f>IF(K1151=1,IF(COUNTIFS($B$2:B1151,B1151,$I$2:I1151,I1151,$K$2:K1151,1)=1,1,0),0)</f>
        <v/>
      </c>
      <c r="M1151">
        <f>IF(Tree!$C$4="once per order",F1151*K1151,F1151)</f>
        <v/>
      </c>
      <c r="N1151">
        <f>IF(Tree!$C$4="once per order",K1151,1)</f>
        <v/>
      </c>
      <c r="O1151">
        <f>IF(Tree!$C$4="once per order",L1151,1)</f>
        <v/>
      </c>
    </row>
    <row r="1152">
      <c r="A1152" t="inlineStr">
        <is>
          <t>KR-00759</t>
        </is>
      </c>
      <c r="B1152" t="inlineStr">
        <is>
          <t>C-0205</t>
        </is>
      </c>
      <c r="C1152" t="inlineStr">
        <is>
          <t>Retail-Plus</t>
        </is>
      </c>
      <c r="D1152" t="inlineStr">
        <is>
          <t>app</t>
        </is>
      </c>
      <c r="E1152" s="7" t="n">
        <v>46247</v>
      </c>
      <c r="F1152" t="n">
        <v>3410</v>
      </c>
      <c r="G1152" t="n">
        <v>1364</v>
      </c>
      <c r="H1152" t="inlineStr">
        <is>
          <t>2026-08-15</t>
        </is>
      </c>
      <c r="I1152">
        <f>IF(MONTH(E1152)&lt;=6,"Q1","Q2")</f>
        <v/>
      </c>
      <c r="J1152">
        <f>YEAR(E1152)*100+MONTH(E1152)</f>
        <v/>
      </c>
      <c r="K1152">
        <f>IF(COUNTIF($A$2:A1152,A1152)=1,1,0)</f>
        <v/>
      </c>
      <c r="L1152">
        <f>IF(K1152=1,IF(COUNTIFS($B$2:B1152,B1152,$I$2:I1152,I1152,$K$2:K1152,1)=1,1,0),0)</f>
        <v/>
      </c>
      <c r="M1152">
        <f>IF(Tree!$C$4="once per order",F1152*K1152,F1152)</f>
        <v/>
      </c>
      <c r="N1152">
        <f>IF(Tree!$C$4="once per order",K1152,1)</f>
        <v/>
      </c>
      <c r="O1152">
        <f>IF(Tree!$C$4="once per order",L1152,1)</f>
        <v/>
      </c>
    </row>
    <row r="1153">
      <c r="A1153" t="inlineStr">
        <is>
          <t>KR-00760</t>
        </is>
      </c>
      <c r="B1153" t="inlineStr">
        <is>
          <t>C-0194</t>
        </is>
      </c>
      <c r="C1153" t="inlineStr">
        <is>
          <t>Retail-Plus</t>
        </is>
      </c>
      <c r="D1153" t="inlineStr">
        <is>
          <t>store</t>
        </is>
      </c>
      <c r="E1153" s="7" t="n">
        <v>46280</v>
      </c>
      <c r="F1153" t="n">
        <v>2740</v>
      </c>
      <c r="G1153" t="n">
        <v>2740</v>
      </c>
      <c r="H1153" t="inlineStr">
        <is>
          <t>2026-09-17</t>
        </is>
      </c>
      <c r="I1153">
        <f>IF(MONTH(E1153)&lt;=6,"Q1","Q2")</f>
        <v/>
      </c>
      <c r="J1153">
        <f>YEAR(E1153)*100+MONTH(E1153)</f>
        <v/>
      </c>
      <c r="K1153">
        <f>IF(COUNTIF($A$2:A1153,A1153)=1,1,0)</f>
        <v/>
      </c>
      <c r="L1153">
        <f>IF(K1153=1,IF(COUNTIFS($B$2:B1153,B1153,$I$2:I1153,I1153,$K$2:K1153,1)=1,1,0),0)</f>
        <v/>
      </c>
      <c r="M1153">
        <f>IF(Tree!$C$4="once per order",F1153*K1153,F1153)</f>
        <v/>
      </c>
      <c r="N1153">
        <f>IF(Tree!$C$4="once per order",K1153,1)</f>
        <v/>
      </c>
      <c r="O1153">
        <f>IF(Tree!$C$4="once per order",L1153,1)</f>
        <v/>
      </c>
    </row>
    <row r="1154">
      <c r="A1154" t="inlineStr">
        <is>
          <t>KR-00761</t>
        </is>
      </c>
      <c r="B1154" t="inlineStr">
        <is>
          <t>C-0170</t>
        </is>
      </c>
      <c r="C1154" t="inlineStr">
        <is>
          <t>Retail-Plus</t>
        </is>
      </c>
      <c r="D1154" t="inlineStr">
        <is>
          <t>web</t>
        </is>
      </c>
      <c r="E1154" s="7" t="n">
        <v>46225</v>
      </c>
      <c r="F1154" t="n">
        <v>2520</v>
      </c>
      <c r="G1154" t="n">
        <v>2520</v>
      </c>
      <c r="H1154" t="inlineStr">
        <is>
          <t>2026-07-24</t>
        </is>
      </c>
      <c r="I1154">
        <f>IF(MONTH(E1154)&lt;=6,"Q1","Q2")</f>
        <v/>
      </c>
      <c r="J1154">
        <f>YEAR(E1154)*100+MONTH(E1154)</f>
        <v/>
      </c>
      <c r="K1154">
        <f>IF(COUNTIF($A$2:A1154,A1154)=1,1,0)</f>
        <v/>
      </c>
      <c r="L1154">
        <f>IF(K1154=1,IF(COUNTIFS($B$2:B1154,B1154,$I$2:I1154,I1154,$K$2:K1154,1)=1,1,0),0)</f>
        <v/>
      </c>
      <c r="M1154">
        <f>IF(Tree!$C$4="once per order",F1154*K1154,F1154)</f>
        <v/>
      </c>
      <c r="N1154">
        <f>IF(Tree!$C$4="once per order",K1154,1)</f>
        <v/>
      </c>
      <c r="O1154">
        <f>IF(Tree!$C$4="once per order",L1154,1)</f>
        <v/>
      </c>
    </row>
    <row r="1155">
      <c r="A1155" t="inlineStr">
        <is>
          <t>KR-00762</t>
        </is>
      </c>
      <c r="B1155" t="inlineStr">
        <is>
          <t>C-0166</t>
        </is>
      </c>
      <c r="C1155" t="inlineStr">
        <is>
          <t>Retail-Plus</t>
        </is>
      </c>
      <c r="D1155" t="inlineStr">
        <is>
          <t>store</t>
        </is>
      </c>
      <c r="E1155" s="7" t="n">
        <v>46241</v>
      </c>
      <c r="F1155" t="n">
        <v>1520</v>
      </c>
      <c r="G1155" t="n">
        <v>1520</v>
      </c>
      <c r="H1155" t="inlineStr">
        <is>
          <t>2026-08-09</t>
        </is>
      </c>
      <c r="I1155">
        <f>IF(MONTH(E1155)&lt;=6,"Q1","Q2")</f>
        <v/>
      </c>
      <c r="J1155">
        <f>YEAR(E1155)*100+MONTH(E1155)</f>
        <v/>
      </c>
      <c r="K1155">
        <f>IF(COUNTIF($A$2:A1155,A1155)=1,1,0)</f>
        <v/>
      </c>
      <c r="L1155">
        <f>IF(K1155=1,IF(COUNTIFS($B$2:B1155,B1155,$I$2:I1155,I1155,$K$2:K1155,1)=1,1,0),0)</f>
        <v/>
      </c>
      <c r="M1155">
        <f>IF(Tree!$C$4="once per order",F1155*K1155,F1155)</f>
        <v/>
      </c>
      <c r="N1155">
        <f>IF(Tree!$C$4="once per order",K1155,1)</f>
        <v/>
      </c>
      <c r="O1155">
        <f>IF(Tree!$C$4="once per order",L1155,1)</f>
        <v/>
      </c>
    </row>
    <row r="1156">
      <c r="A1156" t="inlineStr">
        <is>
          <t>KR-00763</t>
        </is>
      </c>
      <c r="B1156" t="inlineStr">
        <is>
          <t>C-0212</t>
        </is>
      </c>
      <c r="C1156" t="inlineStr">
        <is>
          <t>Retail-Plus</t>
        </is>
      </c>
      <c r="D1156" t="inlineStr">
        <is>
          <t>store</t>
        </is>
      </c>
      <c r="E1156" s="7" t="n">
        <v>46287</v>
      </c>
      <c r="F1156" t="n">
        <v>2110</v>
      </c>
      <c r="G1156" t="n">
        <v>2110</v>
      </c>
      <c r="H1156" t="inlineStr">
        <is>
          <t>2026-09-24</t>
        </is>
      </c>
      <c r="I1156">
        <f>IF(MONTH(E1156)&lt;=6,"Q1","Q2")</f>
        <v/>
      </c>
      <c r="J1156">
        <f>YEAR(E1156)*100+MONTH(E1156)</f>
        <v/>
      </c>
      <c r="K1156">
        <f>IF(COUNTIF($A$2:A1156,A1156)=1,1,0)</f>
        <v/>
      </c>
      <c r="L1156">
        <f>IF(K1156=1,IF(COUNTIFS($B$2:B1156,B1156,$I$2:I1156,I1156,$K$2:K1156,1)=1,1,0),0)</f>
        <v/>
      </c>
      <c r="M1156">
        <f>IF(Tree!$C$4="once per order",F1156*K1156,F1156)</f>
        <v/>
      </c>
      <c r="N1156">
        <f>IF(Tree!$C$4="once per order",K1156,1)</f>
        <v/>
      </c>
      <c r="O1156">
        <f>IF(Tree!$C$4="once per order",L1156,1)</f>
        <v/>
      </c>
    </row>
    <row r="1157">
      <c r="A1157" t="inlineStr">
        <is>
          <t>KR-00764</t>
        </is>
      </c>
      <c r="B1157" t="inlineStr">
        <is>
          <t>C-0172</t>
        </is>
      </c>
      <c r="C1157" t="inlineStr">
        <is>
          <t>Retail-Plus</t>
        </is>
      </c>
      <c r="D1157" t="inlineStr">
        <is>
          <t>web</t>
        </is>
      </c>
      <c r="E1157" s="7" t="n">
        <v>46205</v>
      </c>
      <c r="F1157" t="n">
        <v>3030</v>
      </c>
      <c r="G1157" t="n">
        <v>1818</v>
      </c>
      <c r="H1157" t="inlineStr">
        <is>
          <t>2026-07-04</t>
        </is>
      </c>
      <c r="I1157">
        <f>IF(MONTH(E1157)&lt;=6,"Q1","Q2")</f>
        <v/>
      </c>
      <c r="J1157">
        <f>YEAR(E1157)*100+MONTH(E1157)</f>
        <v/>
      </c>
      <c r="K1157">
        <f>IF(COUNTIF($A$2:A1157,A1157)=1,1,0)</f>
        <v/>
      </c>
      <c r="L1157">
        <f>IF(K1157=1,IF(COUNTIFS($B$2:B1157,B1157,$I$2:I1157,I1157,$K$2:K1157,1)=1,1,0),0)</f>
        <v/>
      </c>
      <c r="M1157">
        <f>IF(Tree!$C$4="once per order",F1157*K1157,F1157)</f>
        <v/>
      </c>
      <c r="N1157">
        <f>IF(Tree!$C$4="once per order",K1157,1)</f>
        <v/>
      </c>
      <c r="O1157">
        <f>IF(Tree!$C$4="once per order",L1157,1)</f>
        <v/>
      </c>
    </row>
    <row r="1158">
      <c r="A1158" t="inlineStr">
        <is>
          <t>KR-00764</t>
        </is>
      </c>
      <c r="B1158" t="inlineStr">
        <is>
          <t>C-0172</t>
        </is>
      </c>
      <c r="C1158" t="inlineStr">
        <is>
          <t>Retail-Plus</t>
        </is>
      </c>
      <c r="D1158" t="inlineStr">
        <is>
          <t>web</t>
        </is>
      </c>
      <c r="E1158" s="7" t="n">
        <v>46205</v>
      </c>
      <c r="F1158" t="n">
        <v>3030</v>
      </c>
      <c r="G1158" t="n">
        <v>1212</v>
      </c>
      <c r="H1158" t="inlineStr">
        <is>
          <t>2026-07-04</t>
        </is>
      </c>
      <c r="I1158">
        <f>IF(MONTH(E1158)&lt;=6,"Q1","Q2")</f>
        <v/>
      </c>
      <c r="J1158">
        <f>YEAR(E1158)*100+MONTH(E1158)</f>
        <v/>
      </c>
      <c r="K1158">
        <f>IF(COUNTIF($A$2:A1158,A1158)=1,1,0)</f>
        <v/>
      </c>
      <c r="L1158">
        <f>IF(K1158=1,IF(COUNTIFS($B$2:B1158,B1158,$I$2:I1158,I1158,$K$2:K1158,1)=1,1,0),0)</f>
        <v/>
      </c>
      <c r="M1158">
        <f>IF(Tree!$C$4="once per order",F1158*K1158,F1158)</f>
        <v/>
      </c>
      <c r="N1158">
        <f>IF(Tree!$C$4="once per order",K1158,1)</f>
        <v/>
      </c>
      <c r="O1158">
        <f>IF(Tree!$C$4="once per order",L1158,1)</f>
        <v/>
      </c>
    </row>
    <row r="1159">
      <c r="A1159" t="inlineStr">
        <is>
          <t>KR-00765</t>
        </is>
      </c>
      <c r="B1159" t="inlineStr">
        <is>
          <t>C-0160</t>
        </is>
      </c>
      <c r="C1159" t="inlineStr">
        <is>
          <t>Retail-Plus</t>
        </is>
      </c>
      <c r="D1159" t="inlineStr">
        <is>
          <t>web</t>
        </is>
      </c>
      <c r="E1159" s="7" t="n">
        <v>46261</v>
      </c>
      <c r="F1159" t="n">
        <v>4160</v>
      </c>
      <c r="G1159" t="n">
        <v>2496</v>
      </c>
      <c r="H1159" t="inlineStr">
        <is>
          <t>2026-08-28</t>
        </is>
      </c>
      <c r="I1159">
        <f>IF(MONTH(E1159)&lt;=6,"Q1","Q2")</f>
        <v/>
      </c>
      <c r="J1159">
        <f>YEAR(E1159)*100+MONTH(E1159)</f>
        <v/>
      </c>
      <c r="K1159">
        <f>IF(COUNTIF($A$2:A1159,A1159)=1,1,0)</f>
        <v/>
      </c>
      <c r="L1159">
        <f>IF(K1159=1,IF(COUNTIFS($B$2:B1159,B1159,$I$2:I1159,I1159,$K$2:K1159,1)=1,1,0),0)</f>
        <v/>
      </c>
      <c r="M1159">
        <f>IF(Tree!$C$4="once per order",F1159*K1159,F1159)</f>
        <v/>
      </c>
      <c r="N1159">
        <f>IF(Tree!$C$4="once per order",K1159,1)</f>
        <v/>
      </c>
      <c r="O1159">
        <f>IF(Tree!$C$4="once per order",L1159,1)</f>
        <v/>
      </c>
    </row>
    <row r="1160">
      <c r="A1160" t="inlineStr">
        <is>
          <t>KR-00765</t>
        </is>
      </c>
      <c r="B1160" t="inlineStr">
        <is>
          <t>C-0160</t>
        </is>
      </c>
      <c r="C1160" t="inlineStr">
        <is>
          <t>Retail-Plus</t>
        </is>
      </c>
      <c r="D1160" t="inlineStr">
        <is>
          <t>web</t>
        </is>
      </c>
      <c r="E1160" s="7" t="n">
        <v>46261</v>
      </c>
      <c r="F1160" t="n">
        <v>4160</v>
      </c>
      <c r="G1160" t="n">
        <v>1664</v>
      </c>
      <c r="H1160" t="inlineStr">
        <is>
          <t>2026-08-28</t>
        </is>
      </c>
      <c r="I1160">
        <f>IF(MONTH(E1160)&lt;=6,"Q1","Q2")</f>
        <v/>
      </c>
      <c r="J1160">
        <f>YEAR(E1160)*100+MONTH(E1160)</f>
        <v/>
      </c>
      <c r="K1160">
        <f>IF(COUNTIF($A$2:A1160,A1160)=1,1,0)</f>
        <v/>
      </c>
      <c r="L1160">
        <f>IF(K1160=1,IF(COUNTIFS($B$2:B1160,B1160,$I$2:I1160,I1160,$K$2:K1160,1)=1,1,0),0)</f>
        <v/>
      </c>
      <c r="M1160">
        <f>IF(Tree!$C$4="once per order",F1160*K1160,F1160)</f>
        <v/>
      </c>
      <c r="N1160">
        <f>IF(Tree!$C$4="once per order",K1160,1)</f>
        <v/>
      </c>
      <c r="O1160">
        <f>IF(Tree!$C$4="once per order",L1160,1)</f>
        <v/>
      </c>
    </row>
    <row r="1161">
      <c r="A1161" t="inlineStr">
        <is>
          <t>KR-00766</t>
        </is>
      </c>
      <c r="B1161" t="inlineStr">
        <is>
          <t>C-0219</t>
        </is>
      </c>
      <c r="C1161" t="inlineStr">
        <is>
          <t>Retail-Plus</t>
        </is>
      </c>
      <c r="D1161" t="inlineStr">
        <is>
          <t>store</t>
        </is>
      </c>
      <c r="E1161" s="7" t="n">
        <v>46293</v>
      </c>
      <c r="F1161" t="n">
        <v>4470</v>
      </c>
      <c r="G1161" t="n">
        <v>2682</v>
      </c>
      <c r="H1161" t="inlineStr">
        <is>
          <t>2026-09-28</t>
        </is>
      </c>
      <c r="I1161">
        <f>IF(MONTH(E1161)&lt;=6,"Q1","Q2")</f>
        <v/>
      </c>
      <c r="J1161">
        <f>YEAR(E1161)*100+MONTH(E1161)</f>
        <v/>
      </c>
      <c r="K1161">
        <f>IF(COUNTIF($A$2:A1161,A1161)=1,1,0)</f>
        <v/>
      </c>
      <c r="L1161">
        <f>IF(K1161=1,IF(COUNTIFS($B$2:B1161,B1161,$I$2:I1161,I1161,$K$2:K1161,1)=1,1,0),0)</f>
        <v/>
      </c>
      <c r="M1161">
        <f>IF(Tree!$C$4="once per order",F1161*K1161,F1161)</f>
        <v/>
      </c>
      <c r="N1161">
        <f>IF(Tree!$C$4="once per order",K1161,1)</f>
        <v/>
      </c>
      <c r="O1161">
        <f>IF(Tree!$C$4="once per order",L1161,1)</f>
        <v/>
      </c>
    </row>
    <row r="1162">
      <c r="A1162" t="inlineStr">
        <is>
          <t>KR-00766</t>
        </is>
      </c>
      <c r="B1162" t="inlineStr">
        <is>
          <t>C-0219</t>
        </is>
      </c>
      <c r="C1162" t="inlineStr">
        <is>
          <t>Retail-Plus</t>
        </is>
      </c>
      <c r="D1162" t="inlineStr">
        <is>
          <t>store</t>
        </is>
      </c>
      <c r="E1162" s="7" t="n">
        <v>46293</v>
      </c>
      <c r="F1162" t="n">
        <v>4470</v>
      </c>
      <c r="G1162" t="n">
        <v>1788</v>
      </c>
      <c r="H1162" t="inlineStr">
        <is>
          <t>2026-09-28</t>
        </is>
      </c>
      <c r="I1162">
        <f>IF(MONTH(E1162)&lt;=6,"Q1","Q2")</f>
        <v/>
      </c>
      <c r="J1162">
        <f>YEAR(E1162)*100+MONTH(E1162)</f>
        <v/>
      </c>
      <c r="K1162">
        <f>IF(COUNTIF($A$2:A1162,A1162)=1,1,0)</f>
        <v/>
      </c>
      <c r="L1162">
        <f>IF(K1162=1,IF(COUNTIFS($B$2:B1162,B1162,$I$2:I1162,I1162,$K$2:K1162,1)=1,1,0),0)</f>
        <v/>
      </c>
      <c r="M1162">
        <f>IF(Tree!$C$4="once per order",F1162*K1162,F1162)</f>
        <v/>
      </c>
      <c r="N1162">
        <f>IF(Tree!$C$4="once per order",K1162,1)</f>
        <v/>
      </c>
      <c r="O1162">
        <f>IF(Tree!$C$4="once per order",L1162,1)</f>
        <v/>
      </c>
    </row>
    <row r="1163">
      <c r="A1163" t="inlineStr">
        <is>
          <t>KR-00767</t>
        </is>
      </c>
      <c r="B1163" t="inlineStr">
        <is>
          <t>C-0170</t>
        </is>
      </c>
      <c r="C1163" t="inlineStr">
        <is>
          <t>Retail-Plus</t>
        </is>
      </c>
      <c r="D1163" t="inlineStr">
        <is>
          <t>app</t>
        </is>
      </c>
      <c r="E1163" s="7" t="n">
        <v>46228</v>
      </c>
      <c r="F1163" t="n">
        <v>3930</v>
      </c>
      <c r="G1163" t="n">
        <v>2358</v>
      </c>
      <c r="H1163" t="inlineStr">
        <is>
          <t>2026-07-27</t>
        </is>
      </c>
      <c r="I1163">
        <f>IF(MONTH(E1163)&lt;=6,"Q1","Q2")</f>
        <v/>
      </c>
      <c r="J1163">
        <f>YEAR(E1163)*100+MONTH(E1163)</f>
        <v/>
      </c>
      <c r="K1163">
        <f>IF(COUNTIF($A$2:A1163,A1163)=1,1,0)</f>
        <v/>
      </c>
      <c r="L1163">
        <f>IF(K1163=1,IF(COUNTIFS($B$2:B1163,B1163,$I$2:I1163,I1163,$K$2:K1163,1)=1,1,0),0)</f>
        <v/>
      </c>
      <c r="M1163">
        <f>IF(Tree!$C$4="once per order",F1163*K1163,F1163)</f>
        <v/>
      </c>
      <c r="N1163">
        <f>IF(Tree!$C$4="once per order",K1163,1)</f>
        <v/>
      </c>
      <c r="O1163">
        <f>IF(Tree!$C$4="once per order",L1163,1)</f>
        <v/>
      </c>
    </row>
    <row r="1164">
      <c r="A1164" t="inlineStr">
        <is>
          <t>KR-00767</t>
        </is>
      </c>
      <c r="B1164" t="inlineStr">
        <is>
          <t>C-0170</t>
        </is>
      </c>
      <c r="C1164" t="inlineStr">
        <is>
          <t>Retail-Plus</t>
        </is>
      </c>
      <c r="D1164" t="inlineStr">
        <is>
          <t>app</t>
        </is>
      </c>
      <c r="E1164" s="7" t="n">
        <v>46228</v>
      </c>
      <c r="F1164" t="n">
        <v>3930</v>
      </c>
      <c r="G1164" t="n">
        <v>1572</v>
      </c>
      <c r="H1164" t="inlineStr">
        <is>
          <t>2026-07-27</t>
        </is>
      </c>
      <c r="I1164">
        <f>IF(MONTH(E1164)&lt;=6,"Q1","Q2")</f>
        <v/>
      </c>
      <c r="J1164">
        <f>YEAR(E1164)*100+MONTH(E1164)</f>
        <v/>
      </c>
      <c r="K1164">
        <f>IF(COUNTIF($A$2:A1164,A1164)=1,1,0)</f>
        <v/>
      </c>
      <c r="L1164">
        <f>IF(K1164=1,IF(COUNTIFS($B$2:B1164,B1164,$I$2:I1164,I1164,$K$2:K1164,1)=1,1,0),0)</f>
        <v/>
      </c>
      <c r="M1164">
        <f>IF(Tree!$C$4="once per order",F1164*K1164,F1164)</f>
        <v/>
      </c>
      <c r="N1164">
        <f>IF(Tree!$C$4="once per order",K1164,1)</f>
        <v/>
      </c>
      <c r="O1164">
        <f>IF(Tree!$C$4="once per order",L1164,1)</f>
        <v/>
      </c>
    </row>
    <row r="1165">
      <c r="A1165" t="inlineStr">
        <is>
          <t>KR-00768</t>
        </is>
      </c>
      <c r="B1165" t="inlineStr">
        <is>
          <t>C-0179</t>
        </is>
      </c>
      <c r="C1165" t="inlineStr">
        <is>
          <t>Retail-Plus</t>
        </is>
      </c>
      <c r="D1165" t="inlineStr">
        <is>
          <t>store</t>
        </is>
      </c>
      <c r="E1165" s="7" t="n">
        <v>46240</v>
      </c>
      <c r="F1165" t="n">
        <v>4150</v>
      </c>
      <c r="G1165" t="n">
        <v>2490</v>
      </c>
      <c r="H1165" t="inlineStr">
        <is>
          <t>2026-08-08</t>
        </is>
      </c>
      <c r="I1165">
        <f>IF(MONTH(E1165)&lt;=6,"Q1","Q2")</f>
        <v/>
      </c>
      <c r="J1165">
        <f>YEAR(E1165)*100+MONTH(E1165)</f>
        <v/>
      </c>
      <c r="K1165">
        <f>IF(COUNTIF($A$2:A1165,A1165)=1,1,0)</f>
        <v/>
      </c>
      <c r="L1165">
        <f>IF(K1165=1,IF(COUNTIFS($B$2:B1165,B1165,$I$2:I1165,I1165,$K$2:K1165,1)=1,1,0),0)</f>
        <v/>
      </c>
      <c r="M1165">
        <f>IF(Tree!$C$4="once per order",F1165*K1165,F1165)</f>
        <v/>
      </c>
      <c r="N1165">
        <f>IF(Tree!$C$4="once per order",K1165,1)</f>
        <v/>
      </c>
      <c r="O1165">
        <f>IF(Tree!$C$4="once per order",L1165,1)</f>
        <v/>
      </c>
    </row>
    <row r="1166">
      <c r="A1166" t="inlineStr">
        <is>
          <t>KR-00768</t>
        </is>
      </c>
      <c r="B1166" t="inlineStr">
        <is>
          <t>C-0179</t>
        </is>
      </c>
      <c r="C1166" t="inlineStr">
        <is>
          <t>Retail-Plus</t>
        </is>
      </c>
      <c r="D1166" t="inlineStr">
        <is>
          <t>store</t>
        </is>
      </c>
      <c r="E1166" s="7" t="n">
        <v>46240</v>
      </c>
      <c r="F1166" t="n">
        <v>4150</v>
      </c>
      <c r="G1166" t="n">
        <v>1660</v>
      </c>
      <c r="H1166" t="inlineStr">
        <is>
          <t>2026-08-08</t>
        </is>
      </c>
      <c r="I1166">
        <f>IF(MONTH(E1166)&lt;=6,"Q1","Q2")</f>
        <v/>
      </c>
      <c r="J1166">
        <f>YEAR(E1166)*100+MONTH(E1166)</f>
        <v/>
      </c>
      <c r="K1166">
        <f>IF(COUNTIF($A$2:A1166,A1166)=1,1,0)</f>
        <v/>
      </c>
      <c r="L1166">
        <f>IF(K1166=1,IF(COUNTIFS($B$2:B1166,B1166,$I$2:I1166,I1166,$K$2:K1166,1)=1,1,0),0)</f>
        <v/>
      </c>
      <c r="M1166">
        <f>IF(Tree!$C$4="once per order",F1166*K1166,F1166)</f>
        <v/>
      </c>
      <c r="N1166">
        <f>IF(Tree!$C$4="once per order",K1166,1)</f>
        <v/>
      </c>
      <c r="O1166">
        <f>IF(Tree!$C$4="once per order",L1166,1)</f>
        <v/>
      </c>
    </row>
    <row r="1167">
      <c r="A1167" t="inlineStr">
        <is>
          <t>KR-00769</t>
        </is>
      </c>
      <c r="B1167" t="inlineStr">
        <is>
          <t>C-0264</t>
        </is>
      </c>
      <c r="C1167" t="inlineStr">
        <is>
          <t>Retail-Plus</t>
        </is>
      </c>
      <c r="D1167" t="inlineStr">
        <is>
          <t>web</t>
        </is>
      </c>
      <c r="E1167" s="7" t="n">
        <v>46285</v>
      </c>
      <c r="F1167" t="n">
        <v>3540</v>
      </c>
      <c r="G1167" t="n">
        <v>2124</v>
      </c>
      <c r="H1167" t="inlineStr">
        <is>
          <t>2026-09-22</t>
        </is>
      </c>
      <c r="I1167">
        <f>IF(MONTH(E1167)&lt;=6,"Q1","Q2")</f>
        <v/>
      </c>
      <c r="J1167">
        <f>YEAR(E1167)*100+MONTH(E1167)</f>
        <v/>
      </c>
      <c r="K1167">
        <f>IF(COUNTIF($A$2:A1167,A1167)=1,1,0)</f>
        <v/>
      </c>
      <c r="L1167">
        <f>IF(K1167=1,IF(COUNTIFS($B$2:B1167,B1167,$I$2:I1167,I1167,$K$2:K1167,1)=1,1,0),0)</f>
        <v/>
      </c>
      <c r="M1167">
        <f>IF(Tree!$C$4="once per order",F1167*K1167,F1167)</f>
        <v/>
      </c>
      <c r="N1167">
        <f>IF(Tree!$C$4="once per order",K1167,1)</f>
        <v/>
      </c>
      <c r="O1167">
        <f>IF(Tree!$C$4="once per order",L1167,1)</f>
        <v/>
      </c>
    </row>
    <row r="1168">
      <c r="A1168" t="inlineStr">
        <is>
          <t>KR-00769</t>
        </is>
      </c>
      <c r="B1168" t="inlineStr">
        <is>
          <t>C-0264</t>
        </is>
      </c>
      <c r="C1168" t="inlineStr">
        <is>
          <t>Retail-Plus</t>
        </is>
      </c>
      <c r="D1168" t="inlineStr">
        <is>
          <t>web</t>
        </is>
      </c>
      <c r="E1168" s="7" t="n">
        <v>46285</v>
      </c>
      <c r="F1168" t="n">
        <v>3540</v>
      </c>
      <c r="G1168" t="n">
        <v>1416</v>
      </c>
      <c r="H1168" t="inlineStr">
        <is>
          <t>2026-09-22</t>
        </is>
      </c>
      <c r="I1168">
        <f>IF(MONTH(E1168)&lt;=6,"Q1","Q2")</f>
        <v/>
      </c>
      <c r="J1168">
        <f>YEAR(E1168)*100+MONTH(E1168)</f>
        <v/>
      </c>
      <c r="K1168">
        <f>IF(COUNTIF($A$2:A1168,A1168)=1,1,0)</f>
        <v/>
      </c>
      <c r="L1168">
        <f>IF(K1168=1,IF(COUNTIFS($B$2:B1168,B1168,$I$2:I1168,I1168,$K$2:K1168,1)=1,1,0),0)</f>
        <v/>
      </c>
      <c r="M1168">
        <f>IF(Tree!$C$4="once per order",F1168*K1168,F1168)</f>
        <v/>
      </c>
      <c r="N1168">
        <f>IF(Tree!$C$4="once per order",K1168,1)</f>
        <v/>
      </c>
      <c r="O1168">
        <f>IF(Tree!$C$4="once per order",L1168,1)</f>
        <v/>
      </c>
    </row>
    <row r="1169">
      <c r="A1169" t="inlineStr">
        <is>
          <t>KR-00770</t>
        </is>
      </c>
      <c r="B1169" t="inlineStr">
        <is>
          <t>C-0190</t>
        </is>
      </c>
      <c r="C1169" t="inlineStr">
        <is>
          <t>Retail-Plus</t>
        </is>
      </c>
      <c r="D1169" t="inlineStr">
        <is>
          <t>web</t>
        </is>
      </c>
      <c r="E1169" s="7" t="n">
        <v>46230</v>
      </c>
      <c r="F1169" t="n">
        <v>2670</v>
      </c>
      <c r="G1169" t="n">
        <v>2670</v>
      </c>
      <c r="H1169" t="inlineStr">
        <is>
          <t>2026-07-28</t>
        </is>
      </c>
      <c r="I1169">
        <f>IF(MONTH(E1169)&lt;=6,"Q1","Q2")</f>
        <v/>
      </c>
      <c r="J1169">
        <f>YEAR(E1169)*100+MONTH(E1169)</f>
        <v/>
      </c>
      <c r="K1169">
        <f>IF(COUNTIF($A$2:A1169,A1169)=1,1,0)</f>
        <v/>
      </c>
      <c r="L1169">
        <f>IF(K1169=1,IF(COUNTIFS($B$2:B1169,B1169,$I$2:I1169,I1169,$K$2:K1169,1)=1,1,0),0)</f>
        <v/>
      </c>
      <c r="M1169">
        <f>IF(Tree!$C$4="once per order",F1169*K1169,F1169)</f>
        <v/>
      </c>
      <c r="N1169">
        <f>IF(Tree!$C$4="once per order",K1169,1)</f>
        <v/>
      </c>
      <c r="O1169">
        <f>IF(Tree!$C$4="once per order",L1169,1)</f>
        <v/>
      </c>
    </row>
    <row r="1170">
      <c r="A1170" t="inlineStr">
        <is>
          <t>KR-00771</t>
        </is>
      </c>
      <c r="B1170" t="inlineStr">
        <is>
          <t>C-0162</t>
        </is>
      </c>
      <c r="C1170" t="inlineStr">
        <is>
          <t>Retail-Plus</t>
        </is>
      </c>
      <c r="D1170" t="inlineStr">
        <is>
          <t>app</t>
        </is>
      </c>
      <c r="E1170" s="7" t="n">
        <v>46238</v>
      </c>
      <c r="F1170" t="n">
        <v>3600</v>
      </c>
      <c r="G1170" t="n">
        <v>2160</v>
      </c>
      <c r="H1170" t="inlineStr">
        <is>
          <t>2026-08-06</t>
        </is>
      </c>
      <c r="I1170">
        <f>IF(MONTH(E1170)&lt;=6,"Q1","Q2")</f>
        <v/>
      </c>
      <c r="J1170">
        <f>YEAR(E1170)*100+MONTH(E1170)</f>
        <v/>
      </c>
      <c r="K1170">
        <f>IF(COUNTIF($A$2:A1170,A1170)=1,1,0)</f>
        <v/>
      </c>
      <c r="L1170">
        <f>IF(K1170=1,IF(COUNTIFS($B$2:B1170,B1170,$I$2:I1170,I1170,$K$2:K1170,1)=1,1,0),0)</f>
        <v/>
      </c>
      <c r="M1170">
        <f>IF(Tree!$C$4="once per order",F1170*K1170,F1170)</f>
        <v/>
      </c>
      <c r="N1170">
        <f>IF(Tree!$C$4="once per order",K1170,1)</f>
        <v/>
      </c>
      <c r="O1170">
        <f>IF(Tree!$C$4="once per order",L1170,1)</f>
        <v/>
      </c>
    </row>
    <row r="1171">
      <c r="A1171" t="inlineStr">
        <is>
          <t>KR-00771</t>
        </is>
      </c>
      <c r="B1171" t="inlineStr">
        <is>
          <t>C-0162</t>
        </is>
      </c>
      <c r="C1171" t="inlineStr">
        <is>
          <t>Retail-Plus</t>
        </is>
      </c>
      <c r="D1171" t="inlineStr">
        <is>
          <t>app</t>
        </is>
      </c>
      <c r="E1171" s="7" t="n">
        <v>46238</v>
      </c>
      <c r="F1171" t="n">
        <v>3600</v>
      </c>
      <c r="G1171" t="n">
        <v>1440</v>
      </c>
      <c r="H1171" t="inlineStr">
        <is>
          <t>2026-08-06</t>
        </is>
      </c>
      <c r="I1171">
        <f>IF(MONTH(E1171)&lt;=6,"Q1","Q2")</f>
        <v/>
      </c>
      <c r="J1171">
        <f>YEAR(E1171)*100+MONTH(E1171)</f>
        <v/>
      </c>
      <c r="K1171">
        <f>IF(COUNTIF($A$2:A1171,A1171)=1,1,0)</f>
        <v/>
      </c>
      <c r="L1171">
        <f>IF(K1171=1,IF(COUNTIFS($B$2:B1171,B1171,$I$2:I1171,I1171,$K$2:K1171,1)=1,1,0),0)</f>
        <v/>
      </c>
      <c r="M1171">
        <f>IF(Tree!$C$4="once per order",F1171*K1171,F1171)</f>
        <v/>
      </c>
      <c r="N1171">
        <f>IF(Tree!$C$4="once per order",K1171,1)</f>
        <v/>
      </c>
      <c r="O1171">
        <f>IF(Tree!$C$4="once per order",L1171,1)</f>
        <v/>
      </c>
    </row>
    <row r="1172">
      <c r="A1172" t="inlineStr">
        <is>
          <t>KR-00772</t>
        </is>
      </c>
      <c r="B1172" t="inlineStr">
        <is>
          <t>C-0216</t>
        </is>
      </c>
      <c r="C1172" t="inlineStr">
        <is>
          <t>Retail-Plus</t>
        </is>
      </c>
      <c r="D1172" t="inlineStr">
        <is>
          <t>store</t>
        </is>
      </c>
      <c r="E1172" s="7" t="n">
        <v>46285</v>
      </c>
      <c r="F1172" t="n">
        <v>2540</v>
      </c>
      <c r="G1172" t="n">
        <v>2540</v>
      </c>
      <c r="H1172" t="inlineStr">
        <is>
          <t>2026-09-22</t>
        </is>
      </c>
      <c r="I1172">
        <f>IF(MONTH(E1172)&lt;=6,"Q1","Q2")</f>
        <v/>
      </c>
      <c r="J1172">
        <f>YEAR(E1172)*100+MONTH(E1172)</f>
        <v/>
      </c>
      <c r="K1172">
        <f>IF(COUNTIF($A$2:A1172,A1172)=1,1,0)</f>
        <v/>
      </c>
      <c r="L1172">
        <f>IF(K1172=1,IF(COUNTIFS($B$2:B1172,B1172,$I$2:I1172,I1172,$K$2:K1172,1)=1,1,0),0)</f>
        <v/>
      </c>
      <c r="M1172">
        <f>IF(Tree!$C$4="once per order",F1172*K1172,F1172)</f>
        <v/>
      </c>
      <c r="N1172">
        <f>IF(Tree!$C$4="once per order",K1172,1)</f>
        <v/>
      </c>
      <c r="O1172">
        <f>IF(Tree!$C$4="once per order",L1172,1)</f>
        <v/>
      </c>
    </row>
    <row r="1173">
      <c r="A1173" t="inlineStr">
        <is>
          <t>KR-00773</t>
        </is>
      </c>
      <c r="B1173" t="inlineStr">
        <is>
          <t>C-0164</t>
        </is>
      </c>
      <c r="C1173" t="inlineStr">
        <is>
          <t>Retail-Plus</t>
        </is>
      </c>
      <c r="D1173" t="inlineStr">
        <is>
          <t>web</t>
        </is>
      </c>
      <c r="E1173" s="7" t="n">
        <v>46205</v>
      </c>
      <c r="F1173" t="n">
        <v>3090</v>
      </c>
      <c r="G1173" t="n">
        <v>1854</v>
      </c>
      <c r="H1173" t="inlineStr">
        <is>
          <t>2026-07-04</t>
        </is>
      </c>
      <c r="I1173">
        <f>IF(MONTH(E1173)&lt;=6,"Q1","Q2")</f>
        <v/>
      </c>
      <c r="J1173">
        <f>YEAR(E1173)*100+MONTH(E1173)</f>
        <v/>
      </c>
      <c r="K1173">
        <f>IF(COUNTIF($A$2:A1173,A1173)=1,1,0)</f>
        <v/>
      </c>
      <c r="L1173">
        <f>IF(K1173=1,IF(COUNTIFS($B$2:B1173,B1173,$I$2:I1173,I1173,$K$2:K1173,1)=1,1,0),0)</f>
        <v/>
      </c>
      <c r="M1173">
        <f>IF(Tree!$C$4="once per order",F1173*K1173,F1173)</f>
        <v/>
      </c>
      <c r="N1173">
        <f>IF(Tree!$C$4="once per order",K1173,1)</f>
        <v/>
      </c>
      <c r="O1173">
        <f>IF(Tree!$C$4="once per order",L1173,1)</f>
        <v/>
      </c>
    </row>
    <row r="1174">
      <c r="A1174" t="inlineStr">
        <is>
          <t>KR-00773</t>
        </is>
      </c>
      <c r="B1174" t="inlineStr">
        <is>
          <t>C-0164</t>
        </is>
      </c>
      <c r="C1174" t="inlineStr">
        <is>
          <t>Retail-Plus</t>
        </is>
      </c>
      <c r="D1174" t="inlineStr">
        <is>
          <t>web</t>
        </is>
      </c>
      <c r="E1174" s="7" t="n">
        <v>46205</v>
      </c>
      <c r="F1174" t="n">
        <v>3090</v>
      </c>
      <c r="G1174" t="n">
        <v>1236</v>
      </c>
      <c r="H1174" t="inlineStr">
        <is>
          <t>2026-07-04</t>
        </is>
      </c>
      <c r="I1174">
        <f>IF(MONTH(E1174)&lt;=6,"Q1","Q2")</f>
        <v/>
      </c>
      <c r="J1174">
        <f>YEAR(E1174)*100+MONTH(E1174)</f>
        <v/>
      </c>
      <c r="K1174">
        <f>IF(COUNTIF($A$2:A1174,A1174)=1,1,0)</f>
        <v/>
      </c>
      <c r="L1174">
        <f>IF(K1174=1,IF(COUNTIFS($B$2:B1174,B1174,$I$2:I1174,I1174,$K$2:K1174,1)=1,1,0),0)</f>
        <v/>
      </c>
      <c r="M1174">
        <f>IF(Tree!$C$4="once per order",F1174*K1174,F1174)</f>
        <v/>
      </c>
      <c r="N1174">
        <f>IF(Tree!$C$4="once per order",K1174,1)</f>
        <v/>
      </c>
      <c r="O1174">
        <f>IF(Tree!$C$4="once per order",L1174,1)</f>
        <v/>
      </c>
    </row>
    <row r="1175">
      <c r="A1175" t="inlineStr">
        <is>
          <t>KR-00774</t>
        </is>
      </c>
      <c r="B1175" t="inlineStr">
        <is>
          <t>C-0208</t>
        </is>
      </c>
      <c r="C1175" t="inlineStr">
        <is>
          <t>Retail-Plus</t>
        </is>
      </c>
      <c r="D1175" t="inlineStr">
        <is>
          <t>app</t>
        </is>
      </c>
      <c r="E1175" s="7" t="n">
        <v>46238</v>
      </c>
      <c r="F1175" t="n">
        <v>2810</v>
      </c>
      <c r="G1175" t="n">
        <v>1686</v>
      </c>
      <c r="H1175" t="inlineStr">
        <is>
          <t>2026-08-06</t>
        </is>
      </c>
      <c r="I1175">
        <f>IF(MONTH(E1175)&lt;=6,"Q1","Q2")</f>
        <v/>
      </c>
      <c r="J1175">
        <f>YEAR(E1175)*100+MONTH(E1175)</f>
        <v/>
      </c>
      <c r="K1175">
        <f>IF(COUNTIF($A$2:A1175,A1175)=1,1,0)</f>
        <v/>
      </c>
      <c r="L1175">
        <f>IF(K1175=1,IF(COUNTIFS($B$2:B1175,B1175,$I$2:I1175,I1175,$K$2:K1175,1)=1,1,0),0)</f>
        <v/>
      </c>
      <c r="M1175">
        <f>IF(Tree!$C$4="once per order",F1175*K1175,F1175)</f>
        <v/>
      </c>
      <c r="N1175">
        <f>IF(Tree!$C$4="once per order",K1175,1)</f>
        <v/>
      </c>
      <c r="O1175">
        <f>IF(Tree!$C$4="once per order",L1175,1)</f>
        <v/>
      </c>
    </row>
    <row r="1176">
      <c r="A1176" t="inlineStr">
        <is>
          <t>KR-00774</t>
        </is>
      </c>
      <c r="B1176" t="inlineStr">
        <is>
          <t>C-0208</t>
        </is>
      </c>
      <c r="C1176" t="inlineStr">
        <is>
          <t>Retail-Plus</t>
        </is>
      </c>
      <c r="D1176" t="inlineStr">
        <is>
          <t>app</t>
        </is>
      </c>
      <c r="E1176" s="7" t="n">
        <v>46238</v>
      </c>
      <c r="F1176" t="n">
        <v>2810</v>
      </c>
      <c r="G1176" t="n">
        <v>1124</v>
      </c>
      <c r="H1176" t="inlineStr">
        <is>
          <t>2026-08-06</t>
        </is>
      </c>
      <c r="I1176">
        <f>IF(MONTH(E1176)&lt;=6,"Q1","Q2")</f>
        <v/>
      </c>
      <c r="J1176">
        <f>YEAR(E1176)*100+MONTH(E1176)</f>
        <v/>
      </c>
      <c r="K1176">
        <f>IF(COUNTIF($A$2:A1176,A1176)=1,1,0)</f>
        <v/>
      </c>
      <c r="L1176">
        <f>IF(K1176=1,IF(COUNTIFS($B$2:B1176,B1176,$I$2:I1176,I1176,$K$2:K1176,1)=1,1,0),0)</f>
        <v/>
      </c>
      <c r="M1176">
        <f>IF(Tree!$C$4="once per order",F1176*K1176,F1176)</f>
        <v/>
      </c>
      <c r="N1176">
        <f>IF(Tree!$C$4="once per order",K1176,1)</f>
        <v/>
      </c>
      <c r="O1176">
        <f>IF(Tree!$C$4="once per order",L1176,1)</f>
        <v/>
      </c>
    </row>
    <row r="1177">
      <c r="A1177" t="inlineStr">
        <is>
          <t>KR-00775</t>
        </is>
      </c>
      <c r="B1177" t="inlineStr">
        <is>
          <t>C-0229</t>
        </is>
      </c>
      <c r="C1177" t="inlineStr">
        <is>
          <t>Retail-Plus</t>
        </is>
      </c>
      <c r="D1177" t="inlineStr">
        <is>
          <t>app</t>
        </is>
      </c>
      <c r="E1177" s="7" t="n">
        <v>46270</v>
      </c>
      <c r="F1177" t="n">
        <v>2330</v>
      </c>
      <c r="G1177" t="n">
        <v>2330</v>
      </c>
      <c r="H1177" t="inlineStr">
        <is>
          <t>2026-09-07</t>
        </is>
      </c>
      <c r="I1177">
        <f>IF(MONTH(E1177)&lt;=6,"Q1","Q2")</f>
        <v/>
      </c>
      <c r="J1177">
        <f>YEAR(E1177)*100+MONTH(E1177)</f>
        <v/>
      </c>
      <c r="K1177">
        <f>IF(COUNTIF($A$2:A1177,A1177)=1,1,0)</f>
        <v/>
      </c>
      <c r="L1177">
        <f>IF(K1177=1,IF(COUNTIFS($B$2:B1177,B1177,$I$2:I1177,I1177,$K$2:K1177,1)=1,1,0),0)</f>
        <v/>
      </c>
      <c r="M1177">
        <f>IF(Tree!$C$4="once per order",F1177*K1177,F1177)</f>
        <v/>
      </c>
      <c r="N1177">
        <f>IF(Tree!$C$4="once per order",K1177,1)</f>
        <v/>
      </c>
      <c r="O1177">
        <f>IF(Tree!$C$4="once per order",L1177,1)</f>
        <v/>
      </c>
    </row>
    <row r="1178">
      <c r="A1178" t="inlineStr">
        <is>
          <t>KR-00776</t>
        </is>
      </c>
      <c r="B1178" t="inlineStr">
        <is>
          <t>C-0238</t>
        </is>
      </c>
      <c r="C1178" t="inlineStr">
        <is>
          <t>Retail-Plus</t>
        </is>
      </c>
      <c r="D1178" t="inlineStr">
        <is>
          <t>store</t>
        </is>
      </c>
      <c r="E1178" s="7" t="n">
        <v>46214</v>
      </c>
      <c r="F1178" t="n">
        <v>2060</v>
      </c>
      <c r="G1178" t="n">
        <v>2060</v>
      </c>
      <c r="H1178" t="inlineStr">
        <is>
          <t>2026-07-13</t>
        </is>
      </c>
      <c r="I1178">
        <f>IF(MONTH(E1178)&lt;=6,"Q1","Q2")</f>
        <v/>
      </c>
      <c r="J1178">
        <f>YEAR(E1178)*100+MONTH(E1178)</f>
        <v/>
      </c>
      <c r="K1178">
        <f>IF(COUNTIF($A$2:A1178,A1178)=1,1,0)</f>
        <v/>
      </c>
      <c r="L1178">
        <f>IF(K1178=1,IF(COUNTIFS($B$2:B1178,B1178,$I$2:I1178,I1178,$K$2:K1178,1)=1,1,0),0)</f>
        <v/>
      </c>
      <c r="M1178">
        <f>IF(Tree!$C$4="once per order",F1178*K1178,F1178)</f>
        <v/>
      </c>
      <c r="N1178">
        <f>IF(Tree!$C$4="once per order",K1178,1)</f>
        <v/>
      </c>
      <c r="O1178">
        <f>IF(Tree!$C$4="once per order",L1178,1)</f>
        <v/>
      </c>
    </row>
    <row r="1179">
      <c r="A1179" t="inlineStr">
        <is>
          <t>KR-00777</t>
        </is>
      </c>
      <c r="B1179" t="inlineStr">
        <is>
          <t>C-0188</t>
        </is>
      </c>
      <c r="C1179" t="inlineStr">
        <is>
          <t>Retail-Plus</t>
        </is>
      </c>
      <c r="D1179" t="inlineStr">
        <is>
          <t>store</t>
        </is>
      </c>
      <c r="E1179" s="7" t="n">
        <v>46242</v>
      </c>
      <c r="F1179" t="n">
        <v>2560</v>
      </c>
      <c r="G1179" t="n">
        <v>2560</v>
      </c>
      <c r="H1179" t="inlineStr">
        <is>
          <t>2026-08-10</t>
        </is>
      </c>
      <c r="I1179">
        <f>IF(MONTH(E1179)&lt;=6,"Q1","Q2")</f>
        <v/>
      </c>
      <c r="J1179">
        <f>YEAR(E1179)*100+MONTH(E1179)</f>
        <v/>
      </c>
      <c r="K1179">
        <f>IF(COUNTIF($A$2:A1179,A1179)=1,1,0)</f>
        <v/>
      </c>
      <c r="L1179">
        <f>IF(K1179=1,IF(COUNTIFS($B$2:B1179,B1179,$I$2:I1179,I1179,$K$2:K1179,1)=1,1,0),0)</f>
        <v/>
      </c>
      <c r="M1179">
        <f>IF(Tree!$C$4="once per order",F1179*K1179,F1179)</f>
        <v/>
      </c>
      <c r="N1179">
        <f>IF(Tree!$C$4="once per order",K1179,1)</f>
        <v/>
      </c>
      <c r="O1179">
        <f>IF(Tree!$C$4="once per order",L1179,1)</f>
        <v/>
      </c>
    </row>
    <row r="1180">
      <c r="A1180" t="inlineStr">
        <is>
          <t>KR-00778</t>
        </is>
      </c>
      <c r="B1180" t="inlineStr">
        <is>
          <t>C-0259</t>
        </is>
      </c>
      <c r="C1180" t="inlineStr">
        <is>
          <t>Retail-Plus</t>
        </is>
      </c>
      <c r="D1180" t="inlineStr">
        <is>
          <t>web</t>
        </is>
      </c>
      <c r="E1180" s="7" t="n">
        <v>46270</v>
      </c>
      <c r="F1180" t="n">
        <v>3200</v>
      </c>
      <c r="G1180" t="n">
        <v>1920</v>
      </c>
      <c r="H1180" t="inlineStr">
        <is>
          <t>2026-09-07</t>
        </is>
      </c>
      <c r="I1180">
        <f>IF(MONTH(E1180)&lt;=6,"Q1","Q2")</f>
        <v/>
      </c>
      <c r="J1180">
        <f>YEAR(E1180)*100+MONTH(E1180)</f>
        <v/>
      </c>
      <c r="K1180">
        <f>IF(COUNTIF($A$2:A1180,A1180)=1,1,0)</f>
        <v/>
      </c>
      <c r="L1180">
        <f>IF(K1180=1,IF(COUNTIFS($B$2:B1180,B1180,$I$2:I1180,I1180,$K$2:K1180,1)=1,1,0),0)</f>
        <v/>
      </c>
      <c r="M1180">
        <f>IF(Tree!$C$4="once per order",F1180*K1180,F1180)</f>
        <v/>
      </c>
      <c r="N1180">
        <f>IF(Tree!$C$4="once per order",K1180,1)</f>
        <v/>
      </c>
      <c r="O1180">
        <f>IF(Tree!$C$4="once per order",L1180,1)</f>
        <v/>
      </c>
    </row>
    <row r="1181">
      <c r="A1181" t="inlineStr">
        <is>
          <t>KR-00778</t>
        </is>
      </c>
      <c r="B1181" t="inlineStr">
        <is>
          <t>C-0259</t>
        </is>
      </c>
      <c r="C1181" t="inlineStr">
        <is>
          <t>Retail-Plus</t>
        </is>
      </c>
      <c r="D1181" t="inlineStr">
        <is>
          <t>web</t>
        </is>
      </c>
      <c r="E1181" s="7" t="n">
        <v>46270</v>
      </c>
      <c r="F1181" t="n">
        <v>3200</v>
      </c>
      <c r="G1181" t="n">
        <v>1280</v>
      </c>
      <c r="H1181" t="inlineStr">
        <is>
          <t>2026-09-07</t>
        </is>
      </c>
      <c r="I1181">
        <f>IF(MONTH(E1181)&lt;=6,"Q1","Q2")</f>
        <v/>
      </c>
      <c r="J1181">
        <f>YEAR(E1181)*100+MONTH(E1181)</f>
        <v/>
      </c>
      <c r="K1181">
        <f>IF(COUNTIF($A$2:A1181,A1181)=1,1,0)</f>
        <v/>
      </c>
      <c r="L1181">
        <f>IF(K1181=1,IF(COUNTIFS($B$2:B1181,B1181,$I$2:I1181,I1181,$K$2:K1181,1)=1,1,0),0)</f>
        <v/>
      </c>
      <c r="M1181">
        <f>IF(Tree!$C$4="once per order",F1181*K1181,F1181)</f>
        <v/>
      </c>
      <c r="N1181">
        <f>IF(Tree!$C$4="once per order",K1181,1)</f>
        <v/>
      </c>
      <c r="O1181">
        <f>IF(Tree!$C$4="once per order",L1181,1)</f>
        <v/>
      </c>
    </row>
    <row r="1182">
      <c r="A1182" t="inlineStr">
        <is>
          <t>KR-00779</t>
        </is>
      </c>
      <c r="B1182" t="inlineStr">
        <is>
          <t>C-0167</t>
        </is>
      </c>
      <c r="C1182" t="inlineStr">
        <is>
          <t>Retail-Plus</t>
        </is>
      </c>
      <c r="D1182" t="inlineStr">
        <is>
          <t>web</t>
        </is>
      </c>
      <c r="E1182" s="7" t="n">
        <v>46205</v>
      </c>
      <c r="F1182" t="n">
        <v>3690</v>
      </c>
      <c r="G1182" t="n">
        <v>2214</v>
      </c>
      <c r="H1182" t="inlineStr">
        <is>
          <t>2026-07-04</t>
        </is>
      </c>
      <c r="I1182">
        <f>IF(MONTH(E1182)&lt;=6,"Q1","Q2")</f>
        <v/>
      </c>
      <c r="J1182">
        <f>YEAR(E1182)*100+MONTH(E1182)</f>
        <v/>
      </c>
      <c r="K1182">
        <f>IF(COUNTIF($A$2:A1182,A1182)=1,1,0)</f>
        <v/>
      </c>
      <c r="L1182">
        <f>IF(K1182=1,IF(COUNTIFS($B$2:B1182,B1182,$I$2:I1182,I1182,$K$2:K1182,1)=1,1,0),0)</f>
        <v/>
      </c>
      <c r="M1182">
        <f>IF(Tree!$C$4="once per order",F1182*K1182,F1182)</f>
        <v/>
      </c>
      <c r="N1182">
        <f>IF(Tree!$C$4="once per order",K1182,1)</f>
        <v/>
      </c>
      <c r="O1182">
        <f>IF(Tree!$C$4="once per order",L1182,1)</f>
        <v/>
      </c>
    </row>
    <row r="1183">
      <c r="A1183" t="inlineStr">
        <is>
          <t>KR-00779</t>
        </is>
      </c>
      <c r="B1183" t="inlineStr">
        <is>
          <t>C-0167</t>
        </is>
      </c>
      <c r="C1183" t="inlineStr">
        <is>
          <t>Retail-Plus</t>
        </is>
      </c>
      <c r="D1183" t="inlineStr">
        <is>
          <t>web</t>
        </is>
      </c>
      <c r="E1183" s="7" t="n">
        <v>46205</v>
      </c>
      <c r="F1183" t="n">
        <v>3690</v>
      </c>
      <c r="G1183" t="n">
        <v>1476</v>
      </c>
      <c r="H1183" t="inlineStr">
        <is>
          <t>2026-07-04</t>
        </is>
      </c>
      <c r="I1183">
        <f>IF(MONTH(E1183)&lt;=6,"Q1","Q2")</f>
        <v/>
      </c>
      <c r="J1183">
        <f>YEAR(E1183)*100+MONTH(E1183)</f>
        <v/>
      </c>
      <c r="K1183">
        <f>IF(COUNTIF($A$2:A1183,A1183)=1,1,0)</f>
        <v/>
      </c>
      <c r="L1183">
        <f>IF(K1183=1,IF(COUNTIFS($B$2:B1183,B1183,$I$2:I1183,I1183,$K$2:K1183,1)=1,1,0),0)</f>
        <v/>
      </c>
      <c r="M1183">
        <f>IF(Tree!$C$4="once per order",F1183*K1183,F1183)</f>
        <v/>
      </c>
      <c r="N1183">
        <f>IF(Tree!$C$4="once per order",K1183,1)</f>
        <v/>
      </c>
      <c r="O1183">
        <f>IF(Tree!$C$4="once per order",L1183,1)</f>
        <v/>
      </c>
    </row>
    <row r="1184">
      <c r="A1184" t="inlineStr">
        <is>
          <t>KR-00780</t>
        </is>
      </c>
      <c r="B1184" t="inlineStr">
        <is>
          <t>C-0158</t>
        </is>
      </c>
      <c r="C1184" t="inlineStr">
        <is>
          <t>Retail-Plus</t>
        </is>
      </c>
      <c r="D1184" t="inlineStr">
        <is>
          <t>web</t>
        </is>
      </c>
      <c r="E1184" s="7" t="n">
        <v>46245</v>
      </c>
      <c r="F1184" t="n">
        <v>2190</v>
      </c>
      <c r="G1184" t="n">
        <v>2190</v>
      </c>
      <c r="H1184" t="inlineStr">
        <is>
          <t>2026-08-13</t>
        </is>
      </c>
      <c r="I1184">
        <f>IF(MONTH(E1184)&lt;=6,"Q1","Q2")</f>
        <v/>
      </c>
      <c r="J1184">
        <f>YEAR(E1184)*100+MONTH(E1184)</f>
        <v/>
      </c>
      <c r="K1184">
        <f>IF(COUNTIF($A$2:A1184,A1184)=1,1,0)</f>
        <v/>
      </c>
      <c r="L1184">
        <f>IF(K1184=1,IF(COUNTIFS($B$2:B1184,B1184,$I$2:I1184,I1184,$K$2:K1184,1)=1,1,0),0)</f>
        <v/>
      </c>
      <c r="M1184">
        <f>IF(Tree!$C$4="once per order",F1184*K1184,F1184)</f>
        <v/>
      </c>
      <c r="N1184">
        <f>IF(Tree!$C$4="once per order",K1184,1)</f>
        <v/>
      </c>
      <c r="O1184">
        <f>IF(Tree!$C$4="once per order",L1184,1)</f>
        <v/>
      </c>
    </row>
    <row r="1185">
      <c r="A1185" t="inlineStr">
        <is>
          <t>KR-00781</t>
        </is>
      </c>
      <c r="B1185" t="inlineStr">
        <is>
          <t>C-0237</t>
        </is>
      </c>
      <c r="C1185" t="inlineStr">
        <is>
          <t>Retail-Plus</t>
        </is>
      </c>
      <c r="D1185" t="inlineStr">
        <is>
          <t>store</t>
        </is>
      </c>
      <c r="E1185" s="7" t="n">
        <v>46277</v>
      </c>
      <c r="F1185" t="n">
        <v>2030</v>
      </c>
      <c r="G1185" t="n">
        <v>2030</v>
      </c>
      <c r="H1185" t="inlineStr">
        <is>
          <t>2026-09-14</t>
        </is>
      </c>
      <c r="I1185">
        <f>IF(MONTH(E1185)&lt;=6,"Q1","Q2")</f>
        <v/>
      </c>
      <c r="J1185">
        <f>YEAR(E1185)*100+MONTH(E1185)</f>
        <v/>
      </c>
      <c r="K1185">
        <f>IF(COUNTIF($A$2:A1185,A1185)=1,1,0)</f>
        <v/>
      </c>
      <c r="L1185">
        <f>IF(K1185=1,IF(COUNTIFS($B$2:B1185,B1185,$I$2:I1185,I1185,$K$2:K1185,1)=1,1,0),0)</f>
        <v/>
      </c>
      <c r="M1185">
        <f>IF(Tree!$C$4="once per order",F1185*K1185,F1185)</f>
        <v/>
      </c>
      <c r="N1185">
        <f>IF(Tree!$C$4="once per order",K1185,1)</f>
        <v/>
      </c>
      <c r="O1185">
        <f>IF(Tree!$C$4="once per order",L1185,1)</f>
        <v/>
      </c>
    </row>
    <row r="1186">
      <c r="A1186" t="inlineStr">
        <is>
          <t>KR-00782</t>
        </is>
      </c>
      <c r="B1186" t="inlineStr">
        <is>
          <t>C-0151</t>
        </is>
      </c>
      <c r="C1186" t="inlineStr">
        <is>
          <t>Retail-Plus</t>
        </is>
      </c>
      <c r="D1186" t="inlineStr">
        <is>
          <t>app</t>
        </is>
      </c>
      <c r="E1186" s="7" t="n">
        <v>46225</v>
      </c>
      <c r="F1186" t="n">
        <v>2250</v>
      </c>
      <c r="G1186" t="n">
        <v>2250</v>
      </c>
      <c r="H1186" t="inlineStr">
        <is>
          <t>2026-07-24</t>
        </is>
      </c>
      <c r="I1186">
        <f>IF(MONTH(E1186)&lt;=6,"Q1","Q2")</f>
        <v/>
      </c>
      <c r="J1186">
        <f>YEAR(E1186)*100+MONTH(E1186)</f>
        <v/>
      </c>
      <c r="K1186">
        <f>IF(COUNTIF($A$2:A1186,A1186)=1,1,0)</f>
        <v/>
      </c>
      <c r="L1186">
        <f>IF(K1186=1,IF(COUNTIFS($B$2:B1186,B1186,$I$2:I1186,I1186,$K$2:K1186,1)=1,1,0),0)</f>
        <v/>
      </c>
      <c r="M1186">
        <f>IF(Tree!$C$4="once per order",F1186*K1186,F1186)</f>
        <v/>
      </c>
      <c r="N1186">
        <f>IF(Tree!$C$4="once per order",K1186,1)</f>
        <v/>
      </c>
      <c r="O1186">
        <f>IF(Tree!$C$4="once per order",L1186,1)</f>
        <v/>
      </c>
    </row>
    <row r="1187">
      <c r="A1187" t="inlineStr">
        <is>
          <t>KR-00783</t>
        </is>
      </c>
      <c r="B1187" t="inlineStr">
        <is>
          <t>C-0170</t>
        </is>
      </c>
      <c r="C1187" t="inlineStr">
        <is>
          <t>Retail-Plus</t>
        </is>
      </c>
      <c r="D1187" t="inlineStr">
        <is>
          <t>store</t>
        </is>
      </c>
      <c r="E1187" s="7" t="n">
        <v>46258</v>
      </c>
      <c r="F1187" t="n">
        <v>3240</v>
      </c>
      <c r="G1187" t="n">
        <v>1944</v>
      </c>
      <c r="H1187" t="inlineStr">
        <is>
          <t>2026-08-26</t>
        </is>
      </c>
      <c r="I1187">
        <f>IF(MONTH(E1187)&lt;=6,"Q1","Q2")</f>
        <v/>
      </c>
      <c r="J1187">
        <f>YEAR(E1187)*100+MONTH(E1187)</f>
        <v/>
      </c>
      <c r="K1187">
        <f>IF(COUNTIF($A$2:A1187,A1187)=1,1,0)</f>
        <v/>
      </c>
      <c r="L1187">
        <f>IF(K1187=1,IF(COUNTIFS($B$2:B1187,B1187,$I$2:I1187,I1187,$K$2:K1187,1)=1,1,0),0)</f>
        <v/>
      </c>
      <c r="M1187">
        <f>IF(Tree!$C$4="once per order",F1187*K1187,F1187)</f>
        <v/>
      </c>
      <c r="N1187">
        <f>IF(Tree!$C$4="once per order",K1187,1)</f>
        <v/>
      </c>
      <c r="O1187">
        <f>IF(Tree!$C$4="once per order",L1187,1)</f>
        <v/>
      </c>
    </row>
    <row r="1188">
      <c r="A1188" t="inlineStr">
        <is>
          <t>KR-00783</t>
        </is>
      </c>
      <c r="B1188" t="inlineStr">
        <is>
          <t>C-0170</t>
        </is>
      </c>
      <c r="C1188" t="inlineStr">
        <is>
          <t>Retail-Plus</t>
        </is>
      </c>
      <c r="D1188" t="inlineStr">
        <is>
          <t>store</t>
        </is>
      </c>
      <c r="E1188" s="7" t="n">
        <v>46258</v>
      </c>
      <c r="F1188" t="n">
        <v>3240</v>
      </c>
      <c r="G1188" t="n">
        <v>1296</v>
      </c>
      <c r="H1188" t="inlineStr">
        <is>
          <t>2026-08-26</t>
        </is>
      </c>
      <c r="I1188">
        <f>IF(MONTH(E1188)&lt;=6,"Q1","Q2")</f>
        <v/>
      </c>
      <c r="J1188">
        <f>YEAR(E1188)*100+MONTH(E1188)</f>
        <v/>
      </c>
      <c r="K1188">
        <f>IF(COUNTIF($A$2:A1188,A1188)=1,1,0)</f>
        <v/>
      </c>
      <c r="L1188">
        <f>IF(K1188=1,IF(COUNTIFS($B$2:B1188,B1188,$I$2:I1188,I1188,$K$2:K1188,1)=1,1,0),0)</f>
        <v/>
      </c>
      <c r="M1188">
        <f>IF(Tree!$C$4="once per order",F1188*K1188,F1188)</f>
        <v/>
      </c>
      <c r="N1188">
        <f>IF(Tree!$C$4="once per order",K1188,1)</f>
        <v/>
      </c>
      <c r="O1188">
        <f>IF(Tree!$C$4="once per order",L1188,1)</f>
        <v/>
      </c>
    </row>
    <row r="1189">
      <c r="A1189" t="inlineStr">
        <is>
          <t>KR-00784</t>
        </is>
      </c>
      <c r="B1189" t="inlineStr">
        <is>
          <t>C-0170</t>
        </is>
      </c>
      <c r="C1189" t="inlineStr">
        <is>
          <t>Retail-Plus</t>
        </is>
      </c>
      <c r="D1189" t="inlineStr">
        <is>
          <t>store</t>
        </is>
      </c>
      <c r="E1189" s="7" t="n">
        <v>46280</v>
      </c>
      <c r="F1189" t="n">
        <v>3910</v>
      </c>
      <c r="G1189" t="n">
        <v>2346</v>
      </c>
      <c r="H1189" t="inlineStr">
        <is>
          <t>2026-09-17</t>
        </is>
      </c>
      <c r="I1189">
        <f>IF(MONTH(E1189)&lt;=6,"Q1","Q2")</f>
        <v/>
      </c>
      <c r="J1189">
        <f>YEAR(E1189)*100+MONTH(E1189)</f>
        <v/>
      </c>
      <c r="K1189">
        <f>IF(COUNTIF($A$2:A1189,A1189)=1,1,0)</f>
        <v/>
      </c>
      <c r="L1189">
        <f>IF(K1189=1,IF(COUNTIFS($B$2:B1189,B1189,$I$2:I1189,I1189,$K$2:K1189,1)=1,1,0),0)</f>
        <v/>
      </c>
      <c r="M1189">
        <f>IF(Tree!$C$4="once per order",F1189*K1189,F1189)</f>
        <v/>
      </c>
      <c r="N1189">
        <f>IF(Tree!$C$4="once per order",K1189,1)</f>
        <v/>
      </c>
      <c r="O1189">
        <f>IF(Tree!$C$4="once per order",L1189,1)</f>
        <v/>
      </c>
    </row>
    <row r="1190">
      <c r="A1190" t="inlineStr">
        <is>
          <t>KR-00784</t>
        </is>
      </c>
      <c r="B1190" t="inlineStr">
        <is>
          <t>C-0170</t>
        </is>
      </c>
      <c r="C1190" t="inlineStr">
        <is>
          <t>Retail-Plus</t>
        </is>
      </c>
      <c r="D1190" t="inlineStr">
        <is>
          <t>store</t>
        </is>
      </c>
      <c r="E1190" s="7" t="n">
        <v>46280</v>
      </c>
      <c r="F1190" t="n">
        <v>3910</v>
      </c>
      <c r="G1190" t="n">
        <v>1564</v>
      </c>
      <c r="H1190" t="inlineStr">
        <is>
          <t>2026-09-17</t>
        </is>
      </c>
      <c r="I1190">
        <f>IF(MONTH(E1190)&lt;=6,"Q1","Q2")</f>
        <v/>
      </c>
      <c r="J1190">
        <f>YEAR(E1190)*100+MONTH(E1190)</f>
        <v/>
      </c>
      <c r="K1190">
        <f>IF(COUNTIF($A$2:A1190,A1190)=1,1,0)</f>
        <v/>
      </c>
      <c r="L1190">
        <f>IF(K1190=1,IF(COUNTIFS($B$2:B1190,B1190,$I$2:I1190,I1190,$K$2:K1190,1)=1,1,0),0)</f>
        <v/>
      </c>
      <c r="M1190">
        <f>IF(Tree!$C$4="once per order",F1190*K1190,F1190)</f>
        <v/>
      </c>
      <c r="N1190">
        <f>IF(Tree!$C$4="once per order",K1190,1)</f>
        <v/>
      </c>
      <c r="O1190">
        <f>IF(Tree!$C$4="once per order",L1190,1)</f>
        <v/>
      </c>
    </row>
    <row r="1191">
      <c r="A1191" t="inlineStr">
        <is>
          <t>KR-00785</t>
        </is>
      </c>
      <c r="B1191" t="inlineStr">
        <is>
          <t>C-0152</t>
        </is>
      </c>
      <c r="C1191" t="inlineStr">
        <is>
          <t>Retail-Plus</t>
        </is>
      </c>
      <c r="D1191" t="inlineStr">
        <is>
          <t>app</t>
        </is>
      </c>
      <c r="E1191" s="7" t="n">
        <v>46226</v>
      </c>
      <c r="F1191" t="n">
        <v>1610</v>
      </c>
      <c r="G1191" t="n">
        <v>1610</v>
      </c>
      <c r="H1191" t="inlineStr">
        <is>
          <t>2026-07-25</t>
        </is>
      </c>
      <c r="I1191">
        <f>IF(MONTH(E1191)&lt;=6,"Q1","Q2")</f>
        <v/>
      </c>
      <c r="J1191">
        <f>YEAR(E1191)*100+MONTH(E1191)</f>
        <v/>
      </c>
      <c r="K1191">
        <f>IF(COUNTIF($A$2:A1191,A1191)=1,1,0)</f>
        <v/>
      </c>
      <c r="L1191">
        <f>IF(K1191=1,IF(COUNTIFS($B$2:B1191,B1191,$I$2:I1191,I1191,$K$2:K1191,1)=1,1,0),0)</f>
        <v/>
      </c>
      <c r="M1191">
        <f>IF(Tree!$C$4="once per order",F1191*K1191,F1191)</f>
        <v/>
      </c>
      <c r="N1191">
        <f>IF(Tree!$C$4="once per order",K1191,1)</f>
        <v/>
      </c>
      <c r="O1191">
        <f>IF(Tree!$C$4="once per order",L1191,1)</f>
        <v/>
      </c>
    </row>
    <row r="1192">
      <c r="A1192" t="inlineStr">
        <is>
          <t>KR-00786</t>
        </is>
      </c>
      <c r="B1192" t="inlineStr">
        <is>
          <t>C-0197</t>
        </is>
      </c>
      <c r="C1192" t="inlineStr">
        <is>
          <t>Retail-Plus</t>
        </is>
      </c>
      <c r="D1192" t="inlineStr">
        <is>
          <t>app</t>
        </is>
      </c>
      <c r="E1192" s="7" t="n">
        <v>46241</v>
      </c>
      <c r="F1192" t="n">
        <v>4380</v>
      </c>
      <c r="G1192" t="n">
        <v>2628</v>
      </c>
      <c r="H1192" t="inlineStr">
        <is>
          <t>2026-08-09</t>
        </is>
      </c>
      <c r="I1192">
        <f>IF(MONTH(E1192)&lt;=6,"Q1","Q2")</f>
        <v/>
      </c>
      <c r="J1192">
        <f>YEAR(E1192)*100+MONTH(E1192)</f>
        <v/>
      </c>
      <c r="K1192">
        <f>IF(COUNTIF($A$2:A1192,A1192)=1,1,0)</f>
        <v/>
      </c>
      <c r="L1192">
        <f>IF(K1192=1,IF(COUNTIFS($B$2:B1192,B1192,$I$2:I1192,I1192,$K$2:K1192,1)=1,1,0),0)</f>
        <v/>
      </c>
      <c r="M1192">
        <f>IF(Tree!$C$4="once per order",F1192*K1192,F1192)</f>
        <v/>
      </c>
      <c r="N1192">
        <f>IF(Tree!$C$4="once per order",K1192,1)</f>
        <v/>
      </c>
      <c r="O1192">
        <f>IF(Tree!$C$4="once per order",L1192,1)</f>
        <v/>
      </c>
    </row>
    <row r="1193">
      <c r="A1193" t="inlineStr">
        <is>
          <t>KR-00786</t>
        </is>
      </c>
      <c r="B1193" t="inlineStr">
        <is>
          <t>C-0197</t>
        </is>
      </c>
      <c r="C1193" t="inlineStr">
        <is>
          <t>Retail-Plus</t>
        </is>
      </c>
      <c r="D1193" t="inlineStr">
        <is>
          <t>app</t>
        </is>
      </c>
      <c r="E1193" s="7" t="n">
        <v>46241</v>
      </c>
      <c r="F1193" t="n">
        <v>4380</v>
      </c>
      <c r="G1193" t="n">
        <v>1752</v>
      </c>
      <c r="H1193" t="inlineStr">
        <is>
          <t>2026-08-09</t>
        </is>
      </c>
      <c r="I1193">
        <f>IF(MONTH(E1193)&lt;=6,"Q1","Q2")</f>
        <v/>
      </c>
      <c r="J1193">
        <f>YEAR(E1193)*100+MONTH(E1193)</f>
        <v/>
      </c>
      <c r="K1193">
        <f>IF(COUNTIF($A$2:A1193,A1193)=1,1,0)</f>
        <v/>
      </c>
      <c r="L1193">
        <f>IF(K1193=1,IF(COUNTIFS($B$2:B1193,B1193,$I$2:I1193,I1193,$K$2:K1193,1)=1,1,0),0)</f>
        <v/>
      </c>
      <c r="M1193">
        <f>IF(Tree!$C$4="once per order",F1193*K1193,F1193)</f>
        <v/>
      </c>
      <c r="N1193">
        <f>IF(Tree!$C$4="once per order",K1193,1)</f>
        <v/>
      </c>
      <c r="O1193">
        <f>IF(Tree!$C$4="once per order",L1193,1)</f>
        <v/>
      </c>
    </row>
    <row r="1194">
      <c r="A1194" t="inlineStr">
        <is>
          <t>KR-00787</t>
        </is>
      </c>
      <c r="B1194" t="inlineStr">
        <is>
          <t>C-0240</t>
        </is>
      </c>
      <c r="C1194" t="inlineStr">
        <is>
          <t>Retail-Plus</t>
        </is>
      </c>
      <c r="D1194" t="inlineStr">
        <is>
          <t>store</t>
        </is>
      </c>
      <c r="E1194" s="7" t="n">
        <v>46271</v>
      </c>
      <c r="F1194" t="n">
        <v>1710</v>
      </c>
      <c r="G1194" t="n">
        <v>1710</v>
      </c>
      <c r="H1194" t="inlineStr">
        <is>
          <t>2026-09-08</t>
        </is>
      </c>
      <c r="I1194">
        <f>IF(MONTH(E1194)&lt;=6,"Q1","Q2")</f>
        <v/>
      </c>
      <c r="J1194">
        <f>YEAR(E1194)*100+MONTH(E1194)</f>
        <v/>
      </c>
      <c r="K1194">
        <f>IF(COUNTIF($A$2:A1194,A1194)=1,1,0)</f>
        <v/>
      </c>
      <c r="L1194">
        <f>IF(K1194=1,IF(COUNTIFS($B$2:B1194,B1194,$I$2:I1194,I1194,$K$2:K1194,1)=1,1,0),0)</f>
        <v/>
      </c>
      <c r="M1194">
        <f>IF(Tree!$C$4="once per order",F1194*K1194,F1194)</f>
        <v/>
      </c>
      <c r="N1194">
        <f>IF(Tree!$C$4="once per order",K1194,1)</f>
        <v/>
      </c>
      <c r="O1194">
        <f>IF(Tree!$C$4="once per order",L1194,1)</f>
        <v/>
      </c>
    </row>
    <row r="1195">
      <c r="A1195" t="inlineStr">
        <is>
          <t>KR-00788</t>
        </is>
      </c>
      <c r="B1195" t="inlineStr">
        <is>
          <t>C-0152</t>
        </is>
      </c>
      <c r="C1195" t="inlineStr">
        <is>
          <t>Retail-Plus</t>
        </is>
      </c>
      <c r="D1195" t="inlineStr">
        <is>
          <t>app</t>
        </is>
      </c>
      <c r="E1195" s="7" t="n">
        <v>46210</v>
      </c>
      <c r="F1195" t="n">
        <v>3950</v>
      </c>
      <c r="G1195" t="n">
        <v>2370</v>
      </c>
      <c r="H1195" t="inlineStr">
        <is>
          <t>2026-07-09</t>
        </is>
      </c>
      <c r="I1195">
        <f>IF(MONTH(E1195)&lt;=6,"Q1","Q2")</f>
        <v/>
      </c>
      <c r="J1195">
        <f>YEAR(E1195)*100+MONTH(E1195)</f>
        <v/>
      </c>
      <c r="K1195">
        <f>IF(COUNTIF($A$2:A1195,A1195)=1,1,0)</f>
        <v/>
      </c>
      <c r="L1195">
        <f>IF(K1195=1,IF(COUNTIFS($B$2:B1195,B1195,$I$2:I1195,I1195,$K$2:K1195,1)=1,1,0),0)</f>
        <v/>
      </c>
      <c r="M1195">
        <f>IF(Tree!$C$4="once per order",F1195*K1195,F1195)</f>
        <v/>
      </c>
      <c r="N1195">
        <f>IF(Tree!$C$4="once per order",K1195,1)</f>
        <v/>
      </c>
      <c r="O1195">
        <f>IF(Tree!$C$4="once per order",L1195,1)</f>
        <v/>
      </c>
    </row>
    <row r="1196">
      <c r="A1196" t="inlineStr">
        <is>
          <t>KR-00788</t>
        </is>
      </c>
      <c r="B1196" t="inlineStr">
        <is>
          <t>C-0152</t>
        </is>
      </c>
      <c r="C1196" t="inlineStr">
        <is>
          <t>Retail-Plus</t>
        </is>
      </c>
      <c r="D1196" t="inlineStr">
        <is>
          <t>app</t>
        </is>
      </c>
      <c r="E1196" s="7" t="n">
        <v>46210</v>
      </c>
      <c r="F1196" t="n">
        <v>3950</v>
      </c>
      <c r="G1196" t="n">
        <v>1580</v>
      </c>
      <c r="H1196" t="inlineStr">
        <is>
          <t>2026-07-09</t>
        </is>
      </c>
      <c r="I1196">
        <f>IF(MONTH(E1196)&lt;=6,"Q1","Q2")</f>
        <v/>
      </c>
      <c r="J1196">
        <f>YEAR(E1196)*100+MONTH(E1196)</f>
        <v/>
      </c>
      <c r="K1196">
        <f>IF(COUNTIF($A$2:A1196,A1196)=1,1,0)</f>
        <v/>
      </c>
      <c r="L1196">
        <f>IF(K1196=1,IF(COUNTIFS($B$2:B1196,B1196,$I$2:I1196,I1196,$K$2:K1196,1)=1,1,0),0)</f>
        <v/>
      </c>
      <c r="M1196">
        <f>IF(Tree!$C$4="once per order",F1196*K1196,F1196)</f>
        <v/>
      </c>
      <c r="N1196">
        <f>IF(Tree!$C$4="once per order",K1196,1)</f>
        <v/>
      </c>
      <c r="O1196">
        <f>IF(Tree!$C$4="once per order",L1196,1)</f>
        <v/>
      </c>
    </row>
    <row r="1197">
      <c r="A1197" t="inlineStr">
        <is>
          <t>KR-00789</t>
        </is>
      </c>
      <c r="B1197" t="inlineStr">
        <is>
          <t>C-0156</t>
        </is>
      </c>
      <c r="C1197" t="inlineStr">
        <is>
          <t>Retail-Plus</t>
        </is>
      </c>
      <c r="D1197" t="inlineStr">
        <is>
          <t>store</t>
        </is>
      </c>
      <c r="E1197" s="7" t="n">
        <v>46254</v>
      </c>
      <c r="F1197" t="n">
        <v>2360</v>
      </c>
      <c r="G1197" t="n">
        <v>2360</v>
      </c>
      <c r="H1197" t="inlineStr">
        <is>
          <t>2026-08-22</t>
        </is>
      </c>
      <c r="I1197">
        <f>IF(MONTH(E1197)&lt;=6,"Q1","Q2")</f>
        <v/>
      </c>
      <c r="J1197">
        <f>YEAR(E1197)*100+MONTH(E1197)</f>
        <v/>
      </c>
      <c r="K1197">
        <f>IF(COUNTIF($A$2:A1197,A1197)=1,1,0)</f>
        <v/>
      </c>
      <c r="L1197">
        <f>IF(K1197=1,IF(COUNTIFS($B$2:B1197,B1197,$I$2:I1197,I1197,$K$2:K1197,1)=1,1,0),0)</f>
        <v/>
      </c>
      <c r="M1197">
        <f>IF(Tree!$C$4="once per order",F1197*K1197,F1197)</f>
        <v/>
      </c>
      <c r="N1197">
        <f>IF(Tree!$C$4="once per order",K1197,1)</f>
        <v/>
      </c>
      <c r="O1197">
        <f>IF(Tree!$C$4="once per order",L1197,1)</f>
        <v/>
      </c>
    </row>
    <row r="1198">
      <c r="A1198" t="inlineStr">
        <is>
          <t>KR-00790</t>
        </is>
      </c>
      <c r="B1198" t="inlineStr">
        <is>
          <t>C-0163</t>
        </is>
      </c>
      <c r="C1198" t="inlineStr">
        <is>
          <t>Retail-Plus</t>
        </is>
      </c>
      <c r="D1198" t="inlineStr">
        <is>
          <t>web</t>
        </is>
      </c>
      <c r="E1198" s="7" t="n">
        <v>46270</v>
      </c>
      <c r="F1198" t="n">
        <v>1220</v>
      </c>
      <c r="G1198" t="n">
        <v>1220</v>
      </c>
      <c r="H1198" t="inlineStr">
        <is>
          <t>2026-09-07</t>
        </is>
      </c>
      <c r="I1198">
        <f>IF(MONTH(E1198)&lt;=6,"Q1","Q2")</f>
        <v/>
      </c>
      <c r="J1198">
        <f>YEAR(E1198)*100+MONTH(E1198)</f>
        <v/>
      </c>
      <c r="K1198">
        <f>IF(COUNTIF($A$2:A1198,A1198)=1,1,0)</f>
        <v/>
      </c>
      <c r="L1198">
        <f>IF(K1198=1,IF(COUNTIFS($B$2:B1198,B1198,$I$2:I1198,I1198,$K$2:K1198,1)=1,1,0),0)</f>
        <v/>
      </c>
      <c r="M1198">
        <f>IF(Tree!$C$4="once per order",F1198*K1198,F1198)</f>
        <v/>
      </c>
      <c r="N1198">
        <f>IF(Tree!$C$4="once per order",K1198,1)</f>
        <v/>
      </c>
      <c r="O1198">
        <f>IF(Tree!$C$4="once per order",L1198,1)</f>
        <v/>
      </c>
    </row>
    <row r="1199">
      <c r="A1199" t="inlineStr">
        <is>
          <t>KR-00791</t>
        </is>
      </c>
      <c r="B1199" t="inlineStr">
        <is>
          <t>C-0160</t>
        </is>
      </c>
      <c r="C1199" t="inlineStr">
        <is>
          <t>Retail-Plus</t>
        </is>
      </c>
      <c r="D1199" t="inlineStr">
        <is>
          <t>store</t>
        </is>
      </c>
      <c r="E1199" s="7" t="n">
        <v>46218</v>
      </c>
      <c r="F1199" t="n">
        <v>3180</v>
      </c>
      <c r="G1199" t="n">
        <v>1908</v>
      </c>
      <c r="H1199" t="inlineStr">
        <is>
          <t>2026-07-17</t>
        </is>
      </c>
      <c r="I1199">
        <f>IF(MONTH(E1199)&lt;=6,"Q1","Q2")</f>
        <v/>
      </c>
      <c r="J1199">
        <f>YEAR(E1199)*100+MONTH(E1199)</f>
        <v/>
      </c>
      <c r="K1199">
        <f>IF(COUNTIF($A$2:A1199,A1199)=1,1,0)</f>
        <v/>
      </c>
      <c r="L1199">
        <f>IF(K1199=1,IF(COUNTIFS($B$2:B1199,B1199,$I$2:I1199,I1199,$K$2:K1199,1)=1,1,0),0)</f>
        <v/>
      </c>
      <c r="M1199">
        <f>IF(Tree!$C$4="once per order",F1199*K1199,F1199)</f>
        <v/>
      </c>
      <c r="N1199">
        <f>IF(Tree!$C$4="once per order",K1199,1)</f>
        <v/>
      </c>
      <c r="O1199">
        <f>IF(Tree!$C$4="once per order",L1199,1)</f>
        <v/>
      </c>
    </row>
    <row r="1200">
      <c r="A1200" t="inlineStr">
        <is>
          <t>KR-00791</t>
        </is>
      </c>
      <c r="B1200" t="inlineStr">
        <is>
          <t>C-0160</t>
        </is>
      </c>
      <c r="C1200" t="inlineStr">
        <is>
          <t>Retail-Plus</t>
        </is>
      </c>
      <c r="D1200" t="inlineStr">
        <is>
          <t>store</t>
        </is>
      </c>
      <c r="E1200" s="7" t="n">
        <v>46218</v>
      </c>
      <c r="F1200" t="n">
        <v>3180</v>
      </c>
      <c r="G1200" t="n">
        <v>1272</v>
      </c>
      <c r="H1200" t="inlineStr">
        <is>
          <t>2026-07-17</t>
        </is>
      </c>
      <c r="I1200">
        <f>IF(MONTH(E1200)&lt;=6,"Q1","Q2")</f>
        <v/>
      </c>
      <c r="J1200">
        <f>YEAR(E1200)*100+MONTH(E1200)</f>
        <v/>
      </c>
      <c r="K1200">
        <f>IF(COUNTIF($A$2:A1200,A1200)=1,1,0)</f>
        <v/>
      </c>
      <c r="L1200">
        <f>IF(K1200=1,IF(COUNTIFS($B$2:B1200,B1200,$I$2:I1200,I1200,$K$2:K1200,1)=1,1,0),0)</f>
        <v/>
      </c>
      <c r="M1200">
        <f>IF(Tree!$C$4="once per order",F1200*K1200,F1200)</f>
        <v/>
      </c>
      <c r="N1200">
        <f>IF(Tree!$C$4="once per order",K1200,1)</f>
        <v/>
      </c>
      <c r="O1200">
        <f>IF(Tree!$C$4="once per order",L1200,1)</f>
        <v/>
      </c>
    </row>
    <row r="1201">
      <c r="A1201" t="inlineStr">
        <is>
          <t>KR-00792</t>
        </is>
      </c>
      <c r="B1201" t="inlineStr">
        <is>
          <t>C-0151</t>
        </is>
      </c>
      <c r="C1201" t="inlineStr">
        <is>
          <t>Retail-Plus</t>
        </is>
      </c>
      <c r="D1201" t="inlineStr">
        <is>
          <t>app</t>
        </is>
      </c>
      <c r="E1201" s="7" t="n">
        <v>46238</v>
      </c>
      <c r="F1201" t="n">
        <v>1770</v>
      </c>
      <c r="G1201" t="n">
        <v>1770</v>
      </c>
      <c r="H1201" t="inlineStr">
        <is>
          <t>2026-08-06</t>
        </is>
      </c>
      <c r="I1201">
        <f>IF(MONTH(E1201)&lt;=6,"Q1","Q2")</f>
        <v/>
      </c>
      <c r="J1201">
        <f>YEAR(E1201)*100+MONTH(E1201)</f>
        <v/>
      </c>
      <c r="K1201">
        <f>IF(COUNTIF($A$2:A1201,A1201)=1,1,0)</f>
        <v/>
      </c>
      <c r="L1201">
        <f>IF(K1201=1,IF(COUNTIFS($B$2:B1201,B1201,$I$2:I1201,I1201,$K$2:K1201,1)=1,1,0),0)</f>
        <v/>
      </c>
      <c r="M1201">
        <f>IF(Tree!$C$4="once per order",F1201*K1201,F1201)</f>
        <v/>
      </c>
      <c r="N1201">
        <f>IF(Tree!$C$4="once per order",K1201,1)</f>
        <v/>
      </c>
      <c r="O1201">
        <f>IF(Tree!$C$4="once per order",L1201,1)</f>
        <v/>
      </c>
    </row>
    <row r="1202">
      <c r="A1202" t="inlineStr">
        <is>
          <t>KR-00793</t>
        </is>
      </c>
      <c r="B1202" t="inlineStr">
        <is>
          <t>C-0152</t>
        </is>
      </c>
      <c r="C1202" t="inlineStr">
        <is>
          <t>Retail-Plus</t>
        </is>
      </c>
      <c r="D1202" t="inlineStr">
        <is>
          <t>store</t>
        </is>
      </c>
      <c r="E1202" s="7" t="n">
        <v>46286</v>
      </c>
      <c r="F1202" t="n">
        <v>3530</v>
      </c>
      <c r="G1202" t="n">
        <v>2118</v>
      </c>
      <c r="H1202" t="inlineStr">
        <is>
          <t>2026-09-23</t>
        </is>
      </c>
      <c r="I1202">
        <f>IF(MONTH(E1202)&lt;=6,"Q1","Q2")</f>
        <v/>
      </c>
      <c r="J1202">
        <f>YEAR(E1202)*100+MONTH(E1202)</f>
        <v/>
      </c>
      <c r="K1202">
        <f>IF(COUNTIF($A$2:A1202,A1202)=1,1,0)</f>
        <v/>
      </c>
      <c r="L1202">
        <f>IF(K1202=1,IF(COUNTIFS($B$2:B1202,B1202,$I$2:I1202,I1202,$K$2:K1202,1)=1,1,0),0)</f>
        <v/>
      </c>
      <c r="M1202">
        <f>IF(Tree!$C$4="once per order",F1202*K1202,F1202)</f>
        <v/>
      </c>
      <c r="N1202">
        <f>IF(Tree!$C$4="once per order",K1202,1)</f>
        <v/>
      </c>
      <c r="O1202">
        <f>IF(Tree!$C$4="once per order",L1202,1)</f>
        <v/>
      </c>
    </row>
    <row r="1203">
      <c r="A1203" t="inlineStr">
        <is>
          <t>KR-00793</t>
        </is>
      </c>
      <c r="B1203" t="inlineStr">
        <is>
          <t>C-0152</t>
        </is>
      </c>
      <c r="C1203" t="inlineStr">
        <is>
          <t>Retail-Plus</t>
        </is>
      </c>
      <c r="D1203" t="inlineStr">
        <is>
          <t>store</t>
        </is>
      </c>
      <c r="E1203" s="7" t="n">
        <v>46286</v>
      </c>
      <c r="F1203" t="n">
        <v>3530</v>
      </c>
      <c r="G1203" t="n">
        <v>1412</v>
      </c>
      <c r="H1203" t="inlineStr">
        <is>
          <t>2026-09-23</t>
        </is>
      </c>
      <c r="I1203">
        <f>IF(MONTH(E1203)&lt;=6,"Q1","Q2")</f>
        <v/>
      </c>
      <c r="J1203">
        <f>YEAR(E1203)*100+MONTH(E1203)</f>
        <v/>
      </c>
      <c r="K1203">
        <f>IF(COUNTIF($A$2:A1203,A1203)=1,1,0)</f>
        <v/>
      </c>
      <c r="L1203">
        <f>IF(K1203=1,IF(COUNTIFS($B$2:B1203,B1203,$I$2:I1203,I1203,$K$2:K1203,1)=1,1,0),0)</f>
        <v/>
      </c>
      <c r="M1203">
        <f>IF(Tree!$C$4="once per order",F1203*K1203,F1203)</f>
        <v/>
      </c>
      <c r="N1203">
        <f>IF(Tree!$C$4="once per order",K1203,1)</f>
        <v/>
      </c>
      <c r="O1203">
        <f>IF(Tree!$C$4="once per order",L1203,1)</f>
        <v/>
      </c>
    </row>
    <row r="1204">
      <c r="A1204" t="inlineStr">
        <is>
          <t>KR-00794</t>
        </is>
      </c>
      <c r="B1204" t="inlineStr">
        <is>
          <t>C-0180</t>
        </is>
      </c>
      <c r="C1204" t="inlineStr">
        <is>
          <t>Retail-Plus</t>
        </is>
      </c>
      <c r="D1204" t="inlineStr">
        <is>
          <t>web</t>
        </is>
      </c>
      <c r="E1204" s="7" t="n">
        <v>46227</v>
      </c>
      <c r="F1204" t="n">
        <v>3810</v>
      </c>
      <c r="G1204" t="n">
        <v>2286</v>
      </c>
      <c r="H1204" t="inlineStr">
        <is>
          <t>2026-07-26</t>
        </is>
      </c>
      <c r="I1204">
        <f>IF(MONTH(E1204)&lt;=6,"Q1","Q2")</f>
        <v/>
      </c>
      <c r="J1204">
        <f>YEAR(E1204)*100+MONTH(E1204)</f>
        <v/>
      </c>
      <c r="K1204">
        <f>IF(COUNTIF($A$2:A1204,A1204)=1,1,0)</f>
        <v/>
      </c>
      <c r="L1204">
        <f>IF(K1204=1,IF(COUNTIFS($B$2:B1204,B1204,$I$2:I1204,I1204,$K$2:K1204,1)=1,1,0),0)</f>
        <v/>
      </c>
      <c r="M1204">
        <f>IF(Tree!$C$4="once per order",F1204*K1204,F1204)</f>
        <v/>
      </c>
      <c r="N1204">
        <f>IF(Tree!$C$4="once per order",K1204,1)</f>
        <v/>
      </c>
      <c r="O1204">
        <f>IF(Tree!$C$4="once per order",L1204,1)</f>
        <v/>
      </c>
    </row>
    <row r="1205">
      <c r="A1205" t="inlineStr">
        <is>
          <t>KR-00794</t>
        </is>
      </c>
      <c r="B1205" t="inlineStr">
        <is>
          <t>C-0180</t>
        </is>
      </c>
      <c r="C1205" t="inlineStr">
        <is>
          <t>Retail-Plus</t>
        </is>
      </c>
      <c r="D1205" t="inlineStr">
        <is>
          <t>web</t>
        </is>
      </c>
      <c r="E1205" s="7" t="n">
        <v>46227</v>
      </c>
      <c r="F1205" t="n">
        <v>3810</v>
      </c>
      <c r="G1205" t="n">
        <v>1524</v>
      </c>
      <c r="H1205" t="inlineStr">
        <is>
          <t>2026-07-26</t>
        </is>
      </c>
      <c r="I1205">
        <f>IF(MONTH(E1205)&lt;=6,"Q1","Q2")</f>
        <v/>
      </c>
      <c r="J1205">
        <f>YEAR(E1205)*100+MONTH(E1205)</f>
        <v/>
      </c>
      <c r="K1205">
        <f>IF(COUNTIF($A$2:A1205,A1205)=1,1,0)</f>
        <v/>
      </c>
      <c r="L1205">
        <f>IF(K1205=1,IF(COUNTIFS($B$2:B1205,B1205,$I$2:I1205,I1205,$K$2:K1205,1)=1,1,0),0)</f>
        <v/>
      </c>
      <c r="M1205">
        <f>IF(Tree!$C$4="once per order",F1205*K1205,F1205)</f>
        <v/>
      </c>
      <c r="N1205">
        <f>IF(Tree!$C$4="once per order",K1205,1)</f>
        <v/>
      </c>
      <c r="O1205">
        <f>IF(Tree!$C$4="once per order",L1205,1)</f>
        <v/>
      </c>
    </row>
    <row r="1206">
      <c r="A1206" t="inlineStr">
        <is>
          <t>KR-00795</t>
        </is>
      </c>
      <c r="B1206" t="inlineStr">
        <is>
          <t>C-0156</t>
        </is>
      </c>
      <c r="C1206" t="inlineStr">
        <is>
          <t>Retail-Plus</t>
        </is>
      </c>
      <c r="D1206" t="inlineStr">
        <is>
          <t>web</t>
        </is>
      </c>
      <c r="E1206" s="7" t="n">
        <v>46236</v>
      </c>
      <c r="F1206" t="n">
        <v>2470</v>
      </c>
      <c r="G1206" t="n">
        <v>2470</v>
      </c>
      <c r="H1206" t="inlineStr">
        <is>
          <t>2026-08-04</t>
        </is>
      </c>
      <c r="I1206">
        <f>IF(MONTH(E1206)&lt;=6,"Q1","Q2")</f>
        <v/>
      </c>
      <c r="J1206">
        <f>YEAR(E1206)*100+MONTH(E1206)</f>
        <v/>
      </c>
      <c r="K1206">
        <f>IF(COUNTIF($A$2:A1206,A1206)=1,1,0)</f>
        <v/>
      </c>
      <c r="L1206">
        <f>IF(K1206=1,IF(COUNTIFS($B$2:B1206,B1206,$I$2:I1206,I1206,$K$2:K1206,1)=1,1,0),0)</f>
        <v/>
      </c>
      <c r="M1206">
        <f>IF(Tree!$C$4="once per order",F1206*K1206,F1206)</f>
        <v/>
      </c>
      <c r="N1206">
        <f>IF(Tree!$C$4="once per order",K1206,1)</f>
        <v/>
      </c>
      <c r="O1206">
        <f>IF(Tree!$C$4="once per order",L1206,1)</f>
        <v/>
      </c>
    </row>
    <row r="1207">
      <c r="A1207" t="inlineStr">
        <is>
          <t>KR-00796</t>
        </is>
      </c>
      <c r="B1207" t="inlineStr">
        <is>
          <t>C-0153</t>
        </is>
      </c>
      <c r="C1207" t="inlineStr">
        <is>
          <t>Retail-Plus</t>
        </is>
      </c>
      <c r="D1207" t="inlineStr">
        <is>
          <t>app</t>
        </is>
      </c>
      <c r="E1207" s="7" t="n">
        <v>46291</v>
      </c>
      <c r="F1207" t="n">
        <v>1920</v>
      </c>
      <c r="G1207" t="n">
        <v>1920</v>
      </c>
      <c r="H1207" t="inlineStr">
        <is>
          <t>2026-09-28</t>
        </is>
      </c>
      <c r="I1207">
        <f>IF(MONTH(E1207)&lt;=6,"Q1","Q2")</f>
        <v/>
      </c>
      <c r="J1207">
        <f>YEAR(E1207)*100+MONTH(E1207)</f>
        <v/>
      </c>
      <c r="K1207">
        <f>IF(COUNTIF($A$2:A1207,A1207)=1,1,0)</f>
        <v/>
      </c>
      <c r="L1207">
        <f>IF(K1207=1,IF(COUNTIFS($B$2:B1207,B1207,$I$2:I1207,I1207,$K$2:K1207,1)=1,1,0),0)</f>
        <v/>
      </c>
      <c r="M1207">
        <f>IF(Tree!$C$4="once per order",F1207*K1207,F1207)</f>
        <v/>
      </c>
      <c r="N1207">
        <f>IF(Tree!$C$4="once per order",K1207,1)</f>
        <v/>
      </c>
      <c r="O1207">
        <f>IF(Tree!$C$4="once per order",L1207,1)</f>
        <v/>
      </c>
    </row>
    <row r="1208">
      <c r="A1208" t="inlineStr">
        <is>
          <t>KR-00797</t>
        </is>
      </c>
      <c r="B1208" t="inlineStr">
        <is>
          <t>C-0168</t>
        </is>
      </c>
      <c r="C1208" t="inlineStr">
        <is>
          <t>Retail-Plus</t>
        </is>
      </c>
      <c r="D1208" t="inlineStr">
        <is>
          <t>web</t>
        </is>
      </c>
      <c r="E1208" s="7" t="n">
        <v>46223</v>
      </c>
      <c r="F1208" t="n">
        <v>3200</v>
      </c>
      <c r="G1208" t="n">
        <v>1920</v>
      </c>
      <c r="H1208" t="inlineStr">
        <is>
          <t>2026-07-22</t>
        </is>
      </c>
      <c r="I1208">
        <f>IF(MONTH(E1208)&lt;=6,"Q1","Q2")</f>
        <v/>
      </c>
      <c r="J1208">
        <f>YEAR(E1208)*100+MONTH(E1208)</f>
        <v/>
      </c>
      <c r="K1208">
        <f>IF(COUNTIF($A$2:A1208,A1208)=1,1,0)</f>
        <v/>
      </c>
      <c r="L1208">
        <f>IF(K1208=1,IF(COUNTIFS($B$2:B1208,B1208,$I$2:I1208,I1208,$K$2:K1208,1)=1,1,0),0)</f>
        <v/>
      </c>
      <c r="M1208">
        <f>IF(Tree!$C$4="once per order",F1208*K1208,F1208)</f>
        <v/>
      </c>
      <c r="N1208">
        <f>IF(Tree!$C$4="once per order",K1208,1)</f>
        <v/>
      </c>
      <c r="O1208">
        <f>IF(Tree!$C$4="once per order",L1208,1)</f>
        <v/>
      </c>
    </row>
    <row r="1209">
      <c r="A1209" t="inlineStr">
        <is>
          <t>KR-00797</t>
        </is>
      </c>
      <c r="B1209" t="inlineStr">
        <is>
          <t>C-0168</t>
        </is>
      </c>
      <c r="C1209" t="inlineStr">
        <is>
          <t>Retail-Plus</t>
        </is>
      </c>
      <c r="D1209" t="inlineStr">
        <is>
          <t>web</t>
        </is>
      </c>
      <c r="E1209" s="7" t="n">
        <v>46223</v>
      </c>
      <c r="F1209" t="n">
        <v>3200</v>
      </c>
      <c r="G1209" t="n">
        <v>1280</v>
      </c>
      <c r="H1209" t="inlineStr">
        <is>
          <t>2026-07-22</t>
        </is>
      </c>
      <c r="I1209">
        <f>IF(MONTH(E1209)&lt;=6,"Q1","Q2")</f>
        <v/>
      </c>
      <c r="J1209">
        <f>YEAR(E1209)*100+MONTH(E1209)</f>
        <v/>
      </c>
      <c r="K1209">
        <f>IF(COUNTIF($A$2:A1209,A1209)=1,1,0)</f>
        <v/>
      </c>
      <c r="L1209">
        <f>IF(K1209=1,IF(COUNTIFS($B$2:B1209,B1209,$I$2:I1209,I1209,$K$2:K1209,1)=1,1,0),0)</f>
        <v/>
      </c>
      <c r="M1209">
        <f>IF(Tree!$C$4="once per order",F1209*K1209,F1209)</f>
        <v/>
      </c>
      <c r="N1209">
        <f>IF(Tree!$C$4="once per order",K1209,1)</f>
        <v/>
      </c>
      <c r="O1209">
        <f>IF(Tree!$C$4="once per order",L1209,1)</f>
        <v/>
      </c>
    </row>
    <row r="1210">
      <c r="A1210" t="inlineStr">
        <is>
          <t>KR-00798</t>
        </is>
      </c>
      <c r="B1210" t="inlineStr">
        <is>
          <t>C-0167</t>
        </is>
      </c>
      <c r="C1210" t="inlineStr">
        <is>
          <t>Retail-Plus</t>
        </is>
      </c>
      <c r="D1210" t="inlineStr">
        <is>
          <t>app</t>
        </is>
      </c>
      <c r="E1210" s="7" t="n">
        <v>46253</v>
      </c>
      <c r="F1210" t="n">
        <v>4210</v>
      </c>
      <c r="G1210" t="n">
        <v>2526</v>
      </c>
      <c r="H1210" t="inlineStr">
        <is>
          <t>2026-08-21</t>
        </is>
      </c>
      <c r="I1210">
        <f>IF(MONTH(E1210)&lt;=6,"Q1","Q2")</f>
        <v/>
      </c>
      <c r="J1210">
        <f>YEAR(E1210)*100+MONTH(E1210)</f>
        <v/>
      </c>
      <c r="K1210">
        <f>IF(COUNTIF($A$2:A1210,A1210)=1,1,0)</f>
        <v/>
      </c>
      <c r="L1210">
        <f>IF(K1210=1,IF(COUNTIFS($B$2:B1210,B1210,$I$2:I1210,I1210,$K$2:K1210,1)=1,1,0),0)</f>
        <v/>
      </c>
      <c r="M1210">
        <f>IF(Tree!$C$4="once per order",F1210*K1210,F1210)</f>
        <v/>
      </c>
      <c r="N1210">
        <f>IF(Tree!$C$4="once per order",K1210,1)</f>
        <v/>
      </c>
      <c r="O1210">
        <f>IF(Tree!$C$4="once per order",L1210,1)</f>
        <v/>
      </c>
    </row>
    <row r="1211">
      <c r="A1211" t="inlineStr">
        <is>
          <t>KR-00798</t>
        </is>
      </c>
      <c r="B1211" t="inlineStr">
        <is>
          <t>C-0167</t>
        </is>
      </c>
      <c r="C1211" t="inlineStr">
        <is>
          <t>Retail-Plus</t>
        </is>
      </c>
      <c r="D1211" t="inlineStr">
        <is>
          <t>app</t>
        </is>
      </c>
      <c r="E1211" s="7" t="n">
        <v>46253</v>
      </c>
      <c r="F1211" t="n">
        <v>4210</v>
      </c>
      <c r="G1211" t="n">
        <v>1684</v>
      </c>
      <c r="H1211" t="inlineStr">
        <is>
          <t>2026-08-21</t>
        </is>
      </c>
      <c r="I1211">
        <f>IF(MONTH(E1211)&lt;=6,"Q1","Q2")</f>
        <v/>
      </c>
      <c r="J1211">
        <f>YEAR(E1211)*100+MONTH(E1211)</f>
        <v/>
      </c>
      <c r="K1211">
        <f>IF(COUNTIF($A$2:A1211,A1211)=1,1,0)</f>
        <v/>
      </c>
      <c r="L1211">
        <f>IF(K1211=1,IF(COUNTIFS($B$2:B1211,B1211,$I$2:I1211,I1211,$K$2:K1211,1)=1,1,0),0)</f>
        <v/>
      </c>
      <c r="M1211">
        <f>IF(Tree!$C$4="once per order",F1211*K1211,F1211)</f>
        <v/>
      </c>
      <c r="N1211">
        <f>IF(Tree!$C$4="once per order",K1211,1)</f>
        <v/>
      </c>
      <c r="O1211">
        <f>IF(Tree!$C$4="once per order",L1211,1)</f>
        <v/>
      </c>
    </row>
    <row r="1212">
      <c r="A1212" t="inlineStr">
        <is>
          <t>KR-00799</t>
        </is>
      </c>
      <c r="B1212" t="inlineStr">
        <is>
          <t>C-0211</t>
        </is>
      </c>
      <c r="C1212" t="inlineStr">
        <is>
          <t>Retail-Plus</t>
        </is>
      </c>
      <c r="D1212" t="inlineStr">
        <is>
          <t>app</t>
        </is>
      </c>
      <c r="E1212" s="7" t="n">
        <v>46271</v>
      </c>
      <c r="F1212" t="n">
        <v>1970</v>
      </c>
      <c r="G1212" t="n">
        <v>1970</v>
      </c>
      <c r="H1212" t="inlineStr">
        <is>
          <t>2026-09-08</t>
        </is>
      </c>
      <c r="I1212">
        <f>IF(MONTH(E1212)&lt;=6,"Q1","Q2")</f>
        <v/>
      </c>
      <c r="J1212">
        <f>YEAR(E1212)*100+MONTH(E1212)</f>
        <v/>
      </c>
      <c r="K1212">
        <f>IF(COUNTIF($A$2:A1212,A1212)=1,1,0)</f>
        <v/>
      </c>
      <c r="L1212">
        <f>IF(K1212=1,IF(COUNTIFS($B$2:B1212,B1212,$I$2:I1212,I1212,$K$2:K1212,1)=1,1,0),0)</f>
        <v/>
      </c>
      <c r="M1212">
        <f>IF(Tree!$C$4="once per order",F1212*K1212,F1212)</f>
        <v/>
      </c>
      <c r="N1212">
        <f>IF(Tree!$C$4="once per order",K1212,1)</f>
        <v/>
      </c>
      <c r="O1212">
        <f>IF(Tree!$C$4="once per order",L1212,1)</f>
        <v/>
      </c>
    </row>
    <row r="1213">
      <c r="A1213" t="inlineStr">
        <is>
          <t>KR-00800</t>
        </is>
      </c>
      <c r="B1213" t="inlineStr">
        <is>
          <t>C-0249</t>
        </is>
      </c>
      <c r="C1213" t="inlineStr">
        <is>
          <t>Retail-Plus</t>
        </is>
      </c>
      <c r="D1213" t="inlineStr">
        <is>
          <t>app</t>
        </is>
      </c>
      <c r="E1213" s="7" t="n">
        <v>46222</v>
      </c>
      <c r="F1213" t="n">
        <v>1570</v>
      </c>
      <c r="G1213" t="n">
        <v>1570</v>
      </c>
      <c r="H1213" t="inlineStr">
        <is>
          <t>2026-07-21</t>
        </is>
      </c>
      <c r="I1213">
        <f>IF(MONTH(E1213)&lt;=6,"Q1","Q2")</f>
        <v/>
      </c>
      <c r="J1213">
        <f>YEAR(E1213)*100+MONTH(E1213)</f>
        <v/>
      </c>
      <c r="K1213">
        <f>IF(COUNTIF($A$2:A1213,A1213)=1,1,0)</f>
        <v/>
      </c>
      <c r="L1213">
        <f>IF(K1213=1,IF(COUNTIFS($B$2:B1213,B1213,$I$2:I1213,I1213,$K$2:K1213,1)=1,1,0),0)</f>
        <v/>
      </c>
      <c r="M1213">
        <f>IF(Tree!$C$4="once per order",F1213*K1213,F1213)</f>
        <v/>
      </c>
      <c r="N1213">
        <f>IF(Tree!$C$4="once per order",K1213,1)</f>
        <v/>
      </c>
      <c r="O1213">
        <f>IF(Tree!$C$4="once per order",L1213,1)</f>
        <v/>
      </c>
    </row>
    <row r="1214">
      <c r="A1214" t="inlineStr">
        <is>
          <t>KR-00801</t>
        </is>
      </c>
      <c r="B1214" t="inlineStr">
        <is>
          <t>C-0180</t>
        </is>
      </c>
      <c r="C1214" t="inlineStr">
        <is>
          <t>Retail-Plus</t>
        </is>
      </c>
      <c r="D1214" t="inlineStr">
        <is>
          <t>web</t>
        </is>
      </c>
      <c r="E1214" s="7" t="n">
        <v>46260</v>
      </c>
      <c r="F1214" t="n">
        <v>4280</v>
      </c>
      <c r="G1214" t="n">
        <v>2568</v>
      </c>
      <c r="H1214" t="inlineStr">
        <is>
          <t>2026-08-28</t>
        </is>
      </c>
      <c r="I1214">
        <f>IF(MONTH(E1214)&lt;=6,"Q1","Q2")</f>
        <v/>
      </c>
      <c r="J1214">
        <f>YEAR(E1214)*100+MONTH(E1214)</f>
        <v/>
      </c>
      <c r="K1214">
        <f>IF(COUNTIF($A$2:A1214,A1214)=1,1,0)</f>
        <v/>
      </c>
      <c r="L1214">
        <f>IF(K1214=1,IF(COUNTIFS($B$2:B1214,B1214,$I$2:I1214,I1214,$K$2:K1214,1)=1,1,0),0)</f>
        <v/>
      </c>
      <c r="M1214">
        <f>IF(Tree!$C$4="once per order",F1214*K1214,F1214)</f>
        <v/>
      </c>
      <c r="N1214">
        <f>IF(Tree!$C$4="once per order",K1214,1)</f>
        <v/>
      </c>
      <c r="O1214">
        <f>IF(Tree!$C$4="once per order",L1214,1)</f>
        <v/>
      </c>
    </row>
    <row r="1215">
      <c r="A1215" t="inlineStr">
        <is>
          <t>KR-00801</t>
        </is>
      </c>
      <c r="B1215" t="inlineStr">
        <is>
          <t>C-0180</t>
        </is>
      </c>
      <c r="C1215" t="inlineStr">
        <is>
          <t>Retail-Plus</t>
        </is>
      </c>
      <c r="D1215" t="inlineStr">
        <is>
          <t>web</t>
        </is>
      </c>
      <c r="E1215" s="7" t="n">
        <v>46260</v>
      </c>
      <c r="F1215" t="n">
        <v>4280</v>
      </c>
      <c r="G1215" t="n">
        <v>1712</v>
      </c>
      <c r="H1215" t="inlineStr">
        <is>
          <t>2026-08-28</t>
        </is>
      </c>
      <c r="I1215">
        <f>IF(MONTH(E1215)&lt;=6,"Q1","Q2")</f>
        <v/>
      </c>
      <c r="J1215">
        <f>YEAR(E1215)*100+MONTH(E1215)</f>
        <v/>
      </c>
      <c r="K1215">
        <f>IF(COUNTIF($A$2:A1215,A1215)=1,1,0)</f>
        <v/>
      </c>
      <c r="L1215">
        <f>IF(K1215=1,IF(COUNTIFS($B$2:B1215,B1215,$I$2:I1215,I1215,$K$2:K1215,1)=1,1,0),0)</f>
        <v/>
      </c>
      <c r="M1215">
        <f>IF(Tree!$C$4="once per order",F1215*K1215,F1215)</f>
        <v/>
      </c>
      <c r="N1215">
        <f>IF(Tree!$C$4="once per order",K1215,1)</f>
        <v/>
      </c>
      <c r="O1215">
        <f>IF(Tree!$C$4="once per order",L1215,1)</f>
        <v/>
      </c>
    </row>
    <row r="1216">
      <c r="A1216" t="inlineStr">
        <is>
          <t>KR-00802</t>
        </is>
      </c>
      <c r="B1216" t="inlineStr">
        <is>
          <t>C-0231</t>
        </is>
      </c>
      <c r="C1216" t="inlineStr">
        <is>
          <t>Retail-Plus</t>
        </is>
      </c>
      <c r="D1216" t="inlineStr">
        <is>
          <t>app</t>
        </is>
      </c>
      <c r="E1216" s="7" t="n">
        <v>46276</v>
      </c>
      <c r="F1216" t="n">
        <v>3570</v>
      </c>
      <c r="G1216" t="n">
        <v>2142</v>
      </c>
      <c r="H1216" t="inlineStr">
        <is>
          <t>2026-09-13</t>
        </is>
      </c>
      <c r="I1216">
        <f>IF(MONTH(E1216)&lt;=6,"Q1","Q2")</f>
        <v/>
      </c>
      <c r="J1216">
        <f>YEAR(E1216)*100+MONTH(E1216)</f>
        <v/>
      </c>
      <c r="K1216">
        <f>IF(COUNTIF($A$2:A1216,A1216)=1,1,0)</f>
        <v/>
      </c>
      <c r="L1216">
        <f>IF(K1216=1,IF(COUNTIFS($B$2:B1216,B1216,$I$2:I1216,I1216,$K$2:K1216,1)=1,1,0),0)</f>
        <v/>
      </c>
      <c r="M1216">
        <f>IF(Tree!$C$4="once per order",F1216*K1216,F1216)</f>
        <v/>
      </c>
      <c r="N1216">
        <f>IF(Tree!$C$4="once per order",K1216,1)</f>
        <v/>
      </c>
      <c r="O1216">
        <f>IF(Tree!$C$4="once per order",L1216,1)</f>
        <v/>
      </c>
    </row>
    <row r="1217">
      <c r="A1217" t="inlineStr">
        <is>
          <t>KR-00802</t>
        </is>
      </c>
      <c r="B1217" t="inlineStr">
        <is>
          <t>C-0231</t>
        </is>
      </c>
      <c r="C1217" t="inlineStr">
        <is>
          <t>Retail-Plus</t>
        </is>
      </c>
      <c r="D1217" t="inlineStr">
        <is>
          <t>app</t>
        </is>
      </c>
      <c r="E1217" s="7" t="n">
        <v>46276</v>
      </c>
      <c r="F1217" t="n">
        <v>3570</v>
      </c>
      <c r="G1217" t="n">
        <v>1428</v>
      </c>
      <c r="H1217" t="inlineStr">
        <is>
          <t>2026-09-13</t>
        </is>
      </c>
      <c r="I1217">
        <f>IF(MONTH(E1217)&lt;=6,"Q1","Q2")</f>
        <v/>
      </c>
      <c r="J1217">
        <f>YEAR(E1217)*100+MONTH(E1217)</f>
        <v/>
      </c>
      <c r="K1217">
        <f>IF(COUNTIF($A$2:A1217,A1217)=1,1,0)</f>
        <v/>
      </c>
      <c r="L1217">
        <f>IF(K1217=1,IF(COUNTIFS($B$2:B1217,B1217,$I$2:I1217,I1217,$K$2:K1217,1)=1,1,0),0)</f>
        <v/>
      </c>
      <c r="M1217">
        <f>IF(Tree!$C$4="once per order",F1217*K1217,F1217)</f>
        <v/>
      </c>
      <c r="N1217">
        <f>IF(Tree!$C$4="once per order",K1217,1)</f>
        <v/>
      </c>
      <c r="O1217">
        <f>IF(Tree!$C$4="once per order",L1217,1)</f>
        <v/>
      </c>
    </row>
    <row r="1218">
      <c r="A1218" t="inlineStr">
        <is>
          <t>KR-00803</t>
        </is>
      </c>
      <c r="B1218" t="inlineStr">
        <is>
          <t>C-0243</t>
        </is>
      </c>
      <c r="C1218" t="inlineStr">
        <is>
          <t>Retail-Plus</t>
        </is>
      </c>
      <c r="D1218" t="inlineStr">
        <is>
          <t>store</t>
        </is>
      </c>
      <c r="E1218" s="7" t="n">
        <v>46206</v>
      </c>
      <c r="F1218" t="n">
        <v>1350</v>
      </c>
      <c r="G1218" t="n">
        <v>1350</v>
      </c>
      <c r="H1218" t="inlineStr">
        <is>
          <t>2026-07-05</t>
        </is>
      </c>
      <c r="I1218">
        <f>IF(MONTH(E1218)&lt;=6,"Q1","Q2")</f>
        <v/>
      </c>
      <c r="J1218">
        <f>YEAR(E1218)*100+MONTH(E1218)</f>
        <v/>
      </c>
      <c r="K1218">
        <f>IF(COUNTIF($A$2:A1218,A1218)=1,1,0)</f>
        <v/>
      </c>
      <c r="L1218">
        <f>IF(K1218=1,IF(COUNTIFS($B$2:B1218,B1218,$I$2:I1218,I1218,$K$2:K1218,1)=1,1,0),0)</f>
        <v/>
      </c>
      <c r="M1218">
        <f>IF(Tree!$C$4="once per order",F1218*K1218,F1218)</f>
        <v/>
      </c>
      <c r="N1218">
        <f>IF(Tree!$C$4="once per order",K1218,1)</f>
        <v/>
      </c>
      <c r="O1218">
        <f>IF(Tree!$C$4="once per order",L1218,1)</f>
        <v/>
      </c>
    </row>
    <row r="1219">
      <c r="A1219" t="inlineStr">
        <is>
          <t>KR-00804</t>
        </is>
      </c>
      <c r="B1219" t="inlineStr">
        <is>
          <t>C-0265</t>
        </is>
      </c>
      <c r="C1219" t="inlineStr">
        <is>
          <t>Retail-Plus</t>
        </is>
      </c>
      <c r="D1219" t="inlineStr">
        <is>
          <t>app</t>
        </is>
      </c>
      <c r="E1219" s="7" t="n">
        <v>46262</v>
      </c>
      <c r="F1219" t="n">
        <v>2980</v>
      </c>
      <c r="G1219" t="n">
        <v>1788</v>
      </c>
      <c r="H1219" t="inlineStr">
        <is>
          <t>2026-08-28</t>
        </is>
      </c>
      <c r="I1219">
        <f>IF(MONTH(E1219)&lt;=6,"Q1","Q2")</f>
        <v/>
      </c>
      <c r="J1219">
        <f>YEAR(E1219)*100+MONTH(E1219)</f>
        <v/>
      </c>
      <c r="K1219">
        <f>IF(COUNTIF($A$2:A1219,A1219)=1,1,0)</f>
        <v/>
      </c>
      <c r="L1219">
        <f>IF(K1219=1,IF(COUNTIFS($B$2:B1219,B1219,$I$2:I1219,I1219,$K$2:K1219,1)=1,1,0),0)</f>
        <v/>
      </c>
      <c r="M1219">
        <f>IF(Tree!$C$4="once per order",F1219*K1219,F1219)</f>
        <v/>
      </c>
      <c r="N1219">
        <f>IF(Tree!$C$4="once per order",K1219,1)</f>
        <v/>
      </c>
      <c r="O1219">
        <f>IF(Tree!$C$4="once per order",L1219,1)</f>
        <v/>
      </c>
    </row>
    <row r="1220">
      <c r="A1220" t="inlineStr">
        <is>
          <t>KR-00804</t>
        </is>
      </c>
      <c r="B1220" t="inlineStr">
        <is>
          <t>C-0265</t>
        </is>
      </c>
      <c r="C1220" t="inlineStr">
        <is>
          <t>Retail-Plus</t>
        </is>
      </c>
      <c r="D1220" t="inlineStr">
        <is>
          <t>app</t>
        </is>
      </c>
      <c r="E1220" s="7" t="n">
        <v>46262</v>
      </c>
      <c r="F1220" t="n">
        <v>2980</v>
      </c>
      <c r="G1220" t="n">
        <v>1192</v>
      </c>
      <c r="H1220" t="inlineStr">
        <is>
          <t>2026-08-28</t>
        </is>
      </c>
      <c r="I1220">
        <f>IF(MONTH(E1220)&lt;=6,"Q1","Q2")</f>
        <v/>
      </c>
      <c r="J1220">
        <f>YEAR(E1220)*100+MONTH(E1220)</f>
        <v/>
      </c>
      <c r="K1220">
        <f>IF(COUNTIF($A$2:A1220,A1220)=1,1,0)</f>
        <v/>
      </c>
      <c r="L1220">
        <f>IF(K1220=1,IF(COUNTIFS($B$2:B1220,B1220,$I$2:I1220,I1220,$K$2:K1220,1)=1,1,0),0)</f>
        <v/>
      </c>
      <c r="M1220">
        <f>IF(Tree!$C$4="once per order",F1220*K1220,F1220)</f>
        <v/>
      </c>
      <c r="N1220">
        <f>IF(Tree!$C$4="once per order",K1220,1)</f>
        <v/>
      </c>
      <c r="O1220">
        <f>IF(Tree!$C$4="once per order",L1220,1)</f>
        <v/>
      </c>
    </row>
    <row r="1221">
      <c r="A1221" t="inlineStr">
        <is>
          <t>KR-00805</t>
        </is>
      </c>
      <c r="B1221" t="inlineStr">
        <is>
          <t>C-0160</t>
        </is>
      </c>
      <c r="C1221" t="inlineStr">
        <is>
          <t>Retail-Plus</t>
        </is>
      </c>
      <c r="D1221" t="inlineStr">
        <is>
          <t>web</t>
        </is>
      </c>
      <c r="E1221" s="7" t="n">
        <v>46273</v>
      </c>
      <c r="F1221" t="n">
        <v>3840</v>
      </c>
      <c r="G1221" t="n">
        <v>2304</v>
      </c>
      <c r="H1221" t="inlineStr">
        <is>
          <t>2026-09-10</t>
        </is>
      </c>
      <c r="I1221">
        <f>IF(MONTH(E1221)&lt;=6,"Q1","Q2")</f>
        <v/>
      </c>
      <c r="J1221">
        <f>YEAR(E1221)*100+MONTH(E1221)</f>
        <v/>
      </c>
      <c r="K1221">
        <f>IF(COUNTIF($A$2:A1221,A1221)=1,1,0)</f>
        <v/>
      </c>
      <c r="L1221">
        <f>IF(K1221=1,IF(COUNTIFS($B$2:B1221,B1221,$I$2:I1221,I1221,$K$2:K1221,1)=1,1,0),0)</f>
        <v/>
      </c>
      <c r="M1221">
        <f>IF(Tree!$C$4="once per order",F1221*K1221,F1221)</f>
        <v/>
      </c>
      <c r="N1221">
        <f>IF(Tree!$C$4="once per order",K1221,1)</f>
        <v/>
      </c>
      <c r="O1221">
        <f>IF(Tree!$C$4="once per order",L1221,1)</f>
        <v/>
      </c>
    </row>
    <row r="1222">
      <c r="A1222" t="inlineStr">
        <is>
          <t>KR-00805</t>
        </is>
      </c>
      <c r="B1222" t="inlineStr">
        <is>
          <t>C-0160</t>
        </is>
      </c>
      <c r="C1222" t="inlineStr">
        <is>
          <t>Retail-Plus</t>
        </is>
      </c>
      <c r="D1222" t="inlineStr">
        <is>
          <t>web</t>
        </is>
      </c>
      <c r="E1222" s="7" t="n">
        <v>46273</v>
      </c>
      <c r="F1222" t="n">
        <v>3840</v>
      </c>
      <c r="G1222" t="n">
        <v>1536</v>
      </c>
      <c r="H1222" t="inlineStr">
        <is>
          <t>2026-09-10</t>
        </is>
      </c>
      <c r="I1222">
        <f>IF(MONTH(E1222)&lt;=6,"Q1","Q2")</f>
        <v/>
      </c>
      <c r="J1222">
        <f>YEAR(E1222)*100+MONTH(E1222)</f>
        <v/>
      </c>
      <c r="K1222">
        <f>IF(COUNTIF($A$2:A1222,A1222)=1,1,0)</f>
        <v/>
      </c>
      <c r="L1222">
        <f>IF(K1222=1,IF(COUNTIFS($B$2:B1222,B1222,$I$2:I1222,I1222,$K$2:K1222,1)=1,1,0),0)</f>
        <v/>
      </c>
      <c r="M1222">
        <f>IF(Tree!$C$4="once per order",F1222*K1222,F1222)</f>
        <v/>
      </c>
      <c r="N1222">
        <f>IF(Tree!$C$4="once per order",K1222,1)</f>
        <v/>
      </c>
      <c r="O1222">
        <f>IF(Tree!$C$4="once per order",L1222,1)</f>
        <v/>
      </c>
    </row>
    <row r="1223">
      <c r="A1223" t="inlineStr">
        <is>
          <t>KR-00806</t>
        </is>
      </c>
      <c r="B1223" t="inlineStr">
        <is>
          <t>C-0251</t>
        </is>
      </c>
      <c r="C1223" t="inlineStr">
        <is>
          <t>Retail-Plus</t>
        </is>
      </c>
      <c r="D1223" t="inlineStr">
        <is>
          <t>web</t>
        </is>
      </c>
      <c r="E1223" s="7" t="n">
        <v>46217</v>
      </c>
      <c r="F1223" t="n">
        <v>4490</v>
      </c>
      <c r="G1223" t="n">
        <v>2694</v>
      </c>
      <c r="H1223" t="inlineStr">
        <is>
          <t>2026-07-16</t>
        </is>
      </c>
      <c r="I1223">
        <f>IF(MONTH(E1223)&lt;=6,"Q1","Q2")</f>
        <v/>
      </c>
      <c r="J1223">
        <f>YEAR(E1223)*100+MONTH(E1223)</f>
        <v/>
      </c>
      <c r="K1223">
        <f>IF(COUNTIF($A$2:A1223,A1223)=1,1,0)</f>
        <v/>
      </c>
      <c r="L1223">
        <f>IF(K1223=1,IF(COUNTIFS($B$2:B1223,B1223,$I$2:I1223,I1223,$K$2:K1223,1)=1,1,0),0)</f>
        <v/>
      </c>
      <c r="M1223">
        <f>IF(Tree!$C$4="once per order",F1223*K1223,F1223)</f>
        <v/>
      </c>
      <c r="N1223">
        <f>IF(Tree!$C$4="once per order",K1223,1)</f>
        <v/>
      </c>
      <c r="O1223">
        <f>IF(Tree!$C$4="once per order",L1223,1)</f>
        <v/>
      </c>
    </row>
    <row r="1224">
      <c r="A1224" t="inlineStr">
        <is>
          <t>KR-00806</t>
        </is>
      </c>
      <c r="B1224" t="inlineStr">
        <is>
          <t>C-0251</t>
        </is>
      </c>
      <c r="C1224" t="inlineStr">
        <is>
          <t>Retail-Plus</t>
        </is>
      </c>
      <c r="D1224" t="inlineStr">
        <is>
          <t>web</t>
        </is>
      </c>
      <c r="E1224" s="7" t="n">
        <v>46217</v>
      </c>
      <c r="F1224" t="n">
        <v>4490</v>
      </c>
      <c r="G1224" t="n">
        <v>1796</v>
      </c>
      <c r="H1224" t="inlineStr">
        <is>
          <t>2026-07-16</t>
        </is>
      </c>
      <c r="I1224">
        <f>IF(MONTH(E1224)&lt;=6,"Q1","Q2")</f>
        <v/>
      </c>
      <c r="J1224">
        <f>YEAR(E1224)*100+MONTH(E1224)</f>
        <v/>
      </c>
      <c r="K1224">
        <f>IF(COUNTIF($A$2:A1224,A1224)=1,1,0)</f>
        <v/>
      </c>
      <c r="L1224">
        <f>IF(K1224=1,IF(COUNTIFS($B$2:B1224,B1224,$I$2:I1224,I1224,$K$2:K1224,1)=1,1,0),0)</f>
        <v/>
      </c>
      <c r="M1224">
        <f>IF(Tree!$C$4="once per order",F1224*K1224,F1224)</f>
        <v/>
      </c>
      <c r="N1224">
        <f>IF(Tree!$C$4="once per order",K1224,1)</f>
        <v/>
      </c>
      <c r="O1224">
        <f>IF(Tree!$C$4="once per order",L1224,1)</f>
        <v/>
      </c>
    </row>
    <row r="1225">
      <c r="A1225" t="inlineStr">
        <is>
          <t>KR-00807</t>
        </is>
      </c>
      <c r="B1225" t="inlineStr">
        <is>
          <t>C-0157</t>
        </is>
      </c>
      <c r="C1225" t="inlineStr">
        <is>
          <t>Retail-Plus</t>
        </is>
      </c>
      <c r="D1225" t="inlineStr">
        <is>
          <t>web</t>
        </is>
      </c>
      <c r="E1225" s="7" t="n">
        <v>46239</v>
      </c>
      <c r="F1225" t="n">
        <v>4010</v>
      </c>
      <c r="G1225" t="n">
        <v>2406</v>
      </c>
      <c r="H1225" t="inlineStr">
        <is>
          <t>2026-08-07</t>
        </is>
      </c>
      <c r="I1225">
        <f>IF(MONTH(E1225)&lt;=6,"Q1","Q2")</f>
        <v/>
      </c>
      <c r="J1225">
        <f>YEAR(E1225)*100+MONTH(E1225)</f>
        <v/>
      </c>
      <c r="K1225">
        <f>IF(COUNTIF($A$2:A1225,A1225)=1,1,0)</f>
        <v/>
      </c>
      <c r="L1225">
        <f>IF(K1225=1,IF(COUNTIFS($B$2:B1225,B1225,$I$2:I1225,I1225,$K$2:K1225,1)=1,1,0),0)</f>
        <v/>
      </c>
      <c r="M1225">
        <f>IF(Tree!$C$4="once per order",F1225*K1225,F1225)</f>
        <v/>
      </c>
      <c r="N1225">
        <f>IF(Tree!$C$4="once per order",K1225,1)</f>
        <v/>
      </c>
      <c r="O1225">
        <f>IF(Tree!$C$4="once per order",L1225,1)</f>
        <v/>
      </c>
    </row>
    <row r="1226">
      <c r="A1226" t="inlineStr">
        <is>
          <t>KR-00807</t>
        </is>
      </c>
      <c r="B1226" t="inlineStr">
        <is>
          <t>C-0157</t>
        </is>
      </c>
      <c r="C1226" t="inlineStr">
        <is>
          <t>Retail-Plus</t>
        </is>
      </c>
      <c r="D1226" t="inlineStr">
        <is>
          <t>web</t>
        </is>
      </c>
      <c r="E1226" s="7" t="n">
        <v>46239</v>
      </c>
      <c r="F1226" t="n">
        <v>4010</v>
      </c>
      <c r="G1226" t="n">
        <v>1604</v>
      </c>
      <c r="H1226" t="inlineStr">
        <is>
          <t>2026-08-07</t>
        </is>
      </c>
      <c r="I1226">
        <f>IF(MONTH(E1226)&lt;=6,"Q1","Q2")</f>
        <v/>
      </c>
      <c r="J1226">
        <f>YEAR(E1226)*100+MONTH(E1226)</f>
        <v/>
      </c>
      <c r="K1226">
        <f>IF(COUNTIF($A$2:A1226,A1226)=1,1,0)</f>
        <v/>
      </c>
      <c r="L1226">
        <f>IF(K1226=1,IF(COUNTIFS($B$2:B1226,B1226,$I$2:I1226,I1226,$K$2:K1226,1)=1,1,0),0)</f>
        <v/>
      </c>
      <c r="M1226">
        <f>IF(Tree!$C$4="once per order",F1226*K1226,F1226)</f>
        <v/>
      </c>
      <c r="N1226">
        <f>IF(Tree!$C$4="once per order",K1226,1)</f>
        <v/>
      </c>
      <c r="O1226">
        <f>IF(Tree!$C$4="once per order",L1226,1)</f>
        <v/>
      </c>
    </row>
    <row r="1227">
      <c r="A1227" t="inlineStr">
        <is>
          <t>KR-00808</t>
        </is>
      </c>
      <c r="B1227" t="inlineStr">
        <is>
          <t>C-0003</t>
        </is>
      </c>
      <c r="C1227" t="inlineStr">
        <is>
          <t>Retail-Core</t>
        </is>
      </c>
      <c r="D1227" t="inlineStr">
        <is>
          <t>app</t>
        </is>
      </c>
      <c r="E1227" s="7" t="n">
        <v>46219</v>
      </c>
      <c r="F1227" t="n">
        <v>2630</v>
      </c>
      <c r="G1227" t="n">
        <v>2630</v>
      </c>
      <c r="H1227" t="inlineStr">
        <is>
          <t>2026-07-18</t>
        </is>
      </c>
      <c r="I1227">
        <f>IF(MONTH(E1227)&lt;=6,"Q1","Q2")</f>
        <v/>
      </c>
      <c r="J1227">
        <f>YEAR(E1227)*100+MONTH(E1227)</f>
        <v/>
      </c>
      <c r="K1227">
        <f>IF(COUNTIF($A$2:A1227,A1227)=1,1,0)</f>
        <v/>
      </c>
      <c r="L1227">
        <f>IF(K1227=1,IF(COUNTIFS($B$2:B1227,B1227,$I$2:I1227,I1227,$K$2:K1227,1)=1,1,0),0)</f>
        <v/>
      </c>
      <c r="M1227">
        <f>IF(Tree!$C$4="once per order",F1227*K1227,F1227)</f>
        <v/>
      </c>
      <c r="N1227">
        <f>IF(Tree!$C$4="once per order",K1227,1)</f>
        <v/>
      </c>
      <c r="O1227">
        <f>IF(Tree!$C$4="once per order",L1227,1)</f>
        <v/>
      </c>
    </row>
    <row r="1228">
      <c r="A1228" t="inlineStr">
        <is>
          <t>KR-00809</t>
        </is>
      </c>
      <c r="B1228" t="inlineStr">
        <is>
          <t>C-0044</t>
        </is>
      </c>
      <c r="C1228" t="inlineStr">
        <is>
          <t>Retail-Core</t>
        </is>
      </c>
      <c r="D1228" t="inlineStr">
        <is>
          <t>store</t>
        </is>
      </c>
      <c r="E1228" s="7" t="n">
        <v>46248</v>
      </c>
      <c r="F1228" t="n">
        <v>1370</v>
      </c>
      <c r="G1228" t="n">
        <v>1370</v>
      </c>
      <c r="H1228" t="inlineStr">
        <is>
          <t>2026-08-16</t>
        </is>
      </c>
      <c r="I1228">
        <f>IF(MONTH(E1228)&lt;=6,"Q1","Q2")</f>
        <v/>
      </c>
      <c r="J1228">
        <f>YEAR(E1228)*100+MONTH(E1228)</f>
        <v/>
      </c>
      <c r="K1228">
        <f>IF(COUNTIF($A$2:A1228,A1228)=1,1,0)</f>
        <v/>
      </c>
      <c r="L1228">
        <f>IF(K1228=1,IF(COUNTIFS($B$2:B1228,B1228,$I$2:I1228,I1228,$K$2:K1228,1)=1,1,0),0)</f>
        <v/>
      </c>
      <c r="M1228">
        <f>IF(Tree!$C$4="once per order",F1228*K1228,F1228)</f>
        <v/>
      </c>
      <c r="N1228">
        <f>IF(Tree!$C$4="once per order",K1228,1)</f>
        <v/>
      </c>
      <c r="O1228">
        <f>IF(Tree!$C$4="once per order",L1228,1)</f>
        <v/>
      </c>
    </row>
    <row r="1229">
      <c r="A1229" t="inlineStr">
        <is>
          <t>KR-00810</t>
        </is>
      </c>
      <c r="B1229" t="inlineStr">
        <is>
          <t>C-0047</t>
        </is>
      </c>
      <c r="C1229" t="inlineStr">
        <is>
          <t>Retail-Core</t>
        </is>
      </c>
      <c r="D1229" t="inlineStr">
        <is>
          <t>app</t>
        </is>
      </c>
      <c r="E1229" s="7" t="n">
        <v>46292</v>
      </c>
      <c r="F1229" t="n">
        <v>2770</v>
      </c>
      <c r="G1229" t="n">
        <v>2770</v>
      </c>
      <c r="H1229" t="inlineStr">
        <is>
          <t>2026-09-28</t>
        </is>
      </c>
      <c r="I1229">
        <f>IF(MONTH(E1229)&lt;=6,"Q1","Q2")</f>
        <v/>
      </c>
      <c r="J1229">
        <f>YEAR(E1229)*100+MONTH(E1229)</f>
        <v/>
      </c>
      <c r="K1229">
        <f>IF(COUNTIF($A$2:A1229,A1229)=1,1,0)</f>
        <v/>
      </c>
      <c r="L1229">
        <f>IF(K1229=1,IF(COUNTIFS($B$2:B1229,B1229,$I$2:I1229,I1229,$K$2:K1229,1)=1,1,0),0)</f>
        <v/>
      </c>
      <c r="M1229">
        <f>IF(Tree!$C$4="once per order",F1229*K1229,F1229)</f>
        <v/>
      </c>
      <c r="N1229">
        <f>IF(Tree!$C$4="once per order",K1229,1)</f>
        <v/>
      </c>
      <c r="O1229">
        <f>IF(Tree!$C$4="once per order",L1229,1)</f>
        <v/>
      </c>
    </row>
    <row r="1230">
      <c r="A1230" t="inlineStr">
        <is>
          <t>KR-00811</t>
        </is>
      </c>
      <c r="B1230" t="inlineStr">
        <is>
          <t>C-0090</t>
        </is>
      </c>
      <c r="C1230" t="inlineStr">
        <is>
          <t>Retail-Core</t>
        </is>
      </c>
      <c r="D1230" t="inlineStr">
        <is>
          <t>web</t>
        </is>
      </c>
      <c r="E1230" s="7" t="n">
        <v>46217</v>
      </c>
      <c r="F1230" t="n">
        <v>1900</v>
      </c>
      <c r="G1230" t="n">
        <v>1900</v>
      </c>
      <c r="H1230" t="inlineStr">
        <is>
          <t>2026-07-16</t>
        </is>
      </c>
      <c r="I1230">
        <f>IF(MONTH(E1230)&lt;=6,"Q1","Q2")</f>
        <v/>
      </c>
      <c r="J1230">
        <f>YEAR(E1230)*100+MONTH(E1230)</f>
        <v/>
      </c>
      <c r="K1230">
        <f>IF(COUNTIF($A$2:A1230,A1230)=1,1,0)</f>
        <v/>
      </c>
      <c r="L1230">
        <f>IF(K1230=1,IF(COUNTIFS($B$2:B1230,B1230,$I$2:I1230,I1230,$K$2:K1230,1)=1,1,0),0)</f>
        <v/>
      </c>
      <c r="M1230">
        <f>IF(Tree!$C$4="once per order",F1230*K1230,F1230)</f>
        <v/>
      </c>
      <c r="N1230">
        <f>IF(Tree!$C$4="once per order",K1230,1)</f>
        <v/>
      </c>
      <c r="O1230">
        <f>IF(Tree!$C$4="once per order",L1230,1)</f>
        <v/>
      </c>
    </row>
    <row r="1231">
      <c r="A1231" t="inlineStr">
        <is>
          <t>KR-00812</t>
        </is>
      </c>
      <c r="B1231" t="inlineStr">
        <is>
          <t>C-0136</t>
        </is>
      </c>
      <c r="C1231" t="inlineStr">
        <is>
          <t>Retail-Core</t>
        </is>
      </c>
      <c r="D1231" t="inlineStr">
        <is>
          <t>app</t>
        </is>
      </c>
      <c r="E1231" s="7" t="n">
        <v>46256</v>
      </c>
      <c r="F1231" t="n">
        <v>1340</v>
      </c>
      <c r="G1231" t="n">
        <v>1340</v>
      </c>
      <c r="H1231" t="inlineStr">
        <is>
          <t>2026-08-24</t>
        </is>
      </c>
      <c r="I1231">
        <f>IF(MONTH(E1231)&lt;=6,"Q1","Q2")</f>
        <v/>
      </c>
      <c r="J1231">
        <f>YEAR(E1231)*100+MONTH(E1231)</f>
        <v/>
      </c>
      <c r="K1231">
        <f>IF(COUNTIF($A$2:A1231,A1231)=1,1,0)</f>
        <v/>
      </c>
      <c r="L1231">
        <f>IF(K1231=1,IF(COUNTIFS($B$2:B1231,B1231,$I$2:I1231,I1231,$K$2:K1231,1)=1,1,0),0)</f>
        <v/>
      </c>
      <c r="M1231">
        <f>IF(Tree!$C$4="once per order",F1231*K1231,F1231)</f>
        <v/>
      </c>
      <c r="N1231">
        <f>IF(Tree!$C$4="once per order",K1231,1)</f>
        <v/>
      </c>
      <c r="O1231">
        <f>IF(Tree!$C$4="once per order",L1231,1)</f>
        <v/>
      </c>
    </row>
    <row r="1232">
      <c r="A1232" t="inlineStr">
        <is>
          <t>KR-00813</t>
        </is>
      </c>
      <c r="B1232" t="inlineStr">
        <is>
          <t>C-0039</t>
        </is>
      </c>
      <c r="C1232" t="inlineStr">
        <is>
          <t>Retail-Core</t>
        </is>
      </c>
      <c r="D1232" t="inlineStr">
        <is>
          <t>store</t>
        </is>
      </c>
      <c r="E1232" s="7" t="n">
        <v>46283</v>
      </c>
      <c r="F1232" t="n">
        <v>1110</v>
      </c>
      <c r="G1232" t="n">
        <v>1110</v>
      </c>
      <c r="H1232" t="inlineStr">
        <is>
          <t>2026-09-20</t>
        </is>
      </c>
      <c r="I1232">
        <f>IF(MONTH(E1232)&lt;=6,"Q1","Q2")</f>
        <v/>
      </c>
      <c r="J1232">
        <f>YEAR(E1232)*100+MONTH(E1232)</f>
        <v/>
      </c>
      <c r="K1232">
        <f>IF(COUNTIF($A$2:A1232,A1232)=1,1,0)</f>
        <v/>
      </c>
      <c r="L1232">
        <f>IF(K1232=1,IF(COUNTIFS($B$2:B1232,B1232,$I$2:I1232,I1232,$K$2:K1232,1)=1,1,0),0)</f>
        <v/>
      </c>
      <c r="M1232">
        <f>IF(Tree!$C$4="once per order",F1232*K1232,F1232)</f>
        <v/>
      </c>
      <c r="N1232">
        <f>IF(Tree!$C$4="once per order",K1232,1)</f>
        <v/>
      </c>
      <c r="O1232">
        <f>IF(Tree!$C$4="once per order",L1232,1)</f>
        <v/>
      </c>
    </row>
    <row r="1233">
      <c r="A1233" t="inlineStr">
        <is>
          <t>KR-00814</t>
        </is>
      </c>
      <c r="B1233" t="inlineStr">
        <is>
          <t>C-0011</t>
        </is>
      </c>
      <c r="C1233" t="inlineStr">
        <is>
          <t>Retail-Core</t>
        </is>
      </c>
      <c r="D1233" t="inlineStr">
        <is>
          <t>app</t>
        </is>
      </c>
      <c r="E1233" s="7" t="n">
        <v>46230</v>
      </c>
      <c r="F1233" t="n">
        <v>1610</v>
      </c>
      <c r="G1233" t="n">
        <v>1610</v>
      </c>
      <c r="H1233" t="inlineStr">
        <is>
          <t>2026-07-28</t>
        </is>
      </c>
      <c r="I1233">
        <f>IF(MONTH(E1233)&lt;=6,"Q1","Q2")</f>
        <v/>
      </c>
      <c r="J1233">
        <f>YEAR(E1233)*100+MONTH(E1233)</f>
        <v/>
      </c>
      <c r="K1233">
        <f>IF(COUNTIF($A$2:A1233,A1233)=1,1,0)</f>
        <v/>
      </c>
      <c r="L1233">
        <f>IF(K1233=1,IF(COUNTIFS($B$2:B1233,B1233,$I$2:I1233,I1233,$K$2:K1233,1)=1,1,0),0)</f>
        <v/>
      </c>
      <c r="M1233">
        <f>IF(Tree!$C$4="once per order",F1233*K1233,F1233)</f>
        <v/>
      </c>
      <c r="N1233">
        <f>IF(Tree!$C$4="once per order",K1233,1)</f>
        <v/>
      </c>
      <c r="O1233">
        <f>IF(Tree!$C$4="once per order",L1233,1)</f>
        <v/>
      </c>
    </row>
    <row r="1234">
      <c r="A1234" t="inlineStr">
        <is>
          <t>KR-00815</t>
        </is>
      </c>
      <c r="B1234" t="inlineStr">
        <is>
          <t>C-0006</t>
        </is>
      </c>
      <c r="C1234" t="inlineStr">
        <is>
          <t>Retail-Core</t>
        </is>
      </c>
      <c r="D1234" t="inlineStr">
        <is>
          <t>app</t>
        </is>
      </c>
      <c r="E1234" s="7" t="n">
        <v>46262</v>
      </c>
      <c r="F1234" t="n">
        <v>1770</v>
      </c>
      <c r="G1234" t="n">
        <v>1770</v>
      </c>
      <c r="H1234" t="inlineStr">
        <is>
          <t>2026-08-28</t>
        </is>
      </c>
      <c r="I1234">
        <f>IF(MONTH(E1234)&lt;=6,"Q1","Q2")</f>
        <v/>
      </c>
      <c r="J1234">
        <f>YEAR(E1234)*100+MONTH(E1234)</f>
        <v/>
      </c>
      <c r="K1234">
        <f>IF(COUNTIF($A$2:A1234,A1234)=1,1,0)</f>
        <v/>
      </c>
      <c r="L1234">
        <f>IF(K1234=1,IF(COUNTIFS($B$2:B1234,B1234,$I$2:I1234,I1234,$K$2:K1234,1)=1,1,0),0)</f>
        <v/>
      </c>
      <c r="M1234">
        <f>IF(Tree!$C$4="once per order",F1234*K1234,F1234)</f>
        <v/>
      </c>
      <c r="N1234">
        <f>IF(Tree!$C$4="once per order",K1234,1)</f>
        <v/>
      </c>
      <c r="O1234">
        <f>IF(Tree!$C$4="once per order",L1234,1)</f>
        <v/>
      </c>
    </row>
    <row r="1235">
      <c r="A1235" t="inlineStr">
        <is>
          <t>KR-00816</t>
        </is>
      </c>
      <c r="B1235" t="inlineStr">
        <is>
          <t>C-0031</t>
        </is>
      </c>
      <c r="C1235" t="inlineStr">
        <is>
          <t>Retail-Core</t>
        </is>
      </c>
      <c r="D1235" t="inlineStr">
        <is>
          <t>app</t>
        </is>
      </c>
      <c r="E1235" s="7" t="n">
        <v>46281</v>
      </c>
      <c r="F1235" t="n">
        <v>1960</v>
      </c>
      <c r="G1235" t="n">
        <v>1960</v>
      </c>
      <c r="H1235" t="inlineStr">
        <is>
          <t>2026-09-18</t>
        </is>
      </c>
      <c r="I1235">
        <f>IF(MONTH(E1235)&lt;=6,"Q1","Q2")</f>
        <v/>
      </c>
      <c r="J1235">
        <f>YEAR(E1235)*100+MONTH(E1235)</f>
        <v/>
      </c>
      <c r="K1235">
        <f>IF(COUNTIF($A$2:A1235,A1235)=1,1,0)</f>
        <v/>
      </c>
      <c r="L1235">
        <f>IF(K1235=1,IF(COUNTIFS($B$2:B1235,B1235,$I$2:I1235,I1235,$K$2:K1235,1)=1,1,0),0)</f>
        <v/>
      </c>
      <c r="M1235">
        <f>IF(Tree!$C$4="once per order",F1235*K1235,F1235)</f>
        <v/>
      </c>
      <c r="N1235">
        <f>IF(Tree!$C$4="once per order",K1235,1)</f>
        <v/>
      </c>
      <c r="O1235">
        <f>IF(Tree!$C$4="once per order",L1235,1)</f>
        <v/>
      </c>
    </row>
    <row r="1236">
      <c r="A1236" t="inlineStr">
        <is>
          <t>KR-00817</t>
        </is>
      </c>
      <c r="B1236" t="inlineStr">
        <is>
          <t>C-0031</t>
        </is>
      </c>
      <c r="C1236" t="inlineStr">
        <is>
          <t>Retail-Core</t>
        </is>
      </c>
      <c r="D1236" t="inlineStr">
        <is>
          <t>store</t>
        </is>
      </c>
      <c r="E1236" s="7" t="n">
        <v>46222</v>
      </c>
      <c r="F1236" t="n">
        <v>2790</v>
      </c>
      <c r="G1236" t="n">
        <v>1674</v>
      </c>
      <c r="H1236" t="inlineStr">
        <is>
          <t>2026-07-21</t>
        </is>
      </c>
      <c r="I1236">
        <f>IF(MONTH(E1236)&lt;=6,"Q1","Q2")</f>
        <v/>
      </c>
      <c r="J1236">
        <f>YEAR(E1236)*100+MONTH(E1236)</f>
        <v/>
      </c>
      <c r="K1236">
        <f>IF(COUNTIF($A$2:A1236,A1236)=1,1,0)</f>
        <v/>
      </c>
      <c r="L1236">
        <f>IF(K1236=1,IF(COUNTIFS($B$2:B1236,B1236,$I$2:I1236,I1236,$K$2:K1236,1)=1,1,0),0)</f>
        <v/>
      </c>
      <c r="M1236">
        <f>IF(Tree!$C$4="once per order",F1236*K1236,F1236)</f>
        <v/>
      </c>
      <c r="N1236">
        <f>IF(Tree!$C$4="once per order",K1236,1)</f>
        <v/>
      </c>
      <c r="O1236">
        <f>IF(Tree!$C$4="once per order",L1236,1)</f>
        <v/>
      </c>
    </row>
    <row r="1237">
      <c r="A1237" t="inlineStr">
        <is>
          <t>KR-00817</t>
        </is>
      </c>
      <c r="B1237" t="inlineStr">
        <is>
          <t>C-0031</t>
        </is>
      </c>
      <c r="C1237" t="inlineStr">
        <is>
          <t>Retail-Core</t>
        </is>
      </c>
      <c r="D1237" t="inlineStr">
        <is>
          <t>store</t>
        </is>
      </c>
      <c r="E1237" s="7" t="n">
        <v>46222</v>
      </c>
      <c r="F1237" t="n">
        <v>2790</v>
      </c>
      <c r="G1237" t="n">
        <v>1116</v>
      </c>
      <c r="H1237" t="inlineStr">
        <is>
          <t>2026-07-21</t>
        </is>
      </c>
      <c r="I1237">
        <f>IF(MONTH(E1237)&lt;=6,"Q1","Q2")</f>
        <v/>
      </c>
      <c r="J1237">
        <f>YEAR(E1237)*100+MONTH(E1237)</f>
        <v/>
      </c>
      <c r="K1237">
        <f>IF(COUNTIF($A$2:A1237,A1237)=1,1,0)</f>
        <v/>
      </c>
      <c r="L1237">
        <f>IF(K1237=1,IF(COUNTIFS($B$2:B1237,B1237,$I$2:I1237,I1237,$K$2:K1237,1)=1,1,0),0)</f>
        <v/>
      </c>
      <c r="M1237">
        <f>IF(Tree!$C$4="once per order",F1237*K1237,F1237)</f>
        <v/>
      </c>
      <c r="N1237">
        <f>IF(Tree!$C$4="once per order",K1237,1)</f>
        <v/>
      </c>
      <c r="O1237">
        <f>IF(Tree!$C$4="once per order",L1237,1)</f>
        <v/>
      </c>
    </row>
    <row r="1238">
      <c r="A1238" t="inlineStr">
        <is>
          <t>KR-00818</t>
        </is>
      </c>
      <c r="B1238" t="inlineStr">
        <is>
          <t>C-0041</t>
        </is>
      </c>
      <c r="C1238" t="inlineStr">
        <is>
          <t>Retail-Core</t>
        </is>
      </c>
      <c r="D1238" t="inlineStr">
        <is>
          <t>app</t>
        </is>
      </c>
      <c r="E1238" s="7" t="n">
        <v>46243</v>
      </c>
      <c r="F1238" t="n">
        <v>830</v>
      </c>
      <c r="G1238" t="n">
        <v>830</v>
      </c>
      <c r="H1238" t="inlineStr">
        <is>
          <t>2026-08-11</t>
        </is>
      </c>
      <c r="I1238">
        <f>IF(MONTH(E1238)&lt;=6,"Q1","Q2")</f>
        <v/>
      </c>
      <c r="J1238">
        <f>YEAR(E1238)*100+MONTH(E1238)</f>
        <v/>
      </c>
      <c r="K1238">
        <f>IF(COUNTIF($A$2:A1238,A1238)=1,1,0)</f>
        <v/>
      </c>
      <c r="L1238">
        <f>IF(K1238=1,IF(COUNTIFS($B$2:B1238,B1238,$I$2:I1238,I1238,$K$2:K1238,1)=1,1,0),0)</f>
        <v/>
      </c>
      <c r="M1238">
        <f>IF(Tree!$C$4="once per order",F1238*K1238,F1238)</f>
        <v/>
      </c>
      <c r="N1238">
        <f>IF(Tree!$C$4="once per order",K1238,1)</f>
        <v/>
      </c>
      <c r="O1238">
        <f>IF(Tree!$C$4="once per order",L1238,1)</f>
        <v/>
      </c>
    </row>
    <row r="1239">
      <c r="A1239" t="inlineStr">
        <is>
          <t>KR-00818</t>
        </is>
      </c>
      <c r="B1239" t="inlineStr">
        <is>
          <t>C-0041</t>
        </is>
      </c>
      <c r="C1239" t="inlineStr">
        <is>
          <t>Retail-Core</t>
        </is>
      </c>
      <c r="D1239" t="inlineStr">
        <is>
          <t>app</t>
        </is>
      </c>
      <c r="E1239" s="7" t="n">
        <v>46243</v>
      </c>
      <c r="F1239" t="n">
        <v>830</v>
      </c>
      <c r="G1239" t="n">
        <v>830</v>
      </c>
      <c r="H1239" t="inlineStr">
        <is>
          <t>2026-08-11</t>
        </is>
      </c>
      <c r="I1239">
        <f>IF(MONTH(E1239)&lt;=6,"Q1","Q2")</f>
        <v/>
      </c>
      <c r="J1239">
        <f>YEAR(E1239)*100+MONTH(E1239)</f>
        <v/>
      </c>
      <c r="K1239">
        <f>IF(COUNTIF($A$2:A1239,A1239)=1,1,0)</f>
        <v/>
      </c>
      <c r="L1239">
        <f>IF(K1239=1,IF(COUNTIFS($B$2:B1239,B1239,$I$2:I1239,I1239,$K$2:K1239,1)=1,1,0),0)</f>
        <v/>
      </c>
      <c r="M1239">
        <f>IF(Tree!$C$4="once per order",F1239*K1239,F1239)</f>
        <v/>
      </c>
      <c r="N1239">
        <f>IF(Tree!$C$4="once per order",K1239,1)</f>
        <v/>
      </c>
      <c r="O1239">
        <f>IF(Tree!$C$4="once per order",L1239,1)</f>
        <v/>
      </c>
    </row>
    <row r="1240">
      <c r="A1240" t="inlineStr">
        <is>
          <t>KR-00819</t>
        </is>
      </c>
      <c r="B1240" t="inlineStr">
        <is>
          <t>C-0040</t>
        </is>
      </c>
      <c r="C1240" t="inlineStr">
        <is>
          <t>Retail-Core</t>
        </is>
      </c>
      <c r="D1240" t="inlineStr">
        <is>
          <t>app</t>
        </is>
      </c>
      <c r="E1240" s="7" t="n">
        <v>46277</v>
      </c>
      <c r="F1240" t="n">
        <v>2590</v>
      </c>
      <c r="G1240" t="n">
        <v>2590</v>
      </c>
      <c r="H1240" t="inlineStr">
        <is>
          <t>2026-09-14</t>
        </is>
      </c>
      <c r="I1240">
        <f>IF(MONTH(E1240)&lt;=6,"Q1","Q2")</f>
        <v/>
      </c>
      <c r="J1240">
        <f>YEAR(E1240)*100+MONTH(E1240)</f>
        <v/>
      </c>
      <c r="K1240">
        <f>IF(COUNTIF($A$2:A1240,A1240)=1,1,0)</f>
        <v/>
      </c>
      <c r="L1240">
        <f>IF(K1240=1,IF(COUNTIFS($B$2:B1240,B1240,$I$2:I1240,I1240,$K$2:K1240,1)=1,1,0),0)</f>
        <v/>
      </c>
      <c r="M1240">
        <f>IF(Tree!$C$4="once per order",F1240*K1240,F1240)</f>
        <v/>
      </c>
      <c r="N1240">
        <f>IF(Tree!$C$4="once per order",K1240,1)</f>
        <v/>
      </c>
      <c r="O1240">
        <f>IF(Tree!$C$4="once per order",L1240,1)</f>
        <v/>
      </c>
    </row>
    <row r="1241">
      <c r="A1241" t="inlineStr">
        <is>
          <t>KR-00820</t>
        </is>
      </c>
      <c r="B1241" t="inlineStr">
        <is>
          <t>C-0010</t>
        </is>
      </c>
      <c r="C1241" t="inlineStr">
        <is>
          <t>Retail-Core</t>
        </is>
      </c>
      <c r="D1241" t="inlineStr">
        <is>
          <t>app</t>
        </is>
      </c>
      <c r="E1241" s="7" t="n">
        <v>46213</v>
      </c>
      <c r="F1241" t="n">
        <v>1000</v>
      </c>
      <c r="G1241" t="n">
        <v>1000</v>
      </c>
      <c r="H1241" t="inlineStr">
        <is>
          <t>2026-07-12</t>
        </is>
      </c>
      <c r="I1241">
        <f>IF(MONTH(E1241)&lt;=6,"Q1","Q2")</f>
        <v/>
      </c>
      <c r="J1241">
        <f>YEAR(E1241)*100+MONTH(E1241)</f>
        <v/>
      </c>
      <c r="K1241">
        <f>IF(COUNTIF($A$2:A1241,A1241)=1,1,0)</f>
        <v/>
      </c>
      <c r="L1241">
        <f>IF(K1241=1,IF(COUNTIFS($B$2:B1241,B1241,$I$2:I1241,I1241,$K$2:K1241,1)=1,1,0),0)</f>
        <v/>
      </c>
      <c r="M1241">
        <f>IF(Tree!$C$4="once per order",F1241*K1241,F1241)</f>
        <v/>
      </c>
      <c r="N1241">
        <f>IF(Tree!$C$4="once per order",K1241,1)</f>
        <v/>
      </c>
      <c r="O1241">
        <f>IF(Tree!$C$4="once per order",L1241,1)</f>
        <v/>
      </c>
    </row>
    <row r="1242">
      <c r="A1242" t="inlineStr">
        <is>
          <t>KR-00821</t>
        </is>
      </c>
      <c r="B1242" t="inlineStr">
        <is>
          <t>C-0080</t>
        </is>
      </c>
      <c r="C1242" t="inlineStr">
        <is>
          <t>Retail-Core</t>
        </is>
      </c>
      <c r="D1242" t="inlineStr">
        <is>
          <t>store</t>
        </is>
      </c>
      <c r="E1242" s="7" t="n">
        <v>46260</v>
      </c>
      <c r="F1242" t="n">
        <v>1020</v>
      </c>
      <c r="G1242" t="n">
        <v>1020</v>
      </c>
      <c r="H1242" t="inlineStr">
        <is>
          <t>2026-08-28</t>
        </is>
      </c>
      <c r="I1242">
        <f>IF(MONTH(E1242)&lt;=6,"Q1","Q2")</f>
        <v/>
      </c>
      <c r="J1242">
        <f>YEAR(E1242)*100+MONTH(E1242)</f>
        <v/>
      </c>
      <c r="K1242">
        <f>IF(COUNTIF($A$2:A1242,A1242)=1,1,0)</f>
        <v/>
      </c>
      <c r="L1242">
        <f>IF(K1242=1,IF(COUNTIFS($B$2:B1242,B1242,$I$2:I1242,I1242,$K$2:K1242,1)=1,1,0),0)</f>
        <v/>
      </c>
      <c r="M1242">
        <f>IF(Tree!$C$4="once per order",F1242*K1242,F1242)</f>
        <v/>
      </c>
      <c r="N1242">
        <f>IF(Tree!$C$4="once per order",K1242,1)</f>
        <v/>
      </c>
      <c r="O1242">
        <f>IF(Tree!$C$4="once per order",L1242,1)</f>
        <v/>
      </c>
    </row>
    <row r="1243">
      <c r="A1243" t="inlineStr">
        <is>
          <t>KR-00822</t>
        </is>
      </c>
      <c r="B1243" t="inlineStr">
        <is>
          <t>C-0011</t>
        </is>
      </c>
      <c r="C1243" t="inlineStr">
        <is>
          <t>Retail-Core</t>
        </is>
      </c>
      <c r="D1243" t="inlineStr">
        <is>
          <t>store</t>
        </is>
      </c>
      <c r="E1243" s="7" t="n">
        <v>46292</v>
      </c>
      <c r="F1243" t="n">
        <v>1390</v>
      </c>
      <c r="G1243" t="n">
        <v>1390</v>
      </c>
      <c r="H1243" t="inlineStr">
        <is>
          <t>2026-09-28</t>
        </is>
      </c>
      <c r="I1243">
        <f>IF(MONTH(E1243)&lt;=6,"Q1","Q2")</f>
        <v/>
      </c>
      <c r="J1243">
        <f>YEAR(E1243)*100+MONTH(E1243)</f>
        <v/>
      </c>
      <c r="K1243">
        <f>IF(COUNTIF($A$2:A1243,A1243)=1,1,0)</f>
        <v/>
      </c>
      <c r="L1243">
        <f>IF(K1243=1,IF(COUNTIFS($B$2:B1243,B1243,$I$2:I1243,I1243,$K$2:K1243,1)=1,1,0),0)</f>
        <v/>
      </c>
      <c r="M1243">
        <f>IF(Tree!$C$4="once per order",F1243*K1243,F1243)</f>
        <v/>
      </c>
      <c r="N1243">
        <f>IF(Tree!$C$4="once per order",K1243,1)</f>
        <v/>
      </c>
      <c r="O1243">
        <f>IF(Tree!$C$4="once per order",L1243,1)</f>
        <v/>
      </c>
    </row>
    <row r="1244">
      <c r="A1244" t="inlineStr">
        <is>
          <t>KR-00823</t>
        </is>
      </c>
      <c r="B1244" t="inlineStr">
        <is>
          <t>C-0030</t>
        </is>
      </c>
      <c r="C1244" t="inlineStr">
        <is>
          <t>Retail-Core</t>
        </is>
      </c>
      <c r="D1244" t="inlineStr">
        <is>
          <t>web</t>
        </is>
      </c>
      <c r="E1244" s="7" t="n">
        <v>46215</v>
      </c>
      <c r="F1244" t="n">
        <v>950</v>
      </c>
      <c r="G1244" t="n">
        <v>950</v>
      </c>
      <c r="H1244" t="inlineStr">
        <is>
          <t>2026-07-14</t>
        </is>
      </c>
      <c r="I1244">
        <f>IF(MONTH(E1244)&lt;=6,"Q1","Q2")</f>
        <v/>
      </c>
      <c r="J1244">
        <f>YEAR(E1244)*100+MONTH(E1244)</f>
        <v/>
      </c>
      <c r="K1244">
        <f>IF(COUNTIF($A$2:A1244,A1244)=1,1,0)</f>
        <v/>
      </c>
      <c r="L1244">
        <f>IF(K1244=1,IF(COUNTIFS($B$2:B1244,B1244,$I$2:I1244,I1244,$K$2:K1244,1)=1,1,0),0)</f>
        <v/>
      </c>
      <c r="M1244">
        <f>IF(Tree!$C$4="once per order",F1244*K1244,F1244)</f>
        <v/>
      </c>
      <c r="N1244">
        <f>IF(Tree!$C$4="once per order",K1244,1)</f>
        <v/>
      </c>
      <c r="O1244">
        <f>IF(Tree!$C$4="once per order",L1244,1)</f>
        <v/>
      </c>
    </row>
    <row r="1245">
      <c r="A1245" t="inlineStr">
        <is>
          <t>KR-00824</t>
        </is>
      </c>
      <c r="B1245" t="inlineStr">
        <is>
          <t>C-0035</t>
        </is>
      </c>
      <c r="C1245" t="inlineStr">
        <is>
          <t>Retail-Core</t>
        </is>
      </c>
      <c r="D1245" t="inlineStr">
        <is>
          <t>app</t>
        </is>
      </c>
      <c r="E1245" s="7" t="n">
        <v>46261</v>
      </c>
      <c r="F1245" t="n">
        <v>2080</v>
      </c>
      <c r="G1245" t="n">
        <v>2080</v>
      </c>
      <c r="H1245" t="inlineStr">
        <is>
          <t>2026-08-28</t>
        </is>
      </c>
      <c r="I1245">
        <f>IF(MONTH(E1245)&lt;=6,"Q1","Q2")</f>
        <v/>
      </c>
      <c r="J1245">
        <f>YEAR(E1245)*100+MONTH(E1245)</f>
        <v/>
      </c>
      <c r="K1245">
        <f>IF(COUNTIF($A$2:A1245,A1245)=1,1,0)</f>
        <v/>
      </c>
      <c r="L1245">
        <f>IF(K1245=1,IF(COUNTIFS($B$2:B1245,B1245,$I$2:I1245,I1245,$K$2:K1245,1)=1,1,0),0)</f>
        <v/>
      </c>
      <c r="M1245">
        <f>IF(Tree!$C$4="once per order",F1245*K1245,F1245)</f>
        <v/>
      </c>
      <c r="N1245">
        <f>IF(Tree!$C$4="once per order",K1245,1)</f>
        <v/>
      </c>
      <c r="O1245">
        <f>IF(Tree!$C$4="once per order",L1245,1)</f>
        <v/>
      </c>
    </row>
    <row r="1246">
      <c r="A1246" t="inlineStr">
        <is>
          <t>KR-00825</t>
        </is>
      </c>
      <c r="B1246" t="inlineStr">
        <is>
          <t>C-0018</t>
        </is>
      </c>
      <c r="C1246" t="inlineStr">
        <is>
          <t>Retail-Core</t>
        </is>
      </c>
      <c r="D1246" t="inlineStr">
        <is>
          <t>web</t>
        </is>
      </c>
      <c r="E1246" s="7" t="n">
        <v>46274</v>
      </c>
      <c r="F1246" t="n">
        <v>1610</v>
      </c>
      <c r="G1246" t="n">
        <v>1610</v>
      </c>
      <c r="H1246" t="inlineStr">
        <is>
          <t>2026-09-11</t>
        </is>
      </c>
      <c r="I1246">
        <f>IF(MONTH(E1246)&lt;=6,"Q1","Q2")</f>
        <v/>
      </c>
      <c r="J1246">
        <f>YEAR(E1246)*100+MONTH(E1246)</f>
        <v/>
      </c>
      <c r="K1246">
        <f>IF(COUNTIF($A$2:A1246,A1246)=1,1,0)</f>
        <v/>
      </c>
      <c r="L1246">
        <f>IF(K1246=1,IF(COUNTIFS($B$2:B1246,B1246,$I$2:I1246,I1246,$K$2:K1246,1)=1,1,0),0)</f>
        <v/>
      </c>
      <c r="M1246">
        <f>IF(Tree!$C$4="once per order",F1246*K1246,F1246)</f>
        <v/>
      </c>
      <c r="N1246">
        <f>IF(Tree!$C$4="once per order",K1246,1)</f>
        <v/>
      </c>
      <c r="O1246">
        <f>IF(Tree!$C$4="once per order",L1246,1)</f>
        <v/>
      </c>
    </row>
    <row r="1247">
      <c r="A1247" t="inlineStr">
        <is>
          <t>KR-00826</t>
        </is>
      </c>
      <c r="B1247" t="inlineStr">
        <is>
          <t>C-0040</t>
        </is>
      </c>
      <c r="C1247" t="inlineStr">
        <is>
          <t>Retail-Core</t>
        </is>
      </c>
      <c r="D1247" t="inlineStr">
        <is>
          <t>app</t>
        </is>
      </c>
      <c r="E1247" s="7" t="n">
        <v>46210</v>
      </c>
      <c r="F1247" t="n">
        <v>830</v>
      </c>
      <c r="G1247" t="n">
        <v>830</v>
      </c>
      <c r="H1247" t="inlineStr">
        <is>
          <t>2026-07-09</t>
        </is>
      </c>
      <c r="I1247">
        <f>IF(MONTH(E1247)&lt;=6,"Q1","Q2")</f>
        <v/>
      </c>
      <c r="J1247">
        <f>YEAR(E1247)*100+MONTH(E1247)</f>
        <v/>
      </c>
      <c r="K1247">
        <f>IF(COUNTIF($A$2:A1247,A1247)=1,1,0)</f>
        <v/>
      </c>
      <c r="L1247">
        <f>IF(K1247=1,IF(COUNTIFS($B$2:B1247,B1247,$I$2:I1247,I1247,$K$2:K1247,1)=1,1,0),0)</f>
        <v/>
      </c>
      <c r="M1247">
        <f>IF(Tree!$C$4="once per order",F1247*K1247,F1247)</f>
        <v/>
      </c>
      <c r="N1247">
        <f>IF(Tree!$C$4="once per order",K1247,1)</f>
        <v/>
      </c>
      <c r="O1247">
        <f>IF(Tree!$C$4="once per order",L1247,1)</f>
        <v/>
      </c>
    </row>
    <row r="1248">
      <c r="A1248" t="inlineStr">
        <is>
          <t>KR-00826</t>
        </is>
      </c>
      <c r="B1248" t="inlineStr">
        <is>
          <t>C-0040</t>
        </is>
      </c>
      <c r="C1248" t="inlineStr">
        <is>
          <t>Retail-Core</t>
        </is>
      </c>
      <c r="D1248" t="inlineStr">
        <is>
          <t>app</t>
        </is>
      </c>
      <c r="E1248" s="7" t="n">
        <v>46210</v>
      </c>
      <c r="F1248" t="n">
        <v>830</v>
      </c>
      <c r="G1248" t="n">
        <v>830</v>
      </c>
      <c r="H1248" t="inlineStr">
        <is>
          <t>2026-07-09</t>
        </is>
      </c>
      <c r="I1248">
        <f>IF(MONTH(E1248)&lt;=6,"Q1","Q2")</f>
        <v/>
      </c>
      <c r="J1248">
        <f>YEAR(E1248)*100+MONTH(E1248)</f>
        <v/>
      </c>
      <c r="K1248">
        <f>IF(COUNTIF($A$2:A1248,A1248)=1,1,0)</f>
        <v/>
      </c>
      <c r="L1248">
        <f>IF(K1248=1,IF(COUNTIFS($B$2:B1248,B1248,$I$2:I1248,I1248,$K$2:K1248,1)=1,1,0),0)</f>
        <v/>
      </c>
      <c r="M1248">
        <f>IF(Tree!$C$4="once per order",F1248*K1248,F1248)</f>
        <v/>
      </c>
      <c r="N1248">
        <f>IF(Tree!$C$4="once per order",K1248,1)</f>
        <v/>
      </c>
      <c r="O1248">
        <f>IF(Tree!$C$4="once per order",L1248,1)</f>
        <v/>
      </c>
    </row>
    <row r="1249">
      <c r="A1249" t="inlineStr">
        <is>
          <t>KR-00827</t>
        </is>
      </c>
      <c r="B1249" t="inlineStr">
        <is>
          <t>C-0079</t>
        </is>
      </c>
      <c r="C1249" t="inlineStr">
        <is>
          <t>Retail-Core</t>
        </is>
      </c>
      <c r="D1249" t="inlineStr">
        <is>
          <t>store</t>
        </is>
      </c>
      <c r="E1249" s="7" t="n">
        <v>46260</v>
      </c>
      <c r="F1249" t="n">
        <v>950</v>
      </c>
      <c r="G1249" t="n">
        <v>950</v>
      </c>
      <c r="H1249" t="inlineStr">
        <is>
          <t>2026-08-28</t>
        </is>
      </c>
      <c r="I1249">
        <f>IF(MONTH(E1249)&lt;=6,"Q1","Q2")</f>
        <v/>
      </c>
      <c r="J1249">
        <f>YEAR(E1249)*100+MONTH(E1249)</f>
        <v/>
      </c>
      <c r="K1249">
        <f>IF(COUNTIF($A$2:A1249,A1249)=1,1,0)</f>
        <v/>
      </c>
      <c r="L1249">
        <f>IF(K1249=1,IF(COUNTIFS($B$2:B1249,B1249,$I$2:I1249,I1249,$K$2:K1249,1)=1,1,0),0)</f>
        <v/>
      </c>
      <c r="M1249">
        <f>IF(Tree!$C$4="once per order",F1249*K1249,F1249)</f>
        <v/>
      </c>
      <c r="N1249">
        <f>IF(Tree!$C$4="once per order",K1249,1)</f>
        <v/>
      </c>
      <c r="O1249">
        <f>IF(Tree!$C$4="once per order",L1249,1)</f>
        <v/>
      </c>
    </row>
    <row r="1250">
      <c r="A1250" t="inlineStr">
        <is>
          <t>KR-00828</t>
        </is>
      </c>
      <c r="B1250" t="inlineStr">
        <is>
          <t>C-0046</t>
        </is>
      </c>
      <c r="C1250" t="inlineStr">
        <is>
          <t>Retail-Core</t>
        </is>
      </c>
      <c r="D1250" t="inlineStr">
        <is>
          <t>web</t>
        </is>
      </c>
      <c r="E1250" s="7" t="n">
        <v>46274</v>
      </c>
      <c r="F1250" t="n">
        <v>1730</v>
      </c>
      <c r="G1250" t="n">
        <v>1730</v>
      </c>
      <c r="H1250" t="inlineStr">
        <is>
          <t>2026-09-11</t>
        </is>
      </c>
      <c r="I1250">
        <f>IF(MONTH(E1250)&lt;=6,"Q1","Q2")</f>
        <v/>
      </c>
      <c r="J1250">
        <f>YEAR(E1250)*100+MONTH(E1250)</f>
        <v/>
      </c>
      <c r="K1250">
        <f>IF(COUNTIF($A$2:A1250,A1250)=1,1,0)</f>
        <v/>
      </c>
      <c r="L1250">
        <f>IF(K1250=1,IF(COUNTIFS($B$2:B1250,B1250,$I$2:I1250,I1250,$K$2:K1250,1)=1,1,0),0)</f>
        <v/>
      </c>
      <c r="M1250">
        <f>IF(Tree!$C$4="once per order",F1250*K1250,F1250)</f>
        <v/>
      </c>
      <c r="N1250">
        <f>IF(Tree!$C$4="once per order",K1250,1)</f>
        <v/>
      </c>
      <c r="O1250">
        <f>IF(Tree!$C$4="once per order",L1250,1)</f>
        <v/>
      </c>
    </row>
    <row r="1251">
      <c r="A1251" t="inlineStr">
        <is>
          <t>KR-00829</t>
        </is>
      </c>
      <c r="B1251" t="inlineStr">
        <is>
          <t>C-0109</t>
        </is>
      </c>
      <c r="C1251" t="inlineStr">
        <is>
          <t>Retail-Core</t>
        </is>
      </c>
      <c r="D1251" t="inlineStr">
        <is>
          <t>app</t>
        </is>
      </c>
      <c r="E1251" s="7" t="n">
        <v>46222</v>
      </c>
      <c r="F1251" t="n">
        <v>930</v>
      </c>
      <c r="G1251" t="n">
        <v>930</v>
      </c>
      <c r="H1251" t="inlineStr">
        <is>
          <t>2026-07-21</t>
        </is>
      </c>
      <c r="I1251">
        <f>IF(MONTH(E1251)&lt;=6,"Q1","Q2")</f>
        <v/>
      </c>
      <c r="J1251">
        <f>YEAR(E1251)*100+MONTH(E1251)</f>
        <v/>
      </c>
      <c r="K1251">
        <f>IF(COUNTIF($A$2:A1251,A1251)=1,1,0)</f>
        <v/>
      </c>
      <c r="L1251">
        <f>IF(K1251=1,IF(COUNTIFS($B$2:B1251,B1251,$I$2:I1251,I1251,$K$2:K1251,1)=1,1,0),0)</f>
        <v/>
      </c>
      <c r="M1251">
        <f>IF(Tree!$C$4="once per order",F1251*K1251,F1251)</f>
        <v/>
      </c>
      <c r="N1251">
        <f>IF(Tree!$C$4="once per order",K1251,1)</f>
        <v/>
      </c>
      <c r="O1251">
        <f>IF(Tree!$C$4="once per order",L1251,1)</f>
        <v/>
      </c>
    </row>
    <row r="1252">
      <c r="A1252" t="inlineStr">
        <is>
          <t>KR-00830</t>
        </is>
      </c>
      <c r="B1252" t="inlineStr">
        <is>
          <t>C-0024</t>
        </is>
      </c>
      <c r="C1252" t="inlineStr">
        <is>
          <t>Retail-Core</t>
        </is>
      </c>
      <c r="D1252" t="inlineStr">
        <is>
          <t>store</t>
        </is>
      </c>
      <c r="E1252" s="7" t="n">
        <v>46239</v>
      </c>
      <c r="F1252" t="n">
        <v>2920</v>
      </c>
      <c r="G1252" t="n">
        <v>1752</v>
      </c>
      <c r="H1252" t="inlineStr">
        <is>
          <t>2026-08-07</t>
        </is>
      </c>
      <c r="I1252">
        <f>IF(MONTH(E1252)&lt;=6,"Q1","Q2")</f>
        <v/>
      </c>
      <c r="J1252">
        <f>YEAR(E1252)*100+MONTH(E1252)</f>
        <v/>
      </c>
      <c r="K1252">
        <f>IF(COUNTIF($A$2:A1252,A1252)=1,1,0)</f>
        <v/>
      </c>
      <c r="L1252">
        <f>IF(K1252=1,IF(COUNTIFS($B$2:B1252,B1252,$I$2:I1252,I1252,$K$2:K1252,1)=1,1,0),0)</f>
        <v/>
      </c>
      <c r="M1252">
        <f>IF(Tree!$C$4="once per order",F1252*K1252,F1252)</f>
        <v/>
      </c>
      <c r="N1252">
        <f>IF(Tree!$C$4="once per order",K1252,1)</f>
        <v/>
      </c>
      <c r="O1252">
        <f>IF(Tree!$C$4="once per order",L1252,1)</f>
        <v/>
      </c>
    </row>
    <row r="1253">
      <c r="A1253" t="inlineStr">
        <is>
          <t>KR-00830</t>
        </is>
      </c>
      <c r="B1253" t="inlineStr">
        <is>
          <t>C-0024</t>
        </is>
      </c>
      <c r="C1253" t="inlineStr">
        <is>
          <t>Retail-Core</t>
        </is>
      </c>
      <c r="D1253" t="inlineStr">
        <is>
          <t>store</t>
        </is>
      </c>
      <c r="E1253" s="7" t="n">
        <v>46239</v>
      </c>
      <c r="F1253" t="n">
        <v>2920</v>
      </c>
      <c r="G1253" t="n">
        <v>1168</v>
      </c>
      <c r="H1253" t="inlineStr">
        <is>
          <t>2026-08-07</t>
        </is>
      </c>
      <c r="I1253">
        <f>IF(MONTH(E1253)&lt;=6,"Q1","Q2")</f>
        <v/>
      </c>
      <c r="J1253">
        <f>YEAR(E1253)*100+MONTH(E1253)</f>
        <v/>
      </c>
      <c r="K1253">
        <f>IF(COUNTIF($A$2:A1253,A1253)=1,1,0)</f>
        <v/>
      </c>
      <c r="L1253">
        <f>IF(K1253=1,IF(COUNTIFS($B$2:B1253,B1253,$I$2:I1253,I1253,$K$2:K1253,1)=1,1,0),0)</f>
        <v/>
      </c>
      <c r="M1253">
        <f>IF(Tree!$C$4="once per order",F1253*K1253,F1253)</f>
        <v/>
      </c>
      <c r="N1253">
        <f>IF(Tree!$C$4="once per order",K1253,1)</f>
        <v/>
      </c>
      <c r="O1253">
        <f>IF(Tree!$C$4="once per order",L1253,1)</f>
        <v/>
      </c>
    </row>
    <row r="1254">
      <c r="A1254" t="inlineStr">
        <is>
          <t>KR-00831</t>
        </is>
      </c>
      <c r="B1254" t="inlineStr">
        <is>
          <t>C-0111</t>
        </is>
      </c>
      <c r="C1254" t="inlineStr">
        <is>
          <t>Retail-Core</t>
        </is>
      </c>
      <c r="D1254" t="inlineStr">
        <is>
          <t>app</t>
        </is>
      </c>
      <c r="E1254" s="7" t="n">
        <v>46289</v>
      </c>
      <c r="F1254" t="n">
        <v>1450</v>
      </c>
      <c r="G1254" t="n">
        <v>1450</v>
      </c>
      <c r="H1254" t="inlineStr">
        <is>
          <t>2026-09-26</t>
        </is>
      </c>
      <c r="I1254">
        <f>IF(MONTH(E1254)&lt;=6,"Q1","Q2")</f>
        <v/>
      </c>
      <c r="J1254">
        <f>YEAR(E1254)*100+MONTH(E1254)</f>
        <v/>
      </c>
      <c r="K1254">
        <f>IF(COUNTIF($A$2:A1254,A1254)=1,1,0)</f>
        <v/>
      </c>
      <c r="L1254">
        <f>IF(K1254=1,IF(COUNTIFS($B$2:B1254,B1254,$I$2:I1254,I1254,$K$2:K1254,1)=1,1,0),0)</f>
        <v/>
      </c>
      <c r="M1254">
        <f>IF(Tree!$C$4="once per order",F1254*K1254,F1254)</f>
        <v/>
      </c>
      <c r="N1254">
        <f>IF(Tree!$C$4="once per order",K1254,1)</f>
        <v/>
      </c>
      <c r="O1254">
        <f>IF(Tree!$C$4="once per order",L1254,1)</f>
        <v/>
      </c>
    </row>
    <row r="1255">
      <c r="A1255" t="inlineStr">
        <is>
          <t>KR-00832</t>
        </is>
      </c>
      <c r="B1255" t="inlineStr">
        <is>
          <t>C-0124</t>
        </is>
      </c>
      <c r="C1255" t="inlineStr">
        <is>
          <t>Retail-Core</t>
        </is>
      </c>
      <c r="D1255" t="inlineStr">
        <is>
          <t>app</t>
        </is>
      </c>
      <c r="E1255" s="7" t="n">
        <v>46225</v>
      </c>
      <c r="F1255" t="n">
        <v>2920</v>
      </c>
      <c r="G1255" t="n">
        <v>1752</v>
      </c>
      <c r="H1255" t="inlineStr">
        <is>
          <t>2026-07-24</t>
        </is>
      </c>
      <c r="I1255">
        <f>IF(MONTH(E1255)&lt;=6,"Q1","Q2")</f>
        <v/>
      </c>
      <c r="J1255">
        <f>YEAR(E1255)*100+MONTH(E1255)</f>
        <v/>
      </c>
      <c r="K1255">
        <f>IF(COUNTIF($A$2:A1255,A1255)=1,1,0)</f>
        <v/>
      </c>
      <c r="L1255">
        <f>IF(K1255=1,IF(COUNTIFS($B$2:B1255,B1255,$I$2:I1255,I1255,$K$2:K1255,1)=1,1,0),0)</f>
        <v/>
      </c>
      <c r="M1255">
        <f>IF(Tree!$C$4="once per order",F1255*K1255,F1255)</f>
        <v/>
      </c>
      <c r="N1255">
        <f>IF(Tree!$C$4="once per order",K1255,1)</f>
        <v/>
      </c>
      <c r="O1255">
        <f>IF(Tree!$C$4="once per order",L1255,1)</f>
        <v/>
      </c>
    </row>
    <row r="1256">
      <c r="A1256" t="inlineStr">
        <is>
          <t>KR-00832</t>
        </is>
      </c>
      <c r="B1256" t="inlineStr">
        <is>
          <t>C-0124</t>
        </is>
      </c>
      <c r="C1256" t="inlineStr">
        <is>
          <t>Retail-Core</t>
        </is>
      </c>
      <c r="D1256" t="inlineStr">
        <is>
          <t>app</t>
        </is>
      </c>
      <c r="E1256" s="7" t="n">
        <v>46225</v>
      </c>
      <c r="F1256" t="n">
        <v>2920</v>
      </c>
      <c r="G1256" t="n">
        <v>1168</v>
      </c>
      <c r="H1256" t="inlineStr">
        <is>
          <t>2026-07-24</t>
        </is>
      </c>
      <c r="I1256">
        <f>IF(MONTH(E1256)&lt;=6,"Q1","Q2")</f>
        <v/>
      </c>
      <c r="J1256">
        <f>YEAR(E1256)*100+MONTH(E1256)</f>
        <v/>
      </c>
      <c r="K1256">
        <f>IF(COUNTIF($A$2:A1256,A1256)=1,1,0)</f>
        <v/>
      </c>
      <c r="L1256">
        <f>IF(K1256=1,IF(COUNTIFS($B$2:B1256,B1256,$I$2:I1256,I1256,$K$2:K1256,1)=1,1,0),0)</f>
        <v/>
      </c>
      <c r="M1256">
        <f>IF(Tree!$C$4="once per order",F1256*K1256,F1256)</f>
        <v/>
      </c>
      <c r="N1256">
        <f>IF(Tree!$C$4="once per order",K1256,1)</f>
        <v/>
      </c>
      <c r="O1256">
        <f>IF(Tree!$C$4="once per order",L1256,1)</f>
        <v/>
      </c>
    </row>
    <row r="1257">
      <c r="A1257" t="inlineStr">
        <is>
          <t>KR-00833</t>
        </is>
      </c>
      <c r="B1257" t="inlineStr">
        <is>
          <t>C-0071</t>
        </is>
      </c>
      <c r="C1257" t="inlineStr">
        <is>
          <t>Retail-Core</t>
        </is>
      </c>
      <c r="D1257" t="inlineStr">
        <is>
          <t>web</t>
        </is>
      </c>
      <c r="E1257" s="7" t="n">
        <v>46237</v>
      </c>
      <c r="F1257" t="n">
        <v>2750</v>
      </c>
      <c r="G1257" t="n">
        <v>2750</v>
      </c>
      <c r="H1257" t="inlineStr">
        <is>
          <t>2026-08-05</t>
        </is>
      </c>
      <c r="I1257">
        <f>IF(MONTH(E1257)&lt;=6,"Q1","Q2")</f>
        <v/>
      </c>
      <c r="J1257">
        <f>YEAR(E1257)*100+MONTH(E1257)</f>
        <v/>
      </c>
      <c r="K1257">
        <f>IF(COUNTIF($A$2:A1257,A1257)=1,1,0)</f>
        <v/>
      </c>
      <c r="L1257">
        <f>IF(K1257=1,IF(COUNTIFS($B$2:B1257,B1257,$I$2:I1257,I1257,$K$2:K1257,1)=1,1,0),0)</f>
        <v/>
      </c>
      <c r="M1257">
        <f>IF(Tree!$C$4="once per order",F1257*K1257,F1257)</f>
        <v/>
      </c>
      <c r="N1257">
        <f>IF(Tree!$C$4="once per order",K1257,1)</f>
        <v/>
      </c>
      <c r="O1257">
        <f>IF(Tree!$C$4="once per order",L1257,1)</f>
        <v/>
      </c>
    </row>
    <row r="1258">
      <c r="A1258" t="inlineStr">
        <is>
          <t>KR-00834</t>
        </is>
      </c>
      <c r="B1258" t="inlineStr">
        <is>
          <t>C-0029</t>
        </is>
      </c>
      <c r="C1258" t="inlineStr">
        <is>
          <t>Retail-Core</t>
        </is>
      </c>
      <c r="D1258" t="inlineStr">
        <is>
          <t>app</t>
        </is>
      </c>
      <c r="E1258" s="7" t="n">
        <v>46273</v>
      </c>
      <c r="F1258" t="n">
        <v>840</v>
      </c>
      <c r="G1258" t="n">
        <v>840</v>
      </c>
      <c r="H1258" t="inlineStr">
        <is>
          <t>2026-09-10</t>
        </is>
      </c>
      <c r="I1258">
        <f>IF(MONTH(E1258)&lt;=6,"Q1","Q2")</f>
        <v/>
      </c>
      <c r="J1258">
        <f>YEAR(E1258)*100+MONTH(E1258)</f>
        <v/>
      </c>
      <c r="K1258">
        <f>IF(COUNTIF($A$2:A1258,A1258)=1,1,0)</f>
        <v/>
      </c>
      <c r="L1258">
        <f>IF(K1258=1,IF(COUNTIFS($B$2:B1258,B1258,$I$2:I1258,I1258,$K$2:K1258,1)=1,1,0),0)</f>
        <v/>
      </c>
      <c r="M1258">
        <f>IF(Tree!$C$4="once per order",F1258*K1258,F1258)</f>
        <v/>
      </c>
      <c r="N1258">
        <f>IF(Tree!$C$4="once per order",K1258,1)</f>
        <v/>
      </c>
      <c r="O1258">
        <f>IF(Tree!$C$4="once per order",L1258,1)</f>
        <v/>
      </c>
    </row>
    <row r="1259">
      <c r="A1259" t="inlineStr">
        <is>
          <t>KR-00834</t>
        </is>
      </c>
      <c r="B1259" t="inlineStr">
        <is>
          <t>C-0029</t>
        </is>
      </c>
      <c r="C1259" t="inlineStr">
        <is>
          <t>Retail-Core</t>
        </is>
      </c>
      <c r="D1259" t="inlineStr">
        <is>
          <t>app</t>
        </is>
      </c>
      <c r="E1259" s="7" t="n">
        <v>46273</v>
      </c>
      <c r="F1259" t="n">
        <v>840</v>
      </c>
      <c r="G1259" t="n">
        <v>840</v>
      </c>
      <c r="H1259" t="inlineStr">
        <is>
          <t>2026-09-10</t>
        </is>
      </c>
      <c r="I1259">
        <f>IF(MONTH(E1259)&lt;=6,"Q1","Q2")</f>
        <v/>
      </c>
      <c r="J1259">
        <f>YEAR(E1259)*100+MONTH(E1259)</f>
        <v/>
      </c>
      <c r="K1259">
        <f>IF(COUNTIF($A$2:A1259,A1259)=1,1,0)</f>
        <v/>
      </c>
      <c r="L1259">
        <f>IF(K1259=1,IF(COUNTIFS($B$2:B1259,B1259,$I$2:I1259,I1259,$K$2:K1259,1)=1,1,0),0)</f>
        <v/>
      </c>
      <c r="M1259">
        <f>IF(Tree!$C$4="once per order",F1259*K1259,F1259)</f>
        <v/>
      </c>
      <c r="N1259">
        <f>IF(Tree!$C$4="once per order",K1259,1)</f>
        <v/>
      </c>
      <c r="O1259">
        <f>IF(Tree!$C$4="once per order",L1259,1)</f>
        <v/>
      </c>
    </row>
    <row r="1260">
      <c r="A1260" t="inlineStr">
        <is>
          <t>KR-00835</t>
        </is>
      </c>
      <c r="B1260" t="inlineStr">
        <is>
          <t>C-0039</t>
        </is>
      </c>
      <c r="C1260" t="inlineStr">
        <is>
          <t>Retail-Core</t>
        </is>
      </c>
      <c r="D1260" t="inlineStr">
        <is>
          <t>app</t>
        </is>
      </c>
      <c r="E1260" s="7" t="n">
        <v>46211</v>
      </c>
      <c r="F1260" t="n">
        <v>1910</v>
      </c>
      <c r="G1260" t="n">
        <v>1910</v>
      </c>
      <c r="H1260" t="inlineStr">
        <is>
          <t>2026-07-10</t>
        </is>
      </c>
      <c r="I1260">
        <f>IF(MONTH(E1260)&lt;=6,"Q1","Q2")</f>
        <v/>
      </c>
      <c r="J1260">
        <f>YEAR(E1260)*100+MONTH(E1260)</f>
        <v/>
      </c>
      <c r="K1260">
        <f>IF(COUNTIF($A$2:A1260,A1260)=1,1,0)</f>
        <v/>
      </c>
      <c r="L1260">
        <f>IF(K1260=1,IF(COUNTIFS($B$2:B1260,B1260,$I$2:I1260,I1260,$K$2:K1260,1)=1,1,0),0)</f>
        <v/>
      </c>
      <c r="M1260">
        <f>IF(Tree!$C$4="once per order",F1260*K1260,F1260)</f>
        <v/>
      </c>
      <c r="N1260">
        <f>IF(Tree!$C$4="once per order",K1260,1)</f>
        <v/>
      </c>
      <c r="O1260">
        <f>IF(Tree!$C$4="once per order",L1260,1)</f>
        <v/>
      </c>
    </row>
    <row r="1261">
      <c r="A1261" t="inlineStr">
        <is>
          <t>KR-00836</t>
        </is>
      </c>
      <c r="B1261" t="inlineStr">
        <is>
          <t>C-0030</t>
        </is>
      </c>
      <c r="C1261" t="inlineStr">
        <is>
          <t>Retail-Core</t>
        </is>
      </c>
      <c r="D1261" t="inlineStr">
        <is>
          <t>web</t>
        </is>
      </c>
      <c r="E1261" s="7" t="n">
        <v>46256</v>
      </c>
      <c r="F1261" t="n">
        <v>1960</v>
      </c>
      <c r="G1261" t="n">
        <v>1960</v>
      </c>
      <c r="H1261" t="inlineStr">
        <is>
          <t>2026-08-24</t>
        </is>
      </c>
      <c r="I1261">
        <f>IF(MONTH(E1261)&lt;=6,"Q1","Q2")</f>
        <v/>
      </c>
      <c r="J1261">
        <f>YEAR(E1261)*100+MONTH(E1261)</f>
        <v/>
      </c>
      <c r="K1261">
        <f>IF(COUNTIF($A$2:A1261,A1261)=1,1,0)</f>
        <v/>
      </c>
      <c r="L1261">
        <f>IF(K1261=1,IF(COUNTIFS($B$2:B1261,B1261,$I$2:I1261,I1261,$K$2:K1261,1)=1,1,0),0)</f>
        <v/>
      </c>
      <c r="M1261">
        <f>IF(Tree!$C$4="once per order",F1261*K1261,F1261)</f>
        <v/>
      </c>
      <c r="N1261">
        <f>IF(Tree!$C$4="once per order",K1261,1)</f>
        <v/>
      </c>
      <c r="O1261">
        <f>IF(Tree!$C$4="once per order",L1261,1)</f>
        <v/>
      </c>
    </row>
    <row r="1262">
      <c r="A1262" t="inlineStr">
        <is>
          <t>KR-00837</t>
        </is>
      </c>
      <c r="B1262" t="inlineStr">
        <is>
          <t>C-0017</t>
        </is>
      </c>
      <c r="C1262" t="inlineStr">
        <is>
          <t>Retail-Core</t>
        </is>
      </c>
      <c r="D1262" t="inlineStr">
        <is>
          <t>web</t>
        </is>
      </c>
      <c r="E1262" s="7" t="n">
        <v>46270</v>
      </c>
      <c r="F1262" t="n">
        <v>1200</v>
      </c>
      <c r="G1262" t="n">
        <v>1200</v>
      </c>
      <c r="H1262" t="inlineStr">
        <is>
          <t>2026-09-07</t>
        </is>
      </c>
      <c r="I1262">
        <f>IF(MONTH(E1262)&lt;=6,"Q1","Q2")</f>
        <v/>
      </c>
      <c r="J1262">
        <f>YEAR(E1262)*100+MONTH(E1262)</f>
        <v/>
      </c>
      <c r="K1262">
        <f>IF(COUNTIF($A$2:A1262,A1262)=1,1,0)</f>
        <v/>
      </c>
      <c r="L1262">
        <f>IF(K1262=1,IF(COUNTIFS($B$2:B1262,B1262,$I$2:I1262,I1262,$K$2:K1262,1)=1,1,0),0)</f>
        <v/>
      </c>
      <c r="M1262">
        <f>IF(Tree!$C$4="once per order",F1262*K1262,F1262)</f>
        <v/>
      </c>
      <c r="N1262">
        <f>IF(Tree!$C$4="once per order",K1262,1)</f>
        <v/>
      </c>
      <c r="O1262">
        <f>IF(Tree!$C$4="once per order",L1262,1)</f>
        <v/>
      </c>
    </row>
    <row r="1263">
      <c r="A1263" t="inlineStr">
        <is>
          <t>KR-00838</t>
        </is>
      </c>
      <c r="B1263" t="inlineStr">
        <is>
          <t>C-0039</t>
        </is>
      </c>
      <c r="C1263" t="inlineStr">
        <is>
          <t>Retail-Core</t>
        </is>
      </c>
      <c r="D1263" t="inlineStr">
        <is>
          <t>store</t>
        </is>
      </c>
      <c r="E1263" s="7" t="n">
        <v>46223</v>
      </c>
      <c r="F1263" t="n">
        <v>1270</v>
      </c>
      <c r="G1263" t="n">
        <v>1270</v>
      </c>
      <c r="H1263" t="inlineStr">
        <is>
          <t>2026-07-22</t>
        </is>
      </c>
      <c r="I1263">
        <f>IF(MONTH(E1263)&lt;=6,"Q1","Q2")</f>
        <v/>
      </c>
      <c r="J1263">
        <f>YEAR(E1263)*100+MONTH(E1263)</f>
        <v/>
      </c>
      <c r="K1263">
        <f>IF(COUNTIF($A$2:A1263,A1263)=1,1,0)</f>
        <v/>
      </c>
      <c r="L1263">
        <f>IF(K1263=1,IF(COUNTIFS($B$2:B1263,B1263,$I$2:I1263,I1263,$K$2:K1263,1)=1,1,0),0)</f>
        <v/>
      </c>
      <c r="M1263">
        <f>IF(Tree!$C$4="once per order",F1263*K1263,F1263)</f>
        <v/>
      </c>
      <c r="N1263">
        <f>IF(Tree!$C$4="once per order",K1263,1)</f>
        <v/>
      </c>
      <c r="O1263">
        <f>IF(Tree!$C$4="once per order",L1263,1)</f>
        <v/>
      </c>
    </row>
    <row r="1264">
      <c r="A1264" t="inlineStr">
        <is>
          <t>KR-00839</t>
        </is>
      </c>
      <c r="B1264" t="inlineStr">
        <is>
          <t>C-0035</t>
        </is>
      </c>
      <c r="C1264" t="inlineStr">
        <is>
          <t>Retail-Core</t>
        </is>
      </c>
      <c r="D1264" t="inlineStr">
        <is>
          <t>web</t>
        </is>
      </c>
      <c r="E1264" s="7" t="n">
        <v>46237</v>
      </c>
      <c r="F1264" t="n">
        <v>1140</v>
      </c>
      <c r="G1264" t="n">
        <v>1140</v>
      </c>
      <c r="H1264" t="inlineStr">
        <is>
          <t>2026-08-05</t>
        </is>
      </c>
      <c r="I1264">
        <f>IF(MONTH(E1264)&lt;=6,"Q1","Q2")</f>
        <v/>
      </c>
      <c r="J1264">
        <f>YEAR(E1264)*100+MONTH(E1264)</f>
        <v/>
      </c>
      <c r="K1264">
        <f>IF(COUNTIF($A$2:A1264,A1264)=1,1,0)</f>
        <v/>
      </c>
      <c r="L1264">
        <f>IF(K1264=1,IF(COUNTIFS($B$2:B1264,B1264,$I$2:I1264,I1264,$K$2:K1264,1)=1,1,0),0)</f>
        <v/>
      </c>
      <c r="M1264">
        <f>IF(Tree!$C$4="once per order",F1264*K1264,F1264)</f>
        <v/>
      </c>
      <c r="N1264">
        <f>IF(Tree!$C$4="once per order",K1264,1)</f>
        <v/>
      </c>
      <c r="O1264">
        <f>IF(Tree!$C$4="once per order",L1264,1)</f>
        <v/>
      </c>
    </row>
    <row r="1265">
      <c r="A1265" t="inlineStr">
        <is>
          <t>KR-00840</t>
        </is>
      </c>
      <c r="B1265" t="inlineStr">
        <is>
          <t>C-0147</t>
        </is>
      </c>
      <c r="C1265" t="inlineStr">
        <is>
          <t>Retail-Core</t>
        </is>
      </c>
      <c r="D1265" t="inlineStr">
        <is>
          <t>app</t>
        </is>
      </c>
      <c r="E1265" s="7" t="n">
        <v>46273</v>
      </c>
      <c r="F1265" t="n">
        <v>2250</v>
      </c>
      <c r="G1265" t="n">
        <v>2250</v>
      </c>
      <c r="H1265" t="inlineStr">
        <is>
          <t>2026-09-10</t>
        </is>
      </c>
      <c r="I1265">
        <f>IF(MONTH(E1265)&lt;=6,"Q1","Q2")</f>
        <v/>
      </c>
      <c r="J1265">
        <f>YEAR(E1265)*100+MONTH(E1265)</f>
        <v/>
      </c>
      <c r="K1265">
        <f>IF(COUNTIF($A$2:A1265,A1265)=1,1,0)</f>
        <v/>
      </c>
      <c r="L1265">
        <f>IF(K1265=1,IF(COUNTIFS($B$2:B1265,B1265,$I$2:I1265,I1265,$K$2:K1265,1)=1,1,0),0)</f>
        <v/>
      </c>
      <c r="M1265">
        <f>IF(Tree!$C$4="once per order",F1265*K1265,F1265)</f>
        <v/>
      </c>
      <c r="N1265">
        <f>IF(Tree!$C$4="once per order",K1265,1)</f>
        <v/>
      </c>
      <c r="O1265">
        <f>IF(Tree!$C$4="once per order",L1265,1)</f>
        <v/>
      </c>
    </row>
    <row r="1266">
      <c r="A1266" t="inlineStr">
        <is>
          <t>KR-00841</t>
        </is>
      </c>
      <c r="B1266" t="inlineStr">
        <is>
          <t>C-0039</t>
        </is>
      </c>
      <c r="C1266" t="inlineStr">
        <is>
          <t>Retail-Core</t>
        </is>
      </c>
      <c r="D1266" t="inlineStr">
        <is>
          <t>web</t>
        </is>
      </c>
      <c r="E1266" s="7" t="n">
        <v>46220</v>
      </c>
      <c r="F1266" t="n">
        <v>2810</v>
      </c>
      <c r="G1266" t="n">
        <v>1686</v>
      </c>
      <c r="H1266" t="inlineStr">
        <is>
          <t>2026-07-19</t>
        </is>
      </c>
      <c r="I1266">
        <f>IF(MONTH(E1266)&lt;=6,"Q1","Q2")</f>
        <v/>
      </c>
      <c r="J1266">
        <f>YEAR(E1266)*100+MONTH(E1266)</f>
        <v/>
      </c>
      <c r="K1266">
        <f>IF(COUNTIF($A$2:A1266,A1266)=1,1,0)</f>
        <v/>
      </c>
      <c r="L1266">
        <f>IF(K1266=1,IF(COUNTIFS($B$2:B1266,B1266,$I$2:I1266,I1266,$K$2:K1266,1)=1,1,0),0)</f>
        <v/>
      </c>
      <c r="M1266">
        <f>IF(Tree!$C$4="once per order",F1266*K1266,F1266)</f>
        <v/>
      </c>
      <c r="N1266">
        <f>IF(Tree!$C$4="once per order",K1266,1)</f>
        <v/>
      </c>
      <c r="O1266">
        <f>IF(Tree!$C$4="once per order",L1266,1)</f>
        <v/>
      </c>
    </row>
    <row r="1267">
      <c r="A1267" t="inlineStr">
        <is>
          <t>KR-00841</t>
        </is>
      </c>
      <c r="B1267" t="inlineStr">
        <is>
          <t>C-0039</t>
        </is>
      </c>
      <c r="C1267" t="inlineStr">
        <is>
          <t>Retail-Core</t>
        </is>
      </c>
      <c r="D1267" t="inlineStr">
        <is>
          <t>web</t>
        </is>
      </c>
      <c r="E1267" s="7" t="n">
        <v>46220</v>
      </c>
      <c r="F1267" t="n">
        <v>2810</v>
      </c>
      <c r="G1267" t="n">
        <v>1124</v>
      </c>
      <c r="H1267" t="inlineStr">
        <is>
          <t>2026-07-19</t>
        </is>
      </c>
      <c r="I1267">
        <f>IF(MONTH(E1267)&lt;=6,"Q1","Q2")</f>
        <v/>
      </c>
      <c r="J1267">
        <f>YEAR(E1267)*100+MONTH(E1267)</f>
        <v/>
      </c>
      <c r="K1267">
        <f>IF(COUNTIF($A$2:A1267,A1267)=1,1,0)</f>
        <v/>
      </c>
      <c r="L1267">
        <f>IF(K1267=1,IF(COUNTIFS($B$2:B1267,B1267,$I$2:I1267,I1267,$K$2:K1267,1)=1,1,0),0)</f>
        <v/>
      </c>
      <c r="M1267">
        <f>IF(Tree!$C$4="once per order",F1267*K1267,F1267)</f>
        <v/>
      </c>
      <c r="N1267">
        <f>IF(Tree!$C$4="once per order",K1267,1)</f>
        <v/>
      </c>
      <c r="O1267">
        <f>IF(Tree!$C$4="once per order",L1267,1)</f>
        <v/>
      </c>
    </row>
    <row r="1268">
      <c r="A1268" t="inlineStr">
        <is>
          <t>KR-00842</t>
        </is>
      </c>
      <c r="B1268" t="inlineStr">
        <is>
          <t>C-0006</t>
        </is>
      </c>
      <c r="C1268" t="inlineStr">
        <is>
          <t>Retail-Core</t>
        </is>
      </c>
      <c r="D1268" t="inlineStr">
        <is>
          <t>app</t>
        </is>
      </c>
      <c r="E1268" s="7" t="n">
        <v>46243</v>
      </c>
      <c r="F1268" t="n">
        <v>2720</v>
      </c>
      <c r="G1268" t="n">
        <v>2720</v>
      </c>
      <c r="H1268" t="inlineStr">
        <is>
          <t>2026-08-11</t>
        </is>
      </c>
      <c r="I1268">
        <f>IF(MONTH(E1268)&lt;=6,"Q1","Q2")</f>
        <v/>
      </c>
      <c r="J1268">
        <f>YEAR(E1268)*100+MONTH(E1268)</f>
        <v/>
      </c>
      <c r="K1268">
        <f>IF(COUNTIF($A$2:A1268,A1268)=1,1,0)</f>
        <v/>
      </c>
      <c r="L1268">
        <f>IF(K1268=1,IF(COUNTIFS($B$2:B1268,B1268,$I$2:I1268,I1268,$K$2:K1268,1)=1,1,0),0)</f>
        <v/>
      </c>
      <c r="M1268">
        <f>IF(Tree!$C$4="once per order",F1268*K1268,F1268)</f>
        <v/>
      </c>
      <c r="N1268">
        <f>IF(Tree!$C$4="once per order",K1268,1)</f>
        <v/>
      </c>
      <c r="O1268">
        <f>IF(Tree!$C$4="once per order",L1268,1)</f>
        <v/>
      </c>
    </row>
    <row r="1269">
      <c r="A1269" t="inlineStr">
        <is>
          <t>KR-00843</t>
        </is>
      </c>
      <c r="B1269" t="inlineStr">
        <is>
          <t>C-0118</t>
        </is>
      </c>
      <c r="C1269" t="inlineStr">
        <is>
          <t>Retail-Core</t>
        </is>
      </c>
      <c r="D1269" t="inlineStr">
        <is>
          <t>app</t>
        </is>
      </c>
      <c r="E1269" s="7" t="n">
        <v>46277</v>
      </c>
      <c r="F1269" t="n">
        <v>1300</v>
      </c>
      <c r="G1269" t="n">
        <v>1300</v>
      </c>
      <c r="H1269" t="inlineStr">
        <is>
          <t>2026-09-14</t>
        </is>
      </c>
      <c r="I1269">
        <f>IF(MONTH(E1269)&lt;=6,"Q1","Q2")</f>
        <v/>
      </c>
      <c r="J1269">
        <f>YEAR(E1269)*100+MONTH(E1269)</f>
        <v/>
      </c>
      <c r="K1269">
        <f>IF(COUNTIF($A$2:A1269,A1269)=1,1,0)</f>
        <v/>
      </c>
      <c r="L1269">
        <f>IF(K1269=1,IF(COUNTIFS($B$2:B1269,B1269,$I$2:I1269,I1269,$K$2:K1269,1)=1,1,0),0)</f>
        <v/>
      </c>
      <c r="M1269">
        <f>IF(Tree!$C$4="once per order",F1269*K1269,F1269)</f>
        <v/>
      </c>
      <c r="N1269">
        <f>IF(Tree!$C$4="once per order",K1269,1)</f>
        <v/>
      </c>
      <c r="O1269">
        <f>IF(Tree!$C$4="once per order",L1269,1)</f>
        <v/>
      </c>
    </row>
    <row r="1270">
      <c r="A1270" t="inlineStr">
        <is>
          <t>KR-00844</t>
        </is>
      </c>
      <c r="B1270" t="inlineStr">
        <is>
          <t>C-0047</t>
        </is>
      </c>
      <c r="C1270" t="inlineStr">
        <is>
          <t>Retail-Core</t>
        </is>
      </c>
      <c r="D1270" t="inlineStr">
        <is>
          <t>web</t>
        </is>
      </c>
      <c r="E1270" s="7" t="n">
        <v>46221</v>
      </c>
      <c r="F1270" t="n">
        <v>2730</v>
      </c>
      <c r="G1270" t="n">
        <v>2730</v>
      </c>
      <c r="H1270" t="inlineStr">
        <is>
          <t>2026-07-20</t>
        </is>
      </c>
      <c r="I1270">
        <f>IF(MONTH(E1270)&lt;=6,"Q1","Q2")</f>
        <v/>
      </c>
      <c r="J1270">
        <f>YEAR(E1270)*100+MONTH(E1270)</f>
        <v/>
      </c>
      <c r="K1270">
        <f>IF(COUNTIF($A$2:A1270,A1270)=1,1,0)</f>
        <v/>
      </c>
      <c r="L1270">
        <f>IF(K1270=1,IF(COUNTIFS($B$2:B1270,B1270,$I$2:I1270,I1270,$K$2:K1270,1)=1,1,0),0)</f>
        <v/>
      </c>
      <c r="M1270">
        <f>IF(Tree!$C$4="once per order",F1270*K1270,F1270)</f>
        <v/>
      </c>
      <c r="N1270">
        <f>IF(Tree!$C$4="once per order",K1270,1)</f>
        <v/>
      </c>
      <c r="O1270">
        <f>IF(Tree!$C$4="once per order",L1270,1)</f>
        <v/>
      </c>
    </row>
    <row r="1271">
      <c r="A1271" t="inlineStr">
        <is>
          <t>KR-00845</t>
        </is>
      </c>
      <c r="B1271" t="inlineStr">
        <is>
          <t>C-0108</t>
        </is>
      </c>
      <c r="C1271" t="inlineStr">
        <is>
          <t>Retail-Core</t>
        </is>
      </c>
      <c r="D1271" t="inlineStr">
        <is>
          <t>store</t>
        </is>
      </c>
      <c r="E1271" s="7" t="n">
        <v>46246</v>
      </c>
      <c r="F1271" t="n">
        <v>1370</v>
      </c>
      <c r="G1271" t="n">
        <v>1370</v>
      </c>
      <c r="H1271" t="inlineStr">
        <is>
          <t>2026-08-14</t>
        </is>
      </c>
      <c r="I1271">
        <f>IF(MONTH(E1271)&lt;=6,"Q1","Q2")</f>
        <v/>
      </c>
      <c r="J1271">
        <f>YEAR(E1271)*100+MONTH(E1271)</f>
        <v/>
      </c>
      <c r="K1271">
        <f>IF(COUNTIF($A$2:A1271,A1271)=1,1,0)</f>
        <v/>
      </c>
      <c r="L1271">
        <f>IF(K1271=1,IF(COUNTIFS($B$2:B1271,B1271,$I$2:I1271,I1271,$K$2:K1271,1)=1,1,0),0)</f>
        <v/>
      </c>
      <c r="M1271">
        <f>IF(Tree!$C$4="once per order",F1271*K1271,F1271)</f>
        <v/>
      </c>
      <c r="N1271">
        <f>IF(Tree!$C$4="once per order",K1271,1)</f>
        <v/>
      </c>
      <c r="O1271">
        <f>IF(Tree!$C$4="once per order",L1271,1)</f>
        <v/>
      </c>
    </row>
    <row r="1272">
      <c r="A1272" t="inlineStr">
        <is>
          <t>KR-00846</t>
        </is>
      </c>
      <c r="B1272" t="inlineStr">
        <is>
          <t>C-0041</t>
        </is>
      </c>
      <c r="C1272" t="inlineStr">
        <is>
          <t>Retail-Core</t>
        </is>
      </c>
      <c r="D1272" t="inlineStr">
        <is>
          <t>web</t>
        </is>
      </c>
      <c r="E1272" s="7" t="n">
        <v>46269</v>
      </c>
      <c r="F1272" t="n">
        <v>1870</v>
      </c>
      <c r="G1272" t="n">
        <v>1870</v>
      </c>
      <c r="H1272" t="inlineStr">
        <is>
          <t>2026-09-06</t>
        </is>
      </c>
      <c r="I1272">
        <f>IF(MONTH(E1272)&lt;=6,"Q1","Q2")</f>
        <v/>
      </c>
      <c r="J1272">
        <f>YEAR(E1272)*100+MONTH(E1272)</f>
        <v/>
      </c>
      <c r="K1272">
        <f>IF(COUNTIF($A$2:A1272,A1272)=1,1,0)</f>
        <v/>
      </c>
      <c r="L1272">
        <f>IF(K1272=1,IF(COUNTIFS($B$2:B1272,B1272,$I$2:I1272,I1272,$K$2:K1272,1)=1,1,0),0)</f>
        <v/>
      </c>
      <c r="M1272">
        <f>IF(Tree!$C$4="once per order",F1272*K1272,F1272)</f>
        <v/>
      </c>
      <c r="N1272">
        <f>IF(Tree!$C$4="once per order",K1272,1)</f>
        <v/>
      </c>
      <c r="O1272">
        <f>IF(Tree!$C$4="once per order",L1272,1)</f>
        <v/>
      </c>
    </row>
    <row r="1273">
      <c r="A1273" t="inlineStr">
        <is>
          <t>KR-00847</t>
        </is>
      </c>
      <c r="B1273" t="inlineStr">
        <is>
          <t>C-0043</t>
        </is>
      </c>
      <c r="C1273" t="inlineStr">
        <is>
          <t>Retail-Core</t>
        </is>
      </c>
      <c r="D1273" t="inlineStr">
        <is>
          <t>store</t>
        </is>
      </c>
      <c r="E1273" s="7" t="n">
        <v>46205</v>
      </c>
      <c r="F1273" t="n">
        <v>2150</v>
      </c>
      <c r="G1273" t="n">
        <v>2150</v>
      </c>
      <c r="H1273" t="inlineStr">
        <is>
          <t>2026-07-04</t>
        </is>
      </c>
      <c r="I1273">
        <f>IF(MONTH(E1273)&lt;=6,"Q1","Q2")</f>
        <v/>
      </c>
      <c r="J1273">
        <f>YEAR(E1273)*100+MONTH(E1273)</f>
        <v/>
      </c>
      <c r="K1273">
        <f>IF(COUNTIF($A$2:A1273,A1273)=1,1,0)</f>
        <v/>
      </c>
      <c r="L1273">
        <f>IF(K1273=1,IF(COUNTIFS($B$2:B1273,B1273,$I$2:I1273,I1273,$K$2:K1273,1)=1,1,0),0)</f>
        <v/>
      </c>
      <c r="M1273">
        <f>IF(Tree!$C$4="once per order",F1273*K1273,F1273)</f>
        <v/>
      </c>
      <c r="N1273">
        <f>IF(Tree!$C$4="once per order",K1273,1)</f>
        <v/>
      </c>
      <c r="O1273">
        <f>IF(Tree!$C$4="once per order",L1273,1)</f>
        <v/>
      </c>
    </row>
    <row r="1274">
      <c r="A1274" t="inlineStr">
        <is>
          <t>KR-00848</t>
        </is>
      </c>
      <c r="B1274" t="inlineStr">
        <is>
          <t>C-0042</t>
        </is>
      </c>
      <c r="C1274" t="inlineStr">
        <is>
          <t>Retail-Core</t>
        </is>
      </c>
      <c r="D1274" t="inlineStr">
        <is>
          <t>app</t>
        </is>
      </c>
      <c r="E1274" s="7" t="n">
        <v>46256</v>
      </c>
      <c r="F1274" t="n">
        <v>2810</v>
      </c>
      <c r="G1274" t="n">
        <v>1686</v>
      </c>
      <c r="H1274" t="inlineStr">
        <is>
          <t>2026-08-24</t>
        </is>
      </c>
      <c r="I1274">
        <f>IF(MONTH(E1274)&lt;=6,"Q1","Q2")</f>
        <v/>
      </c>
      <c r="J1274">
        <f>YEAR(E1274)*100+MONTH(E1274)</f>
        <v/>
      </c>
      <c r="K1274">
        <f>IF(COUNTIF($A$2:A1274,A1274)=1,1,0)</f>
        <v/>
      </c>
      <c r="L1274">
        <f>IF(K1274=1,IF(COUNTIFS($B$2:B1274,B1274,$I$2:I1274,I1274,$K$2:K1274,1)=1,1,0),0)</f>
        <v/>
      </c>
      <c r="M1274">
        <f>IF(Tree!$C$4="once per order",F1274*K1274,F1274)</f>
        <v/>
      </c>
      <c r="N1274">
        <f>IF(Tree!$C$4="once per order",K1274,1)</f>
        <v/>
      </c>
      <c r="O1274">
        <f>IF(Tree!$C$4="once per order",L1274,1)</f>
        <v/>
      </c>
    </row>
    <row r="1275">
      <c r="A1275" t="inlineStr">
        <is>
          <t>KR-00848</t>
        </is>
      </c>
      <c r="B1275" t="inlineStr">
        <is>
          <t>C-0042</t>
        </is>
      </c>
      <c r="C1275" t="inlineStr">
        <is>
          <t>Retail-Core</t>
        </is>
      </c>
      <c r="D1275" t="inlineStr">
        <is>
          <t>app</t>
        </is>
      </c>
      <c r="E1275" s="7" t="n">
        <v>46256</v>
      </c>
      <c r="F1275" t="n">
        <v>2810</v>
      </c>
      <c r="G1275" t="n">
        <v>1124</v>
      </c>
      <c r="H1275" t="inlineStr">
        <is>
          <t>2026-08-24</t>
        </is>
      </c>
      <c r="I1275">
        <f>IF(MONTH(E1275)&lt;=6,"Q1","Q2")</f>
        <v/>
      </c>
      <c r="J1275">
        <f>YEAR(E1275)*100+MONTH(E1275)</f>
        <v/>
      </c>
      <c r="K1275">
        <f>IF(COUNTIF($A$2:A1275,A1275)=1,1,0)</f>
        <v/>
      </c>
      <c r="L1275">
        <f>IF(K1275=1,IF(COUNTIFS($B$2:B1275,B1275,$I$2:I1275,I1275,$K$2:K1275,1)=1,1,0),0)</f>
        <v/>
      </c>
      <c r="M1275">
        <f>IF(Tree!$C$4="once per order",F1275*K1275,F1275)</f>
        <v/>
      </c>
      <c r="N1275">
        <f>IF(Tree!$C$4="once per order",K1275,1)</f>
        <v/>
      </c>
      <c r="O1275">
        <f>IF(Tree!$C$4="once per order",L1275,1)</f>
        <v/>
      </c>
    </row>
    <row r="1276">
      <c r="A1276" t="inlineStr">
        <is>
          <t>KR-00849</t>
        </is>
      </c>
      <c r="B1276" t="inlineStr">
        <is>
          <t>C-0023</t>
        </is>
      </c>
      <c r="C1276" t="inlineStr">
        <is>
          <t>Retail-Core</t>
        </is>
      </c>
      <c r="D1276" t="inlineStr">
        <is>
          <t>web</t>
        </is>
      </c>
      <c r="E1276" s="7" t="n">
        <v>46275</v>
      </c>
      <c r="F1276" t="n">
        <v>2010</v>
      </c>
      <c r="G1276" t="n">
        <v>2010</v>
      </c>
      <c r="H1276" t="inlineStr">
        <is>
          <t>2026-09-12</t>
        </is>
      </c>
      <c r="I1276">
        <f>IF(MONTH(E1276)&lt;=6,"Q1","Q2")</f>
        <v/>
      </c>
      <c r="J1276">
        <f>YEAR(E1276)*100+MONTH(E1276)</f>
        <v/>
      </c>
      <c r="K1276">
        <f>IF(COUNTIF($A$2:A1276,A1276)=1,1,0)</f>
        <v/>
      </c>
      <c r="L1276">
        <f>IF(K1276=1,IF(COUNTIFS($B$2:B1276,B1276,$I$2:I1276,I1276,$K$2:K1276,1)=1,1,0),0)</f>
        <v/>
      </c>
      <c r="M1276">
        <f>IF(Tree!$C$4="once per order",F1276*K1276,F1276)</f>
        <v/>
      </c>
      <c r="N1276">
        <f>IF(Tree!$C$4="once per order",K1276,1)</f>
        <v/>
      </c>
      <c r="O1276">
        <f>IF(Tree!$C$4="once per order",L1276,1)</f>
        <v/>
      </c>
    </row>
    <row r="1277">
      <c r="A1277" t="inlineStr">
        <is>
          <t>KR-00850</t>
        </is>
      </c>
      <c r="B1277" t="inlineStr">
        <is>
          <t>C-0040</t>
        </is>
      </c>
      <c r="C1277" t="inlineStr">
        <is>
          <t>Retail-Core</t>
        </is>
      </c>
      <c r="D1277" t="inlineStr">
        <is>
          <t>app</t>
        </is>
      </c>
      <c r="E1277" s="7" t="n">
        <v>46224</v>
      </c>
      <c r="F1277" t="n">
        <v>2510</v>
      </c>
      <c r="G1277" t="n">
        <v>2510</v>
      </c>
      <c r="H1277" t="inlineStr">
        <is>
          <t>2026-07-23</t>
        </is>
      </c>
      <c r="I1277">
        <f>IF(MONTH(E1277)&lt;=6,"Q1","Q2")</f>
        <v/>
      </c>
      <c r="J1277">
        <f>YEAR(E1277)*100+MONTH(E1277)</f>
        <v/>
      </c>
      <c r="K1277">
        <f>IF(COUNTIF($A$2:A1277,A1277)=1,1,0)</f>
        <v/>
      </c>
      <c r="L1277">
        <f>IF(K1277=1,IF(COUNTIFS($B$2:B1277,B1277,$I$2:I1277,I1277,$K$2:K1277,1)=1,1,0),0)</f>
        <v/>
      </c>
      <c r="M1277">
        <f>IF(Tree!$C$4="once per order",F1277*K1277,F1277)</f>
        <v/>
      </c>
      <c r="N1277">
        <f>IF(Tree!$C$4="once per order",K1277,1)</f>
        <v/>
      </c>
      <c r="O1277">
        <f>IF(Tree!$C$4="once per order",L1277,1)</f>
        <v/>
      </c>
    </row>
    <row r="1278">
      <c r="A1278" t="inlineStr">
        <is>
          <t>KR-00851</t>
        </is>
      </c>
      <c r="B1278" t="inlineStr">
        <is>
          <t>C-0044</t>
        </is>
      </c>
      <c r="C1278" t="inlineStr">
        <is>
          <t>Retail-Core</t>
        </is>
      </c>
      <c r="D1278" t="inlineStr">
        <is>
          <t>web</t>
        </is>
      </c>
      <c r="E1278" s="7" t="n">
        <v>46252</v>
      </c>
      <c r="F1278" t="n">
        <v>1880</v>
      </c>
      <c r="G1278" t="n">
        <v>1880</v>
      </c>
      <c r="H1278" t="inlineStr">
        <is>
          <t>2026-08-20</t>
        </is>
      </c>
      <c r="I1278">
        <f>IF(MONTH(E1278)&lt;=6,"Q1","Q2")</f>
        <v/>
      </c>
      <c r="J1278">
        <f>YEAR(E1278)*100+MONTH(E1278)</f>
        <v/>
      </c>
      <c r="K1278">
        <f>IF(COUNTIF($A$2:A1278,A1278)=1,1,0)</f>
        <v/>
      </c>
      <c r="L1278">
        <f>IF(K1278=1,IF(COUNTIFS($B$2:B1278,B1278,$I$2:I1278,I1278,$K$2:K1278,1)=1,1,0),0)</f>
        <v/>
      </c>
      <c r="M1278">
        <f>IF(Tree!$C$4="once per order",F1278*K1278,F1278)</f>
        <v/>
      </c>
      <c r="N1278">
        <f>IF(Tree!$C$4="once per order",K1278,1)</f>
        <v/>
      </c>
      <c r="O1278">
        <f>IF(Tree!$C$4="once per order",L1278,1)</f>
        <v/>
      </c>
    </row>
    <row r="1279">
      <c r="A1279" t="inlineStr">
        <is>
          <t>KR-00852</t>
        </is>
      </c>
      <c r="B1279" t="inlineStr">
        <is>
          <t>C-0052</t>
        </is>
      </c>
      <c r="C1279" t="inlineStr">
        <is>
          <t>Retail-Core</t>
        </is>
      </c>
      <c r="D1279" t="inlineStr">
        <is>
          <t>web</t>
        </is>
      </c>
      <c r="E1279" s="7" t="n">
        <v>46284</v>
      </c>
      <c r="F1279" t="n">
        <v>1210</v>
      </c>
      <c r="G1279" t="n">
        <v>1210</v>
      </c>
      <c r="H1279" t="inlineStr">
        <is>
          <t>2026-09-21</t>
        </is>
      </c>
      <c r="I1279">
        <f>IF(MONTH(E1279)&lt;=6,"Q1","Q2")</f>
        <v/>
      </c>
      <c r="J1279">
        <f>YEAR(E1279)*100+MONTH(E1279)</f>
        <v/>
      </c>
      <c r="K1279">
        <f>IF(COUNTIF($A$2:A1279,A1279)=1,1,0)</f>
        <v/>
      </c>
      <c r="L1279">
        <f>IF(K1279=1,IF(COUNTIFS($B$2:B1279,B1279,$I$2:I1279,I1279,$K$2:K1279,1)=1,1,0),0)</f>
        <v/>
      </c>
      <c r="M1279">
        <f>IF(Tree!$C$4="once per order",F1279*K1279,F1279)</f>
        <v/>
      </c>
      <c r="N1279">
        <f>IF(Tree!$C$4="once per order",K1279,1)</f>
        <v/>
      </c>
      <c r="O1279">
        <f>IF(Tree!$C$4="once per order",L1279,1)</f>
        <v/>
      </c>
    </row>
    <row r="1280">
      <c r="A1280" t="inlineStr">
        <is>
          <t>KR-00853</t>
        </is>
      </c>
      <c r="B1280" t="inlineStr">
        <is>
          <t>C-0042</t>
        </is>
      </c>
      <c r="C1280" t="inlineStr">
        <is>
          <t>Retail-Core</t>
        </is>
      </c>
      <c r="D1280" t="inlineStr">
        <is>
          <t>store</t>
        </is>
      </c>
      <c r="E1280" s="7" t="n">
        <v>46225</v>
      </c>
      <c r="F1280" t="n">
        <v>2150</v>
      </c>
      <c r="G1280" t="n">
        <v>2150</v>
      </c>
      <c r="H1280" t="inlineStr">
        <is>
          <t>2026-07-24</t>
        </is>
      </c>
      <c r="I1280">
        <f>IF(MONTH(E1280)&lt;=6,"Q1","Q2")</f>
        <v/>
      </c>
      <c r="J1280">
        <f>YEAR(E1280)*100+MONTH(E1280)</f>
        <v/>
      </c>
      <c r="K1280">
        <f>IF(COUNTIF($A$2:A1280,A1280)=1,1,0)</f>
        <v/>
      </c>
      <c r="L1280">
        <f>IF(K1280=1,IF(COUNTIFS($B$2:B1280,B1280,$I$2:I1280,I1280,$K$2:K1280,1)=1,1,0),0)</f>
        <v/>
      </c>
      <c r="M1280">
        <f>IF(Tree!$C$4="once per order",F1280*K1280,F1280)</f>
        <v/>
      </c>
      <c r="N1280">
        <f>IF(Tree!$C$4="once per order",K1280,1)</f>
        <v/>
      </c>
      <c r="O1280">
        <f>IF(Tree!$C$4="once per order",L1280,1)</f>
        <v/>
      </c>
    </row>
    <row r="1281">
      <c r="A1281" t="inlineStr">
        <is>
          <t>KR-00854</t>
        </is>
      </c>
      <c r="B1281" t="inlineStr">
        <is>
          <t>C-0007</t>
        </is>
      </c>
      <c r="C1281" t="inlineStr">
        <is>
          <t>Retail-Core</t>
        </is>
      </c>
      <c r="D1281" t="inlineStr">
        <is>
          <t>app</t>
        </is>
      </c>
      <c r="E1281" s="7" t="n">
        <v>46245</v>
      </c>
      <c r="F1281" t="n">
        <v>980</v>
      </c>
      <c r="G1281" t="n">
        <v>980</v>
      </c>
      <c r="H1281" t="inlineStr">
        <is>
          <t>2026-08-13</t>
        </is>
      </c>
      <c r="I1281">
        <f>IF(MONTH(E1281)&lt;=6,"Q1","Q2")</f>
        <v/>
      </c>
      <c r="J1281">
        <f>YEAR(E1281)*100+MONTH(E1281)</f>
        <v/>
      </c>
      <c r="K1281">
        <f>IF(COUNTIF($A$2:A1281,A1281)=1,1,0)</f>
        <v/>
      </c>
      <c r="L1281">
        <f>IF(K1281=1,IF(COUNTIFS($B$2:B1281,B1281,$I$2:I1281,I1281,$K$2:K1281,1)=1,1,0),0)</f>
        <v/>
      </c>
      <c r="M1281">
        <f>IF(Tree!$C$4="once per order",F1281*K1281,F1281)</f>
        <v/>
      </c>
      <c r="N1281">
        <f>IF(Tree!$C$4="once per order",K1281,1)</f>
        <v/>
      </c>
      <c r="O1281">
        <f>IF(Tree!$C$4="once per order",L1281,1)</f>
        <v/>
      </c>
    </row>
    <row r="1282">
      <c r="A1282" t="inlineStr">
        <is>
          <t>KR-00855</t>
        </is>
      </c>
      <c r="B1282" t="inlineStr">
        <is>
          <t>C-0040</t>
        </is>
      </c>
      <c r="C1282" t="inlineStr">
        <is>
          <t>Retail-Core</t>
        </is>
      </c>
      <c r="D1282" t="inlineStr">
        <is>
          <t>web</t>
        </is>
      </c>
      <c r="E1282" s="7" t="n">
        <v>46271</v>
      </c>
      <c r="F1282" t="n">
        <v>820</v>
      </c>
      <c r="G1282" t="n">
        <v>820</v>
      </c>
      <c r="H1282" t="inlineStr">
        <is>
          <t>2026-09-08</t>
        </is>
      </c>
      <c r="I1282">
        <f>IF(MONTH(E1282)&lt;=6,"Q1","Q2")</f>
        <v/>
      </c>
      <c r="J1282">
        <f>YEAR(E1282)*100+MONTH(E1282)</f>
        <v/>
      </c>
      <c r="K1282">
        <f>IF(COUNTIF($A$2:A1282,A1282)=1,1,0)</f>
        <v/>
      </c>
      <c r="L1282">
        <f>IF(K1282=1,IF(COUNTIFS($B$2:B1282,B1282,$I$2:I1282,I1282,$K$2:K1282,1)=1,1,0),0)</f>
        <v/>
      </c>
      <c r="M1282">
        <f>IF(Tree!$C$4="once per order",F1282*K1282,F1282)</f>
        <v/>
      </c>
      <c r="N1282">
        <f>IF(Tree!$C$4="once per order",K1282,1)</f>
        <v/>
      </c>
      <c r="O1282">
        <f>IF(Tree!$C$4="once per order",L1282,1)</f>
        <v/>
      </c>
    </row>
    <row r="1283">
      <c r="A1283" t="inlineStr">
        <is>
          <t>KR-00855</t>
        </is>
      </c>
      <c r="B1283" t="inlineStr">
        <is>
          <t>C-0040</t>
        </is>
      </c>
      <c r="C1283" t="inlineStr">
        <is>
          <t>Retail-Core</t>
        </is>
      </c>
      <c r="D1283" t="inlineStr">
        <is>
          <t>web</t>
        </is>
      </c>
      <c r="E1283" s="7" t="n">
        <v>46271</v>
      </c>
      <c r="F1283" t="n">
        <v>820</v>
      </c>
      <c r="G1283" t="n">
        <v>820</v>
      </c>
      <c r="H1283" t="inlineStr">
        <is>
          <t>2026-09-08</t>
        </is>
      </c>
      <c r="I1283">
        <f>IF(MONTH(E1283)&lt;=6,"Q1","Q2")</f>
        <v/>
      </c>
      <c r="J1283">
        <f>YEAR(E1283)*100+MONTH(E1283)</f>
        <v/>
      </c>
      <c r="K1283">
        <f>IF(COUNTIF($A$2:A1283,A1283)=1,1,0)</f>
        <v/>
      </c>
      <c r="L1283">
        <f>IF(K1283=1,IF(COUNTIFS($B$2:B1283,B1283,$I$2:I1283,I1283,$K$2:K1283,1)=1,1,0),0)</f>
        <v/>
      </c>
      <c r="M1283">
        <f>IF(Tree!$C$4="once per order",F1283*K1283,F1283)</f>
        <v/>
      </c>
      <c r="N1283">
        <f>IF(Tree!$C$4="once per order",K1283,1)</f>
        <v/>
      </c>
      <c r="O1283">
        <f>IF(Tree!$C$4="once per order",L1283,1)</f>
        <v/>
      </c>
    </row>
    <row r="1284">
      <c r="A1284" t="inlineStr">
        <is>
          <t>KR-00856</t>
        </is>
      </c>
      <c r="B1284" t="inlineStr">
        <is>
          <t>C-0049</t>
        </is>
      </c>
      <c r="C1284" t="inlineStr">
        <is>
          <t>Retail-Core</t>
        </is>
      </c>
      <c r="D1284" t="inlineStr">
        <is>
          <t>web</t>
        </is>
      </c>
      <c r="E1284" s="7" t="n">
        <v>46211</v>
      </c>
      <c r="F1284" t="n">
        <v>2690</v>
      </c>
      <c r="G1284" t="n">
        <v>2690</v>
      </c>
      <c r="H1284" t="inlineStr">
        <is>
          <t>2026-07-10</t>
        </is>
      </c>
      <c r="I1284">
        <f>IF(MONTH(E1284)&lt;=6,"Q1","Q2")</f>
        <v/>
      </c>
      <c r="J1284">
        <f>YEAR(E1284)*100+MONTH(E1284)</f>
        <v/>
      </c>
      <c r="K1284">
        <f>IF(COUNTIF($A$2:A1284,A1284)=1,1,0)</f>
        <v/>
      </c>
      <c r="L1284">
        <f>IF(K1284=1,IF(COUNTIFS($B$2:B1284,B1284,$I$2:I1284,I1284,$K$2:K1284,1)=1,1,0),0)</f>
        <v/>
      </c>
      <c r="M1284">
        <f>IF(Tree!$C$4="once per order",F1284*K1284,F1284)</f>
        <v/>
      </c>
      <c r="N1284">
        <f>IF(Tree!$C$4="once per order",K1284,1)</f>
        <v/>
      </c>
      <c r="O1284">
        <f>IF(Tree!$C$4="once per order",L1284,1)</f>
        <v/>
      </c>
    </row>
    <row r="1285">
      <c r="A1285" t="inlineStr">
        <is>
          <t>KR-00857</t>
        </is>
      </c>
      <c r="B1285" t="inlineStr">
        <is>
          <t>C-0003</t>
        </is>
      </c>
      <c r="C1285" t="inlineStr">
        <is>
          <t>Retail-Core</t>
        </is>
      </c>
      <c r="D1285" t="inlineStr">
        <is>
          <t>web</t>
        </is>
      </c>
      <c r="E1285" s="7" t="n">
        <v>46249</v>
      </c>
      <c r="F1285" t="n">
        <v>810</v>
      </c>
      <c r="G1285" t="n">
        <v>810</v>
      </c>
      <c r="H1285" t="inlineStr">
        <is>
          <t>2026-08-17</t>
        </is>
      </c>
      <c r="I1285">
        <f>IF(MONTH(E1285)&lt;=6,"Q1","Q2")</f>
        <v/>
      </c>
      <c r="J1285">
        <f>YEAR(E1285)*100+MONTH(E1285)</f>
        <v/>
      </c>
      <c r="K1285">
        <f>IF(COUNTIF($A$2:A1285,A1285)=1,1,0)</f>
        <v/>
      </c>
      <c r="L1285">
        <f>IF(K1285=1,IF(COUNTIFS($B$2:B1285,B1285,$I$2:I1285,I1285,$K$2:K1285,1)=1,1,0),0)</f>
        <v/>
      </c>
      <c r="M1285">
        <f>IF(Tree!$C$4="once per order",F1285*K1285,F1285)</f>
        <v/>
      </c>
      <c r="N1285">
        <f>IF(Tree!$C$4="once per order",K1285,1)</f>
        <v/>
      </c>
      <c r="O1285">
        <f>IF(Tree!$C$4="once per order",L1285,1)</f>
        <v/>
      </c>
    </row>
    <row r="1286">
      <c r="A1286" t="inlineStr">
        <is>
          <t>KR-00857</t>
        </is>
      </c>
      <c r="B1286" t="inlineStr">
        <is>
          <t>C-0003</t>
        </is>
      </c>
      <c r="C1286" t="inlineStr">
        <is>
          <t>Retail-Core</t>
        </is>
      </c>
      <c r="D1286" t="inlineStr">
        <is>
          <t>web</t>
        </is>
      </c>
      <c r="E1286" s="7" t="n">
        <v>46249</v>
      </c>
      <c r="F1286" t="n">
        <v>810</v>
      </c>
      <c r="G1286" t="n">
        <v>810</v>
      </c>
      <c r="H1286" t="inlineStr">
        <is>
          <t>2026-08-17</t>
        </is>
      </c>
      <c r="I1286">
        <f>IF(MONTH(E1286)&lt;=6,"Q1","Q2")</f>
        <v/>
      </c>
      <c r="J1286">
        <f>YEAR(E1286)*100+MONTH(E1286)</f>
        <v/>
      </c>
      <c r="K1286">
        <f>IF(COUNTIF($A$2:A1286,A1286)=1,1,0)</f>
        <v/>
      </c>
      <c r="L1286">
        <f>IF(K1286=1,IF(COUNTIFS($B$2:B1286,B1286,$I$2:I1286,I1286,$K$2:K1286,1)=1,1,0),0)</f>
        <v/>
      </c>
      <c r="M1286">
        <f>IF(Tree!$C$4="once per order",F1286*K1286,F1286)</f>
        <v/>
      </c>
      <c r="N1286">
        <f>IF(Tree!$C$4="once per order",K1286,1)</f>
        <v/>
      </c>
      <c r="O1286">
        <f>IF(Tree!$C$4="once per order",L1286,1)</f>
        <v/>
      </c>
    </row>
    <row r="1287">
      <c r="A1287" t="inlineStr">
        <is>
          <t>KR-00858</t>
        </is>
      </c>
      <c r="B1287" t="inlineStr">
        <is>
          <t>C-0112</t>
        </is>
      </c>
      <c r="C1287" t="inlineStr">
        <is>
          <t>Retail-Core</t>
        </is>
      </c>
      <c r="D1287" t="inlineStr">
        <is>
          <t>app</t>
        </is>
      </c>
      <c r="E1287" s="7" t="n">
        <v>46280</v>
      </c>
      <c r="F1287" t="n">
        <v>1290</v>
      </c>
      <c r="G1287" t="n">
        <v>1290</v>
      </c>
      <c r="H1287" t="inlineStr">
        <is>
          <t>2026-09-17</t>
        </is>
      </c>
      <c r="I1287">
        <f>IF(MONTH(E1287)&lt;=6,"Q1","Q2")</f>
        <v/>
      </c>
      <c r="J1287">
        <f>YEAR(E1287)*100+MONTH(E1287)</f>
        <v/>
      </c>
      <c r="K1287">
        <f>IF(COUNTIF($A$2:A1287,A1287)=1,1,0)</f>
        <v/>
      </c>
      <c r="L1287">
        <f>IF(K1287=1,IF(COUNTIFS($B$2:B1287,B1287,$I$2:I1287,I1287,$K$2:K1287,1)=1,1,0),0)</f>
        <v/>
      </c>
      <c r="M1287">
        <f>IF(Tree!$C$4="once per order",F1287*K1287,F1287)</f>
        <v/>
      </c>
      <c r="N1287">
        <f>IF(Tree!$C$4="once per order",K1287,1)</f>
        <v/>
      </c>
      <c r="O1287">
        <f>IF(Tree!$C$4="once per order",L1287,1)</f>
        <v/>
      </c>
    </row>
    <row r="1288">
      <c r="A1288" t="inlineStr">
        <is>
          <t>KR-00859</t>
        </is>
      </c>
      <c r="B1288" t="inlineStr">
        <is>
          <t>C-0002</t>
        </is>
      </c>
      <c r="C1288" t="inlineStr">
        <is>
          <t>Retail-Core</t>
        </is>
      </c>
      <c r="D1288" t="inlineStr">
        <is>
          <t>app</t>
        </is>
      </c>
      <c r="E1288" s="7" t="n">
        <v>46208</v>
      </c>
      <c r="F1288" t="n">
        <v>2670</v>
      </c>
      <c r="G1288" t="n">
        <v>2670</v>
      </c>
      <c r="H1288" t="inlineStr">
        <is>
          <t>2026-07-07</t>
        </is>
      </c>
      <c r="I1288">
        <f>IF(MONTH(E1288)&lt;=6,"Q1","Q2")</f>
        <v/>
      </c>
      <c r="J1288">
        <f>YEAR(E1288)*100+MONTH(E1288)</f>
        <v/>
      </c>
      <c r="K1288">
        <f>IF(COUNTIF($A$2:A1288,A1288)=1,1,0)</f>
        <v/>
      </c>
      <c r="L1288">
        <f>IF(K1288=1,IF(COUNTIFS($B$2:B1288,B1288,$I$2:I1288,I1288,$K$2:K1288,1)=1,1,0),0)</f>
        <v/>
      </c>
      <c r="M1288">
        <f>IF(Tree!$C$4="once per order",F1288*K1288,F1288)</f>
        <v/>
      </c>
      <c r="N1288">
        <f>IF(Tree!$C$4="once per order",K1288,1)</f>
        <v/>
      </c>
      <c r="O1288">
        <f>IF(Tree!$C$4="once per order",L1288,1)</f>
        <v/>
      </c>
    </row>
    <row r="1289">
      <c r="A1289" t="inlineStr">
        <is>
          <t>KR-00860</t>
        </is>
      </c>
      <c r="B1289" t="inlineStr">
        <is>
          <t>C-0128</t>
        </is>
      </c>
      <c r="C1289" t="inlineStr">
        <is>
          <t>Retail-Core</t>
        </is>
      </c>
      <c r="D1289" t="inlineStr">
        <is>
          <t>app</t>
        </is>
      </c>
      <c r="E1289" s="7" t="n">
        <v>46251</v>
      </c>
      <c r="F1289" t="n">
        <v>1910</v>
      </c>
      <c r="G1289" t="n">
        <v>1910</v>
      </c>
      <c r="H1289" t="inlineStr">
        <is>
          <t>2026-08-19</t>
        </is>
      </c>
      <c r="I1289">
        <f>IF(MONTH(E1289)&lt;=6,"Q1","Q2")</f>
        <v/>
      </c>
      <c r="J1289">
        <f>YEAR(E1289)*100+MONTH(E1289)</f>
        <v/>
      </c>
      <c r="K1289">
        <f>IF(COUNTIF($A$2:A1289,A1289)=1,1,0)</f>
        <v/>
      </c>
      <c r="L1289">
        <f>IF(K1289=1,IF(COUNTIFS($B$2:B1289,B1289,$I$2:I1289,I1289,$K$2:K1289,1)=1,1,0),0)</f>
        <v/>
      </c>
      <c r="M1289">
        <f>IF(Tree!$C$4="once per order",F1289*K1289,F1289)</f>
        <v/>
      </c>
      <c r="N1289">
        <f>IF(Tree!$C$4="once per order",K1289,1)</f>
        <v/>
      </c>
      <c r="O1289">
        <f>IF(Tree!$C$4="once per order",L1289,1)</f>
        <v/>
      </c>
    </row>
    <row r="1290">
      <c r="A1290" t="inlineStr">
        <is>
          <t>KR-00861</t>
        </is>
      </c>
      <c r="B1290" t="inlineStr">
        <is>
          <t>C-0034</t>
        </is>
      </c>
      <c r="C1290" t="inlineStr">
        <is>
          <t>Retail-Core</t>
        </is>
      </c>
      <c r="D1290" t="inlineStr">
        <is>
          <t>store</t>
        </is>
      </c>
      <c r="E1290" s="7" t="n">
        <v>46287</v>
      </c>
      <c r="F1290" t="n">
        <v>1760</v>
      </c>
      <c r="G1290" t="n">
        <v>1760</v>
      </c>
      <c r="H1290" t="inlineStr">
        <is>
          <t>2026-09-24</t>
        </is>
      </c>
      <c r="I1290">
        <f>IF(MONTH(E1290)&lt;=6,"Q1","Q2")</f>
        <v/>
      </c>
      <c r="J1290">
        <f>YEAR(E1290)*100+MONTH(E1290)</f>
        <v/>
      </c>
      <c r="K1290">
        <f>IF(COUNTIF($A$2:A1290,A1290)=1,1,0)</f>
        <v/>
      </c>
      <c r="L1290">
        <f>IF(K1290=1,IF(COUNTIFS($B$2:B1290,B1290,$I$2:I1290,I1290,$K$2:K1290,1)=1,1,0),0)</f>
        <v/>
      </c>
      <c r="M1290">
        <f>IF(Tree!$C$4="once per order",F1290*K1290,F1290)</f>
        <v/>
      </c>
      <c r="N1290">
        <f>IF(Tree!$C$4="once per order",K1290,1)</f>
        <v/>
      </c>
      <c r="O1290">
        <f>IF(Tree!$C$4="once per order",L1290,1)</f>
        <v/>
      </c>
    </row>
    <row r="1291">
      <c r="A1291" t="inlineStr">
        <is>
          <t>KR-00862</t>
        </is>
      </c>
      <c r="B1291" t="inlineStr">
        <is>
          <t>C-0010</t>
        </is>
      </c>
      <c r="C1291" t="inlineStr">
        <is>
          <t>Retail-Core</t>
        </is>
      </c>
      <c r="D1291" t="inlineStr">
        <is>
          <t>web</t>
        </is>
      </c>
      <c r="E1291" s="7" t="n">
        <v>46219</v>
      </c>
      <c r="F1291" t="n">
        <v>1830</v>
      </c>
      <c r="G1291" t="n">
        <v>1830</v>
      </c>
      <c r="H1291" t="inlineStr">
        <is>
          <t>2026-07-18</t>
        </is>
      </c>
      <c r="I1291">
        <f>IF(MONTH(E1291)&lt;=6,"Q1","Q2")</f>
        <v/>
      </c>
      <c r="J1291">
        <f>YEAR(E1291)*100+MONTH(E1291)</f>
        <v/>
      </c>
      <c r="K1291">
        <f>IF(COUNTIF($A$2:A1291,A1291)=1,1,0)</f>
        <v/>
      </c>
      <c r="L1291">
        <f>IF(K1291=1,IF(COUNTIFS($B$2:B1291,B1291,$I$2:I1291,I1291,$K$2:K1291,1)=1,1,0),0)</f>
        <v/>
      </c>
      <c r="M1291">
        <f>IF(Tree!$C$4="once per order",F1291*K1291,F1291)</f>
        <v/>
      </c>
      <c r="N1291">
        <f>IF(Tree!$C$4="once per order",K1291,1)</f>
        <v/>
      </c>
      <c r="O1291">
        <f>IF(Tree!$C$4="once per order",L1291,1)</f>
        <v/>
      </c>
    </row>
    <row r="1292">
      <c r="A1292" t="inlineStr">
        <is>
          <t>KR-00863</t>
        </is>
      </c>
      <c r="B1292" t="inlineStr">
        <is>
          <t>C-0098</t>
        </is>
      </c>
      <c r="C1292" t="inlineStr">
        <is>
          <t>Retail-Core</t>
        </is>
      </c>
      <c r="D1292" t="inlineStr">
        <is>
          <t>app</t>
        </is>
      </c>
      <c r="E1292" s="7" t="n">
        <v>46241</v>
      </c>
      <c r="F1292" t="n">
        <v>2030</v>
      </c>
      <c r="G1292" t="n">
        <v>2030</v>
      </c>
      <c r="H1292" t="inlineStr">
        <is>
          <t>2026-08-09</t>
        </is>
      </c>
      <c r="I1292">
        <f>IF(MONTH(E1292)&lt;=6,"Q1","Q2")</f>
        <v/>
      </c>
      <c r="J1292">
        <f>YEAR(E1292)*100+MONTH(E1292)</f>
        <v/>
      </c>
      <c r="K1292">
        <f>IF(COUNTIF($A$2:A1292,A1292)=1,1,0)</f>
        <v/>
      </c>
      <c r="L1292">
        <f>IF(K1292=1,IF(COUNTIFS($B$2:B1292,B1292,$I$2:I1292,I1292,$K$2:K1292,1)=1,1,0),0)</f>
        <v/>
      </c>
      <c r="M1292">
        <f>IF(Tree!$C$4="once per order",F1292*K1292,F1292)</f>
        <v/>
      </c>
      <c r="N1292">
        <f>IF(Tree!$C$4="once per order",K1292,1)</f>
        <v/>
      </c>
      <c r="O1292">
        <f>IF(Tree!$C$4="once per order",L1292,1)</f>
        <v/>
      </c>
    </row>
    <row r="1293">
      <c r="A1293" t="inlineStr">
        <is>
          <t>KR-00864</t>
        </is>
      </c>
      <c r="B1293" t="inlineStr">
        <is>
          <t>C-0035</t>
        </is>
      </c>
      <c r="C1293" t="inlineStr">
        <is>
          <t>Retail-Core</t>
        </is>
      </c>
      <c r="D1293" t="inlineStr">
        <is>
          <t>store</t>
        </is>
      </c>
      <c r="E1293" s="7" t="n">
        <v>46280</v>
      </c>
      <c r="F1293" t="n">
        <v>2430</v>
      </c>
      <c r="G1293" t="n">
        <v>2430</v>
      </c>
      <c r="H1293" t="inlineStr">
        <is>
          <t>2026-09-17</t>
        </is>
      </c>
      <c r="I1293">
        <f>IF(MONTH(E1293)&lt;=6,"Q1","Q2")</f>
        <v/>
      </c>
      <c r="J1293">
        <f>YEAR(E1293)*100+MONTH(E1293)</f>
        <v/>
      </c>
      <c r="K1293">
        <f>IF(COUNTIF($A$2:A1293,A1293)=1,1,0)</f>
        <v/>
      </c>
      <c r="L1293">
        <f>IF(K1293=1,IF(COUNTIFS($B$2:B1293,B1293,$I$2:I1293,I1293,$K$2:K1293,1)=1,1,0),0)</f>
        <v/>
      </c>
      <c r="M1293">
        <f>IF(Tree!$C$4="once per order",F1293*K1293,F1293)</f>
        <v/>
      </c>
      <c r="N1293">
        <f>IF(Tree!$C$4="once per order",K1293,1)</f>
        <v/>
      </c>
      <c r="O1293">
        <f>IF(Tree!$C$4="once per order",L1293,1)</f>
        <v/>
      </c>
    </row>
    <row r="1294">
      <c r="A1294" t="inlineStr">
        <is>
          <t>KR-00865</t>
        </is>
      </c>
      <c r="B1294" t="inlineStr">
        <is>
          <t>C-0053</t>
        </is>
      </c>
      <c r="C1294" t="inlineStr">
        <is>
          <t>Retail-Core</t>
        </is>
      </c>
      <c r="D1294" t="inlineStr">
        <is>
          <t>store</t>
        </is>
      </c>
      <c r="E1294" s="7" t="n">
        <v>46213</v>
      </c>
      <c r="F1294" t="n">
        <v>1410</v>
      </c>
      <c r="G1294" t="n">
        <v>1410</v>
      </c>
      <c r="H1294" t="inlineStr">
        <is>
          <t>2026-07-12</t>
        </is>
      </c>
      <c r="I1294">
        <f>IF(MONTH(E1294)&lt;=6,"Q1","Q2")</f>
        <v/>
      </c>
      <c r="J1294">
        <f>YEAR(E1294)*100+MONTH(E1294)</f>
        <v/>
      </c>
      <c r="K1294">
        <f>IF(COUNTIF($A$2:A1294,A1294)=1,1,0)</f>
        <v/>
      </c>
      <c r="L1294">
        <f>IF(K1294=1,IF(COUNTIFS($B$2:B1294,B1294,$I$2:I1294,I1294,$K$2:K1294,1)=1,1,0),0)</f>
        <v/>
      </c>
      <c r="M1294">
        <f>IF(Tree!$C$4="once per order",F1294*K1294,F1294)</f>
        <v/>
      </c>
      <c r="N1294">
        <f>IF(Tree!$C$4="once per order",K1294,1)</f>
        <v/>
      </c>
      <c r="O1294">
        <f>IF(Tree!$C$4="once per order",L1294,1)</f>
        <v/>
      </c>
    </row>
    <row r="1295">
      <c r="A1295" t="inlineStr">
        <is>
          <t>KR-00866</t>
        </is>
      </c>
      <c r="B1295" t="inlineStr">
        <is>
          <t>C-0060</t>
        </is>
      </c>
      <c r="C1295" t="inlineStr">
        <is>
          <t>Retail-Core</t>
        </is>
      </c>
      <c r="D1295" t="inlineStr">
        <is>
          <t>store</t>
        </is>
      </c>
      <c r="E1295" s="7" t="n">
        <v>46238</v>
      </c>
      <c r="F1295" t="n">
        <v>2980</v>
      </c>
      <c r="G1295" t="n">
        <v>1788</v>
      </c>
      <c r="H1295" t="inlineStr">
        <is>
          <t>2026-08-06</t>
        </is>
      </c>
      <c r="I1295">
        <f>IF(MONTH(E1295)&lt;=6,"Q1","Q2")</f>
        <v/>
      </c>
      <c r="J1295">
        <f>YEAR(E1295)*100+MONTH(E1295)</f>
        <v/>
      </c>
      <c r="K1295">
        <f>IF(COUNTIF($A$2:A1295,A1295)=1,1,0)</f>
        <v/>
      </c>
      <c r="L1295">
        <f>IF(K1295=1,IF(COUNTIFS($B$2:B1295,B1295,$I$2:I1295,I1295,$K$2:K1295,1)=1,1,0),0)</f>
        <v/>
      </c>
      <c r="M1295">
        <f>IF(Tree!$C$4="once per order",F1295*K1295,F1295)</f>
        <v/>
      </c>
      <c r="N1295">
        <f>IF(Tree!$C$4="once per order",K1295,1)</f>
        <v/>
      </c>
      <c r="O1295">
        <f>IF(Tree!$C$4="once per order",L1295,1)</f>
        <v/>
      </c>
    </row>
    <row r="1296">
      <c r="A1296" t="inlineStr">
        <is>
          <t>KR-00866</t>
        </is>
      </c>
      <c r="B1296" t="inlineStr">
        <is>
          <t>C-0060</t>
        </is>
      </c>
      <c r="C1296" t="inlineStr">
        <is>
          <t>Retail-Core</t>
        </is>
      </c>
      <c r="D1296" t="inlineStr">
        <is>
          <t>store</t>
        </is>
      </c>
      <c r="E1296" s="7" t="n">
        <v>46238</v>
      </c>
      <c r="F1296" t="n">
        <v>2980</v>
      </c>
      <c r="G1296" t="n">
        <v>1192</v>
      </c>
      <c r="H1296" t="inlineStr">
        <is>
          <t>2026-08-06</t>
        </is>
      </c>
      <c r="I1296">
        <f>IF(MONTH(E1296)&lt;=6,"Q1","Q2")</f>
        <v/>
      </c>
      <c r="J1296">
        <f>YEAR(E1296)*100+MONTH(E1296)</f>
        <v/>
      </c>
      <c r="K1296">
        <f>IF(COUNTIF($A$2:A1296,A1296)=1,1,0)</f>
        <v/>
      </c>
      <c r="L1296">
        <f>IF(K1296=1,IF(COUNTIFS($B$2:B1296,B1296,$I$2:I1296,I1296,$K$2:K1296,1)=1,1,0),0)</f>
        <v/>
      </c>
      <c r="M1296">
        <f>IF(Tree!$C$4="once per order",F1296*K1296,F1296)</f>
        <v/>
      </c>
      <c r="N1296">
        <f>IF(Tree!$C$4="once per order",K1296,1)</f>
        <v/>
      </c>
      <c r="O1296">
        <f>IF(Tree!$C$4="once per order",L1296,1)</f>
        <v/>
      </c>
    </row>
    <row r="1297">
      <c r="A1297" t="inlineStr">
        <is>
          <t>KR-00867</t>
        </is>
      </c>
      <c r="B1297" t="inlineStr">
        <is>
          <t>C-0007</t>
        </is>
      </c>
      <c r="C1297" t="inlineStr">
        <is>
          <t>Retail-Core</t>
        </is>
      </c>
      <c r="D1297" t="inlineStr">
        <is>
          <t>store</t>
        </is>
      </c>
      <c r="E1297" s="7" t="n">
        <v>46267</v>
      </c>
      <c r="F1297" t="n">
        <v>2120</v>
      </c>
      <c r="G1297" t="n">
        <v>2120</v>
      </c>
      <c r="H1297" t="inlineStr">
        <is>
          <t>2026-09-04</t>
        </is>
      </c>
      <c r="I1297">
        <f>IF(MONTH(E1297)&lt;=6,"Q1","Q2")</f>
        <v/>
      </c>
      <c r="J1297">
        <f>YEAR(E1297)*100+MONTH(E1297)</f>
        <v/>
      </c>
      <c r="K1297">
        <f>IF(COUNTIF($A$2:A1297,A1297)=1,1,0)</f>
        <v/>
      </c>
      <c r="L1297">
        <f>IF(K1297=1,IF(COUNTIFS($B$2:B1297,B1297,$I$2:I1297,I1297,$K$2:K1297,1)=1,1,0),0)</f>
        <v/>
      </c>
      <c r="M1297">
        <f>IF(Tree!$C$4="once per order",F1297*K1297,F1297)</f>
        <v/>
      </c>
      <c r="N1297">
        <f>IF(Tree!$C$4="once per order",K1297,1)</f>
        <v/>
      </c>
      <c r="O1297">
        <f>IF(Tree!$C$4="once per order",L1297,1)</f>
        <v/>
      </c>
    </row>
    <row r="1298">
      <c r="A1298" t="inlineStr">
        <is>
          <t>KR-00868</t>
        </is>
      </c>
      <c r="B1298" t="inlineStr">
        <is>
          <t>C-0070</t>
        </is>
      </c>
      <c r="C1298" t="inlineStr">
        <is>
          <t>Retail-Core</t>
        </is>
      </c>
      <c r="D1298" t="inlineStr">
        <is>
          <t>store</t>
        </is>
      </c>
      <c r="E1298" s="7" t="n">
        <v>46220</v>
      </c>
      <c r="F1298" t="n">
        <v>1470</v>
      </c>
      <c r="G1298" t="n">
        <v>1470</v>
      </c>
      <c r="H1298" t="inlineStr">
        <is>
          <t>2026-07-19</t>
        </is>
      </c>
      <c r="I1298">
        <f>IF(MONTH(E1298)&lt;=6,"Q1","Q2")</f>
        <v/>
      </c>
      <c r="J1298">
        <f>YEAR(E1298)*100+MONTH(E1298)</f>
        <v/>
      </c>
      <c r="K1298">
        <f>IF(COUNTIF($A$2:A1298,A1298)=1,1,0)</f>
        <v/>
      </c>
      <c r="L1298">
        <f>IF(K1298=1,IF(COUNTIFS($B$2:B1298,B1298,$I$2:I1298,I1298,$K$2:K1298,1)=1,1,0),0)</f>
        <v/>
      </c>
      <c r="M1298">
        <f>IF(Tree!$C$4="once per order",F1298*K1298,F1298)</f>
        <v/>
      </c>
      <c r="N1298">
        <f>IF(Tree!$C$4="once per order",K1298,1)</f>
        <v/>
      </c>
      <c r="O1298">
        <f>IF(Tree!$C$4="once per order",L1298,1)</f>
        <v/>
      </c>
    </row>
    <row r="1299">
      <c r="A1299" t="inlineStr">
        <is>
          <t>KR-00869</t>
        </is>
      </c>
      <c r="B1299" t="inlineStr">
        <is>
          <t>C-0036</t>
        </is>
      </c>
      <c r="C1299" t="inlineStr">
        <is>
          <t>Retail-Core</t>
        </is>
      </c>
      <c r="D1299" t="inlineStr">
        <is>
          <t>store</t>
        </is>
      </c>
      <c r="E1299" s="7" t="n">
        <v>46248</v>
      </c>
      <c r="F1299" t="n">
        <v>1340</v>
      </c>
      <c r="G1299" t="n">
        <v>1340</v>
      </c>
      <c r="H1299" t="inlineStr">
        <is>
          <t>2026-08-16</t>
        </is>
      </c>
      <c r="I1299">
        <f>IF(MONTH(E1299)&lt;=6,"Q1","Q2")</f>
        <v/>
      </c>
      <c r="J1299">
        <f>YEAR(E1299)*100+MONTH(E1299)</f>
        <v/>
      </c>
      <c r="K1299">
        <f>IF(COUNTIF($A$2:A1299,A1299)=1,1,0)</f>
        <v/>
      </c>
      <c r="L1299">
        <f>IF(K1299=1,IF(COUNTIFS($B$2:B1299,B1299,$I$2:I1299,I1299,$K$2:K1299,1)=1,1,0),0)</f>
        <v/>
      </c>
      <c r="M1299">
        <f>IF(Tree!$C$4="once per order",F1299*K1299,F1299)</f>
        <v/>
      </c>
      <c r="N1299">
        <f>IF(Tree!$C$4="once per order",K1299,1)</f>
        <v/>
      </c>
      <c r="O1299">
        <f>IF(Tree!$C$4="once per order",L1299,1)</f>
        <v/>
      </c>
    </row>
    <row r="1300">
      <c r="A1300" t="inlineStr">
        <is>
          <t>KR-00870</t>
        </is>
      </c>
      <c r="B1300" t="inlineStr">
        <is>
          <t>C-0024</t>
        </is>
      </c>
      <c r="C1300" t="inlineStr">
        <is>
          <t>Retail-Core</t>
        </is>
      </c>
      <c r="D1300" t="inlineStr">
        <is>
          <t>store</t>
        </is>
      </c>
      <c r="E1300" s="7" t="n">
        <v>46275</v>
      </c>
      <c r="F1300" t="n">
        <v>1270</v>
      </c>
      <c r="G1300" t="n">
        <v>1270</v>
      </c>
      <c r="H1300" t="inlineStr">
        <is>
          <t>2026-09-12</t>
        </is>
      </c>
      <c r="I1300">
        <f>IF(MONTH(E1300)&lt;=6,"Q1","Q2")</f>
        <v/>
      </c>
      <c r="J1300">
        <f>YEAR(E1300)*100+MONTH(E1300)</f>
        <v/>
      </c>
      <c r="K1300">
        <f>IF(COUNTIF($A$2:A1300,A1300)=1,1,0)</f>
        <v/>
      </c>
      <c r="L1300">
        <f>IF(K1300=1,IF(COUNTIFS($B$2:B1300,B1300,$I$2:I1300,I1300,$K$2:K1300,1)=1,1,0),0)</f>
        <v/>
      </c>
      <c r="M1300">
        <f>IF(Tree!$C$4="once per order",F1300*K1300,F1300)</f>
        <v/>
      </c>
      <c r="N1300">
        <f>IF(Tree!$C$4="once per order",K1300,1)</f>
        <v/>
      </c>
      <c r="O1300">
        <f>IF(Tree!$C$4="once per order",L1300,1)</f>
        <v/>
      </c>
    </row>
    <row r="1301">
      <c r="A1301" t="inlineStr">
        <is>
          <t>KR-00871</t>
        </is>
      </c>
      <c r="B1301" t="inlineStr">
        <is>
          <t>C-0104</t>
        </is>
      </c>
      <c r="C1301" t="inlineStr">
        <is>
          <t>Retail-Core</t>
        </is>
      </c>
      <c r="D1301" t="inlineStr">
        <is>
          <t>store</t>
        </is>
      </c>
      <c r="E1301" s="7" t="n">
        <v>46231</v>
      </c>
      <c r="F1301" t="n">
        <v>1130</v>
      </c>
      <c r="G1301" t="n">
        <v>1130</v>
      </c>
      <c r="H1301" t="inlineStr">
        <is>
          <t>2026-07-28</t>
        </is>
      </c>
      <c r="I1301">
        <f>IF(MONTH(E1301)&lt;=6,"Q1","Q2")</f>
        <v/>
      </c>
      <c r="J1301">
        <f>YEAR(E1301)*100+MONTH(E1301)</f>
        <v/>
      </c>
      <c r="K1301">
        <f>IF(COUNTIF($A$2:A1301,A1301)=1,1,0)</f>
        <v/>
      </c>
      <c r="L1301">
        <f>IF(K1301=1,IF(COUNTIFS($B$2:B1301,B1301,$I$2:I1301,I1301,$K$2:K1301,1)=1,1,0),0)</f>
        <v/>
      </c>
      <c r="M1301">
        <f>IF(Tree!$C$4="once per order",F1301*K1301,F1301)</f>
        <v/>
      </c>
      <c r="N1301">
        <f>IF(Tree!$C$4="once per order",K1301,1)</f>
        <v/>
      </c>
      <c r="O1301">
        <f>IF(Tree!$C$4="once per order",L1301,1)</f>
        <v/>
      </c>
    </row>
    <row r="1302">
      <c r="A1302" t="inlineStr">
        <is>
          <t>KR-00872</t>
        </is>
      </c>
      <c r="B1302" t="inlineStr">
        <is>
          <t>C-0126</t>
        </is>
      </c>
      <c r="C1302" t="inlineStr">
        <is>
          <t>Retail-Core</t>
        </is>
      </c>
      <c r="D1302" t="inlineStr">
        <is>
          <t>store</t>
        </is>
      </c>
      <c r="E1302" s="7" t="n">
        <v>46244</v>
      </c>
      <c r="F1302" t="n">
        <v>2130</v>
      </c>
      <c r="G1302" t="n">
        <v>2130</v>
      </c>
      <c r="H1302" t="inlineStr">
        <is>
          <t>2026-08-12</t>
        </is>
      </c>
      <c r="I1302">
        <f>IF(MONTH(E1302)&lt;=6,"Q1","Q2")</f>
        <v/>
      </c>
      <c r="J1302">
        <f>YEAR(E1302)*100+MONTH(E1302)</f>
        <v/>
      </c>
      <c r="K1302">
        <f>IF(COUNTIF($A$2:A1302,A1302)=1,1,0)</f>
        <v/>
      </c>
      <c r="L1302">
        <f>IF(K1302=1,IF(COUNTIFS($B$2:B1302,B1302,$I$2:I1302,I1302,$K$2:K1302,1)=1,1,0),0)</f>
        <v/>
      </c>
      <c r="M1302">
        <f>IF(Tree!$C$4="once per order",F1302*K1302,F1302)</f>
        <v/>
      </c>
      <c r="N1302">
        <f>IF(Tree!$C$4="once per order",K1302,1)</f>
        <v/>
      </c>
      <c r="O1302">
        <f>IF(Tree!$C$4="once per order",L1302,1)</f>
        <v/>
      </c>
    </row>
    <row r="1303">
      <c r="A1303" t="inlineStr">
        <is>
          <t>KR-00873</t>
        </is>
      </c>
      <c r="B1303" t="inlineStr">
        <is>
          <t>C-0037</t>
        </is>
      </c>
      <c r="C1303" t="inlineStr">
        <is>
          <t>Retail-Core</t>
        </is>
      </c>
      <c r="D1303" t="inlineStr">
        <is>
          <t>web</t>
        </is>
      </c>
      <c r="E1303" s="7" t="n">
        <v>46272</v>
      </c>
      <c r="F1303" t="n">
        <v>840</v>
      </c>
      <c r="G1303" t="n">
        <v>840</v>
      </c>
      <c r="H1303" t="inlineStr">
        <is>
          <t>2026-09-09</t>
        </is>
      </c>
      <c r="I1303">
        <f>IF(MONTH(E1303)&lt;=6,"Q1","Q2")</f>
        <v/>
      </c>
      <c r="J1303">
        <f>YEAR(E1303)*100+MONTH(E1303)</f>
        <v/>
      </c>
      <c r="K1303">
        <f>IF(COUNTIF($A$2:A1303,A1303)=1,1,0)</f>
        <v/>
      </c>
      <c r="L1303">
        <f>IF(K1303=1,IF(COUNTIFS($B$2:B1303,B1303,$I$2:I1303,I1303,$K$2:K1303,1)=1,1,0),0)</f>
        <v/>
      </c>
      <c r="M1303">
        <f>IF(Tree!$C$4="once per order",F1303*K1303,F1303)</f>
        <v/>
      </c>
      <c r="N1303">
        <f>IF(Tree!$C$4="once per order",K1303,1)</f>
        <v/>
      </c>
      <c r="O1303">
        <f>IF(Tree!$C$4="once per order",L1303,1)</f>
        <v/>
      </c>
    </row>
    <row r="1304">
      <c r="A1304" t="inlineStr">
        <is>
          <t>KR-00873</t>
        </is>
      </c>
      <c r="B1304" t="inlineStr">
        <is>
          <t>C-0037</t>
        </is>
      </c>
      <c r="C1304" t="inlineStr">
        <is>
          <t>Retail-Core</t>
        </is>
      </c>
      <c r="D1304" t="inlineStr">
        <is>
          <t>web</t>
        </is>
      </c>
      <c r="E1304" s="7" t="n">
        <v>46272</v>
      </c>
      <c r="F1304" t="n">
        <v>840</v>
      </c>
      <c r="G1304" t="n">
        <v>840</v>
      </c>
      <c r="H1304" t="inlineStr">
        <is>
          <t>2026-09-09</t>
        </is>
      </c>
      <c r="I1304">
        <f>IF(MONTH(E1304)&lt;=6,"Q1","Q2")</f>
        <v/>
      </c>
      <c r="J1304">
        <f>YEAR(E1304)*100+MONTH(E1304)</f>
        <v/>
      </c>
      <c r="K1304">
        <f>IF(COUNTIF($A$2:A1304,A1304)=1,1,0)</f>
        <v/>
      </c>
      <c r="L1304">
        <f>IF(K1304=1,IF(COUNTIFS($B$2:B1304,B1304,$I$2:I1304,I1304,$K$2:K1304,1)=1,1,0),0)</f>
        <v/>
      </c>
      <c r="M1304">
        <f>IF(Tree!$C$4="once per order",F1304*K1304,F1304)</f>
        <v/>
      </c>
      <c r="N1304">
        <f>IF(Tree!$C$4="once per order",K1304,1)</f>
        <v/>
      </c>
      <c r="O1304">
        <f>IF(Tree!$C$4="once per order",L1304,1)</f>
        <v/>
      </c>
    </row>
    <row r="1305">
      <c r="A1305" t="inlineStr">
        <is>
          <t>KR-00874</t>
        </is>
      </c>
      <c r="B1305" t="inlineStr">
        <is>
          <t>C-0137</t>
        </is>
      </c>
      <c r="C1305" t="inlineStr">
        <is>
          <t>Retail-Core</t>
        </is>
      </c>
      <c r="D1305" t="inlineStr">
        <is>
          <t>store</t>
        </is>
      </c>
      <c r="E1305" s="7" t="n">
        <v>46209</v>
      </c>
      <c r="F1305" t="n">
        <v>2520</v>
      </c>
      <c r="G1305" t="n">
        <v>2520</v>
      </c>
      <c r="H1305" t="inlineStr">
        <is>
          <t>2026-07-08</t>
        </is>
      </c>
      <c r="I1305">
        <f>IF(MONTH(E1305)&lt;=6,"Q1","Q2")</f>
        <v/>
      </c>
      <c r="J1305">
        <f>YEAR(E1305)*100+MONTH(E1305)</f>
        <v/>
      </c>
      <c r="K1305">
        <f>IF(COUNTIF($A$2:A1305,A1305)=1,1,0)</f>
        <v/>
      </c>
      <c r="L1305">
        <f>IF(K1305=1,IF(COUNTIFS($B$2:B1305,B1305,$I$2:I1305,I1305,$K$2:K1305,1)=1,1,0),0)</f>
        <v/>
      </c>
      <c r="M1305">
        <f>IF(Tree!$C$4="once per order",F1305*K1305,F1305)</f>
        <v/>
      </c>
      <c r="N1305">
        <f>IF(Tree!$C$4="once per order",K1305,1)</f>
        <v/>
      </c>
      <c r="O1305">
        <f>IF(Tree!$C$4="once per order",L1305,1)</f>
        <v/>
      </c>
    </row>
    <row r="1306">
      <c r="A1306" t="inlineStr">
        <is>
          <t>KR-00875</t>
        </is>
      </c>
      <c r="B1306" t="inlineStr">
        <is>
          <t>C-0085</t>
        </is>
      </c>
      <c r="C1306" t="inlineStr">
        <is>
          <t>Retail-Core</t>
        </is>
      </c>
      <c r="D1306" t="inlineStr">
        <is>
          <t>store</t>
        </is>
      </c>
      <c r="E1306" s="7" t="n">
        <v>46259</v>
      </c>
      <c r="F1306" t="n">
        <v>1540</v>
      </c>
      <c r="G1306" t="n">
        <v>1540</v>
      </c>
      <c r="H1306" t="inlineStr">
        <is>
          <t>2026-08-27</t>
        </is>
      </c>
      <c r="I1306">
        <f>IF(MONTH(E1306)&lt;=6,"Q1","Q2")</f>
        <v/>
      </c>
      <c r="J1306">
        <f>YEAR(E1306)*100+MONTH(E1306)</f>
        <v/>
      </c>
      <c r="K1306">
        <f>IF(COUNTIF($A$2:A1306,A1306)=1,1,0)</f>
        <v/>
      </c>
      <c r="L1306">
        <f>IF(K1306=1,IF(COUNTIFS($B$2:B1306,B1306,$I$2:I1306,I1306,$K$2:K1306,1)=1,1,0),0)</f>
        <v/>
      </c>
      <c r="M1306">
        <f>IF(Tree!$C$4="once per order",F1306*K1306,F1306)</f>
        <v/>
      </c>
      <c r="N1306">
        <f>IF(Tree!$C$4="once per order",K1306,1)</f>
        <v/>
      </c>
      <c r="O1306">
        <f>IF(Tree!$C$4="once per order",L1306,1)</f>
        <v/>
      </c>
    </row>
    <row r="1307">
      <c r="A1307" t="inlineStr">
        <is>
          <t>KR-00876</t>
        </is>
      </c>
      <c r="B1307" t="inlineStr">
        <is>
          <t>C-0117</t>
        </is>
      </c>
      <c r="C1307" t="inlineStr">
        <is>
          <t>Retail-Core</t>
        </is>
      </c>
      <c r="D1307" t="inlineStr">
        <is>
          <t>app</t>
        </is>
      </c>
      <c r="E1307" s="7" t="n">
        <v>46289</v>
      </c>
      <c r="F1307" t="n">
        <v>1400</v>
      </c>
      <c r="G1307" t="n">
        <v>1400</v>
      </c>
      <c r="H1307" t="inlineStr">
        <is>
          <t>2026-09-26</t>
        </is>
      </c>
      <c r="I1307">
        <f>IF(MONTH(E1307)&lt;=6,"Q1","Q2")</f>
        <v/>
      </c>
      <c r="J1307">
        <f>YEAR(E1307)*100+MONTH(E1307)</f>
        <v/>
      </c>
      <c r="K1307">
        <f>IF(COUNTIF($A$2:A1307,A1307)=1,1,0)</f>
        <v/>
      </c>
      <c r="L1307">
        <f>IF(K1307=1,IF(COUNTIFS($B$2:B1307,B1307,$I$2:I1307,I1307,$K$2:K1307,1)=1,1,0),0)</f>
        <v/>
      </c>
      <c r="M1307">
        <f>IF(Tree!$C$4="once per order",F1307*K1307,F1307)</f>
        <v/>
      </c>
      <c r="N1307">
        <f>IF(Tree!$C$4="once per order",K1307,1)</f>
        <v/>
      </c>
      <c r="O1307">
        <f>IF(Tree!$C$4="once per order",L1307,1)</f>
        <v/>
      </c>
    </row>
    <row r="1308">
      <c r="A1308" t="inlineStr">
        <is>
          <t>KR-00877</t>
        </is>
      </c>
      <c r="B1308" t="inlineStr">
        <is>
          <t>C-0032</t>
        </is>
      </c>
      <c r="C1308" t="inlineStr">
        <is>
          <t>Retail-Core</t>
        </is>
      </c>
      <c r="D1308" t="inlineStr">
        <is>
          <t>store</t>
        </is>
      </c>
      <c r="E1308" s="7" t="n">
        <v>46211</v>
      </c>
      <c r="F1308" t="n">
        <v>1850</v>
      </c>
      <c r="G1308" t="n">
        <v>1850</v>
      </c>
      <c r="H1308" t="inlineStr">
        <is>
          <t>2026-07-10</t>
        </is>
      </c>
      <c r="I1308">
        <f>IF(MONTH(E1308)&lt;=6,"Q1","Q2")</f>
        <v/>
      </c>
      <c r="J1308">
        <f>YEAR(E1308)*100+MONTH(E1308)</f>
        <v/>
      </c>
      <c r="K1308">
        <f>IF(COUNTIF($A$2:A1308,A1308)=1,1,0)</f>
        <v/>
      </c>
      <c r="L1308">
        <f>IF(K1308=1,IF(COUNTIFS($B$2:B1308,B1308,$I$2:I1308,I1308,$K$2:K1308,1)=1,1,0),0)</f>
        <v/>
      </c>
      <c r="M1308">
        <f>IF(Tree!$C$4="once per order",F1308*K1308,F1308)</f>
        <v/>
      </c>
      <c r="N1308">
        <f>IF(Tree!$C$4="once per order",K1308,1)</f>
        <v/>
      </c>
      <c r="O1308">
        <f>IF(Tree!$C$4="once per order",L1308,1)</f>
        <v/>
      </c>
    </row>
    <row r="1309">
      <c r="A1309" t="inlineStr">
        <is>
          <t>KR-00878</t>
        </is>
      </c>
      <c r="B1309" t="inlineStr">
        <is>
          <t>C-0027</t>
        </is>
      </c>
      <c r="C1309" t="inlineStr">
        <is>
          <t>Retail-Core</t>
        </is>
      </c>
      <c r="D1309" t="inlineStr">
        <is>
          <t>web</t>
        </is>
      </c>
      <c r="E1309" s="7" t="n">
        <v>46247</v>
      </c>
      <c r="F1309" t="n">
        <v>1120</v>
      </c>
      <c r="G1309" t="n">
        <v>1120</v>
      </c>
      <c r="H1309" t="inlineStr">
        <is>
          <t>2026-08-15</t>
        </is>
      </c>
      <c r="I1309">
        <f>IF(MONTH(E1309)&lt;=6,"Q1","Q2")</f>
        <v/>
      </c>
      <c r="J1309">
        <f>YEAR(E1309)*100+MONTH(E1309)</f>
        <v/>
      </c>
      <c r="K1309">
        <f>IF(COUNTIF($A$2:A1309,A1309)=1,1,0)</f>
        <v/>
      </c>
      <c r="L1309">
        <f>IF(K1309=1,IF(COUNTIFS($B$2:B1309,B1309,$I$2:I1309,I1309,$K$2:K1309,1)=1,1,0),0)</f>
        <v/>
      </c>
      <c r="M1309">
        <f>IF(Tree!$C$4="once per order",F1309*K1309,F1309)</f>
        <v/>
      </c>
      <c r="N1309">
        <f>IF(Tree!$C$4="once per order",K1309,1)</f>
        <v/>
      </c>
      <c r="O1309">
        <f>IF(Tree!$C$4="once per order",L1309,1)</f>
        <v/>
      </c>
    </row>
    <row r="1310">
      <c r="A1310" t="inlineStr">
        <is>
          <t>KR-00879</t>
        </is>
      </c>
      <c r="B1310" t="inlineStr">
        <is>
          <t>C-0041</t>
        </is>
      </c>
      <c r="C1310" t="inlineStr">
        <is>
          <t>Retail-Core</t>
        </is>
      </c>
      <c r="D1310" t="inlineStr">
        <is>
          <t>app</t>
        </is>
      </c>
      <c r="E1310" s="7" t="n">
        <v>46293</v>
      </c>
      <c r="F1310" t="n">
        <v>1740</v>
      </c>
      <c r="G1310" t="n">
        <v>1740</v>
      </c>
      <c r="H1310" t="inlineStr">
        <is>
          <t>2026-09-28</t>
        </is>
      </c>
      <c r="I1310">
        <f>IF(MONTH(E1310)&lt;=6,"Q1","Q2")</f>
        <v/>
      </c>
      <c r="J1310">
        <f>YEAR(E1310)*100+MONTH(E1310)</f>
        <v/>
      </c>
      <c r="K1310">
        <f>IF(COUNTIF($A$2:A1310,A1310)=1,1,0)</f>
        <v/>
      </c>
      <c r="L1310">
        <f>IF(K1310=1,IF(COUNTIFS($B$2:B1310,B1310,$I$2:I1310,I1310,$K$2:K1310,1)=1,1,0),0)</f>
        <v/>
      </c>
      <c r="M1310">
        <f>IF(Tree!$C$4="once per order",F1310*K1310,F1310)</f>
        <v/>
      </c>
      <c r="N1310">
        <f>IF(Tree!$C$4="once per order",K1310,1)</f>
        <v/>
      </c>
      <c r="O1310">
        <f>IF(Tree!$C$4="once per order",L1310,1)</f>
        <v/>
      </c>
    </row>
    <row r="1311">
      <c r="A1311" t="inlineStr">
        <is>
          <t>KR-00880</t>
        </is>
      </c>
      <c r="B1311" t="inlineStr">
        <is>
          <t>C-0054</t>
        </is>
      </c>
      <c r="C1311" t="inlineStr">
        <is>
          <t>Retail-Core</t>
        </is>
      </c>
      <c r="D1311" t="inlineStr">
        <is>
          <t>store</t>
        </is>
      </c>
      <c r="E1311" s="7" t="n">
        <v>46211</v>
      </c>
      <c r="F1311" t="n">
        <v>1910</v>
      </c>
      <c r="G1311" t="n">
        <v>1910</v>
      </c>
      <c r="H1311" t="inlineStr">
        <is>
          <t>2026-07-10</t>
        </is>
      </c>
      <c r="I1311">
        <f>IF(MONTH(E1311)&lt;=6,"Q1","Q2")</f>
        <v/>
      </c>
      <c r="J1311">
        <f>YEAR(E1311)*100+MONTH(E1311)</f>
        <v/>
      </c>
      <c r="K1311">
        <f>IF(COUNTIF($A$2:A1311,A1311)=1,1,0)</f>
        <v/>
      </c>
      <c r="L1311">
        <f>IF(K1311=1,IF(COUNTIFS($B$2:B1311,B1311,$I$2:I1311,I1311,$K$2:K1311,1)=1,1,0),0)</f>
        <v/>
      </c>
      <c r="M1311">
        <f>IF(Tree!$C$4="once per order",F1311*K1311,F1311)</f>
        <v/>
      </c>
      <c r="N1311">
        <f>IF(Tree!$C$4="once per order",K1311,1)</f>
        <v/>
      </c>
      <c r="O1311">
        <f>IF(Tree!$C$4="once per order",L1311,1)</f>
        <v/>
      </c>
    </row>
    <row r="1312">
      <c r="A1312" t="inlineStr">
        <is>
          <t>KR-00881</t>
        </is>
      </c>
      <c r="B1312" t="inlineStr">
        <is>
          <t>C-0049</t>
        </is>
      </c>
      <c r="C1312" t="inlineStr">
        <is>
          <t>Retail-Core</t>
        </is>
      </c>
      <c r="D1312" t="inlineStr">
        <is>
          <t>store</t>
        </is>
      </c>
      <c r="E1312" s="7" t="n">
        <v>46246</v>
      </c>
      <c r="F1312" t="n">
        <v>2550</v>
      </c>
      <c r="G1312" t="n">
        <v>2550</v>
      </c>
      <c r="H1312" t="inlineStr">
        <is>
          <t>2026-08-14</t>
        </is>
      </c>
      <c r="I1312">
        <f>IF(MONTH(E1312)&lt;=6,"Q1","Q2")</f>
        <v/>
      </c>
      <c r="J1312">
        <f>YEAR(E1312)*100+MONTH(E1312)</f>
        <v/>
      </c>
      <c r="K1312">
        <f>IF(COUNTIF($A$2:A1312,A1312)=1,1,0)</f>
        <v/>
      </c>
      <c r="L1312">
        <f>IF(K1312=1,IF(COUNTIFS($B$2:B1312,B1312,$I$2:I1312,I1312,$K$2:K1312,1)=1,1,0),0)</f>
        <v/>
      </c>
      <c r="M1312">
        <f>IF(Tree!$C$4="once per order",F1312*K1312,F1312)</f>
        <v/>
      </c>
      <c r="N1312">
        <f>IF(Tree!$C$4="once per order",K1312,1)</f>
        <v/>
      </c>
      <c r="O1312">
        <f>IF(Tree!$C$4="once per order",L1312,1)</f>
        <v/>
      </c>
    </row>
    <row r="1313">
      <c r="A1313" t="inlineStr">
        <is>
          <t>KR-00882</t>
        </is>
      </c>
      <c r="B1313" t="inlineStr">
        <is>
          <t>C-0019</t>
        </is>
      </c>
      <c r="C1313" t="inlineStr">
        <is>
          <t>Retail-Core</t>
        </is>
      </c>
      <c r="D1313" t="inlineStr">
        <is>
          <t>store</t>
        </is>
      </c>
      <c r="E1313" s="7" t="n">
        <v>46269</v>
      </c>
      <c r="F1313" t="n">
        <v>1140</v>
      </c>
      <c r="G1313" t="n">
        <v>1140</v>
      </c>
      <c r="H1313" t="inlineStr">
        <is>
          <t>2026-09-06</t>
        </is>
      </c>
      <c r="I1313">
        <f>IF(MONTH(E1313)&lt;=6,"Q1","Q2")</f>
        <v/>
      </c>
      <c r="J1313">
        <f>YEAR(E1313)*100+MONTH(E1313)</f>
        <v/>
      </c>
      <c r="K1313">
        <f>IF(COUNTIF($A$2:A1313,A1313)=1,1,0)</f>
        <v/>
      </c>
      <c r="L1313">
        <f>IF(K1313=1,IF(COUNTIFS($B$2:B1313,B1313,$I$2:I1313,I1313,$K$2:K1313,1)=1,1,0),0)</f>
        <v/>
      </c>
      <c r="M1313">
        <f>IF(Tree!$C$4="once per order",F1313*K1313,F1313)</f>
        <v/>
      </c>
      <c r="N1313">
        <f>IF(Tree!$C$4="once per order",K1313,1)</f>
        <v/>
      </c>
      <c r="O1313">
        <f>IF(Tree!$C$4="once per order",L1313,1)</f>
        <v/>
      </c>
    </row>
    <row r="1314">
      <c r="A1314" t="inlineStr">
        <is>
          <t>KR-00883</t>
        </is>
      </c>
      <c r="B1314" t="inlineStr">
        <is>
          <t>C-0131</t>
        </is>
      </c>
      <c r="C1314" t="inlineStr">
        <is>
          <t>Retail-Core</t>
        </is>
      </c>
      <c r="D1314" t="inlineStr">
        <is>
          <t>web</t>
        </is>
      </c>
      <c r="E1314" s="7" t="n">
        <v>46206</v>
      </c>
      <c r="F1314" t="n">
        <v>2650</v>
      </c>
      <c r="G1314" t="n">
        <v>2650</v>
      </c>
      <c r="H1314" t="inlineStr">
        <is>
          <t>2026-07-05</t>
        </is>
      </c>
      <c r="I1314">
        <f>IF(MONTH(E1314)&lt;=6,"Q1","Q2")</f>
        <v/>
      </c>
      <c r="J1314">
        <f>YEAR(E1314)*100+MONTH(E1314)</f>
        <v/>
      </c>
      <c r="K1314">
        <f>IF(COUNTIF($A$2:A1314,A1314)=1,1,0)</f>
        <v/>
      </c>
      <c r="L1314">
        <f>IF(K1314=1,IF(COUNTIFS($B$2:B1314,B1314,$I$2:I1314,I1314,$K$2:K1314,1)=1,1,0),0)</f>
        <v/>
      </c>
      <c r="M1314">
        <f>IF(Tree!$C$4="once per order",F1314*K1314,F1314)</f>
        <v/>
      </c>
      <c r="N1314">
        <f>IF(Tree!$C$4="once per order",K1314,1)</f>
        <v/>
      </c>
      <c r="O1314">
        <f>IF(Tree!$C$4="once per order",L1314,1)</f>
        <v/>
      </c>
    </row>
    <row r="1315">
      <c r="A1315" t="inlineStr">
        <is>
          <t>KR-00884</t>
        </is>
      </c>
      <c r="B1315" t="inlineStr">
        <is>
          <t>C-0026</t>
        </is>
      </c>
      <c r="C1315" t="inlineStr">
        <is>
          <t>Retail-Core</t>
        </is>
      </c>
      <c r="D1315" t="inlineStr">
        <is>
          <t>web</t>
        </is>
      </c>
      <c r="E1315" s="7" t="n">
        <v>46247</v>
      </c>
      <c r="F1315" t="n">
        <v>2610</v>
      </c>
      <c r="G1315" t="n">
        <v>2610</v>
      </c>
      <c r="H1315" t="inlineStr">
        <is>
          <t>2026-08-15</t>
        </is>
      </c>
      <c r="I1315">
        <f>IF(MONTH(E1315)&lt;=6,"Q1","Q2")</f>
        <v/>
      </c>
      <c r="J1315">
        <f>YEAR(E1315)*100+MONTH(E1315)</f>
        <v/>
      </c>
      <c r="K1315">
        <f>IF(COUNTIF($A$2:A1315,A1315)=1,1,0)</f>
        <v/>
      </c>
      <c r="L1315">
        <f>IF(K1315=1,IF(COUNTIFS($B$2:B1315,B1315,$I$2:I1315,I1315,$K$2:K1315,1)=1,1,0),0)</f>
        <v/>
      </c>
      <c r="M1315">
        <f>IF(Tree!$C$4="once per order",F1315*K1315,F1315)</f>
        <v/>
      </c>
      <c r="N1315">
        <f>IF(Tree!$C$4="once per order",K1315,1)</f>
        <v/>
      </c>
      <c r="O1315">
        <f>IF(Tree!$C$4="once per order",L1315,1)</f>
        <v/>
      </c>
    </row>
    <row r="1316">
      <c r="A1316" t="inlineStr">
        <is>
          <t>KR-00885</t>
        </is>
      </c>
      <c r="B1316" t="inlineStr">
        <is>
          <t>C-0016</t>
        </is>
      </c>
      <c r="C1316" t="inlineStr">
        <is>
          <t>Retail-Core</t>
        </is>
      </c>
      <c r="D1316" t="inlineStr">
        <is>
          <t>store</t>
        </is>
      </c>
      <c r="E1316" s="7" t="n">
        <v>46275</v>
      </c>
      <c r="F1316" t="n">
        <v>2550</v>
      </c>
      <c r="G1316" t="n">
        <v>2550</v>
      </c>
      <c r="H1316" t="inlineStr">
        <is>
          <t>2026-09-12</t>
        </is>
      </c>
      <c r="I1316">
        <f>IF(MONTH(E1316)&lt;=6,"Q1","Q2")</f>
        <v/>
      </c>
      <c r="J1316">
        <f>YEAR(E1316)*100+MONTH(E1316)</f>
        <v/>
      </c>
      <c r="K1316">
        <f>IF(COUNTIF($A$2:A1316,A1316)=1,1,0)</f>
        <v/>
      </c>
      <c r="L1316">
        <f>IF(K1316=1,IF(COUNTIFS($B$2:B1316,B1316,$I$2:I1316,I1316,$K$2:K1316,1)=1,1,0),0)</f>
        <v/>
      </c>
      <c r="M1316">
        <f>IF(Tree!$C$4="once per order",F1316*K1316,F1316)</f>
        <v/>
      </c>
      <c r="N1316">
        <f>IF(Tree!$C$4="once per order",K1316,1)</f>
        <v/>
      </c>
      <c r="O1316">
        <f>IF(Tree!$C$4="once per order",L1316,1)</f>
        <v/>
      </c>
    </row>
    <row r="1317">
      <c r="A1317" t="inlineStr">
        <is>
          <t>KR-00886</t>
        </is>
      </c>
      <c r="B1317" t="inlineStr">
        <is>
          <t>C-0056</t>
        </is>
      </c>
      <c r="C1317" t="inlineStr">
        <is>
          <t>Retail-Core</t>
        </is>
      </c>
      <c r="D1317" t="inlineStr">
        <is>
          <t>app</t>
        </is>
      </c>
      <c r="E1317" s="7" t="n">
        <v>46210</v>
      </c>
      <c r="F1317" t="n">
        <v>1970</v>
      </c>
      <c r="G1317" t="n">
        <v>1970</v>
      </c>
      <c r="H1317" t="inlineStr">
        <is>
          <t>2026-07-09</t>
        </is>
      </c>
      <c r="I1317">
        <f>IF(MONTH(E1317)&lt;=6,"Q1","Q2")</f>
        <v/>
      </c>
      <c r="J1317">
        <f>YEAR(E1317)*100+MONTH(E1317)</f>
        <v/>
      </c>
      <c r="K1317">
        <f>IF(COUNTIF($A$2:A1317,A1317)=1,1,0)</f>
        <v/>
      </c>
      <c r="L1317">
        <f>IF(K1317=1,IF(COUNTIFS($B$2:B1317,B1317,$I$2:I1317,I1317,$K$2:K1317,1)=1,1,0),0)</f>
        <v/>
      </c>
      <c r="M1317">
        <f>IF(Tree!$C$4="once per order",F1317*K1317,F1317)</f>
        <v/>
      </c>
      <c r="N1317">
        <f>IF(Tree!$C$4="once per order",K1317,1)</f>
        <v/>
      </c>
      <c r="O1317">
        <f>IF(Tree!$C$4="once per order",L1317,1)</f>
        <v/>
      </c>
    </row>
    <row r="1318">
      <c r="A1318" t="inlineStr">
        <is>
          <t>KR-00887</t>
        </is>
      </c>
      <c r="B1318" t="inlineStr">
        <is>
          <t>C-0021</t>
        </is>
      </c>
      <c r="C1318" t="inlineStr">
        <is>
          <t>Retail-Core</t>
        </is>
      </c>
      <c r="D1318" t="inlineStr">
        <is>
          <t>app</t>
        </is>
      </c>
      <c r="E1318" s="7" t="n">
        <v>46235</v>
      </c>
      <c r="F1318" t="n">
        <v>950</v>
      </c>
      <c r="G1318" t="n">
        <v>950</v>
      </c>
      <c r="H1318" t="inlineStr">
        <is>
          <t>2026-08-03</t>
        </is>
      </c>
      <c r="I1318">
        <f>IF(MONTH(E1318)&lt;=6,"Q1","Q2")</f>
        <v/>
      </c>
      <c r="J1318">
        <f>YEAR(E1318)*100+MONTH(E1318)</f>
        <v/>
      </c>
      <c r="K1318">
        <f>IF(COUNTIF($A$2:A1318,A1318)=1,1,0)</f>
        <v/>
      </c>
      <c r="L1318">
        <f>IF(K1318=1,IF(COUNTIFS($B$2:B1318,B1318,$I$2:I1318,I1318,$K$2:K1318,1)=1,1,0),0)</f>
        <v/>
      </c>
      <c r="M1318">
        <f>IF(Tree!$C$4="once per order",F1318*K1318,F1318)</f>
        <v/>
      </c>
      <c r="N1318">
        <f>IF(Tree!$C$4="once per order",K1318,1)</f>
        <v/>
      </c>
      <c r="O1318">
        <f>IF(Tree!$C$4="once per order",L1318,1)</f>
        <v/>
      </c>
    </row>
    <row r="1319">
      <c r="A1319" t="inlineStr">
        <is>
          <t>KR-00888</t>
        </is>
      </c>
      <c r="B1319" t="inlineStr">
        <is>
          <t>C-0072</t>
        </is>
      </c>
      <c r="C1319" t="inlineStr">
        <is>
          <t>Retail-Core</t>
        </is>
      </c>
      <c r="D1319" t="inlineStr">
        <is>
          <t>app</t>
        </is>
      </c>
      <c r="E1319" s="7" t="n">
        <v>46268</v>
      </c>
      <c r="F1319" t="n">
        <v>2990</v>
      </c>
      <c r="G1319" t="n">
        <v>1794</v>
      </c>
      <c r="H1319" t="inlineStr">
        <is>
          <t>2026-09-05</t>
        </is>
      </c>
      <c r="I1319">
        <f>IF(MONTH(E1319)&lt;=6,"Q1","Q2")</f>
        <v/>
      </c>
      <c r="J1319">
        <f>YEAR(E1319)*100+MONTH(E1319)</f>
        <v/>
      </c>
      <c r="K1319">
        <f>IF(COUNTIF($A$2:A1319,A1319)=1,1,0)</f>
        <v/>
      </c>
      <c r="L1319">
        <f>IF(K1319=1,IF(COUNTIFS($B$2:B1319,B1319,$I$2:I1319,I1319,$K$2:K1319,1)=1,1,0),0)</f>
        <v/>
      </c>
      <c r="M1319">
        <f>IF(Tree!$C$4="once per order",F1319*K1319,F1319)</f>
        <v/>
      </c>
      <c r="N1319">
        <f>IF(Tree!$C$4="once per order",K1319,1)</f>
        <v/>
      </c>
      <c r="O1319">
        <f>IF(Tree!$C$4="once per order",L1319,1)</f>
        <v/>
      </c>
    </row>
    <row r="1320">
      <c r="A1320" t="inlineStr">
        <is>
          <t>KR-00888</t>
        </is>
      </c>
      <c r="B1320" t="inlineStr">
        <is>
          <t>C-0072</t>
        </is>
      </c>
      <c r="C1320" t="inlineStr">
        <is>
          <t>Retail-Core</t>
        </is>
      </c>
      <c r="D1320" t="inlineStr">
        <is>
          <t>app</t>
        </is>
      </c>
      <c r="E1320" s="7" t="n">
        <v>46268</v>
      </c>
      <c r="F1320" t="n">
        <v>2990</v>
      </c>
      <c r="G1320" t="n">
        <v>1196</v>
      </c>
      <c r="H1320" t="inlineStr">
        <is>
          <t>2026-09-05</t>
        </is>
      </c>
      <c r="I1320">
        <f>IF(MONTH(E1320)&lt;=6,"Q1","Q2")</f>
        <v/>
      </c>
      <c r="J1320">
        <f>YEAR(E1320)*100+MONTH(E1320)</f>
        <v/>
      </c>
      <c r="K1320">
        <f>IF(COUNTIF($A$2:A1320,A1320)=1,1,0)</f>
        <v/>
      </c>
      <c r="L1320">
        <f>IF(K1320=1,IF(COUNTIFS($B$2:B1320,B1320,$I$2:I1320,I1320,$K$2:K1320,1)=1,1,0),0)</f>
        <v/>
      </c>
      <c r="M1320">
        <f>IF(Tree!$C$4="once per order",F1320*K1320,F1320)</f>
        <v/>
      </c>
      <c r="N1320">
        <f>IF(Tree!$C$4="once per order",K1320,1)</f>
        <v/>
      </c>
      <c r="O1320">
        <f>IF(Tree!$C$4="once per order",L1320,1)</f>
        <v/>
      </c>
    </row>
    <row r="1321">
      <c r="A1321" t="inlineStr">
        <is>
          <t>KR-00889</t>
        </is>
      </c>
      <c r="B1321" t="inlineStr">
        <is>
          <t>C-0140</t>
        </is>
      </c>
      <c r="C1321" t="inlineStr">
        <is>
          <t>Retail-Core</t>
        </is>
      </c>
      <c r="D1321" t="inlineStr">
        <is>
          <t>web</t>
        </is>
      </c>
      <c r="E1321" s="7" t="n">
        <v>46204</v>
      </c>
      <c r="F1321" t="n">
        <v>1850</v>
      </c>
      <c r="G1321" t="n">
        <v>1850</v>
      </c>
      <c r="H1321" t="inlineStr">
        <is>
          <t>2026-07-03</t>
        </is>
      </c>
      <c r="I1321">
        <f>IF(MONTH(E1321)&lt;=6,"Q1","Q2")</f>
        <v/>
      </c>
      <c r="J1321">
        <f>YEAR(E1321)*100+MONTH(E1321)</f>
        <v/>
      </c>
      <c r="K1321">
        <f>IF(COUNTIF($A$2:A1321,A1321)=1,1,0)</f>
        <v/>
      </c>
      <c r="L1321">
        <f>IF(K1321=1,IF(COUNTIFS($B$2:B1321,B1321,$I$2:I1321,I1321,$K$2:K1321,1)=1,1,0),0)</f>
        <v/>
      </c>
      <c r="M1321">
        <f>IF(Tree!$C$4="once per order",F1321*K1321,F1321)</f>
        <v/>
      </c>
      <c r="N1321">
        <f>IF(Tree!$C$4="once per order",K1321,1)</f>
        <v/>
      </c>
      <c r="O1321">
        <f>IF(Tree!$C$4="once per order",L1321,1)</f>
        <v/>
      </c>
    </row>
    <row r="1322">
      <c r="A1322" t="inlineStr">
        <is>
          <t>KR-00890</t>
        </is>
      </c>
      <c r="B1322" t="inlineStr">
        <is>
          <t>C-0142</t>
        </is>
      </c>
      <c r="C1322" t="inlineStr">
        <is>
          <t>Retail-Core</t>
        </is>
      </c>
      <c r="D1322" t="inlineStr">
        <is>
          <t>web</t>
        </is>
      </c>
      <c r="E1322" s="7" t="n">
        <v>46254</v>
      </c>
      <c r="F1322" t="n">
        <v>2850</v>
      </c>
      <c r="G1322" t="n">
        <v>1710</v>
      </c>
      <c r="H1322" t="inlineStr">
        <is>
          <t>2026-08-22</t>
        </is>
      </c>
      <c r="I1322">
        <f>IF(MONTH(E1322)&lt;=6,"Q1","Q2")</f>
        <v/>
      </c>
      <c r="J1322">
        <f>YEAR(E1322)*100+MONTH(E1322)</f>
        <v/>
      </c>
      <c r="K1322">
        <f>IF(COUNTIF($A$2:A1322,A1322)=1,1,0)</f>
        <v/>
      </c>
      <c r="L1322">
        <f>IF(K1322=1,IF(COUNTIFS($B$2:B1322,B1322,$I$2:I1322,I1322,$K$2:K1322,1)=1,1,0),0)</f>
        <v/>
      </c>
      <c r="M1322">
        <f>IF(Tree!$C$4="once per order",F1322*K1322,F1322)</f>
        <v/>
      </c>
      <c r="N1322">
        <f>IF(Tree!$C$4="once per order",K1322,1)</f>
        <v/>
      </c>
      <c r="O1322">
        <f>IF(Tree!$C$4="once per order",L1322,1)</f>
        <v/>
      </c>
    </row>
    <row r="1323">
      <c r="A1323" t="inlineStr">
        <is>
          <t>KR-00890</t>
        </is>
      </c>
      <c r="B1323" t="inlineStr">
        <is>
          <t>C-0142</t>
        </is>
      </c>
      <c r="C1323" t="inlineStr">
        <is>
          <t>Retail-Core</t>
        </is>
      </c>
      <c r="D1323" t="inlineStr">
        <is>
          <t>web</t>
        </is>
      </c>
      <c r="E1323" s="7" t="n">
        <v>46254</v>
      </c>
      <c r="F1323" t="n">
        <v>2850</v>
      </c>
      <c r="G1323" t="n">
        <v>1140</v>
      </c>
      <c r="H1323" t="inlineStr">
        <is>
          <t>2026-08-22</t>
        </is>
      </c>
      <c r="I1323">
        <f>IF(MONTH(E1323)&lt;=6,"Q1","Q2")</f>
        <v/>
      </c>
      <c r="J1323">
        <f>YEAR(E1323)*100+MONTH(E1323)</f>
        <v/>
      </c>
      <c r="K1323">
        <f>IF(COUNTIF($A$2:A1323,A1323)=1,1,0)</f>
        <v/>
      </c>
      <c r="L1323">
        <f>IF(K1323=1,IF(COUNTIFS($B$2:B1323,B1323,$I$2:I1323,I1323,$K$2:K1323,1)=1,1,0),0)</f>
        <v/>
      </c>
      <c r="M1323">
        <f>IF(Tree!$C$4="once per order",F1323*K1323,F1323)</f>
        <v/>
      </c>
      <c r="N1323">
        <f>IF(Tree!$C$4="once per order",K1323,1)</f>
        <v/>
      </c>
      <c r="O1323">
        <f>IF(Tree!$C$4="once per order",L1323,1)</f>
        <v/>
      </c>
    </row>
    <row r="1324">
      <c r="A1324" t="inlineStr">
        <is>
          <t>KR-00891</t>
        </is>
      </c>
      <c r="B1324" t="inlineStr">
        <is>
          <t>C-0068</t>
        </is>
      </c>
      <c r="C1324" t="inlineStr">
        <is>
          <t>Retail-Core</t>
        </is>
      </c>
      <c r="D1324" t="inlineStr">
        <is>
          <t>store</t>
        </is>
      </c>
      <c r="E1324" s="7" t="n">
        <v>46287</v>
      </c>
      <c r="F1324" t="n">
        <v>2650</v>
      </c>
      <c r="G1324" t="n">
        <v>2650</v>
      </c>
      <c r="H1324" t="inlineStr">
        <is>
          <t>2026-09-24</t>
        </is>
      </c>
      <c r="I1324">
        <f>IF(MONTH(E1324)&lt;=6,"Q1","Q2")</f>
        <v/>
      </c>
      <c r="J1324">
        <f>YEAR(E1324)*100+MONTH(E1324)</f>
        <v/>
      </c>
      <c r="K1324">
        <f>IF(COUNTIF($A$2:A1324,A1324)=1,1,0)</f>
        <v/>
      </c>
      <c r="L1324">
        <f>IF(K1324=1,IF(COUNTIFS($B$2:B1324,B1324,$I$2:I1324,I1324,$K$2:K1324,1)=1,1,0),0)</f>
        <v/>
      </c>
      <c r="M1324">
        <f>IF(Tree!$C$4="once per order",F1324*K1324,F1324)</f>
        <v/>
      </c>
      <c r="N1324">
        <f>IF(Tree!$C$4="once per order",K1324,1)</f>
        <v/>
      </c>
      <c r="O1324">
        <f>IF(Tree!$C$4="once per order",L1324,1)</f>
        <v/>
      </c>
    </row>
    <row r="1325">
      <c r="A1325" t="inlineStr">
        <is>
          <t>KR-00892</t>
        </is>
      </c>
      <c r="B1325" t="inlineStr">
        <is>
          <t>C-0040</t>
        </is>
      </c>
      <c r="C1325" t="inlineStr">
        <is>
          <t>Retail-Core</t>
        </is>
      </c>
      <c r="D1325" t="inlineStr">
        <is>
          <t>web</t>
        </is>
      </c>
      <c r="E1325" s="7" t="n">
        <v>46207</v>
      </c>
      <c r="F1325" t="n">
        <v>920</v>
      </c>
      <c r="G1325" t="n">
        <v>920</v>
      </c>
      <c r="H1325" t="inlineStr">
        <is>
          <t>2026-07-06</t>
        </is>
      </c>
      <c r="I1325">
        <f>IF(MONTH(E1325)&lt;=6,"Q1","Q2")</f>
        <v/>
      </c>
      <c r="J1325">
        <f>YEAR(E1325)*100+MONTH(E1325)</f>
        <v/>
      </c>
      <c r="K1325">
        <f>IF(COUNTIF($A$2:A1325,A1325)=1,1,0)</f>
        <v/>
      </c>
      <c r="L1325">
        <f>IF(K1325=1,IF(COUNTIFS($B$2:B1325,B1325,$I$2:I1325,I1325,$K$2:K1325,1)=1,1,0),0)</f>
        <v/>
      </c>
      <c r="M1325">
        <f>IF(Tree!$C$4="once per order",F1325*K1325,F1325)</f>
        <v/>
      </c>
      <c r="N1325">
        <f>IF(Tree!$C$4="once per order",K1325,1)</f>
        <v/>
      </c>
      <c r="O1325">
        <f>IF(Tree!$C$4="once per order",L1325,1)</f>
        <v/>
      </c>
    </row>
    <row r="1326">
      <c r="A1326" t="inlineStr">
        <is>
          <t>KR-00892</t>
        </is>
      </c>
      <c r="B1326" t="inlineStr">
        <is>
          <t>C-0040</t>
        </is>
      </c>
      <c r="C1326" t="inlineStr">
        <is>
          <t>Retail-Core</t>
        </is>
      </c>
      <c r="D1326" t="inlineStr">
        <is>
          <t>web</t>
        </is>
      </c>
      <c r="E1326" s="7" t="n">
        <v>46207</v>
      </c>
      <c r="F1326" t="n">
        <v>920</v>
      </c>
      <c r="G1326" t="n">
        <v>920</v>
      </c>
      <c r="H1326" t="inlineStr">
        <is>
          <t>2026-07-06</t>
        </is>
      </c>
      <c r="I1326">
        <f>IF(MONTH(E1326)&lt;=6,"Q1","Q2")</f>
        <v/>
      </c>
      <c r="J1326">
        <f>YEAR(E1326)*100+MONTH(E1326)</f>
        <v/>
      </c>
      <c r="K1326">
        <f>IF(COUNTIF($A$2:A1326,A1326)=1,1,0)</f>
        <v/>
      </c>
      <c r="L1326">
        <f>IF(K1326=1,IF(COUNTIFS($B$2:B1326,B1326,$I$2:I1326,I1326,$K$2:K1326,1)=1,1,0),0)</f>
        <v/>
      </c>
      <c r="M1326">
        <f>IF(Tree!$C$4="once per order",F1326*K1326,F1326)</f>
        <v/>
      </c>
      <c r="N1326">
        <f>IF(Tree!$C$4="once per order",K1326,1)</f>
        <v/>
      </c>
      <c r="O1326">
        <f>IF(Tree!$C$4="once per order",L1326,1)</f>
        <v/>
      </c>
    </row>
    <row r="1327">
      <c r="A1327" t="inlineStr">
        <is>
          <t>KR-00893</t>
        </is>
      </c>
      <c r="B1327" t="inlineStr">
        <is>
          <t>C-0108</t>
        </is>
      </c>
      <c r="C1327" t="inlineStr">
        <is>
          <t>Retail-Core</t>
        </is>
      </c>
      <c r="D1327" t="inlineStr">
        <is>
          <t>store</t>
        </is>
      </c>
      <c r="E1327" s="7" t="n">
        <v>46236</v>
      </c>
      <c r="F1327" t="n">
        <v>860</v>
      </c>
      <c r="G1327" t="n">
        <v>860</v>
      </c>
      <c r="H1327" t="inlineStr">
        <is>
          <t>2026-08-04</t>
        </is>
      </c>
      <c r="I1327">
        <f>IF(MONTH(E1327)&lt;=6,"Q1","Q2")</f>
        <v/>
      </c>
      <c r="J1327">
        <f>YEAR(E1327)*100+MONTH(E1327)</f>
        <v/>
      </c>
      <c r="K1327">
        <f>IF(COUNTIF($A$2:A1327,A1327)=1,1,0)</f>
        <v/>
      </c>
      <c r="L1327">
        <f>IF(K1327=1,IF(COUNTIFS($B$2:B1327,B1327,$I$2:I1327,I1327,$K$2:K1327,1)=1,1,0),0)</f>
        <v/>
      </c>
      <c r="M1327">
        <f>IF(Tree!$C$4="once per order",F1327*K1327,F1327)</f>
        <v/>
      </c>
      <c r="N1327">
        <f>IF(Tree!$C$4="once per order",K1327,1)</f>
        <v/>
      </c>
      <c r="O1327">
        <f>IF(Tree!$C$4="once per order",L1327,1)</f>
        <v/>
      </c>
    </row>
    <row r="1328">
      <c r="A1328" t="inlineStr">
        <is>
          <t>KR-00893</t>
        </is>
      </c>
      <c r="B1328" t="inlineStr">
        <is>
          <t>C-0108</t>
        </is>
      </c>
      <c r="C1328" t="inlineStr">
        <is>
          <t>Retail-Core</t>
        </is>
      </c>
      <c r="D1328" t="inlineStr">
        <is>
          <t>store</t>
        </is>
      </c>
      <c r="E1328" s="7" t="n">
        <v>46236</v>
      </c>
      <c r="F1328" t="n">
        <v>860</v>
      </c>
      <c r="G1328" t="n">
        <v>860</v>
      </c>
      <c r="H1328" t="inlineStr">
        <is>
          <t>2026-08-04</t>
        </is>
      </c>
      <c r="I1328">
        <f>IF(MONTH(E1328)&lt;=6,"Q1","Q2")</f>
        <v/>
      </c>
      <c r="J1328">
        <f>YEAR(E1328)*100+MONTH(E1328)</f>
        <v/>
      </c>
      <c r="K1328">
        <f>IF(COUNTIF($A$2:A1328,A1328)=1,1,0)</f>
        <v/>
      </c>
      <c r="L1328">
        <f>IF(K1328=1,IF(COUNTIFS($B$2:B1328,B1328,$I$2:I1328,I1328,$K$2:K1328,1)=1,1,0),0)</f>
        <v/>
      </c>
      <c r="M1328">
        <f>IF(Tree!$C$4="once per order",F1328*K1328,F1328)</f>
        <v/>
      </c>
      <c r="N1328">
        <f>IF(Tree!$C$4="once per order",K1328,1)</f>
        <v/>
      </c>
      <c r="O1328">
        <f>IF(Tree!$C$4="once per order",L1328,1)</f>
        <v/>
      </c>
    </row>
    <row r="1329">
      <c r="A1329" t="inlineStr">
        <is>
          <t>KR-00894</t>
        </is>
      </c>
      <c r="B1329" t="inlineStr">
        <is>
          <t>C-0049</t>
        </is>
      </c>
      <c r="C1329" t="inlineStr">
        <is>
          <t>Retail-Core</t>
        </is>
      </c>
      <c r="D1329" t="inlineStr">
        <is>
          <t>store</t>
        </is>
      </c>
      <c r="E1329" s="7" t="n">
        <v>46280</v>
      </c>
      <c r="F1329" t="n">
        <v>1260</v>
      </c>
      <c r="G1329" t="n">
        <v>1260</v>
      </c>
      <c r="H1329" t="inlineStr">
        <is>
          <t>2026-09-17</t>
        </is>
      </c>
      <c r="I1329">
        <f>IF(MONTH(E1329)&lt;=6,"Q1","Q2")</f>
        <v/>
      </c>
      <c r="J1329">
        <f>YEAR(E1329)*100+MONTH(E1329)</f>
        <v/>
      </c>
      <c r="K1329">
        <f>IF(COUNTIF($A$2:A1329,A1329)=1,1,0)</f>
        <v/>
      </c>
      <c r="L1329">
        <f>IF(K1329=1,IF(COUNTIFS($B$2:B1329,B1329,$I$2:I1329,I1329,$K$2:K1329,1)=1,1,0),0)</f>
        <v/>
      </c>
      <c r="M1329">
        <f>IF(Tree!$C$4="once per order",F1329*K1329,F1329)</f>
        <v/>
      </c>
      <c r="N1329">
        <f>IF(Tree!$C$4="once per order",K1329,1)</f>
        <v/>
      </c>
      <c r="O1329">
        <f>IF(Tree!$C$4="once per order",L1329,1)</f>
        <v/>
      </c>
    </row>
    <row r="1330">
      <c r="A1330" t="inlineStr">
        <is>
          <t>KR-00895</t>
        </is>
      </c>
      <c r="B1330" t="inlineStr">
        <is>
          <t>C-0010</t>
        </is>
      </c>
      <c r="C1330" t="inlineStr">
        <is>
          <t>Retail-Core</t>
        </is>
      </c>
      <c r="D1330" t="inlineStr">
        <is>
          <t>web</t>
        </is>
      </c>
      <c r="E1330" s="7" t="n">
        <v>46215</v>
      </c>
      <c r="F1330" t="n">
        <v>2920</v>
      </c>
      <c r="G1330" t="n">
        <v>1752</v>
      </c>
      <c r="H1330" t="inlineStr">
        <is>
          <t>2026-07-14</t>
        </is>
      </c>
      <c r="I1330">
        <f>IF(MONTH(E1330)&lt;=6,"Q1","Q2")</f>
        <v/>
      </c>
      <c r="J1330">
        <f>YEAR(E1330)*100+MONTH(E1330)</f>
        <v/>
      </c>
      <c r="K1330">
        <f>IF(COUNTIF($A$2:A1330,A1330)=1,1,0)</f>
        <v/>
      </c>
      <c r="L1330">
        <f>IF(K1330=1,IF(COUNTIFS($B$2:B1330,B1330,$I$2:I1330,I1330,$K$2:K1330,1)=1,1,0),0)</f>
        <v/>
      </c>
      <c r="M1330">
        <f>IF(Tree!$C$4="once per order",F1330*K1330,F1330)</f>
        <v/>
      </c>
      <c r="N1330">
        <f>IF(Tree!$C$4="once per order",K1330,1)</f>
        <v/>
      </c>
      <c r="O1330">
        <f>IF(Tree!$C$4="once per order",L1330,1)</f>
        <v/>
      </c>
    </row>
    <row r="1331">
      <c r="A1331" t="inlineStr">
        <is>
          <t>KR-00895</t>
        </is>
      </c>
      <c r="B1331" t="inlineStr">
        <is>
          <t>C-0010</t>
        </is>
      </c>
      <c r="C1331" t="inlineStr">
        <is>
          <t>Retail-Core</t>
        </is>
      </c>
      <c r="D1331" t="inlineStr">
        <is>
          <t>web</t>
        </is>
      </c>
      <c r="E1331" s="7" t="n">
        <v>46215</v>
      </c>
      <c r="F1331" t="n">
        <v>2920</v>
      </c>
      <c r="G1331" t="n">
        <v>1168</v>
      </c>
      <c r="H1331" t="inlineStr">
        <is>
          <t>2026-07-14</t>
        </is>
      </c>
      <c r="I1331">
        <f>IF(MONTH(E1331)&lt;=6,"Q1","Q2")</f>
        <v/>
      </c>
      <c r="J1331">
        <f>YEAR(E1331)*100+MONTH(E1331)</f>
        <v/>
      </c>
      <c r="K1331">
        <f>IF(COUNTIF($A$2:A1331,A1331)=1,1,0)</f>
        <v/>
      </c>
      <c r="L1331">
        <f>IF(K1331=1,IF(COUNTIFS($B$2:B1331,B1331,$I$2:I1331,I1331,$K$2:K1331,1)=1,1,0),0)</f>
        <v/>
      </c>
      <c r="M1331">
        <f>IF(Tree!$C$4="once per order",F1331*K1331,F1331)</f>
        <v/>
      </c>
      <c r="N1331">
        <f>IF(Tree!$C$4="once per order",K1331,1)</f>
        <v/>
      </c>
      <c r="O1331">
        <f>IF(Tree!$C$4="once per order",L1331,1)</f>
        <v/>
      </c>
    </row>
    <row r="1332">
      <c r="A1332" t="inlineStr">
        <is>
          <t>KR-00896</t>
        </is>
      </c>
      <c r="B1332" t="inlineStr">
        <is>
          <t>C-0045</t>
        </is>
      </c>
      <c r="C1332" t="inlineStr">
        <is>
          <t>Retail-Core</t>
        </is>
      </c>
      <c r="D1332" t="inlineStr">
        <is>
          <t>app</t>
        </is>
      </c>
      <c r="E1332" s="7" t="n">
        <v>46239</v>
      </c>
      <c r="F1332" t="n">
        <v>2690</v>
      </c>
      <c r="G1332" t="n">
        <v>2690</v>
      </c>
      <c r="H1332" t="inlineStr">
        <is>
          <t>2026-08-07</t>
        </is>
      </c>
      <c r="I1332">
        <f>IF(MONTH(E1332)&lt;=6,"Q1","Q2")</f>
        <v/>
      </c>
      <c r="J1332">
        <f>YEAR(E1332)*100+MONTH(E1332)</f>
        <v/>
      </c>
      <c r="K1332">
        <f>IF(COUNTIF($A$2:A1332,A1332)=1,1,0)</f>
        <v/>
      </c>
      <c r="L1332">
        <f>IF(K1332=1,IF(COUNTIFS($B$2:B1332,B1332,$I$2:I1332,I1332,$K$2:K1332,1)=1,1,0),0)</f>
        <v/>
      </c>
      <c r="M1332">
        <f>IF(Tree!$C$4="once per order",F1332*K1332,F1332)</f>
        <v/>
      </c>
      <c r="N1332">
        <f>IF(Tree!$C$4="once per order",K1332,1)</f>
        <v/>
      </c>
      <c r="O1332">
        <f>IF(Tree!$C$4="once per order",L1332,1)</f>
        <v/>
      </c>
    </row>
    <row r="1333">
      <c r="A1333" t="inlineStr">
        <is>
          <t>KR-00897</t>
        </is>
      </c>
      <c r="B1333" t="inlineStr">
        <is>
          <t>C-0033</t>
        </is>
      </c>
      <c r="C1333" t="inlineStr">
        <is>
          <t>Retail-Core</t>
        </is>
      </c>
      <c r="D1333" t="inlineStr">
        <is>
          <t>app</t>
        </is>
      </c>
      <c r="E1333" s="7" t="n">
        <v>46287</v>
      </c>
      <c r="F1333" t="n">
        <v>2880</v>
      </c>
      <c r="G1333" t="n">
        <v>1728</v>
      </c>
      <c r="H1333" t="inlineStr">
        <is>
          <t>2026-09-24</t>
        </is>
      </c>
      <c r="I1333">
        <f>IF(MONTH(E1333)&lt;=6,"Q1","Q2")</f>
        <v/>
      </c>
      <c r="J1333">
        <f>YEAR(E1333)*100+MONTH(E1333)</f>
        <v/>
      </c>
      <c r="K1333">
        <f>IF(COUNTIF($A$2:A1333,A1333)=1,1,0)</f>
        <v/>
      </c>
      <c r="L1333">
        <f>IF(K1333=1,IF(COUNTIFS($B$2:B1333,B1333,$I$2:I1333,I1333,$K$2:K1333,1)=1,1,0),0)</f>
        <v/>
      </c>
      <c r="M1333">
        <f>IF(Tree!$C$4="once per order",F1333*K1333,F1333)</f>
        <v/>
      </c>
      <c r="N1333">
        <f>IF(Tree!$C$4="once per order",K1333,1)</f>
        <v/>
      </c>
      <c r="O1333">
        <f>IF(Tree!$C$4="once per order",L1333,1)</f>
        <v/>
      </c>
    </row>
    <row r="1334">
      <c r="A1334" t="inlineStr">
        <is>
          <t>KR-00897</t>
        </is>
      </c>
      <c r="B1334" t="inlineStr">
        <is>
          <t>C-0033</t>
        </is>
      </c>
      <c r="C1334" t="inlineStr">
        <is>
          <t>Retail-Core</t>
        </is>
      </c>
      <c r="D1334" t="inlineStr">
        <is>
          <t>app</t>
        </is>
      </c>
      <c r="E1334" s="7" t="n">
        <v>46287</v>
      </c>
      <c r="F1334" t="n">
        <v>2880</v>
      </c>
      <c r="G1334" t="n">
        <v>1152</v>
      </c>
      <c r="H1334" t="inlineStr">
        <is>
          <t>2026-09-24</t>
        </is>
      </c>
      <c r="I1334">
        <f>IF(MONTH(E1334)&lt;=6,"Q1","Q2")</f>
        <v/>
      </c>
      <c r="J1334">
        <f>YEAR(E1334)*100+MONTH(E1334)</f>
        <v/>
      </c>
      <c r="K1334">
        <f>IF(COUNTIF($A$2:A1334,A1334)=1,1,0)</f>
        <v/>
      </c>
      <c r="L1334">
        <f>IF(K1334=1,IF(COUNTIFS($B$2:B1334,B1334,$I$2:I1334,I1334,$K$2:K1334,1)=1,1,0),0)</f>
        <v/>
      </c>
      <c r="M1334">
        <f>IF(Tree!$C$4="once per order",F1334*K1334,F1334)</f>
        <v/>
      </c>
      <c r="N1334">
        <f>IF(Tree!$C$4="once per order",K1334,1)</f>
        <v/>
      </c>
      <c r="O1334">
        <f>IF(Tree!$C$4="once per order",L1334,1)</f>
        <v/>
      </c>
    </row>
    <row r="1335">
      <c r="A1335" t="inlineStr">
        <is>
          <t>KR-00898</t>
        </is>
      </c>
      <c r="B1335" t="inlineStr">
        <is>
          <t>C-0046</t>
        </is>
      </c>
      <c r="C1335" t="inlineStr">
        <is>
          <t>Retail-Core</t>
        </is>
      </c>
      <c r="D1335" t="inlineStr">
        <is>
          <t>store</t>
        </is>
      </c>
      <c r="E1335" s="7" t="n">
        <v>46226</v>
      </c>
      <c r="F1335" t="n">
        <v>1670</v>
      </c>
      <c r="G1335" t="n">
        <v>1670</v>
      </c>
      <c r="H1335" t="inlineStr">
        <is>
          <t>2026-07-25</t>
        </is>
      </c>
      <c r="I1335">
        <f>IF(MONTH(E1335)&lt;=6,"Q1","Q2")</f>
        <v/>
      </c>
      <c r="J1335">
        <f>YEAR(E1335)*100+MONTH(E1335)</f>
        <v/>
      </c>
      <c r="K1335">
        <f>IF(COUNTIF($A$2:A1335,A1335)=1,1,0)</f>
        <v/>
      </c>
      <c r="L1335">
        <f>IF(K1335=1,IF(COUNTIFS($B$2:B1335,B1335,$I$2:I1335,I1335,$K$2:K1335,1)=1,1,0),0)</f>
        <v/>
      </c>
      <c r="M1335">
        <f>IF(Tree!$C$4="once per order",F1335*K1335,F1335)</f>
        <v/>
      </c>
      <c r="N1335">
        <f>IF(Tree!$C$4="once per order",K1335,1)</f>
        <v/>
      </c>
      <c r="O1335">
        <f>IF(Tree!$C$4="once per order",L1335,1)</f>
        <v/>
      </c>
    </row>
    <row r="1336">
      <c r="A1336" t="inlineStr">
        <is>
          <t>KR-00899</t>
        </is>
      </c>
      <c r="B1336" t="inlineStr">
        <is>
          <t>C-0095</t>
        </is>
      </c>
      <c r="C1336" t="inlineStr">
        <is>
          <t>Retail-Core</t>
        </is>
      </c>
      <c r="D1336" t="inlineStr">
        <is>
          <t>app</t>
        </is>
      </c>
      <c r="E1336" s="7" t="n">
        <v>46257</v>
      </c>
      <c r="F1336" t="n">
        <v>1470</v>
      </c>
      <c r="G1336" t="n">
        <v>1470</v>
      </c>
      <c r="H1336" t="inlineStr">
        <is>
          <t>2026-08-25</t>
        </is>
      </c>
      <c r="I1336">
        <f>IF(MONTH(E1336)&lt;=6,"Q1","Q2")</f>
        <v/>
      </c>
      <c r="J1336">
        <f>YEAR(E1336)*100+MONTH(E1336)</f>
        <v/>
      </c>
      <c r="K1336">
        <f>IF(COUNTIF($A$2:A1336,A1336)=1,1,0)</f>
        <v/>
      </c>
      <c r="L1336">
        <f>IF(K1336=1,IF(COUNTIFS($B$2:B1336,B1336,$I$2:I1336,I1336,$K$2:K1336,1)=1,1,0),0)</f>
        <v/>
      </c>
      <c r="M1336">
        <f>IF(Tree!$C$4="once per order",F1336*K1336,F1336)</f>
        <v/>
      </c>
      <c r="N1336">
        <f>IF(Tree!$C$4="once per order",K1336,1)</f>
        <v/>
      </c>
      <c r="O1336">
        <f>IF(Tree!$C$4="once per order",L1336,1)</f>
        <v/>
      </c>
    </row>
    <row r="1337">
      <c r="A1337" t="inlineStr">
        <is>
          <t>KR-00900</t>
        </is>
      </c>
      <c r="B1337" t="inlineStr">
        <is>
          <t>C-0060</t>
        </is>
      </c>
      <c r="C1337" t="inlineStr">
        <is>
          <t>Retail-Core</t>
        </is>
      </c>
      <c r="D1337" t="inlineStr">
        <is>
          <t>app</t>
        </is>
      </c>
      <c r="E1337" s="7" t="n">
        <v>46284</v>
      </c>
      <c r="F1337" t="n">
        <v>1140</v>
      </c>
      <c r="G1337" t="n">
        <v>1140</v>
      </c>
      <c r="H1337" t="inlineStr">
        <is>
          <t>2026-09-21</t>
        </is>
      </c>
      <c r="I1337">
        <f>IF(MONTH(E1337)&lt;=6,"Q1","Q2")</f>
        <v/>
      </c>
      <c r="J1337">
        <f>YEAR(E1337)*100+MONTH(E1337)</f>
        <v/>
      </c>
      <c r="K1337">
        <f>IF(COUNTIF($A$2:A1337,A1337)=1,1,0)</f>
        <v/>
      </c>
      <c r="L1337">
        <f>IF(K1337=1,IF(COUNTIFS($B$2:B1337,B1337,$I$2:I1337,I1337,$K$2:K1337,1)=1,1,0),0)</f>
        <v/>
      </c>
      <c r="M1337">
        <f>IF(Tree!$C$4="once per order",F1337*K1337,F1337)</f>
        <v/>
      </c>
      <c r="N1337">
        <f>IF(Tree!$C$4="once per order",K1337,1)</f>
        <v/>
      </c>
      <c r="O1337">
        <f>IF(Tree!$C$4="once per order",L1337,1)</f>
        <v/>
      </c>
    </row>
    <row r="1338">
      <c r="A1338" t="inlineStr">
        <is>
          <t>KR-00901</t>
        </is>
      </c>
      <c r="B1338" t="inlineStr">
        <is>
          <t>C-0050</t>
        </is>
      </c>
      <c r="C1338" t="inlineStr">
        <is>
          <t>Retail-Core</t>
        </is>
      </c>
      <c r="D1338" t="inlineStr">
        <is>
          <t>store</t>
        </is>
      </c>
      <c r="E1338" s="7" t="n">
        <v>46227</v>
      </c>
      <c r="F1338" t="n">
        <v>830</v>
      </c>
      <c r="G1338" t="n">
        <v>830</v>
      </c>
      <c r="H1338" t="inlineStr">
        <is>
          <t>2026-07-26</t>
        </is>
      </c>
      <c r="I1338">
        <f>IF(MONTH(E1338)&lt;=6,"Q1","Q2")</f>
        <v/>
      </c>
      <c r="J1338">
        <f>YEAR(E1338)*100+MONTH(E1338)</f>
        <v/>
      </c>
      <c r="K1338">
        <f>IF(COUNTIF($A$2:A1338,A1338)=1,1,0)</f>
        <v/>
      </c>
      <c r="L1338">
        <f>IF(K1338=1,IF(COUNTIFS($B$2:B1338,B1338,$I$2:I1338,I1338,$K$2:K1338,1)=1,1,0),0)</f>
        <v/>
      </c>
      <c r="M1338">
        <f>IF(Tree!$C$4="once per order",F1338*K1338,F1338)</f>
        <v/>
      </c>
      <c r="N1338">
        <f>IF(Tree!$C$4="once per order",K1338,1)</f>
        <v/>
      </c>
      <c r="O1338">
        <f>IF(Tree!$C$4="once per order",L1338,1)</f>
        <v/>
      </c>
    </row>
    <row r="1339">
      <c r="A1339" t="inlineStr">
        <is>
          <t>KR-00901</t>
        </is>
      </c>
      <c r="B1339" t="inlineStr">
        <is>
          <t>C-0050</t>
        </is>
      </c>
      <c r="C1339" t="inlineStr">
        <is>
          <t>Retail-Core</t>
        </is>
      </c>
      <c r="D1339" t="inlineStr">
        <is>
          <t>store</t>
        </is>
      </c>
      <c r="E1339" s="7" t="n">
        <v>46227</v>
      </c>
      <c r="F1339" t="n">
        <v>830</v>
      </c>
      <c r="G1339" t="n">
        <v>830</v>
      </c>
      <c r="H1339" t="inlineStr">
        <is>
          <t>2026-07-26</t>
        </is>
      </c>
      <c r="I1339">
        <f>IF(MONTH(E1339)&lt;=6,"Q1","Q2")</f>
        <v/>
      </c>
      <c r="J1339">
        <f>YEAR(E1339)*100+MONTH(E1339)</f>
        <v/>
      </c>
      <c r="K1339">
        <f>IF(COUNTIF($A$2:A1339,A1339)=1,1,0)</f>
        <v/>
      </c>
      <c r="L1339">
        <f>IF(K1339=1,IF(COUNTIFS($B$2:B1339,B1339,$I$2:I1339,I1339,$K$2:K1339,1)=1,1,0),0)</f>
        <v/>
      </c>
      <c r="M1339">
        <f>IF(Tree!$C$4="once per order",F1339*K1339,F1339)</f>
        <v/>
      </c>
      <c r="N1339">
        <f>IF(Tree!$C$4="once per order",K1339,1)</f>
        <v/>
      </c>
      <c r="O1339">
        <f>IF(Tree!$C$4="once per order",L1339,1)</f>
        <v/>
      </c>
    </row>
    <row r="1340">
      <c r="A1340" t="inlineStr">
        <is>
          <t>KR-00902</t>
        </is>
      </c>
      <c r="B1340" t="inlineStr">
        <is>
          <t>C-0038</t>
        </is>
      </c>
      <c r="C1340" t="inlineStr">
        <is>
          <t>Retail-Core</t>
        </is>
      </c>
      <c r="D1340" t="inlineStr">
        <is>
          <t>store</t>
        </is>
      </c>
      <c r="E1340" s="7" t="n">
        <v>46248</v>
      </c>
      <c r="F1340" t="n">
        <v>1680</v>
      </c>
      <c r="G1340" t="n">
        <v>1680</v>
      </c>
      <c r="H1340" t="inlineStr">
        <is>
          <t>2026-08-16</t>
        </is>
      </c>
      <c r="I1340">
        <f>IF(MONTH(E1340)&lt;=6,"Q1","Q2")</f>
        <v/>
      </c>
      <c r="J1340">
        <f>YEAR(E1340)*100+MONTH(E1340)</f>
        <v/>
      </c>
      <c r="K1340">
        <f>IF(COUNTIF($A$2:A1340,A1340)=1,1,0)</f>
        <v/>
      </c>
      <c r="L1340">
        <f>IF(K1340=1,IF(COUNTIFS($B$2:B1340,B1340,$I$2:I1340,I1340,$K$2:K1340,1)=1,1,0),0)</f>
        <v/>
      </c>
      <c r="M1340">
        <f>IF(Tree!$C$4="once per order",F1340*K1340,F1340)</f>
        <v/>
      </c>
      <c r="N1340">
        <f>IF(Tree!$C$4="once per order",K1340,1)</f>
        <v/>
      </c>
      <c r="O1340">
        <f>IF(Tree!$C$4="once per order",L1340,1)</f>
        <v/>
      </c>
    </row>
    <row r="1341">
      <c r="A1341" t="inlineStr">
        <is>
          <t>KR-00903</t>
        </is>
      </c>
      <c r="B1341" t="inlineStr">
        <is>
          <t>C-0124</t>
        </is>
      </c>
      <c r="C1341" t="inlineStr">
        <is>
          <t>Retail-Core</t>
        </is>
      </c>
      <c r="D1341" t="inlineStr">
        <is>
          <t>app</t>
        </is>
      </c>
      <c r="E1341" s="7" t="n">
        <v>46270</v>
      </c>
      <c r="F1341" t="n">
        <v>1230</v>
      </c>
      <c r="G1341" t="n">
        <v>1230</v>
      </c>
      <c r="H1341" t="inlineStr">
        <is>
          <t>2026-09-07</t>
        </is>
      </c>
      <c r="I1341">
        <f>IF(MONTH(E1341)&lt;=6,"Q1","Q2")</f>
        <v/>
      </c>
      <c r="J1341">
        <f>YEAR(E1341)*100+MONTH(E1341)</f>
        <v/>
      </c>
      <c r="K1341">
        <f>IF(COUNTIF($A$2:A1341,A1341)=1,1,0)</f>
        <v/>
      </c>
      <c r="L1341">
        <f>IF(K1341=1,IF(COUNTIFS($B$2:B1341,B1341,$I$2:I1341,I1341,$K$2:K1341,1)=1,1,0),0)</f>
        <v/>
      </c>
      <c r="M1341">
        <f>IF(Tree!$C$4="once per order",F1341*K1341,F1341)</f>
        <v/>
      </c>
      <c r="N1341">
        <f>IF(Tree!$C$4="once per order",K1341,1)</f>
        <v/>
      </c>
      <c r="O1341">
        <f>IF(Tree!$C$4="once per order",L1341,1)</f>
        <v/>
      </c>
    </row>
    <row r="1342">
      <c r="A1342" t="inlineStr">
        <is>
          <t>KR-00904</t>
        </is>
      </c>
      <c r="B1342" t="inlineStr">
        <is>
          <t>C-0127</t>
        </is>
      </c>
      <c r="C1342" t="inlineStr">
        <is>
          <t>Retail-Core</t>
        </is>
      </c>
      <c r="D1342" t="inlineStr">
        <is>
          <t>web</t>
        </is>
      </c>
      <c r="E1342" s="7" t="n">
        <v>46213</v>
      </c>
      <c r="F1342" t="n">
        <v>2030</v>
      </c>
      <c r="G1342" t="n">
        <v>2030</v>
      </c>
      <c r="H1342" t="inlineStr">
        <is>
          <t>2026-07-12</t>
        </is>
      </c>
      <c r="I1342">
        <f>IF(MONTH(E1342)&lt;=6,"Q1","Q2")</f>
        <v/>
      </c>
      <c r="J1342">
        <f>YEAR(E1342)*100+MONTH(E1342)</f>
        <v/>
      </c>
      <c r="K1342">
        <f>IF(COUNTIF($A$2:A1342,A1342)=1,1,0)</f>
        <v/>
      </c>
      <c r="L1342">
        <f>IF(K1342=1,IF(COUNTIFS($B$2:B1342,B1342,$I$2:I1342,I1342,$K$2:K1342,1)=1,1,0),0)</f>
        <v/>
      </c>
      <c r="M1342">
        <f>IF(Tree!$C$4="once per order",F1342*K1342,F1342)</f>
        <v/>
      </c>
      <c r="N1342">
        <f>IF(Tree!$C$4="once per order",K1342,1)</f>
        <v/>
      </c>
      <c r="O1342">
        <f>IF(Tree!$C$4="once per order",L1342,1)</f>
        <v/>
      </c>
    </row>
    <row r="1343">
      <c r="A1343" t="inlineStr">
        <is>
          <t>KR-00905</t>
        </is>
      </c>
      <c r="B1343" t="inlineStr">
        <is>
          <t>C-0018</t>
        </is>
      </c>
      <c r="C1343" t="inlineStr">
        <is>
          <t>Retail-Core</t>
        </is>
      </c>
      <c r="D1343" t="inlineStr">
        <is>
          <t>app</t>
        </is>
      </c>
      <c r="E1343" s="7" t="n">
        <v>46245</v>
      </c>
      <c r="F1343" t="n">
        <v>2830</v>
      </c>
      <c r="G1343" t="n">
        <v>1698</v>
      </c>
      <c r="H1343" t="inlineStr">
        <is>
          <t>2026-08-13</t>
        </is>
      </c>
      <c r="I1343">
        <f>IF(MONTH(E1343)&lt;=6,"Q1","Q2")</f>
        <v/>
      </c>
      <c r="J1343">
        <f>YEAR(E1343)*100+MONTH(E1343)</f>
        <v/>
      </c>
      <c r="K1343">
        <f>IF(COUNTIF($A$2:A1343,A1343)=1,1,0)</f>
        <v/>
      </c>
      <c r="L1343">
        <f>IF(K1343=1,IF(COUNTIFS($B$2:B1343,B1343,$I$2:I1343,I1343,$K$2:K1343,1)=1,1,0),0)</f>
        <v/>
      </c>
      <c r="M1343">
        <f>IF(Tree!$C$4="once per order",F1343*K1343,F1343)</f>
        <v/>
      </c>
      <c r="N1343">
        <f>IF(Tree!$C$4="once per order",K1343,1)</f>
        <v/>
      </c>
      <c r="O1343">
        <f>IF(Tree!$C$4="once per order",L1343,1)</f>
        <v/>
      </c>
    </row>
    <row r="1344">
      <c r="A1344" t="inlineStr">
        <is>
          <t>KR-00905</t>
        </is>
      </c>
      <c r="B1344" t="inlineStr">
        <is>
          <t>C-0018</t>
        </is>
      </c>
      <c r="C1344" t="inlineStr">
        <is>
          <t>Retail-Core</t>
        </is>
      </c>
      <c r="D1344" t="inlineStr">
        <is>
          <t>app</t>
        </is>
      </c>
      <c r="E1344" s="7" t="n">
        <v>46245</v>
      </c>
      <c r="F1344" t="n">
        <v>2830</v>
      </c>
      <c r="G1344" t="n">
        <v>1132</v>
      </c>
      <c r="H1344" t="inlineStr">
        <is>
          <t>2026-08-13</t>
        </is>
      </c>
      <c r="I1344">
        <f>IF(MONTH(E1344)&lt;=6,"Q1","Q2")</f>
        <v/>
      </c>
      <c r="J1344">
        <f>YEAR(E1344)*100+MONTH(E1344)</f>
        <v/>
      </c>
      <c r="K1344">
        <f>IF(COUNTIF($A$2:A1344,A1344)=1,1,0)</f>
        <v/>
      </c>
      <c r="L1344">
        <f>IF(K1344=1,IF(COUNTIFS($B$2:B1344,B1344,$I$2:I1344,I1344,$K$2:K1344,1)=1,1,0),0)</f>
        <v/>
      </c>
      <c r="M1344">
        <f>IF(Tree!$C$4="once per order",F1344*K1344,F1344)</f>
        <v/>
      </c>
      <c r="N1344">
        <f>IF(Tree!$C$4="once per order",K1344,1)</f>
        <v/>
      </c>
      <c r="O1344">
        <f>IF(Tree!$C$4="once per order",L1344,1)</f>
        <v/>
      </c>
    </row>
    <row r="1345">
      <c r="A1345" t="inlineStr">
        <is>
          <t>KR-00906</t>
        </is>
      </c>
      <c r="B1345" t="inlineStr">
        <is>
          <t>C-0029</t>
        </is>
      </c>
      <c r="C1345" t="inlineStr">
        <is>
          <t>Retail-Core</t>
        </is>
      </c>
      <c r="D1345" t="inlineStr">
        <is>
          <t>store</t>
        </is>
      </c>
      <c r="E1345" s="7" t="n">
        <v>46273</v>
      </c>
      <c r="F1345" t="n">
        <v>2060</v>
      </c>
      <c r="G1345" t="n">
        <v>2060</v>
      </c>
      <c r="H1345" t="inlineStr">
        <is>
          <t>2026-09-10</t>
        </is>
      </c>
      <c r="I1345">
        <f>IF(MONTH(E1345)&lt;=6,"Q1","Q2")</f>
        <v/>
      </c>
      <c r="J1345">
        <f>YEAR(E1345)*100+MONTH(E1345)</f>
        <v/>
      </c>
      <c r="K1345">
        <f>IF(COUNTIF($A$2:A1345,A1345)=1,1,0)</f>
        <v/>
      </c>
      <c r="L1345">
        <f>IF(K1345=1,IF(COUNTIFS($B$2:B1345,B1345,$I$2:I1345,I1345,$K$2:K1345,1)=1,1,0),0)</f>
        <v/>
      </c>
      <c r="M1345">
        <f>IF(Tree!$C$4="once per order",F1345*K1345,F1345)</f>
        <v/>
      </c>
      <c r="N1345">
        <f>IF(Tree!$C$4="once per order",K1345,1)</f>
        <v/>
      </c>
      <c r="O1345">
        <f>IF(Tree!$C$4="once per order",L1345,1)</f>
        <v/>
      </c>
    </row>
    <row r="1346">
      <c r="A1346" t="inlineStr">
        <is>
          <t>KR-00907</t>
        </is>
      </c>
      <c r="B1346" t="inlineStr">
        <is>
          <t>C-0111</t>
        </is>
      </c>
      <c r="C1346" t="inlineStr">
        <is>
          <t>Retail-Core</t>
        </is>
      </c>
      <c r="D1346" t="inlineStr">
        <is>
          <t>app</t>
        </is>
      </c>
      <c r="E1346" s="7" t="n">
        <v>46229</v>
      </c>
      <c r="F1346" t="n">
        <v>2810</v>
      </c>
      <c r="G1346" t="n">
        <v>1686</v>
      </c>
      <c r="H1346" t="inlineStr">
        <is>
          <t>2026-07-28</t>
        </is>
      </c>
      <c r="I1346">
        <f>IF(MONTH(E1346)&lt;=6,"Q1","Q2")</f>
        <v/>
      </c>
      <c r="J1346">
        <f>YEAR(E1346)*100+MONTH(E1346)</f>
        <v/>
      </c>
      <c r="K1346">
        <f>IF(COUNTIF($A$2:A1346,A1346)=1,1,0)</f>
        <v/>
      </c>
      <c r="L1346">
        <f>IF(K1346=1,IF(COUNTIFS($B$2:B1346,B1346,$I$2:I1346,I1346,$K$2:K1346,1)=1,1,0),0)</f>
        <v/>
      </c>
      <c r="M1346">
        <f>IF(Tree!$C$4="once per order",F1346*K1346,F1346)</f>
        <v/>
      </c>
      <c r="N1346">
        <f>IF(Tree!$C$4="once per order",K1346,1)</f>
        <v/>
      </c>
      <c r="O1346">
        <f>IF(Tree!$C$4="once per order",L1346,1)</f>
        <v/>
      </c>
    </row>
    <row r="1347">
      <c r="A1347" t="inlineStr">
        <is>
          <t>KR-00907</t>
        </is>
      </c>
      <c r="B1347" t="inlineStr">
        <is>
          <t>C-0111</t>
        </is>
      </c>
      <c r="C1347" t="inlineStr">
        <is>
          <t>Retail-Core</t>
        </is>
      </c>
      <c r="D1347" t="inlineStr">
        <is>
          <t>app</t>
        </is>
      </c>
      <c r="E1347" s="7" t="n">
        <v>46229</v>
      </c>
      <c r="F1347" t="n">
        <v>2810</v>
      </c>
      <c r="G1347" t="n">
        <v>1124</v>
      </c>
      <c r="H1347" t="inlineStr">
        <is>
          <t>2026-07-28</t>
        </is>
      </c>
      <c r="I1347">
        <f>IF(MONTH(E1347)&lt;=6,"Q1","Q2")</f>
        <v/>
      </c>
      <c r="J1347">
        <f>YEAR(E1347)*100+MONTH(E1347)</f>
        <v/>
      </c>
      <c r="K1347">
        <f>IF(COUNTIF($A$2:A1347,A1347)=1,1,0)</f>
        <v/>
      </c>
      <c r="L1347">
        <f>IF(K1347=1,IF(COUNTIFS($B$2:B1347,B1347,$I$2:I1347,I1347,$K$2:K1347,1)=1,1,0),0)</f>
        <v/>
      </c>
      <c r="M1347">
        <f>IF(Tree!$C$4="once per order",F1347*K1347,F1347)</f>
        <v/>
      </c>
      <c r="N1347">
        <f>IF(Tree!$C$4="once per order",K1347,1)</f>
        <v/>
      </c>
      <c r="O1347">
        <f>IF(Tree!$C$4="once per order",L1347,1)</f>
        <v/>
      </c>
    </row>
    <row r="1348">
      <c r="A1348" t="inlineStr">
        <is>
          <t>KR-00908</t>
        </is>
      </c>
      <c r="B1348" t="inlineStr">
        <is>
          <t>C-0066</t>
        </is>
      </c>
      <c r="C1348" t="inlineStr">
        <is>
          <t>Retail-Core</t>
        </is>
      </c>
      <c r="D1348" t="inlineStr">
        <is>
          <t>app</t>
        </is>
      </c>
      <c r="E1348" s="7" t="n">
        <v>46256</v>
      </c>
      <c r="F1348" t="n">
        <v>3000</v>
      </c>
      <c r="G1348" t="n">
        <v>1800</v>
      </c>
      <c r="H1348" t="inlineStr">
        <is>
          <t>2026-08-24</t>
        </is>
      </c>
      <c r="I1348">
        <f>IF(MONTH(E1348)&lt;=6,"Q1","Q2")</f>
        <v/>
      </c>
      <c r="J1348">
        <f>YEAR(E1348)*100+MONTH(E1348)</f>
        <v/>
      </c>
      <c r="K1348">
        <f>IF(COUNTIF($A$2:A1348,A1348)=1,1,0)</f>
        <v/>
      </c>
      <c r="L1348">
        <f>IF(K1348=1,IF(COUNTIFS($B$2:B1348,B1348,$I$2:I1348,I1348,$K$2:K1348,1)=1,1,0),0)</f>
        <v/>
      </c>
      <c r="M1348">
        <f>IF(Tree!$C$4="once per order",F1348*K1348,F1348)</f>
        <v/>
      </c>
      <c r="N1348">
        <f>IF(Tree!$C$4="once per order",K1348,1)</f>
        <v/>
      </c>
      <c r="O1348">
        <f>IF(Tree!$C$4="once per order",L1348,1)</f>
        <v/>
      </c>
    </row>
    <row r="1349">
      <c r="A1349" t="inlineStr">
        <is>
          <t>KR-00908</t>
        </is>
      </c>
      <c r="B1349" t="inlineStr">
        <is>
          <t>C-0066</t>
        </is>
      </c>
      <c r="C1349" t="inlineStr">
        <is>
          <t>Retail-Core</t>
        </is>
      </c>
      <c r="D1349" t="inlineStr">
        <is>
          <t>app</t>
        </is>
      </c>
      <c r="E1349" s="7" t="n">
        <v>46256</v>
      </c>
      <c r="F1349" t="n">
        <v>3000</v>
      </c>
      <c r="G1349" t="n">
        <v>1200</v>
      </c>
      <c r="H1349" t="inlineStr">
        <is>
          <t>2026-08-24</t>
        </is>
      </c>
      <c r="I1349">
        <f>IF(MONTH(E1349)&lt;=6,"Q1","Q2")</f>
        <v/>
      </c>
      <c r="J1349">
        <f>YEAR(E1349)*100+MONTH(E1349)</f>
        <v/>
      </c>
      <c r="K1349">
        <f>IF(COUNTIF($A$2:A1349,A1349)=1,1,0)</f>
        <v/>
      </c>
      <c r="L1349">
        <f>IF(K1349=1,IF(COUNTIFS($B$2:B1349,B1349,$I$2:I1349,I1349,$K$2:K1349,1)=1,1,0),0)</f>
        <v/>
      </c>
      <c r="M1349">
        <f>IF(Tree!$C$4="once per order",F1349*K1349,F1349)</f>
        <v/>
      </c>
      <c r="N1349">
        <f>IF(Tree!$C$4="once per order",K1349,1)</f>
        <v/>
      </c>
      <c r="O1349">
        <f>IF(Tree!$C$4="once per order",L1349,1)</f>
        <v/>
      </c>
    </row>
    <row r="1350">
      <c r="A1350" t="inlineStr">
        <is>
          <t>KR-00909</t>
        </is>
      </c>
      <c r="B1350" t="inlineStr">
        <is>
          <t>C-0030</t>
        </is>
      </c>
      <c r="C1350" t="inlineStr">
        <is>
          <t>Retail-Core</t>
        </is>
      </c>
      <c r="D1350" t="inlineStr">
        <is>
          <t>app</t>
        </is>
      </c>
      <c r="E1350" s="7" t="n">
        <v>46280</v>
      </c>
      <c r="F1350" t="n">
        <v>1270</v>
      </c>
      <c r="G1350" t="n">
        <v>1270</v>
      </c>
      <c r="H1350" t="inlineStr">
        <is>
          <t>2026-09-17</t>
        </is>
      </c>
      <c r="I1350">
        <f>IF(MONTH(E1350)&lt;=6,"Q1","Q2")</f>
        <v/>
      </c>
      <c r="J1350">
        <f>YEAR(E1350)*100+MONTH(E1350)</f>
        <v/>
      </c>
      <c r="K1350">
        <f>IF(COUNTIF($A$2:A1350,A1350)=1,1,0)</f>
        <v/>
      </c>
      <c r="L1350">
        <f>IF(K1350=1,IF(COUNTIFS($B$2:B1350,B1350,$I$2:I1350,I1350,$K$2:K1350,1)=1,1,0),0)</f>
        <v/>
      </c>
      <c r="M1350">
        <f>IF(Tree!$C$4="once per order",F1350*K1350,F1350)</f>
        <v/>
      </c>
      <c r="N1350">
        <f>IF(Tree!$C$4="once per order",K1350,1)</f>
        <v/>
      </c>
      <c r="O1350">
        <f>IF(Tree!$C$4="once per order",L1350,1)</f>
        <v/>
      </c>
    </row>
    <row r="1351">
      <c r="A1351" t="inlineStr">
        <is>
          <t>KR-00910</t>
        </is>
      </c>
      <c r="B1351" t="inlineStr">
        <is>
          <t>C-0016</t>
        </is>
      </c>
      <c r="C1351" t="inlineStr">
        <is>
          <t>Retail-Core</t>
        </is>
      </c>
      <c r="D1351" t="inlineStr">
        <is>
          <t>web</t>
        </is>
      </c>
      <c r="E1351" s="7" t="n">
        <v>46221</v>
      </c>
      <c r="F1351" t="n">
        <v>2280</v>
      </c>
      <c r="G1351" t="n">
        <v>2280</v>
      </c>
      <c r="H1351" t="inlineStr">
        <is>
          <t>2026-07-20</t>
        </is>
      </c>
      <c r="I1351">
        <f>IF(MONTH(E1351)&lt;=6,"Q1","Q2")</f>
        <v/>
      </c>
      <c r="J1351">
        <f>YEAR(E1351)*100+MONTH(E1351)</f>
        <v/>
      </c>
      <c r="K1351">
        <f>IF(COUNTIF($A$2:A1351,A1351)=1,1,0)</f>
        <v/>
      </c>
      <c r="L1351">
        <f>IF(K1351=1,IF(COUNTIFS($B$2:B1351,B1351,$I$2:I1351,I1351,$K$2:K1351,1)=1,1,0),0)</f>
        <v/>
      </c>
      <c r="M1351">
        <f>IF(Tree!$C$4="once per order",F1351*K1351,F1351)</f>
        <v/>
      </c>
      <c r="N1351">
        <f>IF(Tree!$C$4="once per order",K1351,1)</f>
        <v/>
      </c>
      <c r="O1351">
        <f>IF(Tree!$C$4="once per order",L1351,1)</f>
        <v/>
      </c>
    </row>
    <row r="1352">
      <c r="A1352" t="inlineStr">
        <is>
          <t>KR-00911</t>
        </is>
      </c>
      <c r="B1352" t="inlineStr">
        <is>
          <t>C-0001</t>
        </is>
      </c>
      <c r="C1352" t="inlineStr">
        <is>
          <t>Retail-Core</t>
        </is>
      </c>
      <c r="D1352" t="inlineStr">
        <is>
          <t>app</t>
        </is>
      </c>
      <c r="E1352" s="7" t="n">
        <v>46240</v>
      </c>
      <c r="F1352" t="n">
        <v>1200</v>
      </c>
      <c r="G1352" t="n">
        <v>1200</v>
      </c>
      <c r="H1352" t="inlineStr">
        <is>
          <t>2026-08-08</t>
        </is>
      </c>
      <c r="I1352">
        <f>IF(MONTH(E1352)&lt;=6,"Q1","Q2")</f>
        <v/>
      </c>
      <c r="J1352">
        <f>YEAR(E1352)*100+MONTH(E1352)</f>
        <v/>
      </c>
      <c r="K1352">
        <f>IF(COUNTIF($A$2:A1352,A1352)=1,1,0)</f>
        <v/>
      </c>
      <c r="L1352">
        <f>IF(K1352=1,IF(COUNTIFS($B$2:B1352,B1352,$I$2:I1352,I1352,$K$2:K1352,1)=1,1,0),0)</f>
        <v/>
      </c>
      <c r="M1352">
        <f>IF(Tree!$C$4="once per order",F1352*K1352,F1352)</f>
        <v/>
      </c>
      <c r="N1352">
        <f>IF(Tree!$C$4="once per order",K1352,1)</f>
        <v/>
      </c>
      <c r="O1352">
        <f>IF(Tree!$C$4="once per order",L1352,1)</f>
        <v/>
      </c>
    </row>
    <row r="1353">
      <c r="A1353" t="inlineStr">
        <is>
          <t>KR-00912</t>
        </is>
      </c>
      <c r="B1353" t="inlineStr">
        <is>
          <t>C-0024</t>
        </is>
      </c>
      <c r="C1353" t="inlineStr">
        <is>
          <t>Retail-Core</t>
        </is>
      </c>
      <c r="D1353" t="inlineStr">
        <is>
          <t>web</t>
        </is>
      </c>
      <c r="E1353" s="7" t="n">
        <v>46273</v>
      </c>
      <c r="F1353" t="n">
        <v>870</v>
      </c>
      <c r="G1353" t="n">
        <v>870</v>
      </c>
      <c r="H1353" t="inlineStr">
        <is>
          <t>2026-09-10</t>
        </is>
      </c>
      <c r="I1353">
        <f>IF(MONTH(E1353)&lt;=6,"Q1","Q2")</f>
        <v/>
      </c>
      <c r="J1353">
        <f>YEAR(E1353)*100+MONTH(E1353)</f>
        <v/>
      </c>
      <c r="K1353">
        <f>IF(COUNTIF($A$2:A1353,A1353)=1,1,0)</f>
        <v/>
      </c>
      <c r="L1353">
        <f>IF(K1353=1,IF(COUNTIFS($B$2:B1353,B1353,$I$2:I1353,I1353,$K$2:K1353,1)=1,1,0),0)</f>
        <v/>
      </c>
      <c r="M1353">
        <f>IF(Tree!$C$4="once per order",F1353*K1353,F1353)</f>
        <v/>
      </c>
      <c r="N1353">
        <f>IF(Tree!$C$4="once per order",K1353,1)</f>
        <v/>
      </c>
      <c r="O1353">
        <f>IF(Tree!$C$4="once per order",L1353,1)</f>
        <v/>
      </c>
    </row>
    <row r="1354">
      <c r="A1354" t="inlineStr">
        <is>
          <t>KR-00912</t>
        </is>
      </c>
      <c r="B1354" t="inlineStr">
        <is>
          <t>C-0024</t>
        </is>
      </c>
      <c r="C1354" t="inlineStr">
        <is>
          <t>Retail-Core</t>
        </is>
      </c>
      <c r="D1354" t="inlineStr">
        <is>
          <t>web</t>
        </is>
      </c>
      <c r="E1354" s="7" t="n">
        <v>46273</v>
      </c>
      <c r="F1354" t="n">
        <v>870</v>
      </c>
      <c r="G1354" t="n">
        <v>870</v>
      </c>
      <c r="H1354" t="inlineStr">
        <is>
          <t>2026-09-10</t>
        </is>
      </c>
      <c r="I1354">
        <f>IF(MONTH(E1354)&lt;=6,"Q1","Q2")</f>
        <v/>
      </c>
      <c r="J1354">
        <f>YEAR(E1354)*100+MONTH(E1354)</f>
        <v/>
      </c>
      <c r="K1354">
        <f>IF(COUNTIF($A$2:A1354,A1354)=1,1,0)</f>
        <v/>
      </c>
      <c r="L1354">
        <f>IF(K1354=1,IF(COUNTIFS($B$2:B1354,B1354,$I$2:I1354,I1354,$K$2:K1354,1)=1,1,0),0)</f>
        <v/>
      </c>
      <c r="M1354">
        <f>IF(Tree!$C$4="once per order",F1354*K1354,F1354)</f>
        <v/>
      </c>
      <c r="N1354">
        <f>IF(Tree!$C$4="once per order",K1354,1)</f>
        <v/>
      </c>
      <c r="O1354">
        <f>IF(Tree!$C$4="once per order",L1354,1)</f>
        <v/>
      </c>
    </row>
    <row r="1355">
      <c r="A1355" t="inlineStr">
        <is>
          <t>KR-00913</t>
        </is>
      </c>
      <c r="B1355" t="inlineStr">
        <is>
          <t>C-0016</t>
        </is>
      </c>
      <c r="C1355" t="inlineStr">
        <is>
          <t>Retail-Core</t>
        </is>
      </c>
      <c r="D1355" t="inlineStr">
        <is>
          <t>web</t>
        </is>
      </c>
      <c r="E1355" s="7" t="n">
        <v>46219</v>
      </c>
      <c r="F1355" t="n">
        <v>1950</v>
      </c>
      <c r="G1355" t="n">
        <v>1950</v>
      </c>
      <c r="H1355" t="inlineStr">
        <is>
          <t>2026-07-18</t>
        </is>
      </c>
      <c r="I1355">
        <f>IF(MONTH(E1355)&lt;=6,"Q1","Q2")</f>
        <v/>
      </c>
      <c r="J1355">
        <f>YEAR(E1355)*100+MONTH(E1355)</f>
        <v/>
      </c>
      <c r="K1355">
        <f>IF(COUNTIF($A$2:A1355,A1355)=1,1,0)</f>
        <v/>
      </c>
      <c r="L1355">
        <f>IF(K1355=1,IF(COUNTIFS($B$2:B1355,B1355,$I$2:I1355,I1355,$K$2:K1355,1)=1,1,0),0)</f>
        <v/>
      </c>
      <c r="M1355">
        <f>IF(Tree!$C$4="once per order",F1355*K1355,F1355)</f>
        <v/>
      </c>
      <c r="N1355">
        <f>IF(Tree!$C$4="once per order",K1355,1)</f>
        <v/>
      </c>
      <c r="O1355">
        <f>IF(Tree!$C$4="once per order",L1355,1)</f>
        <v/>
      </c>
    </row>
    <row r="1356">
      <c r="A1356" t="inlineStr">
        <is>
          <t>KR-00914</t>
        </is>
      </c>
      <c r="B1356" t="inlineStr">
        <is>
          <t>C-0092</t>
        </is>
      </c>
      <c r="C1356" t="inlineStr">
        <is>
          <t>Retail-Core</t>
        </is>
      </c>
      <c r="D1356" t="inlineStr">
        <is>
          <t>app</t>
        </is>
      </c>
      <c r="E1356" s="7" t="n">
        <v>46248</v>
      </c>
      <c r="F1356" t="n">
        <v>1980</v>
      </c>
      <c r="G1356" t="n">
        <v>1980</v>
      </c>
      <c r="H1356" t="inlineStr">
        <is>
          <t>2026-08-16</t>
        </is>
      </c>
      <c r="I1356">
        <f>IF(MONTH(E1356)&lt;=6,"Q1","Q2")</f>
        <v/>
      </c>
      <c r="J1356">
        <f>YEAR(E1356)*100+MONTH(E1356)</f>
        <v/>
      </c>
      <c r="K1356">
        <f>IF(COUNTIF($A$2:A1356,A1356)=1,1,0)</f>
        <v/>
      </c>
      <c r="L1356">
        <f>IF(K1356=1,IF(COUNTIFS($B$2:B1356,B1356,$I$2:I1356,I1356,$K$2:K1356,1)=1,1,0),0)</f>
        <v/>
      </c>
      <c r="M1356">
        <f>IF(Tree!$C$4="once per order",F1356*K1356,F1356)</f>
        <v/>
      </c>
      <c r="N1356">
        <f>IF(Tree!$C$4="once per order",K1356,1)</f>
        <v/>
      </c>
      <c r="O1356">
        <f>IF(Tree!$C$4="once per order",L1356,1)</f>
        <v/>
      </c>
    </row>
    <row r="1357">
      <c r="A1357" t="inlineStr">
        <is>
          <t>KR-00915</t>
        </is>
      </c>
      <c r="B1357" t="inlineStr">
        <is>
          <t>C-0048</t>
        </is>
      </c>
      <c r="C1357" t="inlineStr">
        <is>
          <t>Retail-Core</t>
        </is>
      </c>
      <c r="D1357" t="inlineStr">
        <is>
          <t>web</t>
        </is>
      </c>
      <c r="E1357" s="7" t="n">
        <v>46273</v>
      </c>
      <c r="F1357" t="n">
        <v>2870</v>
      </c>
      <c r="G1357" t="n">
        <v>1722</v>
      </c>
      <c r="H1357" t="inlineStr">
        <is>
          <t>2026-09-10</t>
        </is>
      </c>
      <c r="I1357">
        <f>IF(MONTH(E1357)&lt;=6,"Q1","Q2")</f>
        <v/>
      </c>
      <c r="J1357">
        <f>YEAR(E1357)*100+MONTH(E1357)</f>
        <v/>
      </c>
      <c r="K1357">
        <f>IF(COUNTIF($A$2:A1357,A1357)=1,1,0)</f>
        <v/>
      </c>
      <c r="L1357">
        <f>IF(K1357=1,IF(COUNTIFS($B$2:B1357,B1357,$I$2:I1357,I1357,$K$2:K1357,1)=1,1,0),0)</f>
        <v/>
      </c>
      <c r="M1357">
        <f>IF(Tree!$C$4="once per order",F1357*K1357,F1357)</f>
        <v/>
      </c>
      <c r="N1357">
        <f>IF(Tree!$C$4="once per order",K1357,1)</f>
        <v/>
      </c>
      <c r="O1357">
        <f>IF(Tree!$C$4="once per order",L1357,1)</f>
        <v/>
      </c>
    </row>
    <row r="1358">
      <c r="A1358" t="inlineStr">
        <is>
          <t>KR-00915</t>
        </is>
      </c>
      <c r="B1358" t="inlineStr">
        <is>
          <t>C-0048</t>
        </is>
      </c>
      <c r="C1358" t="inlineStr">
        <is>
          <t>Retail-Core</t>
        </is>
      </c>
      <c r="D1358" t="inlineStr">
        <is>
          <t>web</t>
        </is>
      </c>
      <c r="E1358" s="7" t="n">
        <v>46273</v>
      </c>
      <c r="F1358" t="n">
        <v>2870</v>
      </c>
      <c r="G1358" t="n">
        <v>1148</v>
      </c>
      <c r="H1358" t="inlineStr">
        <is>
          <t>2026-09-10</t>
        </is>
      </c>
      <c r="I1358">
        <f>IF(MONTH(E1358)&lt;=6,"Q1","Q2")</f>
        <v/>
      </c>
      <c r="J1358">
        <f>YEAR(E1358)*100+MONTH(E1358)</f>
        <v/>
      </c>
      <c r="K1358">
        <f>IF(COUNTIF($A$2:A1358,A1358)=1,1,0)</f>
        <v/>
      </c>
      <c r="L1358">
        <f>IF(K1358=1,IF(COUNTIFS($B$2:B1358,B1358,$I$2:I1358,I1358,$K$2:K1358,1)=1,1,0),0)</f>
        <v/>
      </c>
      <c r="M1358">
        <f>IF(Tree!$C$4="once per order",F1358*K1358,F1358)</f>
        <v/>
      </c>
      <c r="N1358">
        <f>IF(Tree!$C$4="once per order",K1358,1)</f>
        <v/>
      </c>
      <c r="O1358">
        <f>IF(Tree!$C$4="once per order",L1358,1)</f>
        <v/>
      </c>
    </row>
    <row r="1359">
      <c r="A1359" t="inlineStr">
        <is>
          <t>KR-00916</t>
        </is>
      </c>
      <c r="B1359" t="inlineStr">
        <is>
          <t>C-0041</t>
        </is>
      </c>
      <c r="C1359" t="inlineStr">
        <is>
          <t>Retail-Core</t>
        </is>
      </c>
      <c r="D1359" t="inlineStr">
        <is>
          <t>store</t>
        </is>
      </c>
      <c r="E1359" s="7" t="n">
        <v>46210</v>
      </c>
      <c r="F1359" t="n">
        <v>1010</v>
      </c>
      <c r="G1359" t="n">
        <v>1010</v>
      </c>
      <c r="H1359" t="inlineStr">
        <is>
          <t>2026-07-09</t>
        </is>
      </c>
      <c r="I1359">
        <f>IF(MONTH(E1359)&lt;=6,"Q1","Q2")</f>
        <v/>
      </c>
      <c r="J1359">
        <f>YEAR(E1359)*100+MONTH(E1359)</f>
        <v/>
      </c>
      <c r="K1359">
        <f>IF(COUNTIF($A$2:A1359,A1359)=1,1,0)</f>
        <v/>
      </c>
      <c r="L1359">
        <f>IF(K1359=1,IF(COUNTIFS($B$2:B1359,B1359,$I$2:I1359,I1359,$K$2:K1359,1)=1,1,0),0)</f>
        <v/>
      </c>
      <c r="M1359">
        <f>IF(Tree!$C$4="once per order",F1359*K1359,F1359)</f>
        <v/>
      </c>
      <c r="N1359">
        <f>IF(Tree!$C$4="once per order",K1359,1)</f>
        <v/>
      </c>
      <c r="O1359">
        <f>IF(Tree!$C$4="once per order",L1359,1)</f>
        <v/>
      </c>
    </row>
    <row r="1360">
      <c r="A1360" t="inlineStr">
        <is>
          <t>KR-00917</t>
        </is>
      </c>
      <c r="B1360" t="inlineStr">
        <is>
          <t>C-0045</t>
        </is>
      </c>
      <c r="C1360" t="inlineStr">
        <is>
          <t>Retail-Core</t>
        </is>
      </c>
      <c r="D1360" t="inlineStr">
        <is>
          <t>app</t>
        </is>
      </c>
      <c r="E1360" s="7" t="n">
        <v>46244</v>
      </c>
      <c r="F1360" t="n">
        <v>2510</v>
      </c>
      <c r="G1360" t="n">
        <v>2510</v>
      </c>
      <c r="H1360" t="inlineStr">
        <is>
          <t>2026-08-12</t>
        </is>
      </c>
      <c r="I1360">
        <f>IF(MONTH(E1360)&lt;=6,"Q1","Q2")</f>
        <v/>
      </c>
      <c r="J1360">
        <f>YEAR(E1360)*100+MONTH(E1360)</f>
        <v/>
      </c>
      <c r="K1360">
        <f>IF(COUNTIF($A$2:A1360,A1360)=1,1,0)</f>
        <v/>
      </c>
      <c r="L1360">
        <f>IF(K1360=1,IF(COUNTIFS($B$2:B1360,B1360,$I$2:I1360,I1360,$K$2:K1360,1)=1,1,0),0)</f>
        <v/>
      </c>
      <c r="M1360">
        <f>IF(Tree!$C$4="once per order",F1360*K1360,F1360)</f>
        <v/>
      </c>
      <c r="N1360">
        <f>IF(Tree!$C$4="once per order",K1360,1)</f>
        <v/>
      </c>
      <c r="O1360">
        <f>IF(Tree!$C$4="once per order",L1360,1)</f>
        <v/>
      </c>
    </row>
    <row r="1361">
      <c r="A1361" t="inlineStr">
        <is>
          <t>KR-00918</t>
        </is>
      </c>
      <c r="B1361" t="inlineStr">
        <is>
          <t>C-0006</t>
        </is>
      </c>
      <c r="C1361" t="inlineStr">
        <is>
          <t>Retail-Core</t>
        </is>
      </c>
      <c r="D1361" t="inlineStr">
        <is>
          <t>store</t>
        </is>
      </c>
      <c r="E1361" s="7" t="n">
        <v>46276</v>
      </c>
      <c r="F1361" t="n">
        <v>2230</v>
      </c>
      <c r="G1361" t="n">
        <v>2230</v>
      </c>
      <c r="H1361" t="inlineStr">
        <is>
          <t>2026-09-13</t>
        </is>
      </c>
      <c r="I1361">
        <f>IF(MONTH(E1361)&lt;=6,"Q1","Q2")</f>
        <v/>
      </c>
      <c r="J1361">
        <f>YEAR(E1361)*100+MONTH(E1361)</f>
        <v/>
      </c>
      <c r="K1361">
        <f>IF(COUNTIF($A$2:A1361,A1361)=1,1,0)</f>
        <v/>
      </c>
      <c r="L1361">
        <f>IF(K1361=1,IF(COUNTIFS($B$2:B1361,B1361,$I$2:I1361,I1361,$K$2:K1361,1)=1,1,0),0)</f>
        <v/>
      </c>
      <c r="M1361">
        <f>IF(Tree!$C$4="once per order",F1361*K1361,F1361)</f>
        <v/>
      </c>
      <c r="N1361">
        <f>IF(Tree!$C$4="once per order",K1361,1)</f>
        <v/>
      </c>
      <c r="O1361">
        <f>IF(Tree!$C$4="once per order",L1361,1)</f>
        <v/>
      </c>
    </row>
    <row r="1362">
      <c r="A1362" t="inlineStr">
        <is>
          <t>KR-00919</t>
        </is>
      </c>
      <c r="B1362" t="inlineStr">
        <is>
          <t>C-0011</t>
        </is>
      </c>
      <c r="C1362" t="inlineStr">
        <is>
          <t>Retail-Core</t>
        </is>
      </c>
      <c r="D1362" t="inlineStr">
        <is>
          <t>store</t>
        </is>
      </c>
      <c r="E1362" s="7" t="n">
        <v>46225</v>
      </c>
      <c r="F1362" t="n">
        <v>2240</v>
      </c>
      <c r="G1362" t="n">
        <v>2240</v>
      </c>
      <c r="H1362" t="inlineStr">
        <is>
          <t>2026-07-24</t>
        </is>
      </c>
      <c r="I1362">
        <f>IF(MONTH(E1362)&lt;=6,"Q1","Q2")</f>
        <v/>
      </c>
      <c r="J1362">
        <f>YEAR(E1362)*100+MONTH(E1362)</f>
        <v/>
      </c>
      <c r="K1362">
        <f>IF(COUNTIF($A$2:A1362,A1362)=1,1,0)</f>
        <v/>
      </c>
      <c r="L1362">
        <f>IF(K1362=1,IF(COUNTIFS($B$2:B1362,B1362,$I$2:I1362,I1362,$K$2:K1362,1)=1,1,0),0)</f>
        <v/>
      </c>
      <c r="M1362">
        <f>IF(Tree!$C$4="once per order",F1362*K1362,F1362)</f>
        <v/>
      </c>
      <c r="N1362">
        <f>IF(Tree!$C$4="once per order",K1362,1)</f>
        <v/>
      </c>
      <c r="O1362">
        <f>IF(Tree!$C$4="once per order",L1362,1)</f>
        <v/>
      </c>
    </row>
    <row r="1363">
      <c r="A1363" t="inlineStr">
        <is>
          <t>KR-00920</t>
        </is>
      </c>
      <c r="B1363" t="inlineStr">
        <is>
          <t>C-0116</t>
        </is>
      </c>
      <c r="C1363" t="inlineStr">
        <is>
          <t>Retail-Core</t>
        </is>
      </c>
      <c r="D1363" t="inlineStr">
        <is>
          <t>web</t>
        </is>
      </c>
      <c r="E1363" s="7" t="n">
        <v>46248</v>
      </c>
      <c r="F1363" t="n">
        <v>2630</v>
      </c>
      <c r="G1363" t="n">
        <v>2630</v>
      </c>
      <c r="H1363" t="inlineStr">
        <is>
          <t>2026-08-16</t>
        </is>
      </c>
      <c r="I1363">
        <f>IF(MONTH(E1363)&lt;=6,"Q1","Q2")</f>
        <v/>
      </c>
      <c r="J1363">
        <f>YEAR(E1363)*100+MONTH(E1363)</f>
        <v/>
      </c>
      <c r="K1363">
        <f>IF(COUNTIF($A$2:A1363,A1363)=1,1,0)</f>
        <v/>
      </c>
      <c r="L1363">
        <f>IF(K1363=1,IF(COUNTIFS($B$2:B1363,B1363,$I$2:I1363,I1363,$K$2:K1363,1)=1,1,0),0)</f>
        <v/>
      </c>
      <c r="M1363">
        <f>IF(Tree!$C$4="once per order",F1363*K1363,F1363)</f>
        <v/>
      </c>
      <c r="N1363">
        <f>IF(Tree!$C$4="once per order",K1363,1)</f>
        <v/>
      </c>
      <c r="O1363">
        <f>IF(Tree!$C$4="once per order",L1363,1)</f>
        <v/>
      </c>
    </row>
    <row r="1364">
      <c r="A1364" t="inlineStr">
        <is>
          <t>KR-00921</t>
        </is>
      </c>
      <c r="B1364" t="inlineStr">
        <is>
          <t>C-0066</t>
        </is>
      </c>
      <c r="C1364" t="inlineStr">
        <is>
          <t>Retail-Core</t>
        </is>
      </c>
      <c r="D1364" t="inlineStr">
        <is>
          <t>app</t>
        </is>
      </c>
      <c r="E1364" s="7" t="n">
        <v>46272</v>
      </c>
      <c r="F1364" t="n">
        <v>960</v>
      </c>
      <c r="G1364" t="n">
        <v>960</v>
      </c>
      <c r="H1364" t="inlineStr">
        <is>
          <t>2026-09-09</t>
        </is>
      </c>
      <c r="I1364">
        <f>IF(MONTH(E1364)&lt;=6,"Q1","Q2")</f>
        <v/>
      </c>
      <c r="J1364">
        <f>YEAR(E1364)*100+MONTH(E1364)</f>
        <v/>
      </c>
      <c r="K1364">
        <f>IF(COUNTIF($A$2:A1364,A1364)=1,1,0)</f>
        <v/>
      </c>
      <c r="L1364">
        <f>IF(K1364=1,IF(COUNTIFS($B$2:B1364,B1364,$I$2:I1364,I1364,$K$2:K1364,1)=1,1,0),0)</f>
        <v/>
      </c>
      <c r="M1364">
        <f>IF(Tree!$C$4="once per order",F1364*K1364,F1364)</f>
        <v/>
      </c>
      <c r="N1364">
        <f>IF(Tree!$C$4="once per order",K1364,1)</f>
        <v/>
      </c>
      <c r="O1364">
        <f>IF(Tree!$C$4="once per order",L1364,1)</f>
        <v/>
      </c>
    </row>
    <row r="1365">
      <c r="A1365" t="inlineStr">
        <is>
          <t>KR-00922</t>
        </is>
      </c>
      <c r="B1365" t="inlineStr">
        <is>
          <t>C-0146</t>
        </is>
      </c>
      <c r="C1365" t="inlineStr">
        <is>
          <t>Retail-Core</t>
        </is>
      </c>
      <c r="D1365" t="inlineStr">
        <is>
          <t>app</t>
        </is>
      </c>
      <c r="E1365" s="7" t="n">
        <v>46205</v>
      </c>
      <c r="F1365" t="n">
        <v>2050</v>
      </c>
      <c r="G1365" t="n">
        <v>2050</v>
      </c>
      <c r="H1365" t="inlineStr">
        <is>
          <t>2026-07-04</t>
        </is>
      </c>
      <c r="I1365">
        <f>IF(MONTH(E1365)&lt;=6,"Q1","Q2")</f>
        <v/>
      </c>
      <c r="J1365">
        <f>YEAR(E1365)*100+MONTH(E1365)</f>
        <v/>
      </c>
      <c r="K1365">
        <f>IF(COUNTIF($A$2:A1365,A1365)=1,1,0)</f>
        <v/>
      </c>
      <c r="L1365">
        <f>IF(K1365=1,IF(COUNTIFS($B$2:B1365,B1365,$I$2:I1365,I1365,$K$2:K1365,1)=1,1,0),0)</f>
        <v/>
      </c>
      <c r="M1365">
        <f>IF(Tree!$C$4="once per order",F1365*K1365,F1365)</f>
        <v/>
      </c>
      <c r="N1365">
        <f>IF(Tree!$C$4="once per order",K1365,1)</f>
        <v/>
      </c>
      <c r="O1365">
        <f>IF(Tree!$C$4="once per order",L1365,1)</f>
        <v/>
      </c>
    </row>
    <row r="1366">
      <c r="A1366" t="inlineStr">
        <is>
          <t>KR-00923</t>
        </is>
      </c>
      <c r="B1366" t="inlineStr">
        <is>
          <t>C-0004</t>
        </is>
      </c>
      <c r="C1366" t="inlineStr">
        <is>
          <t>Retail-Core</t>
        </is>
      </c>
      <c r="D1366" t="inlineStr">
        <is>
          <t>web</t>
        </is>
      </c>
      <c r="E1366" s="7" t="n">
        <v>46245</v>
      </c>
      <c r="F1366" t="n">
        <v>1410</v>
      </c>
      <c r="G1366" t="n">
        <v>1410</v>
      </c>
      <c r="H1366" t="inlineStr">
        <is>
          <t>2026-08-13</t>
        </is>
      </c>
      <c r="I1366">
        <f>IF(MONTH(E1366)&lt;=6,"Q1","Q2")</f>
        <v/>
      </c>
      <c r="J1366">
        <f>YEAR(E1366)*100+MONTH(E1366)</f>
        <v/>
      </c>
      <c r="K1366">
        <f>IF(COUNTIF($A$2:A1366,A1366)=1,1,0)</f>
        <v/>
      </c>
      <c r="L1366">
        <f>IF(K1366=1,IF(COUNTIFS($B$2:B1366,B1366,$I$2:I1366,I1366,$K$2:K1366,1)=1,1,0),0)</f>
        <v/>
      </c>
      <c r="M1366">
        <f>IF(Tree!$C$4="once per order",F1366*K1366,F1366)</f>
        <v/>
      </c>
      <c r="N1366">
        <f>IF(Tree!$C$4="once per order",K1366,1)</f>
        <v/>
      </c>
      <c r="O1366">
        <f>IF(Tree!$C$4="once per order",L1366,1)</f>
        <v/>
      </c>
    </row>
    <row r="1367">
      <c r="A1367" t="inlineStr">
        <is>
          <t>KR-00924</t>
        </is>
      </c>
      <c r="B1367" t="inlineStr">
        <is>
          <t>C-0074</t>
        </is>
      </c>
      <c r="C1367" t="inlineStr">
        <is>
          <t>Retail-Core</t>
        </is>
      </c>
      <c r="D1367" t="inlineStr">
        <is>
          <t>store</t>
        </is>
      </c>
      <c r="E1367" s="7" t="n">
        <v>46293</v>
      </c>
      <c r="F1367" t="n">
        <v>2810</v>
      </c>
      <c r="G1367" t="n">
        <v>1686</v>
      </c>
      <c r="H1367" t="inlineStr">
        <is>
          <t>2026-09-28</t>
        </is>
      </c>
      <c r="I1367">
        <f>IF(MONTH(E1367)&lt;=6,"Q1","Q2")</f>
        <v/>
      </c>
      <c r="J1367">
        <f>YEAR(E1367)*100+MONTH(E1367)</f>
        <v/>
      </c>
      <c r="K1367">
        <f>IF(COUNTIF($A$2:A1367,A1367)=1,1,0)</f>
        <v/>
      </c>
      <c r="L1367">
        <f>IF(K1367=1,IF(COUNTIFS($B$2:B1367,B1367,$I$2:I1367,I1367,$K$2:K1367,1)=1,1,0),0)</f>
        <v/>
      </c>
      <c r="M1367">
        <f>IF(Tree!$C$4="once per order",F1367*K1367,F1367)</f>
        <v/>
      </c>
      <c r="N1367">
        <f>IF(Tree!$C$4="once per order",K1367,1)</f>
        <v/>
      </c>
      <c r="O1367">
        <f>IF(Tree!$C$4="once per order",L1367,1)</f>
        <v/>
      </c>
    </row>
    <row r="1368">
      <c r="A1368" t="inlineStr">
        <is>
          <t>KR-00924</t>
        </is>
      </c>
      <c r="B1368" t="inlineStr">
        <is>
          <t>C-0074</t>
        </is>
      </c>
      <c r="C1368" t="inlineStr">
        <is>
          <t>Retail-Core</t>
        </is>
      </c>
      <c r="D1368" t="inlineStr">
        <is>
          <t>store</t>
        </is>
      </c>
      <c r="E1368" s="7" t="n">
        <v>46293</v>
      </c>
      <c r="F1368" t="n">
        <v>2810</v>
      </c>
      <c r="G1368" t="n">
        <v>1124</v>
      </c>
      <c r="H1368" t="inlineStr">
        <is>
          <t>2026-09-28</t>
        </is>
      </c>
      <c r="I1368">
        <f>IF(MONTH(E1368)&lt;=6,"Q1","Q2")</f>
        <v/>
      </c>
      <c r="J1368">
        <f>YEAR(E1368)*100+MONTH(E1368)</f>
        <v/>
      </c>
      <c r="K1368">
        <f>IF(COUNTIF($A$2:A1368,A1368)=1,1,0)</f>
        <v/>
      </c>
      <c r="L1368">
        <f>IF(K1368=1,IF(COUNTIFS($B$2:B1368,B1368,$I$2:I1368,I1368,$K$2:K1368,1)=1,1,0),0)</f>
        <v/>
      </c>
      <c r="M1368">
        <f>IF(Tree!$C$4="once per order",F1368*K1368,F1368)</f>
        <v/>
      </c>
      <c r="N1368">
        <f>IF(Tree!$C$4="once per order",K1368,1)</f>
        <v/>
      </c>
      <c r="O1368">
        <f>IF(Tree!$C$4="once per order",L1368,1)</f>
        <v/>
      </c>
    </row>
    <row r="1369">
      <c r="A1369" t="inlineStr">
        <is>
          <t>KR-00925</t>
        </is>
      </c>
      <c r="B1369" t="inlineStr">
        <is>
          <t>C-0022</t>
        </is>
      </c>
      <c r="C1369" t="inlineStr">
        <is>
          <t>Retail-Core</t>
        </is>
      </c>
      <c r="D1369" t="inlineStr">
        <is>
          <t>web</t>
        </is>
      </c>
      <c r="E1369" s="7" t="n">
        <v>46209</v>
      </c>
      <c r="F1369" t="n">
        <v>2220</v>
      </c>
      <c r="G1369" t="n">
        <v>2220</v>
      </c>
      <c r="H1369" t="inlineStr">
        <is>
          <t>2026-07-08</t>
        </is>
      </c>
      <c r="I1369">
        <f>IF(MONTH(E1369)&lt;=6,"Q1","Q2")</f>
        <v/>
      </c>
      <c r="J1369">
        <f>YEAR(E1369)*100+MONTH(E1369)</f>
        <v/>
      </c>
      <c r="K1369">
        <f>IF(COUNTIF($A$2:A1369,A1369)=1,1,0)</f>
        <v/>
      </c>
      <c r="L1369">
        <f>IF(K1369=1,IF(COUNTIFS($B$2:B1369,B1369,$I$2:I1369,I1369,$K$2:K1369,1)=1,1,0),0)</f>
        <v/>
      </c>
      <c r="M1369">
        <f>IF(Tree!$C$4="once per order",F1369*K1369,F1369)</f>
        <v/>
      </c>
      <c r="N1369">
        <f>IF(Tree!$C$4="once per order",K1369,1)</f>
        <v/>
      </c>
      <c r="O1369">
        <f>IF(Tree!$C$4="once per order",L1369,1)</f>
        <v/>
      </c>
    </row>
    <row r="1370">
      <c r="A1370" t="inlineStr">
        <is>
          <t>KR-00926</t>
        </is>
      </c>
      <c r="B1370" t="inlineStr">
        <is>
          <t>C-0046</t>
        </is>
      </c>
      <c r="C1370" t="inlineStr">
        <is>
          <t>Retail-Core</t>
        </is>
      </c>
      <c r="D1370" t="inlineStr">
        <is>
          <t>web</t>
        </is>
      </c>
      <c r="E1370" s="7" t="n">
        <v>46257</v>
      </c>
      <c r="F1370" t="n">
        <v>2790</v>
      </c>
      <c r="G1370" t="n">
        <v>1674</v>
      </c>
      <c r="H1370" t="inlineStr">
        <is>
          <t>2026-08-25</t>
        </is>
      </c>
      <c r="I1370">
        <f>IF(MONTH(E1370)&lt;=6,"Q1","Q2")</f>
        <v/>
      </c>
      <c r="J1370">
        <f>YEAR(E1370)*100+MONTH(E1370)</f>
        <v/>
      </c>
      <c r="K1370">
        <f>IF(COUNTIF($A$2:A1370,A1370)=1,1,0)</f>
        <v/>
      </c>
      <c r="L1370">
        <f>IF(K1370=1,IF(COUNTIFS($B$2:B1370,B1370,$I$2:I1370,I1370,$K$2:K1370,1)=1,1,0),0)</f>
        <v/>
      </c>
      <c r="M1370">
        <f>IF(Tree!$C$4="once per order",F1370*K1370,F1370)</f>
        <v/>
      </c>
      <c r="N1370">
        <f>IF(Tree!$C$4="once per order",K1370,1)</f>
        <v/>
      </c>
      <c r="O1370">
        <f>IF(Tree!$C$4="once per order",L1370,1)</f>
        <v/>
      </c>
    </row>
    <row r="1371">
      <c r="A1371" t="inlineStr">
        <is>
          <t>KR-00926</t>
        </is>
      </c>
      <c r="B1371" t="inlineStr">
        <is>
          <t>C-0046</t>
        </is>
      </c>
      <c r="C1371" t="inlineStr">
        <is>
          <t>Retail-Core</t>
        </is>
      </c>
      <c r="D1371" t="inlineStr">
        <is>
          <t>web</t>
        </is>
      </c>
      <c r="E1371" s="7" t="n">
        <v>46257</v>
      </c>
      <c r="F1371" t="n">
        <v>2790</v>
      </c>
      <c r="G1371" t="n">
        <v>1116</v>
      </c>
      <c r="H1371" t="inlineStr">
        <is>
          <t>2026-08-25</t>
        </is>
      </c>
      <c r="I1371">
        <f>IF(MONTH(E1371)&lt;=6,"Q1","Q2")</f>
        <v/>
      </c>
      <c r="J1371">
        <f>YEAR(E1371)*100+MONTH(E1371)</f>
        <v/>
      </c>
      <c r="K1371">
        <f>IF(COUNTIF($A$2:A1371,A1371)=1,1,0)</f>
        <v/>
      </c>
      <c r="L1371">
        <f>IF(K1371=1,IF(COUNTIFS($B$2:B1371,B1371,$I$2:I1371,I1371,$K$2:K1371,1)=1,1,0),0)</f>
        <v/>
      </c>
      <c r="M1371">
        <f>IF(Tree!$C$4="once per order",F1371*K1371,F1371)</f>
        <v/>
      </c>
      <c r="N1371">
        <f>IF(Tree!$C$4="once per order",K1371,1)</f>
        <v/>
      </c>
      <c r="O1371">
        <f>IF(Tree!$C$4="once per order",L1371,1)</f>
        <v/>
      </c>
    </row>
    <row r="1372">
      <c r="A1372" t="inlineStr">
        <is>
          <t>KR-00927</t>
        </is>
      </c>
      <c r="B1372" t="inlineStr">
        <is>
          <t>C-0132</t>
        </is>
      </c>
      <c r="C1372" t="inlineStr">
        <is>
          <t>Retail-Core</t>
        </is>
      </c>
      <c r="D1372" t="inlineStr">
        <is>
          <t>app</t>
        </is>
      </c>
      <c r="E1372" s="7" t="n">
        <v>46292</v>
      </c>
      <c r="F1372" t="n">
        <v>1920</v>
      </c>
      <c r="G1372" t="n">
        <v>1920</v>
      </c>
      <c r="H1372" t="inlineStr">
        <is>
          <t>2026-09-28</t>
        </is>
      </c>
      <c r="I1372">
        <f>IF(MONTH(E1372)&lt;=6,"Q1","Q2")</f>
        <v/>
      </c>
      <c r="J1372">
        <f>YEAR(E1372)*100+MONTH(E1372)</f>
        <v/>
      </c>
      <c r="K1372">
        <f>IF(COUNTIF($A$2:A1372,A1372)=1,1,0)</f>
        <v/>
      </c>
      <c r="L1372">
        <f>IF(K1372=1,IF(COUNTIFS($B$2:B1372,B1372,$I$2:I1372,I1372,$K$2:K1372,1)=1,1,0),0)</f>
        <v/>
      </c>
      <c r="M1372">
        <f>IF(Tree!$C$4="once per order",F1372*K1372,F1372)</f>
        <v/>
      </c>
      <c r="N1372">
        <f>IF(Tree!$C$4="once per order",K1372,1)</f>
        <v/>
      </c>
      <c r="O1372">
        <f>IF(Tree!$C$4="once per order",L1372,1)</f>
        <v/>
      </c>
    </row>
    <row r="1373">
      <c r="A1373" t="inlineStr">
        <is>
          <t>KR-00928</t>
        </is>
      </c>
      <c r="B1373" t="inlineStr">
        <is>
          <t>C-0041</t>
        </is>
      </c>
      <c r="C1373" t="inlineStr">
        <is>
          <t>Retail-Core</t>
        </is>
      </c>
      <c r="D1373" t="inlineStr">
        <is>
          <t>web</t>
        </is>
      </c>
      <c r="E1373" s="7" t="n">
        <v>46217</v>
      </c>
      <c r="F1373" t="n">
        <v>2990</v>
      </c>
      <c r="G1373" t="n">
        <v>1794</v>
      </c>
      <c r="H1373" t="inlineStr">
        <is>
          <t>2026-07-16</t>
        </is>
      </c>
      <c r="I1373">
        <f>IF(MONTH(E1373)&lt;=6,"Q1","Q2")</f>
        <v/>
      </c>
      <c r="J1373">
        <f>YEAR(E1373)*100+MONTH(E1373)</f>
        <v/>
      </c>
      <c r="K1373">
        <f>IF(COUNTIF($A$2:A1373,A1373)=1,1,0)</f>
        <v/>
      </c>
      <c r="L1373">
        <f>IF(K1373=1,IF(COUNTIFS($B$2:B1373,B1373,$I$2:I1373,I1373,$K$2:K1373,1)=1,1,0),0)</f>
        <v/>
      </c>
      <c r="M1373">
        <f>IF(Tree!$C$4="once per order",F1373*K1373,F1373)</f>
        <v/>
      </c>
      <c r="N1373">
        <f>IF(Tree!$C$4="once per order",K1373,1)</f>
        <v/>
      </c>
      <c r="O1373">
        <f>IF(Tree!$C$4="once per order",L1373,1)</f>
        <v/>
      </c>
    </row>
    <row r="1374">
      <c r="A1374" t="inlineStr">
        <is>
          <t>KR-00928</t>
        </is>
      </c>
      <c r="B1374" t="inlineStr">
        <is>
          <t>C-0041</t>
        </is>
      </c>
      <c r="C1374" t="inlineStr">
        <is>
          <t>Retail-Core</t>
        </is>
      </c>
      <c r="D1374" t="inlineStr">
        <is>
          <t>web</t>
        </is>
      </c>
      <c r="E1374" s="7" t="n">
        <v>46217</v>
      </c>
      <c r="F1374" t="n">
        <v>2990</v>
      </c>
      <c r="G1374" t="n">
        <v>1196</v>
      </c>
      <c r="H1374" t="inlineStr">
        <is>
          <t>2026-07-16</t>
        </is>
      </c>
      <c r="I1374">
        <f>IF(MONTH(E1374)&lt;=6,"Q1","Q2")</f>
        <v/>
      </c>
      <c r="J1374">
        <f>YEAR(E1374)*100+MONTH(E1374)</f>
        <v/>
      </c>
      <c r="K1374">
        <f>IF(COUNTIF($A$2:A1374,A1374)=1,1,0)</f>
        <v/>
      </c>
      <c r="L1374">
        <f>IF(K1374=1,IF(COUNTIFS($B$2:B1374,B1374,$I$2:I1374,I1374,$K$2:K1374,1)=1,1,0),0)</f>
        <v/>
      </c>
      <c r="M1374">
        <f>IF(Tree!$C$4="once per order",F1374*K1374,F1374)</f>
        <v/>
      </c>
      <c r="N1374">
        <f>IF(Tree!$C$4="once per order",K1374,1)</f>
        <v/>
      </c>
      <c r="O1374">
        <f>IF(Tree!$C$4="once per order",L1374,1)</f>
        <v/>
      </c>
    </row>
    <row r="1375">
      <c r="A1375" t="inlineStr">
        <is>
          <t>KR-00929</t>
        </is>
      </c>
      <c r="B1375" t="inlineStr">
        <is>
          <t>C-0100</t>
        </is>
      </c>
      <c r="C1375" t="inlineStr">
        <is>
          <t>Retail-Core</t>
        </is>
      </c>
      <c r="D1375" t="inlineStr">
        <is>
          <t>store</t>
        </is>
      </c>
      <c r="E1375" s="7" t="n">
        <v>46261</v>
      </c>
      <c r="F1375" t="n">
        <v>1840</v>
      </c>
      <c r="G1375" t="n">
        <v>1840</v>
      </c>
      <c r="H1375" t="inlineStr">
        <is>
          <t>2026-08-28</t>
        </is>
      </c>
      <c r="I1375">
        <f>IF(MONTH(E1375)&lt;=6,"Q1","Q2")</f>
        <v/>
      </c>
      <c r="J1375">
        <f>YEAR(E1375)*100+MONTH(E1375)</f>
        <v/>
      </c>
      <c r="K1375">
        <f>IF(COUNTIF($A$2:A1375,A1375)=1,1,0)</f>
        <v/>
      </c>
      <c r="L1375">
        <f>IF(K1375=1,IF(COUNTIFS($B$2:B1375,B1375,$I$2:I1375,I1375,$K$2:K1375,1)=1,1,0),0)</f>
        <v/>
      </c>
      <c r="M1375">
        <f>IF(Tree!$C$4="once per order",F1375*K1375,F1375)</f>
        <v/>
      </c>
      <c r="N1375">
        <f>IF(Tree!$C$4="once per order",K1375,1)</f>
        <v/>
      </c>
      <c r="O1375">
        <f>IF(Tree!$C$4="once per order",L1375,1)</f>
        <v/>
      </c>
    </row>
    <row r="1376">
      <c r="A1376" t="inlineStr">
        <is>
          <t>KR-00930</t>
        </is>
      </c>
      <c r="B1376" t="inlineStr">
        <is>
          <t>C-0034</t>
        </is>
      </c>
      <c r="C1376" t="inlineStr">
        <is>
          <t>Retail-Core</t>
        </is>
      </c>
      <c r="D1376" t="inlineStr">
        <is>
          <t>app</t>
        </is>
      </c>
      <c r="E1376" s="7" t="n">
        <v>46267</v>
      </c>
      <c r="F1376" t="n">
        <v>2050</v>
      </c>
      <c r="G1376" t="n">
        <v>2050</v>
      </c>
      <c r="H1376" t="inlineStr">
        <is>
          <t>2026-09-04</t>
        </is>
      </c>
      <c r="I1376">
        <f>IF(MONTH(E1376)&lt;=6,"Q1","Q2")</f>
        <v/>
      </c>
      <c r="J1376">
        <f>YEAR(E1376)*100+MONTH(E1376)</f>
        <v/>
      </c>
      <c r="K1376">
        <f>IF(COUNTIF($A$2:A1376,A1376)=1,1,0)</f>
        <v/>
      </c>
      <c r="L1376">
        <f>IF(K1376=1,IF(COUNTIFS($B$2:B1376,B1376,$I$2:I1376,I1376,$K$2:K1376,1)=1,1,0),0)</f>
        <v/>
      </c>
      <c r="M1376">
        <f>IF(Tree!$C$4="once per order",F1376*K1376,F1376)</f>
        <v/>
      </c>
      <c r="N1376">
        <f>IF(Tree!$C$4="once per order",K1376,1)</f>
        <v/>
      </c>
      <c r="O1376">
        <f>IF(Tree!$C$4="once per order",L1376,1)</f>
        <v/>
      </c>
    </row>
    <row r="1377">
      <c r="A1377" t="inlineStr">
        <is>
          <t>KR-00931</t>
        </is>
      </c>
      <c r="B1377" t="inlineStr">
        <is>
          <t>C-0010</t>
        </is>
      </c>
      <c r="C1377" t="inlineStr">
        <is>
          <t>Retail-Core</t>
        </is>
      </c>
      <c r="D1377" t="inlineStr">
        <is>
          <t>store</t>
        </is>
      </c>
      <c r="E1377" s="7" t="n">
        <v>46211</v>
      </c>
      <c r="F1377" t="n">
        <v>2090</v>
      </c>
      <c r="G1377" t="n">
        <v>2090</v>
      </c>
      <c r="H1377" t="inlineStr">
        <is>
          <t>2026-07-10</t>
        </is>
      </c>
      <c r="I1377">
        <f>IF(MONTH(E1377)&lt;=6,"Q1","Q2")</f>
        <v/>
      </c>
      <c r="J1377">
        <f>YEAR(E1377)*100+MONTH(E1377)</f>
        <v/>
      </c>
      <c r="K1377">
        <f>IF(COUNTIF($A$2:A1377,A1377)=1,1,0)</f>
        <v/>
      </c>
      <c r="L1377">
        <f>IF(K1377=1,IF(COUNTIFS($B$2:B1377,B1377,$I$2:I1377,I1377,$K$2:K1377,1)=1,1,0),0)</f>
        <v/>
      </c>
      <c r="M1377">
        <f>IF(Tree!$C$4="once per order",F1377*K1377,F1377)</f>
        <v/>
      </c>
      <c r="N1377">
        <f>IF(Tree!$C$4="once per order",K1377,1)</f>
        <v/>
      </c>
      <c r="O1377">
        <f>IF(Tree!$C$4="once per order",L1377,1)</f>
        <v/>
      </c>
    </row>
    <row r="1378">
      <c r="A1378" t="inlineStr">
        <is>
          <t>KR-00932</t>
        </is>
      </c>
      <c r="B1378" t="inlineStr">
        <is>
          <t>C-0095</t>
        </is>
      </c>
      <c r="C1378" t="inlineStr">
        <is>
          <t>Retail-Core</t>
        </is>
      </c>
      <c r="D1378" t="inlineStr">
        <is>
          <t>app</t>
        </is>
      </c>
      <c r="E1378" s="7" t="n">
        <v>46235</v>
      </c>
      <c r="F1378" t="n">
        <v>2600</v>
      </c>
      <c r="G1378" t="n">
        <v>2600</v>
      </c>
      <c r="H1378" t="inlineStr">
        <is>
          <t>2026-08-03</t>
        </is>
      </c>
      <c r="I1378">
        <f>IF(MONTH(E1378)&lt;=6,"Q1","Q2")</f>
        <v/>
      </c>
      <c r="J1378">
        <f>YEAR(E1378)*100+MONTH(E1378)</f>
        <v/>
      </c>
      <c r="K1378">
        <f>IF(COUNTIF($A$2:A1378,A1378)=1,1,0)</f>
        <v/>
      </c>
      <c r="L1378">
        <f>IF(K1378=1,IF(COUNTIFS($B$2:B1378,B1378,$I$2:I1378,I1378,$K$2:K1378,1)=1,1,0),0)</f>
        <v/>
      </c>
      <c r="M1378">
        <f>IF(Tree!$C$4="once per order",F1378*K1378,F1378)</f>
        <v/>
      </c>
      <c r="N1378">
        <f>IF(Tree!$C$4="once per order",K1378,1)</f>
        <v/>
      </c>
      <c r="O1378">
        <f>IF(Tree!$C$4="once per order",L1378,1)</f>
        <v/>
      </c>
    </row>
    <row r="1379">
      <c r="A1379" t="inlineStr">
        <is>
          <t>KR-00933</t>
        </is>
      </c>
      <c r="B1379" t="inlineStr">
        <is>
          <t>C-0005</t>
        </is>
      </c>
      <c r="C1379" t="inlineStr">
        <is>
          <t>Retail-Core</t>
        </is>
      </c>
      <c r="D1379" t="inlineStr">
        <is>
          <t>store</t>
        </is>
      </c>
      <c r="E1379" s="7" t="n">
        <v>46274</v>
      </c>
      <c r="F1379" t="n">
        <v>1910</v>
      </c>
      <c r="G1379" t="n">
        <v>1910</v>
      </c>
      <c r="H1379" t="inlineStr">
        <is>
          <t>2026-09-11</t>
        </is>
      </c>
      <c r="I1379">
        <f>IF(MONTH(E1379)&lt;=6,"Q1","Q2")</f>
        <v/>
      </c>
      <c r="J1379">
        <f>YEAR(E1379)*100+MONTH(E1379)</f>
        <v/>
      </c>
      <c r="K1379">
        <f>IF(COUNTIF($A$2:A1379,A1379)=1,1,0)</f>
        <v/>
      </c>
      <c r="L1379">
        <f>IF(K1379=1,IF(COUNTIFS($B$2:B1379,B1379,$I$2:I1379,I1379,$K$2:K1379,1)=1,1,0),0)</f>
        <v/>
      </c>
      <c r="M1379">
        <f>IF(Tree!$C$4="once per order",F1379*K1379,F1379)</f>
        <v/>
      </c>
      <c r="N1379">
        <f>IF(Tree!$C$4="once per order",K1379,1)</f>
        <v/>
      </c>
      <c r="O1379">
        <f>IF(Tree!$C$4="once per order",L1379,1)</f>
        <v/>
      </c>
    </row>
    <row r="1380">
      <c r="A1380" t="inlineStr">
        <is>
          <t>KR-00934</t>
        </is>
      </c>
      <c r="B1380" t="inlineStr">
        <is>
          <t>C-0037</t>
        </is>
      </c>
      <c r="C1380" t="inlineStr">
        <is>
          <t>Retail-Core</t>
        </is>
      </c>
      <c r="D1380" t="inlineStr">
        <is>
          <t>web</t>
        </is>
      </c>
      <c r="E1380" s="7" t="n">
        <v>46210</v>
      </c>
      <c r="F1380" t="n">
        <v>1700</v>
      </c>
      <c r="G1380" t="n">
        <v>1700</v>
      </c>
      <c r="H1380" t="inlineStr">
        <is>
          <t>2026-07-09</t>
        </is>
      </c>
      <c r="I1380">
        <f>IF(MONTH(E1380)&lt;=6,"Q1","Q2")</f>
        <v/>
      </c>
      <c r="J1380">
        <f>YEAR(E1380)*100+MONTH(E1380)</f>
        <v/>
      </c>
      <c r="K1380">
        <f>IF(COUNTIF($A$2:A1380,A1380)=1,1,0)</f>
        <v/>
      </c>
      <c r="L1380">
        <f>IF(K1380=1,IF(COUNTIFS($B$2:B1380,B1380,$I$2:I1380,I1380,$K$2:K1380,1)=1,1,0),0)</f>
        <v/>
      </c>
      <c r="M1380">
        <f>IF(Tree!$C$4="once per order",F1380*K1380,F1380)</f>
        <v/>
      </c>
      <c r="N1380">
        <f>IF(Tree!$C$4="once per order",K1380,1)</f>
        <v/>
      </c>
      <c r="O1380">
        <f>IF(Tree!$C$4="once per order",L1380,1)</f>
        <v/>
      </c>
    </row>
    <row r="1381">
      <c r="A1381" t="inlineStr">
        <is>
          <t>KR-00935</t>
        </is>
      </c>
      <c r="B1381" t="inlineStr">
        <is>
          <t>C-0129</t>
        </is>
      </c>
      <c r="C1381" t="inlineStr">
        <is>
          <t>Retail-Core</t>
        </is>
      </c>
      <c r="D1381" t="inlineStr">
        <is>
          <t>app</t>
        </is>
      </c>
      <c r="E1381" s="7" t="n">
        <v>46240</v>
      </c>
      <c r="F1381" t="n">
        <v>1620</v>
      </c>
      <c r="G1381" t="n">
        <v>1620</v>
      </c>
      <c r="H1381" t="inlineStr">
        <is>
          <t>2026-08-08</t>
        </is>
      </c>
      <c r="I1381">
        <f>IF(MONTH(E1381)&lt;=6,"Q1","Q2")</f>
        <v/>
      </c>
      <c r="J1381">
        <f>YEAR(E1381)*100+MONTH(E1381)</f>
        <v/>
      </c>
      <c r="K1381">
        <f>IF(COUNTIF($A$2:A1381,A1381)=1,1,0)</f>
        <v/>
      </c>
      <c r="L1381">
        <f>IF(K1381=1,IF(COUNTIFS($B$2:B1381,B1381,$I$2:I1381,I1381,$K$2:K1381,1)=1,1,0),0)</f>
        <v/>
      </c>
      <c r="M1381">
        <f>IF(Tree!$C$4="once per order",F1381*K1381,F1381)</f>
        <v/>
      </c>
      <c r="N1381">
        <f>IF(Tree!$C$4="once per order",K1381,1)</f>
        <v/>
      </c>
      <c r="O1381">
        <f>IF(Tree!$C$4="once per order",L1381,1)</f>
        <v/>
      </c>
    </row>
    <row r="1382">
      <c r="A1382" t="inlineStr">
        <is>
          <t>KR-00936</t>
        </is>
      </c>
      <c r="B1382" t="inlineStr">
        <is>
          <t>C-0022</t>
        </is>
      </c>
      <c r="C1382" t="inlineStr">
        <is>
          <t>Retail-Core</t>
        </is>
      </c>
      <c r="D1382" t="inlineStr">
        <is>
          <t>web</t>
        </is>
      </c>
      <c r="E1382" s="7" t="n">
        <v>46289</v>
      </c>
      <c r="F1382" t="n">
        <v>1300</v>
      </c>
      <c r="G1382" t="n">
        <v>1300</v>
      </c>
      <c r="H1382" t="inlineStr">
        <is>
          <t>2026-09-26</t>
        </is>
      </c>
      <c r="I1382">
        <f>IF(MONTH(E1382)&lt;=6,"Q1","Q2")</f>
        <v/>
      </c>
      <c r="J1382">
        <f>YEAR(E1382)*100+MONTH(E1382)</f>
        <v/>
      </c>
      <c r="K1382">
        <f>IF(COUNTIF($A$2:A1382,A1382)=1,1,0)</f>
        <v/>
      </c>
      <c r="L1382">
        <f>IF(K1382=1,IF(COUNTIFS($B$2:B1382,B1382,$I$2:I1382,I1382,$K$2:K1382,1)=1,1,0),0)</f>
        <v/>
      </c>
      <c r="M1382">
        <f>IF(Tree!$C$4="once per order",F1382*K1382,F1382)</f>
        <v/>
      </c>
      <c r="N1382">
        <f>IF(Tree!$C$4="once per order",K1382,1)</f>
        <v/>
      </c>
      <c r="O1382">
        <f>IF(Tree!$C$4="once per order",L1382,1)</f>
        <v/>
      </c>
    </row>
    <row r="1383">
      <c r="A1383" t="inlineStr">
        <is>
          <t>KR-00937</t>
        </is>
      </c>
      <c r="B1383" t="inlineStr">
        <is>
          <t>C-0050</t>
        </is>
      </c>
      <c r="C1383" t="inlineStr">
        <is>
          <t>Retail-Core</t>
        </is>
      </c>
      <c r="D1383" t="inlineStr">
        <is>
          <t>store</t>
        </is>
      </c>
      <c r="E1383" s="7" t="n">
        <v>46226</v>
      </c>
      <c r="F1383" t="n">
        <v>1820</v>
      </c>
      <c r="G1383" t="n">
        <v>1820</v>
      </c>
      <c r="H1383" t="inlineStr">
        <is>
          <t>2026-07-25</t>
        </is>
      </c>
      <c r="I1383">
        <f>IF(MONTH(E1383)&lt;=6,"Q1","Q2")</f>
        <v/>
      </c>
      <c r="J1383">
        <f>YEAR(E1383)*100+MONTH(E1383)</f>
        <v/>
      </c>
      <c r="K1383">
        <f>IF(COUNTIF($A$2:A1383,A1383)=1,1,0)</f>
        <v/>
      </c>
      <c r="L1383">
        <f>IF(K1383=1,IF(COUNTIFS($B$2:B1383,B1383,$I$2:I1383,I1383,$K$2:K1383,1)=1,1,0),0)</f>
        <v/>
      </c>
      <c r="M1383">
        <f>IF(Tree!$C$4="once per order",F1383*K1383,F1383)</f>
        <v/>
      </c>
      <c r="N1383">
        <f>IF(Tree!$C$4="once per order",K1383,1)</f>
        <v/>
      </c>
      <c r="O1383">
        <f>IF(Tree!$C$4="once per order",L1383,1)</f>
        <v/>
      </c>
    </row>
    <row r="1384">
      <c r="A1384" t="inlineStr">
        <is>
          <t>KR-00938</t>
        </is>
      </c>
      <c r="B1384" t="inlineStr">
        <is>
          <t>C-0082</t>
        </is>
      </c>
      <c r="C1384" t="inlineStr">
        <is>
          <t>Retail-Core</t>
        </is>
      </c>
      <c r="D1384" t="inlineStr">
        <is>
          <t>web</t>
        </is>
      </c>
      <c r="E1384" s="7" t="n">
        <v>46253</v>
      </c>
      <c r="F1384" t="n">
        <v>2340</v>
      </c>
      <c r="G1384" t="n">
        <v>2340</v>
      </c>
      <c r="H1384" t="inlineStr">
        <is>
          <t>2026-08-21</t>
        </is>
      </c>
      <c r="I1384">
        <f>IF(MONTH(E1384)&lt;=6,"Q1","Q2")</f>
        <v/>
      </c>
      <c r="J1384">
        <f>YEAR(E1384)*100+MONTH(E1384)</f>
        <v/>
      </c>
      <c r="K1384">
        <f>IF(COUNTIF($A$2:A1384,A1384)=1,1,0)</f>
        <v/>
      </c>
      <c r="L1384">
        <f>IF(K1384=1,IF(COUNTIFS($B$2:B1384,B1384,$I$2:I1384,I1384,$K$2:K1384,1)=1,1,0),0)</f>
        <v/>
      </c>
      <c r="M1384">
        <f>IF(Tree!$C$4="once per order",F1384*K1384,F1384)</f>
        <v/>
      </c>
      <c r="N1384">
        <f>IF(Tree!$C$4="once per order",K1384,1)</f>
        <v/>
      </c>
      <c r="O1384">
        <f>IF(Tree!$C$4="once per order",L1384,1)</f>
        <v/>
      </c>
    </row>
    <row r="1385">
      <c r="A1385" t="inlineStr">
        <is>
          <t>KR-00939</t>
        </is>
      </c>
      <c r="B1385" t="inlineStr">
        <is>
          <t>C-0040</t>
        </is>
      </c>
      <c r="C1385" t="inlineStr">
        <is>
          <t>Retail-Core</t>
        </is>
      </c>
      <c r="D1385" t="inlineStr">
        <is>
          <t>app</t>
        </is>
      </c>
      <c r="E1385" s="7" t="n">
        <v>46286</v>
      </c>
      <c r="F1385" t="n">
        <v>1110</v>
      </c>
      <c r="G1385" t="n">
        <v>1110</v>
      </c>
      <c r="H1385" t="inlineStr">
        <is>
          <t>2026-09-23</t>
        </is>
      </c>
      <c r="I1385">
        <f>IF(MONTH(E1385)&lt;=6,"Q1","Q2")</f>
        <v/>
      </c>
      <c r="J1385">
        <f>YEAR(E1385)*100+MONTH(E1385)</f>
        <v/>
      </c>
      <c r="K1385">
        <f>IF(COUNTIF($A$2:A1385,A1385)=1,1,0)</f>
        <v/>
      </c>
      <c r="L1385">
        <f>IF(K1385=1,IF(COUNTIFS($B$2:B1385,B1385,$I$2:I1385,I1385,$K$2:K1385,1)=1,1,0),0)</f>
        <v/>
      </c>
      <c r="M1385">
        <f>IF(Tree!$C$4="once per order",F1385*K1385,F1385)</f>
        <v/>
      </c>
      <c r="N1385">
        <f>IF(Tree!$C$4="once per order",K1385,1)</f>
        <v/>
      </c>
      <c r="O1385">
        <f>IF(Tree!$C$4="once per order",L1385,1)</f>
        <v/>
      </c>
    </row>
    <row r="1386">
      <c r="A1386" t="inlineStr">
        <is>
          <t>KR-00940</t>
        </is>
      </c>
      <c r="B1386" t="inlineStr">
        <is>
          <t>C-0030</t>
        </is>
      </c>
      <c r="C1386" t="inlineStr">
        <is>
          <t>Retail-Core</t>
        </is>
      </c>
      <c r="D1386" t="inlineStr">
        <is>
          <t>web</t>
        </is>
      </c>
      <c r="E1386" s="7" t="n">
        <v>46226</v>
      </c>
      <c r="F1386" t="n">
        <v>1620</v>
      </c>
      <c r="G1386" t="n">
        <v>1620</v>
      </c>
      <c r="H1386" t="inlineStr">
        <is>
          <t>2026-07-25</t>
        </is>
      </c>
      <c r="I1386">
        <f>IF(MONTH(E1386)&lt;=6,"Q1","Q2")</f>
        <v/>
      </c>
      <c r="J1386">
        <f>YEAR(E1386)*100+MONTH(E1386)</f>
        <v/>
      </c>
      <c r="K1386">
        <f>IF(COUNTIF($A$2:A1386,A1386)=1,1,0)</f>
        <v/>
      </c>
      <c r="L1386">
        <f>IF(K1386=1,IF(COUNTIFS($B$2:B1386,B1386,$I$2:I1386,I1386,$K$2:K1386,1)=1,1,0),0)</f>
        <v/>
      </c>
      <c r="M1386">
        <f>IF(Tree!$C$4="once per order",F1386*K1386,F1386)</f>
        <v/>
      </c>
      <c r="N1386">
        <f>IF(Tree!$C$4="once per order",K1386,1)</f>
        <v/>
      </c>
      <c r="O1386">
        <f>IF(Tree!$C$4="once per order",L1386,1)</f>
        <v/>
      </c>
    </row>
    <row r="1387">
      <c r="A1387" t="inlineStr">
        <is>
          <t>KR-00941</t>
        </is>
      </c>
      <c r="B1387" t="inlineStr">
        <is>
          <t>C-0010</t>
        </is>
      </c>
      <c r="C1387" t="inlineStr">
        <is>
          <t>Retail-Core</t>
        </is>
      </c>
      <c r="D1387" t="inlineStr">
        <is>
          <t>web</t>
        </is>
      </c>
      <c r="E1387" s="7" t="n">
        <v>46237</v>
      </c>
      <c r="F1387" t="n">
        <v>2810</v>
      </c>
      <c r="G1387" t="n">
        <v>1686</v>
      </c>
      <c r="H1387" t="inlineStr">
        <is>
          <t>2026-08-05</t>
        </is>
      </c>
      <c r="I1387">
        <f>IF(MONTH(E1387)&lt;=6,"Q1","Q2")</f>
        <v/>
      </c>
      <c r="J1387">
        <f>YEAR(E1387)*100+MONTH(E1387)</f>
        <v/>
      </c>
      <c r="K1387">
        <f>IF(COUNTIF($A$2:A1387,A1387)=1,1,0)</f>
        <v/>
      </c>
      <c r="L1387">
        <f>IF(K1387=1,IF(COUNTIFS($B$2:B1387,B1387,$I$2:I1387,I1387,$K$2:K1387,1)=1,1,0),0)</f>
        <v/>
      </c>
      <c r="M1387">
        <f>IF(Tree!$C$4="once per order",F1387*K1387,F1387)</f>
        <v/>
      </c>
      <c r="N1387">
        <f>IF(Tree!$C$4="once per order",K1387,1)</f>
        <v/>
      </c>
      <c r="O1387">
        <f>IF(Tree!$C$4="once per order",L1387,1)</f>
        <v/>
      </c>
    </row>
    <row r="1388">
      <c r="A1388" t="inlineStr">
        <is>
          <t>KR-00941</t>
        </is>
      </c>
      <c r="B1388" t="inlineStr">
        <is>
          <t>C-0010</t>
        </is>
      </c>
      <c r="C1388" t="inlineStr">
        <is>
          <t>Retail-Core</t>
        </is>
      </c>
      <c r="D1388" t="inlineStr">
        <is>
          <t>web</t>
        </is>
      </c>
      <c r="E1388" s="7" t="n">
        <v>46237</v>
      </c>
      <c r="F1388" t="n">
        <v>2810</v>
      </c>
      <c r="G1388" t="n">
        <v>1124</v>
      </c>
      <c r="H1388" t="inlineStr">
        <is>
          <t>2026-08-05</t>
        </is>
      </c>
      <c r="I1388">
        <f>IF(MONTH(E1388)&lt;=6,"Q1","Q2")</f>
        <v/>
      </c>
      <c r="J1388">
        <f>YEAR(E1388)*100+MONTH(E1388)</f>
        <v/>
      </c>
      <c r="K1388">
        <f>IF(COUNTIF($A$2:A1388,A1388)=1,1,0)</f>
        <v/>
      </c>
      <c r="L1388">
        <f>IF(K1388=1,IF(COUNTIFS($B$2:B1388,B1388,$I$2:I1388,I1388,$K$2:K1388,1)=1,1,0),0)</f>
        <v/>
      </c>
      <c r="M1388">
        <f>IF(Tree!$C$4="once per order",F1388*K1388,F1388)</f>
        <v/>
      </c>
      <c r="N1388">
        <f>IF(Tree!$C$4="once per order",K1388,1)</f>
        <v/>
      </c>
      <c r="O1388">
        <f>IF(Tree!$C$4="once per order",L1388,1)</f>
        <v/>
      </c>
    </row>
    <row r="1389">
      <c r="A1389" t="inlineStr">
        <is>
          <t>KR-00942</t>
        </is>
      </c>
      <c r="B1389" t="inlineStr">
        <is>
          <t>C-0050</t>
        </is>
      </c>
      <c r="C1389" t="inlineStr">
        <is>
          <t>Retail-Core</t>
        </is>
      </c>
      <c r="D1389" t="inlineStr">
        <is>
          <t>web</t>
        </is>
      </c>
      <c r="E1389" s="7" t="n">
        <v>46281</v>
      </c>
      <c r="F1389" t="n">
        <v>1320</v>
      </c>
      <c r="G1389" t="n">
        <v>1320</v>
      </c>
      <c r="H1389" t="inlineStr">
        <is>
          <t>2026-09-18</t>
        </is>
      </c>
      <c r="I1389">
        <f>IF(MONTH(E1389)&lt;=6,"Q1","Q2")</f>
        <v/>
      </c>
      <c r="J1389">
        <f>YEAR(E1389)*100+MONTH(E1389)</f>
        <v/>
      </c>
      <c r="K1389">
        <f>IF(COUNTIF($A$2:A1389,A1389)=1,1,0)</f>
        <v/>
      </c>
      <c r="L1389">
        <f>IF(K1389=1,IF(COUNTIFS($B$2:B1389,B1389,$I$2:I1389,I1389,$K$2:K1389,1)=1,1,0),0)</f>
        <v/>
      </c>
      <c r="M1389">
        <f>IF(Tree!$C$4="once per order",F1389*K1389,F1389)</f>
        <v/>
      </c>
      <c r="N1389">
        <f>IF(Tree!$C$4="once per order",K1389,1)</f>
        <v/>
      </c>
      <c r="O1389">
        <f>IF(Tree!$C$4="once per order",L1389,1)</f>
        <v/>
      </c>
    </row>
    <row r="1390">
      <c r="A1390" t="inlineStr">
        <is>
          <t>KR-00943</t>
        </is>
      </c>
      <c r="B1390" t="inlineStr">
        <is>
          <t>C-0023</t>
        </is>
      </c>
      <c r="C1390" t="inlineStr">
        <is>
          <t>Retail-Core</t>
        </is>
      </c>
      <c r="D1390" t="inlineStr">
        <is>
          <t>app</t>
        </is>
      </c>
      <c r="E1390" s="7" t="n">
        <v>46208</v>
      </c>
      <c r="F1390" t="n">
        <v>1320</v>
      </c>
      <c r="G1390" t="n">
        <v>1320</v>
      </c>
      <c r="H1390" t="inlineStr">
        <is>
          <t>2026-07-07</t>
        </is>
      </c>
      <c r="I1390">
        <f>IF(MONTH(E1390)&lt;=6,"Q1","Q2")</f>
        <v/>
      </c>
      <c r="J1390">
        <f>YEAR(E1390)*100+MONTH(E1390)</f>
        <v/>
      </c>
      <c r="K1390">
        <f>IF(COUNTIF($A$2:A1390,A1390)=1,1,0)</f>
        <v/>
      </c>
      <c r="L1390">
        <f>IF(K1390=1,IF(COUNTIFS($B$2:B1390,B1390,$I$2:I1390,I1390,$K$2:K1390,1)=1,1,0),0)</f>
        <v/>
      </c>
      <c r="M1390">
        <f>IF(Tree!$C$4="once per order",F1390*K1390,F1390)</f>
        <v/>
      </c>
      <c r="N1390">
        <f>IF(Tree!$C$4="once per order",K1390,1)</f>
        <v/>
      </c>
      <c r="O1390">
        <f>IF(Tree!$C$4="once per order",L1390,1)</f>
        <v/>
      </c>
    </row>
    <row r="1391">
      <c r="A1391" t="inlineStr">
        <is>
          <t>KR-00944</t>
        </is>
      </c>
      <c r="B1391" t="inlineStr">
        <is>
          <t>C-0041</t>
        </is>
      </c>
      <c r="C1391" t="inlineStr">
        <is>
          <t>Retail-Core</t>
        </is>
      </c>
      <c r="D1391" t="inlineStr">
        <is>
          <t>store</t>
        </is>
      </c>
      <c r="E1391" s="7" t="n">
        <v>46243</v>
      </c>
      <c r="F1391" t="n">
        <v>1770</v>
      </c>
      <c r="G1391" t="n">
        <v>1770</v>
      </c>
      <c r="H1391" t="inlineStr">
        <is>
          <t>2026-08-11</t>
        </is>
      </c>
      <c r="I1391">
        <f>IF(MONTH(E1391)&lt;=6,"Q1","Q2")</f>
        <v/>
      </c>
      <c r="J1391">
        <f>YEAR(E1391)*100+MONTH(E1391)</f>
        <v/>
      </c>
      <c r="K1391">
        <f>IF(COUNTIF($A$2:A1391,A1391)=1,1,0)</f>
        <v/>
      </c>
      <c r="L1391">
        <f>IF(K1391=1,IF(COUNTIFS($B$2:B1391,B1391,$I$2:I1391,I1391,$K$2:K1391,1)=1,1,0),0)</f>
        <v/>
      </c>
      <c r="M1391">
        <f>IF(Tree!$C$4="once per order",F1391*K1391,F1391)</f>
        <v/>
      </c>
      <c r="N1391">
        <f>IF(Tree!$C$4="once per order",K1391,1)</f>
        <v/>
      </c>
      <c r="O1391">
        <f>IF(Tree!$C$4="once per order",L1391,1)</f>
        <v/>
      </c>
    </row>
    <row r="1392">
      <c r="A1392" t="inlineStr">
        <is>
          <t>KR-00945</t>
        </is>
      </c>
      <c r="B1392" t="inlineStr">
        <is>
          <t>C-0017</t>
        </is>
      </c>
      <c r="C1392" t="inlineStr">
        <is>
          <t>Retail-Core</t>
        </is>
      </c>
      <c r="D1392" t="inlineStr">
        <is>
          <t>store</t>
        </is>
      </c>
      <c r="E1392" s="7" t="n">
        <v>46285</v>
      </c>
      <c r="F1392" t="n">
        <v>1900</v>
      </c>
      <c r="G1392" t="n">
        <v>1900</v>
      </c>
      <c r="H1392" t="inlineStr">
        <is>
          <t>2026-09-22</t>
        </is>
      </c>
      <c r="I1392">
        <f>IF(MONTH(E1392)&lt;=6,"Q1","Q2")</f>
        <v/>
      </c>
      <c r="J1392">
        <f>YEAR(E1392)*100+MONTH(E1392)</f>
        <v/>
      </c>
      <c r="K1392">
        <f>IF(COUNTIF($A$2:A1392,A1392)=1,1,0)</f>
        <v/>
      </c>
      <c r="L1392">
        <f>IF(K1392=1,IF(COUNTIFS($B$2:B1392,B1392,$I$2:I1392,I1392,$K$2:K1392,1)=1,1,0),0)</f>
        <v/>
      </c>
      <c r="M1392">
        <f>IF(Tree!$C$4="once per order",F1392*K1392,F1392)</f>
        <v/>
      </c>
      <c r="N1392">
        <f>IF(Tree!$C$4="once per order",K1392,1)</f>
        <v/>
      </c>
      <c r="O1392">
        <f>IF(Tree!$C$4="once per order",L1392,1)</f>
        <v/>
      </c>
    </row>
    <row r="1393">
      <c r="A1393" t="inlineStr">
        <is>
          <t>KR-00946</t>
        </is>
      </c>
      <c r="B1393" t="inlineStr">
        <is>
          <t>C-0034</t>
        </is>
      </c>
      <c r="C1393" t="inlineStr">
        <is>
          <t>Retail-Core</t>
        </is>
      </c>
      <c r="D1393" t="inlineStr">
        <is>
          <t>store</t>
        </is>
      </c>
      <c r="E1393" s="7" t="n">
        <v>46230</v>
      </c>
      <c r="F1393" t="n">
        <v>2930</v>
      </c>
      <c r="G1393" t="n">
        <v>1758</v>
      </c>
      <c r="H1393" t="inlineStr">
        <is>
          <t>2026-07-28</t>
        </is>
      </c>
      <c r="I1393">
        <f>IF(MONTH(E1393)&lt;=6,"Q1","Q2")</f>
        <v/>
      </c>
      <c r="J1393">
        <f>YEAR(E1393)*100+MONTH(E1393)</f>
        <v/>
      </c>
      <c r="K1393">
        <f>IF(COUNTIF($A$2:A1393,A1393)=1,1,0)</f>
        <v/>
      </c>
      <c r="L1393">
        <f>IF(K1393=1,IF(COUNTIFS($B$2:B1393,B1393,$I$2:I1393,I1393,$K$2:K1393,1)=1,1,0),0)</f>
        <v/>
      </c>
      <c r="M1393">
        <f>IF(Tree!$C$4="once per order",F1393*K1393,F1393)</f>
        <v/>
      </c>
      <c r="N1393">
        <f>IF(Tree!$C$4="once per order",K1393,1)</f>
        <v/>
      </c>
      <c r="O1393">
        <f>IF(Tree!$C$4="once per order",L1393,1)</f>
        <v/>
      </c>
    </row>
    <row r="1394">
      <c r="A1394" t="inlineStr">
        <is>
          <t>KR-00946</t>
        </is>
      </c>
      <c r="B1394" t="inlineStr">
        <is>
          <t>C-0034</t>
        </is>
      </c>
      <c r="C1394" t="inlineStr">
        <is>
          <t>Retail-Core</t>
        </is>
      </c>
      <c r="D1394" t="inlineStr">
        <is>
          <t>store</t>
        </is>
      </c>
      <c r="E1394" s="7" t="n">
        <v>46230</v>
      </c>
      <c r="F1394" t="n">
        <v>2930</v>
      </c>
      <c r="G1394" t="n">
        <v>1172</v>
      </c>
      <c r="H1394" t="inlineStr">
        <is>
          <t>2026-07-28</t>
        </is>
      </c>
      <c r="I1394">
        <f>IF(MONTH(E1394)&lt;=6,"Q1","Q2")</f>
        <v/>
      </c>
      <c r="J1394">
        <f>YEAR(E1394)*100+MONTH(E1394)</f>
        <v/>
      </c>
      <c r="K1394">
        <f>IF(COUNTIF($A$2:A1394,A1394)=1,1,0)</f>
        <v/>
      </c>
      <c r="L1394">
        <f>IF(K1394=1,IF(COUNTIFS($B$2:B1394,B1394,$I$2:I1394,I1394,$K$2:K1394,1)=1,1,0),0)</f>
        <v/>
      </c>
      <c r="M1394">
        <f>IF(Tree!$C$4="once per order",F1394*K1394,F1394)</f>
        <v/>
      </c>
      <c r="N1394">
        <f>IF(Tree!$C$4="once per order",K1394,1)</f>
        <v/>
      </c>
      <c r="O1394">
        <f>IF(Tree!$C$4="once per order",L1394,1)</f>
        <v/>
      </c>
    </row>
    <row r="1395">
      <c r="A1395" t="inlineStr">
        <is>
          <t>KR-00947</t>
        </is>
      </c>
      <c r="B1395" t="inlineStr">
        <is>
          <t>C-0010</t>
        </is>
      </c>
      <c r="C1395" t="inlineStr">
        <is>
          <t>Retail-Core</t>
        </is>
      </c>
      <c r="D1395" t="inlineStr">
        <is>
          <t>store</t>
        </is>
      </c>
      <c r="E1395" s="7" t="n">
        <v>46249</v>
      </c>
      <c r="F1395" t="n">
        <v>1270</v>
      </c>
      <c r="G1395" t="n">
        <v>1270</v>
      </c>
      <c r="H1395" t="inlineStr">
        <is>
          <t>2026-08-17</t>
        </is>
      </c>
      <c r="I1395">
        <f>IF(MONTH(E1395)&lt;=6,"Q1","Q2")</f>
        <v/>
      </c>
      <c r="J1395">
        <f>YEAR(E1395)*100+MONTH(E1395)</f>
        <v/>
      </c>
      <c r="K1395">
        <f>IF(COUNTIF($A$2:A1395,A1395)=1,1,0)</f>
        <v/>
      </c>
      <c r="L1395">
        <f>IF(K1395=1,IF(COUNTIFS($B$2:B1395,B1395,$I$2:I1395,I1395,$K$2:K1395,1)=1,1,0),0)</f>
        <v/>
      </c>
      <c r="M1395">
        <f>IF(Tree!$C$4="once per order",F1395*K1395,F1395)</f>
        <v/>
      </c>
      <c r="N1395">
        <f>IF(Tree!$C$4="once per order",K1395,1)</f>
        <v/>
      </c>
      <c r="O1395">
        <f>IF(Tree!$C$4="once per order",L1395,1)</f>
        <v/>
      </c>
    </row>
    <row r="1396">
      <c r="A1396" t="inlineStr">
        <is>
          <t>KR-00948</t>
        </is>
      </c>
      <c r="B1396" t="inlineStr">
        <is>
          <t>C-0050</t>
        </is>
      </c>
      <c r="C1396" t="inlineStr">
        <is>
          <t>Retail-Core</t>
        </is>
      </c>
      <c r="D1396" t="inlineStr">
        <is>
          <t>web</t>
        </is>
      </c>
      <c r="E1396" s="7" t="n">
        <v>46272</v>
      </c>
      <c r="F1396" t="n">
        <v>2760</v>
      </c>
      <c r="G1396" t="n">
        <v>2760</v>
      </c>
      <c r="H1396" t="inlineStr">
        <is>
          <t>2026-09-09</t>
        </is>
      </c>
      <c r="I1396">
        <f>IF(MONTH(E1396)&lt;=6,"Q1","Q2")</f>
        <v/>
      </c>
      <c r="J1396">
        <f>YEAR(E1396)*100+MONTH(E1396)</f>
        <v/>
      </c>
      <c r="K1396">
        <f>IF(COUNTIF($A$2:A1396,A1396)=1,1,0)</f>
        <v/>
      </c>
      <c r="L1396">
        <f>IF(K1396=1,IF(COUNTIFS($B$2:B1396,B1396,$I$2:I1396,I1396,$K$2:K1396,1)=1,1,0),0)</f>
        <v/>
      </c>
      <c r="M1396">
        <f>IF(Tree!$C$4="once per order",F1396*K1396,F1396)</f>
        <v/>
      </c>
      <c r="N1396">
        <f>IF(Tree!$C$4="once per order",K1396,1)</f>
        <v/>
      </c>
      <c r="O1396">
        <f>IF(Tree!$C$4="once per order",L1396,1)</f>
        <v/>
      </c>
    </row>
    <row r="1397">
      <c r="A1397" t="inlineStr">
        <is>
          <t>KR-00949</t>
        </is>
      </c>
      <c r="B1397" t="inlineStr">
        <is>
          <t>C-0147</t>
        </is>
      </c>
      <c r="C1397" t="inlineStr">
        <is>
          <t>Retail-Core</t>
        </is>
      </c>
      <c r="D1397" t="inlineStr">
        <is>
          <t>store</t>
        </is>
      </c>
      <c r="E1397" s="7" t="n">
        <v>46206</v>
      </c>
      <c r="F1397" t="n">
        <v>2530</v>
      </c>
      <c r="G1397" t="n">
        <v>2530</v>
      </c>
      <c r="H1397" t="inlineStr">
        <is>
          <t>2026-07-05</t>
        </is>
      </c>
      <c r="I1397">
        <f>IF(MONTH(E1397)&lt;=6,"Q1","Q2")</f>
        <v/>
      </c>
      <c r="J1397">
        <f>YEAR(E1397)*100+MONTH(E1397)</f>
        <v/>
      </c>
      <c r="K1397">
        <f>IF(COUNTIF($A$2:A1397,A1397)=1,1,0)</f>
        <v/>
      </c>
      <c r="L1397">
        <f>IF(K1397=1,IF(COUNTIFS($B$2:B1397,B1397,$I$2:I1397,I1397,$K$2:K1397,1)=1,1,0),0)</f>
        <v/>
      </c>
      <c r="M1397">
        <f>IF(Tree!$C$4="once per order",F1397*K1397,F1397)</f>
        <v/>
      </c>
      <c r="N1397">
        <f>IF(Tree!$C$4="once per order",K1397,1)</f>
        <v/>
      </c>
      <c r="O1397">
        <f>IF(Tree!$C$4="once per order",L1397,1)</f>
        <v/>
      </c>
    </row>
    <row r="1398">
      <c r="A1398" t="inlineStr">
        <is>
          <t>KR-00950</t>
        </is>
      </c>
      <c r="B1398" t="inlineStr">
        <is>
          <t>C-0127</t>
        </is>
      </c>
      <c r="C1398" t="inlineStr">
        <is>
          <t>Retail-Core</t>
        </is>
      </c>
      <c r="D1398" t="inlineStr">
        <is>
          <t>store</t>
        </is>
      </c>
      <c r="E1398" s="7" t="n">
        <v>46253</v>
      </c>
      <c r="F1398" t="n">
        <v>1000</v>
      </c>
      <c r="G1398" t="n">
        <v>1000</v>
      </c>
      <c r="H1398" t="inlineStr">
        <is>
          <t>2026-08-21</t>
        </is>
      </c>
      <c r="I1398">
        <f>IF(MONTH(E1398)&lt;=6,"Q1","Q2")</f>
        <v/>
      </c>
      <c r="J1398">
        <f>YEAR(E1398)*100+MONTH(E1398)</f>
        <v/>
      </c>
      <c r="K1398">
        <f>IF(COUNTIF($A$2:A1398,A1398)=1,1,0)</f>
        <v/>
      </c>
      <c r="L1398">
        <f>IF(K1398=1,IF(COUNTIFS($B$2:B1398,B1398,$I$2:I1398,I1398,$K$2:K1398,1)=1,1,0),0)</f>
        <v/>
      </c>
      <c r="M1398">
        <f>IF(Tree!$C$4="once per order",F1398*K1398,F1398)</f>
        <v/>
      </c>
      <c r="N1398">
        <f>IF(Tree!$C$4="once per order",K1398,1)</f>
        <v/>
      </c>
      <c r="O1398">
        <f>IF(Tree!$C$4="once per order",L1398,1)</f>
        <v/>
      </c>
    </row>
    <row r="1399">
      <c r="A1399" t="inlineStr">
        <is>
          <t>KR-00951</t>
        </is>
      </c>
      <c r="B1399" t="inlineStr">
        <is>
          <t>C-0054</t>
        </is>
      </c>
      <c r="C1399" t="inlineStr">
        <is>
          <t>Retail-Core</t>
        </is>
      </c>
      <c r="D1399" t="inlineStr">
        <is>
          <t>app</t>
        </is>
      </c>
      <c r="E1399" s="7" t="n">
        <v>46276</v>
      </c>
      <c r="F1399" t="n">
        <v>1090</v>
      </c>
      <c r="G1399" t="n">
        <v>1090</v>
      </c>
      <c r="H1399" t="inlineStr">
        <is>
          <t>2026-09-13</t>
        </is>
      </c>
      <c r="I1399">
        <f>IF(MONTH(E1399)&lt;=6,"Q1","Q2")</f>
        <v/>
      </c>
      <c r="J1399">
        <f>YEAR(E1399)*100+MONTH(E1399)</f>
        <v/>
      </c>
      <c r="K1399">
        <f>IF(COUNTIF($A$2:A1399,A1399)=1,1,0)</f>
        <v/>
      </c>
      <c r="L1399">
        <f>IF(K1399=1,IF(COUNTIFS($B$2:B1399,B1399,$I$2:I1399,I1399,$K$2:K1399,1)=1,1,0),0)</f>
        <v/>
      </c>
      <c r="M1399">
        <f>IF(Tree!$C$4="once per order",F1399*K1399,F1399)</f>
        <v/>
      </c>
      <c r="N1399">
        <f>IF(Tree!$C$4="once per order",K1399,1)</f>
        <v/>
      </c>
      <c r="O1399">
        <f>IF(Tree!$C$4="once per order",L1399,1)</f>
        <v/>
      </c>
    </row>
    <row r="1400">
      <c r="A1400" t="inlineStr">
        <is>
          <t>KR-00952</t>
        </is>
      </c>
      <c r="B1400" t="inlineStr">
        <is>
          <t>C-0014</t>
        </is>
      </c>
      <c r="C1400" t="inlineStr">
        <is>
          <t>Retail-Core</t>
        </is>
      </c>
      <c r="D1400" t="inlineStr">
        <is>
          <t>web</t>
        </is>
      </c>
      <c r="E1400" s="7" t="n">
        <v>46205</v>
      </c>
      <c r="F1400" t="n">
        <v>1050</v>
      </c>
      <c r="G1400" t="n">
        <v>1050</v>
      </c>
      <c r="H1400" t="inlineStr">
        <is>
          <t>2026-07-04</t>
        </is>
      </c>
      <c r="I1400">
        <f>IF(MONTH(E1400)&lt;=6,"Q1","Q2")</f>
        <v/>
      </c>
      <c r="J1400">
        <f>YEAR(E1400)*100+MONTH(E1400)</f>
        <v/>
      </c>
      <c r="K1400">
        <f>IF(COUNTIF($A$2:A1400,A1400)=1,1,0)</f>
        <v/>
      </c>
      <c r="L1400">
        <f>IF(K1400=1,IF(COUNTIFS($B$2:B1400,B1400,$I$2:I1400,I1400,$K$2:K1400,1)=1,1,0),0)</f>
        <v/>
      </c>
      <c r="M1400">
        <f>IF(Tree!$C$4="once per order",F1400*K1400,F1400)</f>
        <v/>
      </c>
      <c r="N1400">
        <f>IF(Tree!$C$4="once per order",K1400,1)</f>
        <v/>
      </c>
      <c r="O1400">
        <f>IF(Tree!$C$4="once per order",L1400,1)</f>
        <v/>
      </c>
    </row>
    <row r="1401">
      <c r="A1401" t="inlineStr">
        <is>
          <t>KR-00953</t>
        </is>
      </c>
      <c r="B1401" t="inlineStr">
        <is>
          <t>C-0040</t>
        </is>
      </c>
      <c r="C1401" t="inlineStr">
        <is>
          <t>Retail-Core</t>
        </is>
      </c>
      <c r="D1401" t="inlineStr">
        <is>
          <t>store</t>
        </is>
      </c>
      <c r="E1401" s="7" t="n">
        <v>46241</v>
      </c>
      <c r="F1401" t="n">
        <v>2890</v>
      </c>
      <c r="G1401" t="n">
        <v>1734</v>
      </c>
      <c r="H1401" t="inlineStr">
        <is>
          <t>2026-08-09</t>
        </is>
      </c>
      <c r="I1401">
        <f>IF(MONTH(E1401)&lt;=6,"Q1","Q2")</f>
        <v/>
      </c>
      <c r="J1401">
        <f>YEAR(E1401)*100+MONTH(E1401)</f>
        <v/>
      </c>
      <c r="K1401">
        <f>IF(COUNTIF($A$2:A1401,A1401)=1,1,0)</f>
        <v/>
      </c>
      <c r="L1401">
        <f>IF(K1401=1,IF(COUNTIFS($B$2:B1401,B1401,$I$2:I1401,I1401,$K$2:K1401,1)=1,1,0),0)</f>
        <v/>
      </c>
      <c r="M1401">
        <f>IF(Tree!$C$4="once per order",F1401*K1401,F1401)</f>
        <v/>
      </c>
      <c r="N1401">
        <f>IF(Tree!$C$4="once per order",K1401,1)</f>
        <v/>
      </c>
      <c r="O1401">
        <f>IF(Tree!$C$4="once per order",L1401,1)</f>
        <v/>
      </c>
    </row>
    <row r="1402">
      <c r="A1402" t="inlineStr">
        <is>
          <t>KR-00953</t>
        </is>
      </c>
      <c r="B1402" t="inlineStr">
        <is>
          <t>C-0040</t>
        </is>
      </c>
      <c r="C1402" t="inlineStr">
        <is>
          <t>Retail-Core</t>
        </is>
      </c>
      <c r="D1402" t="inlineStr">
        <is>
          <t>store</t>
        </is>
      </c>
      <c r="E1402" s="7" t="n">
        <v>46241</v>
      </c>
      <c r="F1402" t="n">
        <v>2890</v>
      </c>
      <c r="G1402" t="n">
        <v>1156</v>
      </c>
      <c r="H1402" t="inlineStr">
        <is>
          <t>2026-08-09</t>
        </is>
      </c>
      <c r="I1402">
        <f>IF(MONTH(E1402)&lt;=6,"Q1","Q2")</f>
        <v/>
      </c>
      <c r="J1402">
        <f>YEAR(E1402)*100+MONTH(E1402)</f>
        <v/>
      </c>
      <c r="K1402">
        <f>IF(COUNTIF($A$2:A1402,A1402)=1,1,0)</f>
        <v/>
      </c>
      <c r="L1402">
        <f>IF(K1402=1,IF(COUNTIFS($B$2:B1402,B1402,$I$2:I1402,I1402,$K$2:K1402,1)=1,1,0),0)</f>
        <v/>
      </c>
      <c r="M1402">
        <f>IF(Tree!$C$4="once per order",F1402*K1402,F1402)</f>
        <v/>
      </c>
      <c r="N1402">
        <f>IF(Tree!$C$4="once per order",K1402,1)</f>
        <v/>
      </c>
      <c r="O1402">
        <f>IF(Tree!$C$4="once per order",L1402,1)</f>
        <v/>
      </c>
    </row>
    <row r="1403">
      <c r="A1403" t="inlineStr">
        <is>
          <t>KR-00954</t>
        </is>
      </c>
      <c r="B1403" t="inlineStr">
        <is>
          <t>C-0067</t>
        </is>
      </c>
      <c r="C1403" t="inlineStr">
        <is>
          <t>Retail-Core</t>
        </is>
      </c>
      <c r="D1403" t="inlineStr">
        <is>
          <t>app</t>
        </is>
      </c>
      <c r="E1403" s="7" t="n">
        <v>46269</v>
      </c>
      <c r="F1403" t="n">
        <v>2120</v>
      </c>
      <c r="G1403" t="n">
        <v>2120</v>
      </c>
      <c r="H1403" t="inlineStr">
        <is>
          <t>2026-09-06</t>
        </is>
      </c>
      <c r="I1403">
        <f>IF(MONTH(E1403)&lt;=6,"Q1","Q2")</f>
        <v/>
      </c>
      <c r="J1403">
        <f>YEAR(E1403)*100+MONTH(E1403)</f>
        <v/>
      </c>
      <c r="K1403">
        <f>IF(COUNTIF($A$2:A1403,A1403)=1,1,0)</f>
        <v/>
      </c>
      <c r="L1403">
        <f>IF(K1403=1,IF(COUNTIFS($B$2:B1403,B1403,$I$2:I1403,I1403,$K$2:K1403,1)=1,1,0),0)</f>
        <v/>
      </c>
      <c r="M1403">
        <f>IF(Tree!$C$4="once per order",F1403*K1403,F1403)</f>
        <v/>
      </c>
      <c r="N1403">
        <f>IF(Tree!$C$4="once per order",K1403,1)</f>
        <v/>
      </c>
      <c r="O1403">
        <f>IF(Tree!$C$4="once per order",L1403,1)</f>
        <v/>
      </c>
    </row>
    <row r="1404">
      <c r="A1404" t="inlineStr">
        <is>
          <t>KR-00955</t>
        </is>
      </c>
      <c r="B1404" t="inlineStr">
        <is>
          <t>C-0094</t>
        </is>
      </c>
      <c r="C1404" t="inlineStr">
        <is>
          <t>Retail-Core</t>
        </is>
      </c>
      <c r="D1404" t="inlineStr">
        <is>
          <t>app</t>
        </is>
      </c>
      <c r="E1404" s="7" t="n">
        <v>46212</v>
      </c>
      <c r="F1404" t="n">
        <v>2910</v>
      </c>
      <c r="G1404" t="n">
        <v>1746</v>
      </c>
      <c r="H1404" t="inlineStr">
        <is>
          <t>2026-07-11</t>
        </is>
      </c>
      <c r="I1404">
        <f>IF(MONTH(E1404)&lt;=6,"Q1","Q2")</f>
        <v/>
      </c>
      <c r="J1404">
        <f>YEAR(E1404)*100+MONTH(E1404)</f>
        <v/>
      </c>
      <c r="K1404">
        <f>IF(COUNTIF($A$2:A1404,A1404)=1,1,0)</f>
        <v/>
      </c>
      <c r="L1404">
        <f>IF(K1404=1,IF(COUNTIFS($B$2:B1404,B1404,$I$2:I1404,I1404,$K$2:K1404,1)=1,1,0),0)</f>
        <v/>
      </c>
      <c r="M1404">
        <f>IF(Tree!$C$4="once per order",F1404*K1404,F1404)</f>
        <v/>
      </c>
      <c r="N1404">
        <f>IF(Tree!$C$4="once per order",K1404,1)</f>
        <v/>
      </c>
      <c r="O1404">
        <f>IF(Tree!$C$4="once per order",L1404,1)</f>
        <v/>
      </c>
    </row>
    <row r="1405">
      <c r="A1405" t="inlineStr">
        <is>
          <t>KR-00955</t>
        </is>
      </c>
      <c r="B1405" t="inlineStr">
        <is>
          <t>C-0094</t>
        </is>
      </c>
      <c r="C1405" t="inlineStr">
        <is>
          <t>Retail-Core</t>
        </is>
      </c>
      <c r="D1405" t="inlineStr">
        <is>
          <t>app</t>
        </is>
      </c>
      <c r="E1405" s="7" t="n">
        <v>46212</v>
      </c>
      <c r="F1405" t="n">
        <v>2910</v>
      </c>
      <c r="G1405" t="n">
        <v>1164</v>
      </c>
      <c r="H1405" t="inlineStr">
        <is>
          <t>2026-07-11</t>
        </is>
      </c>
      <c r="I1405">
        <f>IF(MONTH(E1405)&lt;=6,"Q1","Q2")</f>
        <v/>
      </c>
      <c r="J1405">
        <f>YEAR(E1405)*100+MONTH(E1405)</f>
        <v/>
      </c>
      <c r="K1405">
        <f>IF(COUNTIF($A$2:A1405,A1405)=1,1,0)</f>
        <v/>
      </c>
      <c r="L1405">
        <f>IF(K1405=1,IF(COUNTIFS($B$2:B1405,B1405,$I$2:I1405,I1405,$K$2:K1405,1)=1,1,0),0)</f>
        <v/>
      </c>
      <c r="M1405">
        <f>IF(Tree!$C$4="once per order",F1405*K1405,F1405)</f>
        <v/>
      </c>
      <c r="N1405">
        <f>IF(Tree!$C$4="once per order",K1405,1)</f>
        <v/>
      </c>
      <c r="O1405">
        <f>IF(Tree!$C$4="once per order",L1405,1)</f>
        <v/>
      </c>
    </row>
    <row r="1406">
      <c r="A1406" t="inlineStr">
        <is>
          <t>KR-00956</t>
        </is>
      </c>
      <c r="B1406" t="inlineStr">
        <is>
          <t>C-0089</t>
        </is>
      </c>
      <c r="C1406" t="inlineStr">
        <is>
          <t>Retail-Core</t>
        </is>
      </c>
      <c r="D1406" t="inlineStr">
        <is>
          <t>app</t>
        </is>
      </c>
      <c r="E1406" s="7" t="n">
        <v>46239</v>
      </c>
      <c r="F1406" t="n">
        <v>2380</v>
      </c>
      <c r="G1406" t="n">
        <v>2380</v>
      </c>
      <c r="H1406" t="inlineStr">
        <is>
          <t>2026-08-07</t>
        </is>
      </c>
      <c r="I1406">
        <f>IF(MONTH(E1406)&lt;=6,"Q1","Q2")</f>
        <v/>
      </c>
      <c r="J1406">
        <f>YEAR(E1406)*100+MONTH(E1406)</f>
        <v/>
      </c>
      <c r="K1406">
        <f>IF(COUNTIF($A$2:A1406,A1406)=1,1,0)</f>
        <v/>
      </c>
      <c r="L1406">
        <f>IF(K1406=1,IF(COUNTIFS($B$2:B1406,B1406,$I$2:I1406,I1406,$K$2:K1406,1)=1,1,0),0)</f>
        <v/>
      </c>
      <c r="M1406">
        <f>IF(Tree!$C$4="once per order",F1406*K1406,F1406)</f>
        <v/>
      </c>
      <c r="N1406">
        <f>IF(Tree!$C$4="once per order",K1406,1)</f>
        <v/>
      </c>
      <c r="O1406">
        <f>IF(Tree!$C$4="once per order",L1406,1)</f>
        <v/>
      </c>
    </row>
    <row r="1407">
      <c r="A1407" t="inlineStr">
        <is>
          <t>KR-00957</t>
        </is>
      </c>
      <c r="B1407" t="inlineStr">
        <is>
          <t>C-0010</t>
        </is>
      </c>
      <c r="C1407" t="inlineStr">
        <is>
          <t>Retail-Core</t>
        </is>
      </c>
      <c r="D1407" t="inlineStr">
        <is>
          <t>web</t>
        </is>
      </c>
      <c r="E1407" s="7" t="n">
        <v>46289</v>
      </c>
      <c r="F1407" t="n">
        <v>1990</v>
      </c>
      <c r="G1407" t="n">
        <v>1990</v>
      </c>
      <c r="H1407" t="inlineStr">
        <is>
          <t>2026-09-26</t>
        </is>
      </c>
      <c r="I1407">
        <f>IF(MONTH(E1407)&lt;=6,"Q1","Q2")</f>
        <v/>
      </c>
      <c r="J1407">
        <f>YEAR(E1407)*100+MONTH(E1407)</f>
        <v/>
      </c>
      <c r="K1407">
        <f>IF(COUNTIF($A$2:A1407,A1407)=1,1,0)</f>
        <v/>
      </c>
      <c r="L1407">
        <f>IF(K1407=1,IF(COUNTIFS($B$2:B1407,B1407,$I$2:I1407,I1407,$K$2:K1407,1)=1,1,0),0)</f>
        <v/>
      </c>
      <c r="M1407">
        <f>IF(Tree!$C$4="once per order",F1407*K1407,F1407)</f>
        <v/>
      </c>
      <c r="N1407">
        <f>IF(Tree!$C$4="once per order",K1407,1)</f>
        <v/>
      </c>
      <c r="O1407">
        <f>IF(Tree!$C$4="once per order",L1407,1)</f>
        <v/>
      </c>
    </row>
    <row r="1408">
      <c r="A1408" t="inlineStr">
        <is>
          <t>KR-00958</t>
        </is>
      </c>
      <c r="B1408" t="inlineStr">
        <is>
          <t>C-0131</t>
        </is>
      </c>
      <c r="C1408" t="inlineStr">
        <is>
          <t>Retail-Core</t>
        </is>
      </c>
      <c r="D1408" t="inlineStr">
        <is>
          <t>app</t>
        </is>
      </c>
      <c r="E1408" s="7" t="n">
        <v>46208</v>
      </c>
      <c r="F1408" t="n">
        <v>2050</v>
      </c>
      <c r="G1408" t="n">
        <v>2050</v>
      </c>
      <c r="H1408" t="inlineStr">
        <is>
          <t>2026-07-07</t>
        </is>
      </c>
      <c r="I1408">
        <f>IF(MONTH(E1408)&lt;=6,"Q1","Q2")</f>
        <v/>
      </c>
      <c r="J1408">
        <f>YEAR(E1408)*100+MONTH(E1408)</f>
        <v/>
      </c>
      <c r="K1408">
        <f>IF(COUNTIF($A$2:A1408,A1408)=1,1,0)</f>
        <v/>
      </c>
      <c r="L1408">
        <f>IF(K1408=1,IF(COUNTIFS($B$2:B1408,B1408,$I$2:I1408,I1408,$K$2:K1408,1)=1,1,0),0)</f>
        <v/>
      </c>
      <c r="M1408">
        <f>IF(Tree!$C$4="once per order",F1408*K1408,F1408)</f>
        <v/>
      </c>
      <c r="N1408">
        <f>IF(Tree!$C$4="once per order",K1408,1)</f>
        <v/>
      </c>
      <c r="O1408">
        <f>IF(Tree!$C$4="once per order",L1408,1)</f>
        <v/>
      </c>
    </row>
    <row r="1409">
      <c r="A1409" t="inlineStr">
        <is>
          <t>KR-00959</t>
        </is>
      </c>
      <c r="B1409" t="inlineStr">
        <is>
          <t>C-0116</t>
        </is>
      </c>
      <c r="C1409" t="inlineStr">
        <is>
          <t>Retail-Core</t>
        </is>
      </c>
      <c r="D1409" t="inlineStr">
        <is>
          <t>app</t>
        </is>
      </c>
      <c r="E1409" s="7" t="n">
        <v>46238</v>
      </c>
      <c r="F1409" t="n">
        <v>2140</v>
      </c>
      <c r="G1409" t="n">
        <v>2140</v>
      </c>
      <c r="H1409" t="inlineStr">
        <is>
          <t>2026-08-06</t>
        </is>
      </c>
      <c r="I1409">
        <f>IF(MONTH(E1409)&lt;=6,"Q1","Q2")</f>
        <v/>
      </c>
      <c r="J1409">
        <f>YEAR(E1409)*100+MONTH(E1409)</f>
        <v/>
      </c>
      <c r="K1409">
        <f>IF(COUNTIF($A$2:A1409,A1409)=1,1,0)</f>
        <v/>
      </c>
      <c r="L1409">
        <f>IF(K1409=1,IF(COUNTIFS($B$2:B1409,B1409,$I$2:I1409,I1409,$K$2:K1409,1)=1,1,0),0)</f>
        <v/>
      </c>
      <c r="M1409">
        <f>IF(Tree!$C$4="once per order",F1409*K1409,F1409)</f>
        <v/>
      </c>
      <c r="N1409">
        <f>IF(Tree!$C$4="once per order",K1409,1)</f>
        <v/>
      </c>
      <c r="O1409">
        <f>IF(Tree!$C$4="once per order",L1409,1)</f>
        <v/>
      </c>
    </row>
    <row r="1410">
      <c r="A1410" t="inlineStr">
        <is>
          <t>KR-00960</t>
        </is>
      </c>
      <c r="B1410" t="inlineStr">
        <is>
          <t>C-0023</t>
        </is>
      </c>
      <c r="C1410" t="inlineStr">
        <is>
          <t>Retail-Core</t>
        </is>
      </c>
      <c r="D1410" t="inlineStr">
        <is>
          <t>app</t>
        </is>
      </c>
      <c r="E1410" s="7" t="n">
        <v>46281</v>
      </c>
      <c r="F1410" t="n">
        <v>1240</v>
      </c>
      <c r="G1410" t="n">
        <v>1240</v>
      </c>
      <c r="H1410" t="inlineStr">
        <is>
          <t>2026-09-18</t>
        </is>
      </c>
      <c r="I1410">
        <f>IF(MONTH(E1410)&lt;=6,"Q1","Q2")</f>
        <v/>
      </c>
      <c r="J1410">
        <f>YEAR(E1410)*100+MONTH(E1410)</f>
        <v/>
      </c>
      <c r="K1410">
        <f>IF(COUNTIF($A$2:A1410,A1410)=1,1,0)</f>
        <v/>
      </c>
      <c r="L1410">
        <f>IF(K1410=1,IF(COUNTIFS($B$2:B1410,B1410,$I$2:I1410,I1410,$K$2:K1410,1)=1,1,0),0)</f>
        <v/>
      </c>
      <c r="M1410">
        <f>IF(Tree!$C$4="once per order",F1410*K1410,F1410)</f>
        <v/>
      </c>
      <c r="N1410">
        <f>IF(Tree!$C$4="once per order",K1410,1)</f>
        <v/>
      </c>
      <c r="O1410">
        <f>IF(Tree!$C$4="once per order",L1410,1)</f>
        <v/>
      </c>
    </row>
    <row r="1411">
      <c r="A1411" t="inlineStr">
        <is>
          <t>KR-00961</t>
        </is>
      </c>
      <c r="B1411" t="inlineStr">
        <is>
          <t>C-0042</t>
        </is>
      </c>
      <c r="C1411" t="inlineStr">
        <is>
          <t>Retail-Core</t>
        </is>
      </c>
      <c r="D1411" t="inlineStr">
        <is>
          <t>web</t>
        </is>
      </c>
      <c r="E1411" s="7" t="n">
        <v>46204</v>
      </c>
      <c r="F1411" t="n">
        <v>1730</v>
      </c>
      <c r="G1411" t="n">
        <v>1730</v>
      </c>
      <c r="H1411" t="inlineStr">
        <is>
          <t>2026-07-03</t>
        </is>
      </c>
      <c r="I1411">
        <f>IF(MONTH(E1411)&lt;=6,"Q1","Q2")</f>
        <v/>
      </c>
      <c r="J1411">
        <f>YEAR(E1411)*100+MONTH(E1411)</f>
        <v/>
      </c>
      <c r="K1411">
        <f>IF(COUNTIF($A$2:A1411,A1411)=1,1,0)</f>
        <v/>
      </c>
      <c r="L1411">
        <f>IF(K1411=1,IF(COUNTIFS($B$2:B1411,B1411,$I$2:I1411,I1411,$K$2:K1411,1)=1,1,0),0)</f>
        <v/>
      </c>
      <c r="M1411">
        <f>IF(Tree!$C$4="once per order",F1411*K1411,F1411)</f>
        <v/>
      </c>
      <c r="N1411">
        <f>IF(Tree!$C$4="once per order",K1411,1)</f>
        <v/>
      </c>
      <c r="O1411">
        <f>IF(Tree!$C$4="once per order",L1411,1)</f>
        <v/>
      </c>
    </row>
    <row r="1412">
      <c r="A1412" t="inlineStr">
        <is>
          <t>KR-00962</t>
        </is>
      </c>
      <c r="B1412" t="inlineStr">
        <is>
          <t>C-0040</t>
        </is>
      </c>
      <c r="C1412" t="inlineStr">
        <is>
          <t>Retail-Core</t>
        </is>
      </c>
      <c r="D1412" t="inlineStr">
        <is>
          <t>store</t>
        </is>
      </c>
      <c r="E1412" s="7" t="n">
        <v>46251</v>
      </c>
      <c r="F1412" t="n">
        <v>1880</v>
      </c>
      <c r="G1412" t="n">
        <v>1880</v>
      </c>
      <c r="H1412" t="inlineStr">
        <is>
          <t>2026-08-19</t>
        </is>
      </c>
      <c r="I1412">
        <f>IF(MONTH(E1412)&lt;=6,"Q1","Q2")</f>
        <v/>
      </c>
      <c r="J1412">
        <f>YEAR(E1412)*100+MONTH(E1412)</f>
        <v/>
      </c>
      <c r="K1412">
        <f>IF(COUNTIF($A$2:A1412,A1412)=1,1,0)</f>
        <v/>
      </c>
      <c r="L1412">
        <f>IF(K1412=1,IF(COUNTIFS($B$2:B1412,B1412,$I$2:I1412,I1412,$K$2:K1412,1)=1,1,0),0)</f>
        <v/>
      </c>
      <c r="M1412">
        <f>IF(Tree!$C$4="once per order",F1412*K1412,F1412)</f>
        <v/>
      </c>
      <c r="N1412">
        <f>IF(Tree!$C$4="once per order",K1412,1)</f>
        <v/>
      </c>
      <c r="O1412">
        <f>IF(Tree!$C$4="once per order",L1412,1)</f>
        <v/>
      </c>
    </row>
    <row r="1413">
      <c r="A1413" t="inlineStr">
        <is>
          <t>KR-00963</t>
        </is>
      </c>
      <c r="B1413" t="inlineStr">
        <is>
          <t>C-0070</t>
        </is>
      </c>
      <c r="C1413" t="inlineStr">
        <is>
          <t>Retail-Core</t>
        </is>
      </c>
      <c r="D1413" t="inlineStr">
        <is>
          <t>store</t>
        </is>
      </c>
      <c r="E1413" s="7" t="n">
        <v>46290</v>
      </c>
      <c r="F1413" t="n">
        <v>1260</v>
      </c>
      <c r="G1413" t="n">
        <v>1260</v>
      </c>
      <c r="H1413" t="inlineStr">
        <is>
          <t>2026-09-27</t>
        </is>
      </c>
      <c r="I1413">
        <f>IF(MONTH(E1413)&lt;=6,"Q1","Q2")</f>
        <v/>
      </c>
      <c r="J1413">
        <f>YEAR(E1413)*100+MONTH(E1413)</f>
        <v/>
      </c>
      <c r="K1413">
        <f>IF(COUNTIF($A$2:A1413,A1413)=1,1,0)</f>
        <v/>
      </c>
      <c r="L1413">
        <f>IF(K1413=1,IF(COUNTIFS($B$2:B1413,B1413,$I$2:I1413,I1413,$K$2:K1413,1)=1,1,0),0)</f>
        <v/>
      </c>
      <c r="M1413">
        <f>IF(Tree!$C$4="once per order",F1413*K1413,F1413)</f>
        <v/>
      </c>
      <c r="N1413">
        <f>IF(Tree!$C$4="once per order",K1413,1)</f>
        <v/>
      </c>
      <c r="O1413">
        <f>IF(Tree!$C$4="once per order",L1413,1)</f>
        <v/>
      </c>
    </row>
    <row r="1414">
      <c r="A1414" t="inlineStr">
        <is>
          <t>KR-00964</t>
        </is>
      </c>
      <c r="B1414" t="inlineStr">
        <is>
          <t>C-0011</t>
        </is>
      </c>
      <c r="C1414" t="inlineStr">
        <is>
          <t>Retail-Core</t>
        </is>
      </c>
      <c r="D1414" t="inlineStr">
        <is>
          <t>store</t>
        </is>
      </c>
      <c r="E1414" s="7" t="n">
        <v>46221</v>
      </c>
      <c r="F1414" t="n">
        <v>1220</v>
      </c>
      <c r="G1414" t="n">
        <v>0</v>
      </c>
      <c r="H1414" t="inlineStr"/>
      <c r="I1414">
        <f>IF(MONTH(E1414)&lt;=6,"Q1","Q2")</f>
        <v/>
      </c>
      <c r="J1414">
        <f>YEAR(E1414)*100+MONTH(E1414)</f>
        <v/>
      </c>
      <c r="K1414">
        <f>IF(COUNTIF($A$2:A1414,A1414)=1,1,0)</f>
        <v/>
      </c>
      <c r="L1414">
        <f>IF(K1414=1,IF(COUNTIFS($B$2:B1414,B1414,$I$2:I1414,I1414,$K$2:K1414,1)=1,1,0),0)</f>
        <v/>
      </c>
      <c r="M1414">
        <f>IF(Tree!$C$4="once per order",F1414*K1414,F1414)</f>
        <v/>
      </c>
      <c r="N1414">
        <f>IF(Tree!$C$4="once per order",K1414,1)</f>
        <v/>
      </c>
      <c r="O1414">
        <f>IF(Tree!$C$4="once per order",L1414,1)</f>
        <v/>
      </c>
    </row>
    <row r="1415">
      <c r="A1415" t="inlineStr">
        <is>
          <t>KR-00965</t>
        </is>
      </c>
      <c r="B1415" t="inlineStr">
        <is>
          <t>C-0033</t>
        </is>
      </c>
      <c r="C1415" t="inlineStr">
        <is>
          <t>Retail-Core</t>
        </is>
      </c>
      <c r="D1415" t="inlineStr">
        <is>
          <t>store</t>
        </is>
      </c>
      <c r="E1415" s="7" t="n">
        <v>46244</v>
      </c>
      <c r="F1415" t="n">
        <v>1280</v>
      </c>
      <c r="G1415" t="n">
        <v>1280</v>
      </c>
      <c r="H1415" t="inlineStr">
        <is>
          <t>2026-08-12</t>
        </is>
      </c>
      <c r="I1415">
        <f>IF(MONTH(E1415)&lt;=6,"Q1","Q2")</f>
        <v/>
      </c>
      <c r="J1415">
        <f>YEAR(E1415)*100+MONTH(E1415)</f>
        <v/>
      </c>
      <c r="K1415">
        <f>IF(COUNTIF($A$2:A1415,A1415)=1,1,0)</f>
        <v/>
      </c>
      <c r="L1415">
        <f>IF(K1415=1,IF(COUNTIFS($B$2:B1415,B1415,$I$2:I1415,I1415,$K$2:K1415,1)=1,1,0),0)</f>
        <v/>
      </c>
      <c r="M1415">
        <f>IF(Tree!$C$4="once per order",F1415*K1415,F1415)</f>
        <v/>
      </c>
      <c r="N1415">
        <f>IF(Tree!$C$4="once per order",K1415,1)</f>
        <v/>
      </c>
      <c r="O1415">
        <f>IF(Tree!$C$4="once per order",L1415,1)</f>
        <v/>
      </c>
    </row>
    <row r="1416">
      <c r="A1416" t="inlineStr">
        <is>
          <t>KR-00966</t>
        </is>
      </c>
      <c r="B1416" t="inlineStr">
        <is>
          <t>C-0041</t>
        </is>
      </c>
      <c r="C1416" t="inlineStr">
        <is>
          <t>Retail-Core</t>
        </is>
      </c>
      <c r="D1416" t="inlineStr">
        <is>
          <t>web</t>
        </is>
      </c>
      <c r="E1416" s="7" t="n">
        <v>46288</v>
      </c>
      <c r="F1416" t="n">
        <v>2250</v>
      </c>
      <c r="G1416" t="n">
        <v>2250</v>
      </c>
      <c r="H1416" t="inlineStr">
        <is>
          <t>2026-09-25</t>
        </is>
      </c>
      <c r="I1416">
        <f>IF(MONTH(E1416)&lt;=6,"Q1","Q2")</f>
        <v/>
      </c>
      <c r="J1416">
        <f>YEAR(E1416)*100+MONTH(E1416)</f>
        <v/>
      </c>
      <c r="K1416">
        <f>IF(COUNTIF($A$2:A1416,A1416)=1,1,0)</f>
        <v/>
      </c>
      <c r="L1416">
        <f>IF(K1416=1,IF(COUNTIFS($B$2:B1416,B1416,$I$2:I1416,I1416,$K$2:K1416,1)=1,1,0),0)</f>
        <v/>
      </c>
      <c r="M1416">
        <f>IF(Tree!$C$4="once per order",F1416*K1416,F1416)</f>
        <v/>
      </c>
      <c r="N1416">
        <f>IF(Tree!$C$4="once per order",K1416,1)</f>
        <v/>
      </c>
      <c r="O1416">
        <f>IF(Tree!$C$4="once per order",L1416,1)</f>
        <v/>
      </c>
    </row>
    <row r="1417">
      <c r="A1417" t="inlineStr">
        <is>
          <t>KR-00967</t>
        </is>
      </c>
      <c r="B1417" t="inlineStr">
        <is>
          <t>C-0037</t>
        </is>
      </c>
      <c r="C1417" t="inlineStr">
        <is>
          <t>Retail-Core</t>
        </is>
      </c>
      <c r="D1417" t="inlineStr">
        <is>
          <t>web</t>
        </is>
      </c>
      <c r="E1417" s="7" t="n">
        <v>46214</v>
      </c>
      <c r="F1417" t="n">
        <v>2870</v>
      </c>
      <c r="G1417" t="n">
        <v>0</v>
      </c>
      <c r="H1417" t="inlineStr"/>
      <c r="I1417">
        <f>IF(MONTH(E1417)&lt;=6,"Q1","Q2")</f>
        <v/>
      </c>
      <c r="J1417">
        <f>YEAR(E1417)*100+MONTH(E1417)</f>
        <v/>
      </c>
      <c r="K1417">
        <f>IF(COUNTIF($A$2:A1417,A1417)=1,1,0)</f>
        <v/>
      </c>
      <c r="L1417">
        <f>IF(K1417=1,IF(COUNTIFS($B$2:B1417,B1417,$I$2:I1417,I1417,$K$2:K1417,1)=1,1,0),0)</f>
        <v/>
      </c>
      <c r="M1417">
        <f>IF(Tree!$C$4="once per order",F1417*K1417,F1417)</f>
        <v/>
      </c>
      <c r="N1417">
        <f>IF(Tree!$C$4="once per order",K1417,1)</f>
        <v/>
      </c>
      <c r="O1417">
        <f>IF(Tree!$C$4="once per order",L1417,1)</f>
        <v/>
      </c>
    </row>
    <row r="1418">
      <c r="A1418" t="inlineStr">
        <is>
          <t>KR-00968</t>
        </is>
      </c>
      <c r="B1418" t="inlineStr">
        <is>
          <t>C-0118</t>
        </is>
      </c>
      <c r="C1418" t="inlineStr">
        <is>
          <t>Retail-Core</t>
        </is>
      </c>
      <c r="D1418" t="inlineStr">
        <is>
          <t>store</t>
        </is>
      </c>
      <c r="E1418" s="7" t="n">
        <v>46258</v>
      </c>
      <c r="F1418" t="n">
        <v>2290</v>
      </c>
      <c r="G1418" t="n">
        <v>0</v>
      </c>
      <c r="H1418" t="inlineStr"/>
      <c r="I1418">
        <f>IF(MONTH(E1418)&lt;=6,"Q1","Q2")</f>
        <v/>
      </c>
      <c r="J1418">
        <f>YEAR(E1418)*100+MONTH(E1418)</f>
        <v/>
      </c>
      <c r="K1418">
        <f>IF(COUNTIF($A$2:A1418,A1418)=1,1,0)</f>
        <v/>
      </c>
      <c r="L1418">
        <f>IF(K1418=1,IF(COUNTIFS($B$2:B1418,B1418,$I$2:I1418,I1418,$K$2:K1418,1)=1,1,0),0)</f>
        <v/>
      </c>
      <c r="M1418">
        <f>IF(Tree!$C$4="once per order",F1418*K1418,F1418)</f>
        <v/>
      </c>
      <c r="N1418">
        <f>IF(Tree!$C$4="once per order",K1418,1)</f>
        <v/>
      </c>
      <c r="O1418">
        <f>IF(Tree!$C$4="once per order",L1418,1)</f>
        <v/>
      </c>
    </row>
    <row r="1419">
      <c r="A1419" t="inlineStr">
        <is>
          <t>KR-00969</t>
        </is>
      </c>
      <c r="B1419" t="inlineStr">
        <is>
          <t>C-0005</t>
        </is>
      </c>
      <c r="C1419" t="inlineStr">
        <is>
          <t>Retail-Core</t>
        </is>
      </c>
      <c r="D1419" t="inlineStr">
        <is>
          <t>web</t>
        </is>
      </c>
      <c r="E1419" s="7" t="n">
        <v>46284</v>
      </c>
      <c r="F1419" t="n">
        <v>1070</v>
      </c>
      <c r="G1419" t="n">
        <v>1070</v>
      </c>
      <c r="H1419" t="inlineStr">
        <is>
          <t>2026-09-21</t>
        </is>
      </c>
      <c r="I1419">
        <f>IF(MONTH(E1419)&lt;=6,"Q1","Q2")</f>
        <v/>
      </c>
      <c r="J1419">
        <f>YEAR(E1419)*100+MONTH(E1419)</f>
        <v/>
      </c>
      <c r="K1419">
        <f>IF(COUNTIF($A$2:A1419,A1419)=1,1,0)</f>
        <v/>
      </c>
      <c r="L1419">
        <f>IF(K1419=1,IF(COUNTIFS($B$2:B1419,B1419,$I$2:I1419,I1419,$K$2:K1419,1)=1,1,0),0)</f>
        <v/>
      </c>
      <c r="M1419">
        <f>IF(Tree!$C$4="once per order",F1419*K1419,F1419)</f>
        <v/>
      </c>
      <c r="N1419">
        <f>IF(Tree!$C$4="once per order",K1419,1)</f>
        <v/>
      </c>
      <c r="O1419">
        <f>IF(Tree!$C$4="once per order",L1419,1)</f>
        <v/>
      </c>
    </row>
    <row r="1420">
      <c r="A1420" t="inlineStr">
        <is>
          <t>KR-00970</t>
        </is>
      </c>
      <c r="B1420" t="inlineStr">
        <is>
          <t>C-0103</t>
        </is>
      </c>
      <c r="C1420" t="inlineStr">
        <is>
          <t>Retail-Core</t>
        </is>
      </c>
      <c r="D1420" t="inlineStr">
        <is>
          <t>store</t>
        </is>
      </c>
      <c r="E1420" s="7" t="n">
        <v>46226</v>
      </c>
      <c r="F1420" t="n">
        <v>2770</v>
      </c>
      <c r="G1420" t="n">
        <v>0</v>
      </c>
      <c r="H1420" t="inlineStr"/>
      <c r="I1420">
        <f>IF(MONTH(E1420)&lt;=6,"Q1","Q2")</f>
        <v/>
      </c>
      <c r="J1420">
        <f>YEAR(E1420)*100+MONTH(E1420)</f>
        <v/>
      </c>
      <c r="K1420">
        <f>IF(COUNTIF($A$2:A1420,A1420)=1,1,0)</f>
        <v/>
      </c>
      <c r="L1420">
        <f>IF(K1420=1,IF(COUNTIFS($B$2:B1420,B1420,$I$2:I1420,I1420,$K$2:K1420,1)=1,1,0),0)</f>
        <v/>
      </c>
      <c r="M1420">
        <f>IF(Tree!$C$4="once per order",F1420*K1420,F1420)</f>
        <v/>
      </c>
      <c r="N1420">
        <f>IF(Tree!$C$4="once per order",K1420,1)</f>
        <v/>
      </c>
      <c r="O1420">
        <f>IF(Tree!$C$4="once per order",L1420,1)</f>
        <v/>
      </c>
    </row>
    <row r="1421">
      <c r="A1421" t="inlineStr">
        <is>
          <t>KR-00971</t>
        </is>
      </c>
      <c r="B1421" t="inlineStr">
        <is>
          <t>C-0044</t>
        </is>
      </c>
      <c r="C1421" t="inlineStr">
        <is>
          <t>Retail-Core</t>
        </is>
      </c>
      <c r="D1421" t="inlineStr">
        <is>
          <t>store</t>
        </is>
      </c>
      <c r="E1421" s="7" t="n">
        <v>46251</v>
      </c>
      <c r="F1421" t="n">
        <v>1290</v>
      </c>
      <c r="G1421" t="n">
        <v>0</v>
      </c>
      <c r="H1421" t="inlineStr"/>
      <c r="I1421">
        <f>IF(MONTH(E1421)&lt;=6,"Q1","Q2")</f>
        <v/>
      </c>
      <c r="J1421">
        <f>YEAR(E1421)*100+MONTH(E1421)</f>
        <v/>
      </c>
      <c r="K1421">
        <f>IF(COUNTIF($A$2:A1421,A1421)=1,1,0)</f>
        <v/>
      </c>
      <c r="L1421">
        <f>IF(K1421=1,IF(COUNTIFS($B$2:B1421,B1421,$I$2:I1421,I1421,$K$2:K1421,1)=1,1,0),0)</f>
        <v/>
      </c>
      <c r="M1421">
        <f>IF(Tree!$C$4="once per order",F1421*K1421,F1421)</f>
        <v/>
      </c>
      <c r="N1421">
        <f>IF(Tree!$C$4="once per order",K1421,1)</f>
        <v/>
      </c>
      <c r="O1421">
        <f>IF(Tree!$C$4="once per order",L1421,1)</f>
        <v/>
      </c>
    </row>
    <row r="1422">
      <c r="A1422" t="inlineStr">
        <is>
          <t>KR-00972</t>
        </is>
      </c>
      <c r="B1422" t="inlineStr">
        <is>
          <t>C-0015</t>
        </is>
      </c>
      <c r="C1422" t="inlineStr">
        <is>
          <t>Retail-Core</t>
        </is>
      </c>
      <c r="D1422" t="inlineStr">
        <is>
          <t>store</t>
        </is>
      </c>
      <c r="E1422" s="7" t="n">
        <v>46275</v>
      </c>
      <c r="F1422" t="n">
        <v>1400</v>
      </c>
      <c r="G1422" t="n">
        <v>0</v>
      </c>
      <c r="H1422" t="inlineStr"/>
      <c r="I1422">
        <f>IF(MONTH(E1422)&lt;=6,"Q1","Q2")</f>
        <v/>
      </c>
      <c r="J1422">
        <f>YEAR(E1422)*100+MONTH(E1422)</f>
        <v/>
      </c>
      <c r="K1422">
        <f>IF(COUNTIF($A$2:A1422,A1422)=1,1,0)</f>
        <v/>
      </c>
      <c r="L1422">
        <f>IF(K1422=1,IF(COUNTIFS($B$2:B1422,B1422,$I$2:I1422,I1422,$K$2:K1422,1)=1,1,0),0)</f>
        <v/>
      </c>
      <c r="M1422">
        <f>IF(Tree!$C$4="once per order",F1422*K1422,F1422)</f>
        <v/>
      </c>
      <c r="N1422">
        <f>IF(Tree!$C$4="once per order",K1422,1)</f>
        <v/>
      </c>
      <c r="O1422">
        <f>IF(Tree!$C$4="once per order",L1422,1)</f>
        <v/>
      </c>
    </row>
    <row r="1423">
      <c r="A1423" t="inlineStr">
        <is>
          <t>KR-00973</t>
        </is>
      </c>
      <c r="B1423" t="inlineStr">
        <is>
          <t>C-0033</t>
        </is>
      </c>
      <c r="C1423" t="inlineStr">
        <is>
          <t>Retail-Core</t>
        </is>
      </c>
      <c r="D1423" t="inlineStr">
        <is>
          <t>store</t>
        </is>
      </c>
      <c r="E1423" s="7" t="n">
        <v>46205</v>
      </c>
      <c r="F1423" t="n">
        <v>1990</v>
      </c>
      <c r="G1423" t="n">
        <v>0</v>
      </c>
      <c r="H1423" t="inlineStr"/>
      <c r="I1423">
        <f>IF(MONTH(E1423)&lt;=6,"Q1","Q2")</f>
        <v/>
      </c>
      <c r="J1423">
        <f>YEAR(E1423)*100+MONTH(E1423)</f>
        <v/>
      </c>
      <c r="K1423">
        <f>IF(COUNTIF($A$2:A1423,A1423)=1,1,0)</f>
        <v/>
      </c>
      <c r="L1423">
        <f>IF(K1423=1,IF(COUNTIFS($B$2:B1423,B1423,$I$2:I1423,I1423,$K$2:K1423,1)=1,1,0),0)</f>
        <v/>
      </c>
      <c r="M1423">
        <f>IF(Tree!$C$4="once per order",F1423*K1423,F1423)</f>
        <v/>
      </c>
      <c r="N1423">
        <f>IF(Tree!$C$4="once per order",K1423,1)</f>
        <v/>
      </c>
      <c r="O1423">
        <f>IF(Tree!$C$4="once per order",L1423,1)</f>
        <v/>
      </c>
    </row>
    <row r="1424">
      <c r="A1424" t="inlineStr">
        <is>
          <t>KR-00974</t>
        </is>
      </c>
      <c r="B1424" t="inlineStr">
        <is>
          <t>C-0091</t>
        </is>
      </c>
      <c r="C1424" t="inlineStr">
        <is>
          <t>Retail-Core</t>
        </is>
      </c>
      <c r="D1424" t="inlineStr">
        <is>
          <t>web</t>
        </is>
      </c>
      <c r="E1424" s="7" t="n">
        <v>46236</v>
      </c>
      <c r="F1424" t="n">
        <v>2180</v>
      </c>
      <c r="G1424" t="n">
        <v>2180</v>
      </c>
      <c r="H1424" t="inlineStr">
        <is>
          <t>2026-08-04</t>
        </is>
      </c>
      <c r="I1424">
        <f>IF(MONTH(E1424)&lt;=6,"Q1","Q2")</f>
        <v/>
      </c>
      <c r="J1424">
        <f>YEAR(E1424)*100+MONTH(E1424)</f>
        <v/>
      </c>
      <c r="K1424">
        <f>IF(COUNTIF($A$2:A1424,A1424)=1,1,0)</f>
        <v/>
      </c>
      <c r="L1424">
        <f>IF(K1424=1,IF(COUNTIFS($B$2:B1424,B1424,$I$2:I1424,I1424,$K$2:K1424,1)=1,1,0),0)</f>
        <v/>
      </c>
      <c r="M1424">
        <f>IF(Tree!$C$4="once per order",F1424*K1424,F1424)</f>
        <v/>
      </c>
      <c r="N1424">
        <f>IF(Tree!$C$4="once per order",K1424,1)</f>
        <v/>
      </c>
      <c r="O1424">
        <f>IF(Tree!$C$4="once per order",L1424,1)</f>
        <v/>
      </c>
    </row>
    <row r="1425">
      <c r="A1425" t="inlineStr">
        <is>
          <t>KR-00975</t>
        </is>
      </c>
      <c r="B1425" t="inlineStr">
        <is>
          <t>C-0029</t>
        </is>
      </c>
      <c r="C1425" t="inlineStr">
        <is>
          <t>Retail-Core</t>
        </is>
      </c>
      <c r="D1425" t="inlineStr">
        <is>
          <t>app</t>
        </is>
      </c>
      <c r="E1425" s="7" t="n">
        <v>46277</v>
      </c>
      <c r="F1425" t="n">
        <v>2950</v>
      </c>
      <c r="G1425" t="n">
        <v>1770</v>
      </c>
      <c r="H1425" t="inlineStr">
        <is>
          <t>2026-09-14</t>
        </is>
      </c>
      <c r="I1425">
        <f>IF(MONTH(E1425)&lt;=6,"Q1","Q2")</f>
        <v/>
      </c>
      <c r="J1425">
        <f>YEAR(E1425)*100+MONTH(E1425)</f>
        <v/>
      </c>
      <c r="K1425">
        <f>IF(COUNTIF($A$2:A1425,A1425)=1,1,0)</f>
        <v/>
      </c>
      <c r="L1425">
        <f>IF(K1425=1,IF(COUNTIFS($B$2:B1425,B1425,$I$2:I1425,I1425,$K$2:K1425,1)=1,1,0),0)</f>
        <v/>
      </c>
      <c r="M1425">
        <f>IF(Tree!$C$4="once per order",F1425*K1425,F1425)</f>
        <v/>
      </c>
      <c r="N1425">
        <f>IF(Tree!$C$4="once per order",K1425,1)</f>
        <v/>
      </c>
      <c r="O1425">
        <f>IF(Tree!$C$4="once per order",L1425,1)</f>
        <v/>
      </c>
    </row>
    <row r="1426">
      <c r="A1426" t="inlineStr">
        <is>
          <t>KR-00975</t>
        </is>
      </c>
      <c r="B1426" t="inlineStr">
        <is>
          <t>C-0029</t>
        </is>
      </c>
      <c r="C1426" t="inlineStr">
        <is>
          <t>Retail-Core</t>
        </is>
      </c>
      <c r="D1426" t="inlineStr">
        <is>
          <t>app</t>
        </is>
      </c>
      <c r="E1426" s="7" t="n">
        <v>46277</v>
      </c>
      <c r="F1426" t="n">
        <v>2950</v>
      </c>
      <c r="G1426" t="n">
        <v>1180</v>
      </c>
      <c r="H1426" t="inlineStr">
        <is>
          <t>2026-09-14</t>
        </is>
      </c>
      <c r="I1426">
        <f>IF(MONTH(E1426)&lt;=6,"Q1","Q2")</f>
        <v/>
      </c>
      <c r="J1426">
        <f>YEAR(E1426)*100+MONTH(E1426)</f>
        <v/>
      </c>
      <c r="K1426">
        <f>IF(COUNTIF($A$2:A1426,A1426)=1,1,0)</f>
        <v/>
      </c>
      <c r="L1426">
        <f>IF(K1426=1,IF(COUNTIFS($B$2:B1426,B1426,$I$2:I1426,I1426,$K$2:K1426,1)=1,1,0),0)</f>
        <v/>
      </c>
      <c r="M1426">
        <f>IF(Tree!$C$4="once per order",F1426*K1426,F1426)</f>
        <v/>
      </c>
      <c r="N1426">
        <f>IF(Tree!$C$4="once per order",K1426,1)</f>
        <v/>
      </c>
      <c r="O1426">
        <f>IF(Tree!$C$4="once per order",L1426,1)</f>
        <v/>
      </c>
    </row>
    <row r="1427">
      <c r="A1427" t="inlineStr">
        <is>
          <t>KR-00976</t>
        </is>
      </c>
      <c r="B1427" t="inlineStr">
        <is>
          <t>C-0011</t>
        </is>
      </c>
      <c r="C1427" t="inlineStr">
        <is>
          <t>Retail-Core</t>
        </is>
      </c>
      <c r="D1427" t="inlineStr">
        <is>
          <t>web</t>
        </is>
      </c>
      <c r="E1427" s="7" t="n">
        <v>46222</v>
      </c>
      <c r="F1427" t="n">
        <v>2470</v>
      </c>
      <c r="G1427" t="n">
        <v>0</v>
      </c>
      <c r="H1427" t="inlineStr"/>
      <c r="I1427">
        <f>IF(MONTH(E1427)&lt;=6,"Q1","Q2")</f>
        <v/>
      </c>
      <c r="J1427">
        <f>YEAR(E1427)*100+MONTH(E1427)</f>
        <v/>
      </c>
      <c r="K1427">
        <f>IF(COUNTIF($A$2:A1427,A1427)=1,1,0)</f>
        <v/>
      </c>
      <c r="L1427">
        <f>IF(K1427=1,IF(COUNTIFS($B$2:B1427,B1427,$I$2:I1427,I1427,$K$2:K1427,1)=1,1,0),0)</f>
        <v/>
      </c>
      <c r="M1427">
        <f>IF(Tree!$C$4="once per order",F1427*K1427,F1427)</f>
        <v/>
      </c>
      <c r="N1427">
        <f>IF(Tree!$C$4="once per order",K1427,1)</f>
        <v/>
      </c>
      <c r="O1427">
        <f>IF(Tree!$C$4="once per order",L1427,1)</f>
        <v/>
      </c>
    </row>
    <row r="1428">
      <c r="A1428" t="inlineStr">
        <is>
          <t>KR-00977</t>
        </is>
      </c>
      <c r="B1428" t="inlineStr">
        <is>
          <t>C-0121</t>
        </is>
      </c>
      <c r="C1428" t="inlineStr">
        <is>
          <t>Retail-Core</t>
        </is>
      </c>
      <c r="D1428" t="inlineStr">
        <is>
          <t>web</t>
        </is>
      </c>
      <c r="E1428" s="7" t="n">
        <v>46236</v>
      </c>
      <c r="F1428" t="n">
        <v>2930</v>
      </c>
      <c r="G1428" t="n">
        <v>0</v>
      </c>
      <c r="H1428" t="inlineStr"/>
      <c r="I1428">
        <f>IF(MONTH(E1428)&lt;=6,"Q1","Q2")</f>
        <v/>
      </c>
      <c r="J1428">
        <f>YEAR(E1428)*100+MONTH(E1428)</f>
        <v/>
      </c>
      <c r="K1428">
        <f>IF(COUNTIF($A$2:A1428,A1428)=1,1,0)</f>
        <v/>
      </c>
      <c r="L1428">
        <f>IF(K1428=1,IF(COUNTIFS($B$2:B1428,B1428,$I$2:I1428,I1428,$K$2:K1428,1)=1,1,0),0)</f>
        <v/>
      </c>
      <c r="M1428">
        <f>IF(Tree!$C$4="once per order",F1428*K1428,F1428)</f>
        <v/>
      </c>
      <c r="N1428">
        <f>IF(Tree!$C$4="once per order",K1428,1)</f>
        <v/>
      </c>
      <c r="O1428">
        <f>IF(Tree!$C$4="once per order",L1428,1)</f>
        <v/>
      </c>
    </row>
    <row r="1429">
      <c r="A1429" t="inlineStr">
        <is>
          <t>KR-00978</t>
        </is>
      </c>
      <c r="B1429" t="inlineStr">
        <is>
          <t>C-0142</t>
        </is>
      </c>
      <c r="C1429" t="inlineStr">
        <is>
          <t>Retail-Core</t>
        </is>
      </c>
      <c r="D1429" t="inlineStr">
        <is>
          <t>web</t>
        </is>
      </c>
      <c r="E1429" s="7" t="n">
        <v>46271</v>
      </c>
      <c r="F1429" t="n">
        <v>2900</v>
      </c>
      <c r="G1429" t="n">
        <v>0</v>
      </c>
      <c r="H1429" t="inlineStr"/>
      <c r="I1429">
        <f>IF(MONTH(E1429)&lt;=6,"Q1","Q2")</f>
        <v/>
      </c>
      <c r="J1429">
        <f>YEAR(E1429)*100+MONTH(E1429)</f>
        <v/>
      </c>
      <c r="K1429">
        <f>IF(COUNTIF($A$2:A1429,A1429)=1,1,0)</f>
        <v/>
      </c>
      <c r="L1429">
        <f>IF(K1429=1,IF(COUNTIFS($B$2:B1429,B1429,$I$2:I1429,I1429,$K$2:K1429,1)=1,1,0),0)</f>
        <v/>
      </c>
      <c r="M1429">
        <f>IF(Tree!$C$4="once per order",F1429*K1429,F1429)</f>
        <v/>
      </c>
      <c r="N1429">
        <f>IF(Tree!$C$4="once per order",K1429,1)</f>
        <v/>
      </c>
      <c r="O1429">
        <f>IF(Tree!$C$4="once per order",L1429,1)</f>
        <v/>
      </c>
    </row>
    <row r="1430">
      <c r="A1430" t="inlineStr">
        <is>
          <t>KR-00979</t>
        </is>
      </c>
      <c r="B1430" t="inlineStr">
        <is>
          <t>C-0092</t>
        </is>
      </c>
      <c r="C1430" t="inlineStr">
        <is>
          <t>Retail-Core</t>
        </is>
      </c>
      <c r="D1430" t="inlineStr">
        <is>
          <t>store</t>
        </is>
      </c>
      <c r="E1430" s="7" t="n">
        <v>46225</v>
      </c>
      <c r="F1430" t="n">
        <v>970</v>
      </c>
      <c r="G1430" t="n">
        <v>0</v>
      </c>
      <c r="H1430" t="inlineStr"/>
      <c r="I1430">
        <f>IF(MONTH(E1430)&lt;=6,"Q1","Q2")</f>
        <v/>
      </c>
      <c r="J1430">
        <f>YEAR(E1430)*100+MONTH(E1430)</f>
        <v/>
      </c>
      <c r="K1430">
        <f>IF(COUNTIF($A$2:A1430,A1430)=1,1,0)</f>
        <v/>
      </c>
      <c r="L1430">
        <f>IF(K1430=1,IF(COUNTIFS($B$2:B1430,B1430,$I$2:I1430,I1430,$K$2:K1430,1)=1,1,0),0)</f>
        <v/>
      </c>
      <c r="M1430">
        <f>IF(Tree!$C$4="once per order",F1430*K1430,F1430)</f>
        <v/>
      </c>
      <c r="N1430">
        <f>IF(Tree!$C$4="once per order",K1430,1)</f>
        <v/>
      </c>
      <c r="O1430">
        <f>IF(Tree!$C$4="once per order",L1430,1)</f>
        <v/>
      </c>
    </row>
    <row r="1431">
      <c r="A1431" t="inlineStr">
        <is>
          <t>KR-00980</t>
        </is>
      </c>
      <c r="B1431" t="inlineStr">
        <is>
          <t>C-0032</t>
        </is>
      </c>
      <c r="C1431" t="inlineStr">
        <is>
          <t>Retail-Core</t>
        </is>
      </c>
      <c r="D1431" t="inlineStr">
        <is>
          <t>web</t>
        </is>
      </c>
      <c r="E1431" s="7" t="n">
        <v>46256</v>
      </c>
      <c r="F1431" t="n">
        <v>1160</v>
      </c>
      <c r="G1431" t="n">
        <v>1160</v>
      </c>
      <c r="H1431" t="inlineStr">
        <is>
          <t>2026-08-24</t>
        </is>
      </c>
      <c r="I1431">
        <f>IF(MONTH(E1431)&lt;=6,"Q1","Q2")</f>
        <v/>
      </c>
      <c r="J1431">
        <f>YEAR(E1431)*100+MONTH(E1431)</f>
        <v/>
      </c>
      <c r="K1431">
        <f>IF(COUNTIF($A$2:A1431,A1431)=1,1,0)</f>
        <v/>
      </c>
      <c r="L1431">
        <f>IF(K1431=1,IF(COUNTIFS($B$2:B1431,B1431,$I$2:I1431,I1431,$K$2:K1431,1)=1,1,0),0)</f>
        <v/>
      </c>
      <c r="M1431">
        <f>IF(Tree!$C$4="once per order",F1431*K1431,F1431)</f>
        <v/>
      </c>
      <c r="N1431">
        <f>IF(Tree!$C$4="once per order",K1431,1)</f>
        <v/>
      </c>
      <c r="O1431">
        <f>IF(Tree!$C$4="once per order",L1431,1)</f>
        <v/>
      </c>
    </row>
    <row r="1432">
      <c r="A1432" t="inlineStr">
        <is>
          <t>KR-00981</t>
        </is>
      </c>
      <c r="B1432" t="inlineStr">
        <is>
          <t>C-0032</t>
        </is>
      </c>
      <c r="C1432" t="inlineStr">
        <is>
          <t>Retail-Core</t>
        </is>
      </c>
      <c r="D1432" t="inlineStr">
        <is>
          <t>store</t>
        </is>
      </c>
      <c r="E1432" s="7" t="n">
        <v>46288</v>
      </c>
      <c r="F1432" t="n">
        <v>1920</v>
      </c>
      <c r="G1432" t="n">
        <v>0</v>
      </c>
      <c r="H1432" t="inlineStr"/>
      <c r="I1432">
        <f>IF(MONTH(E1432)&lt;=6,"Q1","Q2")</f>
        <v/>
      </c>
      <c r="J1432">
        <f>YEAR(E1432)*100+MONTH(E1432)</f>
        <v/>
      </c>
      <c r="K1432">
        <f>IF(COUNTIF($A$2:A1432,A1432)=1,1,0)</f>
        <v/>
      </c>
      <c r="L1432">
        <f>IF(K1432=1,IF(COUNTIFS($B$2:B1432,B1432,$I$2:I1432,I1432,$K$2:K1432,1)=1,1,0),0)</f>
        <v/>
      </c>
      <c r="M1432">
        <f>IF(Tree!$C$4="once per order",F1432*K1432,F1432)</f>
        <v/>
      </c>
      <c r="N1432">
        <f>IF(Tree!$C$4="once per order",K1432,1)</f>
        <v/>
      </c>
      <c r="O1432">
        <f>IF(Tree!$C$4="once per order",L1432,1)</f>
        <v/>
      </c>
    </row>
    <row r="1433">
      <c r="A1433" t="inlineStr">
        <is>
          <t>KR-00982</t>
        </is>
      </c>
      <c r="B1433" t="inlineStr">
        <is>
          <t>C-0017</t>
        </is>
      </c>
      <c r="C1433" t="inlineStr">
        <is>
          <t>Retail-Core</t>
        </is>
      </c>
      <c r="D1433" t="inlineStr">
        <is>
          <t>store</t>
        </is>
      </c>
      <c r="E1433" s="7" t="n">
        <v>46219</v>
      </c>
      <c r="F1433" t="n">
        <v>2460</v>
      </c>
      <c r="G1433" t="n">
        <v>0</v>
      </c>
      <c r="H1433" t="inlineStr"/>
      <c r="I1433">
        <f>IF(MONTH(E1433)&lt;=6,"Q1","Q2")</f>
        <v/>
      </c>
      <c r="J1433">
        <f>YEAR(E1433)*100+MONTH(E1433)</f>
        <v/>
      </c>
      <c r="K1433">
        <f>IF(COUNTIF($A$2:A1433,A1433)=1,1,0)</f>
        <v/>
      </c>
      <c r="L1433">
        <f>IF(K1433=1,IF(COUNTIFS($B$2:B1433,B1433,$I$2:I1433,I1433,$K$2:K1433,1)=1,1,0),0)</f>
        <v/>
      </c>
      <c r="M1433">
        <f>IF(Tree!$C$4="once per order",F1433*K1433,F1433)</f>
        <v/>
      </c>
      <c r="N1433">
        <f>IF(Tree!$C$4="once per order",K1433,1)</f>
        <v/>
      </c>
      <c r="O1433">
        <f>IF(Tree!$C$4="once per order",L1433,1)</f>
        <v/>
      </c>
    </row>
    <row r="1434">
      <c r="A1434" t="inlineStr">
        <is>
          <t>KR-00983</t>
        </is>
      </c>
      <c r="B1434" t="inlineStr">
        <is>
          <t>C-0051</t>
        </is>
      </c>
      <c r="C1434" t="inlineStr">
        <is>
          <t>Retail-Core</t>
        </is>
      </c>
      <c r="D1434" t="inlineStr">
        <is>
          <t>store</t>
        </is>
      </c>
      <c r="E1434" s="7" t="n">
        <v>46260</v>
      </c>
      <c r="F1434" t="n">
        <v>2640</v>
      </c>
      <c r="G1434" t="n">
        <v>0</v>
      </c>
      <c r="H1434" t="inlineStr"/>
      <c r="I1434">
        <f>IF(MONTH(E1434)&lt;=6,"Q1","Q2")</f>
        <v/>
      </c>
      <c r="J1434">
        <f>YEAR(E1434)*100+MONTH(E1434)</f>
        <v/>
      </c>
      <c r="K1434">
        <f>IF(COUNTIF($A$2:A1434,A1434)=1,1,0)</f>
        <v/>
      </c>
      <c r="L1434">
        <f>IF(K1434=1,IF(COUNTIFS($B$2:B1434,B1434,$I$2:I1434,I1434,$K$2:K1434,1)=1,1,0),0)</f>
        <v/>
      </c>
      <c r="M1434">
        <f>IF(Tree!$C$4="once per order",F1434*K1434,F1434)</f>
        <v/>
      </c>
      <c r="N1434">
        <f>IF(Tree!$C$4="once per order",K1434,1)</f>
        <v/>
      </c>
      <c r="O1434">
        <f>IF(Tree!$C$4="once per order",L1434,1)</f>
        <v/>
      </c>
    </row>
    <row r="1435">
      <c r="A1435" t="inlineStr">
        <is>
          <t>KR-00984</t>
        </is>
      </c>
      <c r="B1435" t="inlineStr">
        <is>
          <t>C-0096</t>
        </is>
      </c>
      <c r="C1435" t="inlineStr">
        <is>
          <t>Retail-Core</t>
        </is>
      </c>
      <c r="D1435" t="inlineStr">
        <is>
          <t>store</t>
        </is>
      </c>
      <c r="E1435" s="7" t="n">
        <v>46290</v>
      </c>
      <c r="F1435" t="n">
        <v>1650</v>
      </c>
      <c r="G1435" t="n">
        <v>1650</v>
      </c>
      <c r="H1435" t="inlineStr">
        <is>
          <t>2026-09-27</t>
        </is>
      </c>
      <c r="I1435">
        <f>IF(MONTH(E1435)&lt;=6,"Q1","Q2")</f>
        <v/>
      </c>
      <c r="J1435">
        <f>YEAR(E1435)*100+MONTH(E1435)</f>
        <v/>
      </c>
      <c r="K1435">
        <f>IF(COUNTIF($A$2:A1435,A1435)=1,1,0)</f>
        <v/>
      </c>
      <c r="L1435">
        <f>IF(K1435=1,IF(COUNTIFS($B$2:B1435,B1435,$I$2:I1435,I1435,$K$2:K1435,1)=1,1,0),0)</f>
        <v/>
      </c>
      <c r="M1435">
        <f>IF(Tree!$C$4="once per order",F1435*K1435,F1435)</f>
        <v/>
      </c>
      <c r="N1435">
        <f>IF(Tree!$C$4="once per order",K1435,1)</f>
        <v/>
      </c>
      <c r="O1435">
        <f>IF(Tree!$C$4="once per order",L1435,1)</f>
        <v/>
      </c>
    </row>
    <row r="1436">
      <c r="A1436" t="inlineStr">
        <is>
          <t>KR-00985</t>
        </is>
      </c>
      <c r="B1436" t="inlineStr">
        <is>
          <t>C-0139</t>
        </is>
      </c>
      <c r="C1436" t="inlineStr">
        <is>
          <t>Retail-Core</t>
        </is>
      </c>
      <c r="D1436" t="inlineStr">
        <is>
          <t>app</t>
        </is>
      </c>
      <c r="E1436" s="7" t="n">
        <v>46231</v>
      </c>
      <c r="F1436" t="n">
        <v>2310</v>
      </c>
      <c r="G1436" t="n">
        <v>0</v>
      </c>
      <c r="H1436" t="inlineStr"/>
      <c r="I1436">
        <f>IF(MONTH(E1436)&lt;=6,"Q1","Q2")</f>
        <v/>
      </c>
      <c r="J1436">
        <f>YEAR(E1436)*100+MONTH(E1436)</f>
        <v/>
      </c>
      <c r="K1436">
        <f>IF(COUNTIF($A$2:A1436,A1436)=1,1,0)</f>
        <v/>
      </c>
      <c r="L1436">
        <f>IF(K1436=1,IF(COUNTIFS($B$2:B1436,B1436,$I$2:I1436,I1436,$K$2:K1436,1)=1,1,0),0)</f>
        <v/>
      </c>
      <c r="M1436">
        <f>IF(Tree!$C$4="once per order",F1436*K1436,F1436)</f>
        <v/>
      </c>
      <c r="N1436">
        <f>IF(Tree!$C$4="once per order",K1436,1)</f>
        <v/>
      </c>
      <c r="O1436">
        <f>IF(Tree!$C$4="once per order",L1436,1)</f>
        <v/>
      </c>
    </row>
    <row r="1437">
      <c r="A1437" t="inlineStr">
        <is>
          <t>KR-00986</t>
        </is>
      </c>
      <c r="B1437" t="inlineStr">
        <is>
          <t>C-0033</t>
        </is>
      </c>
      <c r="C1437" t="inlineStr">
        <is>
          <t>Retail-Core</t>
        </is>
      </c>
      <c r="D1437" t="inlineStr">
        <is>
          <t>web</t>
        </is>
      </c>
      <c r="E1437" s="7" t="n">
        <v>46251</v>
      </c>
      <c r="F1437" t="n">
        <v>1530</v>
      </c>
      <c r="G1437" t="n">
        <v>1530</v>
      </c>
      <c r="H1437" t="inlineStr">
        <is>
          <t>2026-08-19</t>
        </is>
      </c>
      <c r="I1437">
        <f>IF(MONTH(E1437)&lt;=6,"Q1","Q2")</f>
        <v/>
      </c>
      <c r="J1437">
        <f>YEAR(E1437)*100+MONTH(E1437)</f>
        <v/>
      </c>
      <c r="K1437">
        <f>IF(COUNTIF($A$2:A1437,A1437)=1,1,0)</f>
        <v/>
      </c>
      <c r="L1437">
        <f>IF(K1437=1,IF(COUNTIFS($B$2:B1437,B1437,$I$2:I1437,I1437,$K$2:K1437,1)=1,1,0),0)</f>
        <v/>
      </c>
      <c r="M1437">
        <f>IF(Tree!$C$4="once per order",F1437*K1437,F1437)</f>
        <v/>
      </c>
      <c r="N1437">
        <f>IF(Tree!$C$4="once per order",K1437,1)</f>
        <v/>
      </c>
      <c r="O1437">
        <f>IF(Tree!$C$4="once per order",L1437,1)</f>
        <v/>
      </c>
    </row>
    <row r="1438">
      <c r="A1438" t="inlineStr">
        <is>
          <t>KR-00987</t>
        </is>
      </c>
      <c r="B1438" t="inlineStr">
        <is>
          <t>C-0113</t>
        </is>
      </c>
      <c r="C1438" t="inlineStr">
        <is>
          <t>Retail-Core</t>
        </is>
      </c>
      <c r="D1438" t="inlineStr">
        <is>
          <t>app</t>
        </is>
      </c>
      <c r="E1438" s="7" t="n">
        <v>46282</v>
      </c>
      <c r="F1438" t="n">
        <v>1400</v>
      </c>
      <c r="G1438" t="n">
        <v>1400</v>
      </c>
      <c r="H1438" t="inlineStr">
        <is>
          <t>2026-09-19</t>
        </is>
      </c>
      <c r="I1438">
        <f>IF(MONTH(E1438)&lt;=6,"Q1","Q2")</f>
        <v/>
      </c>
      <c r="J1438">
        <f>YEAR(E1438)*100+MONTH(E1438)</f>
        <v/>
      </c>
      <c r="K1438">
        <f>IF(COUNTIF($A$2:A1438,A1438)=1,1,0)</f>
        <v/>
      </c>
      <c r="L1438">
        <f>IF(K1438=1,IF(COUNTIFS($B$2:B1438,B1438,$I$2:I1438,I1438,$K$2:K1438,1)=1,1,0),0)</f>
        <v/>
      </c>
      <c r="M1438">
        <f>IF(Tree!$C$4="once per order",F1438*K1438,F1438)</f>
        <v/>
      </c>
      <c r="N1438">
        <f>IF(Tree!$C$4="once per order",K1438,1)</f>
        <v/>
      </c>
      <c r="O1438">
        <f>IF(Tree!$C$4="once per order",L1438,1)</f>
        <v/>
      </c>
    </row>
    <row r="1439">
      <c r="A1439" t="inlineStr">
        <is>
          <t>KR-00988</t>
        </is>
      </c>
      <c r="B1439" t="inlineStr">
        <is>
          <t>C-0013</t>
        </is>
      </c>
      <c r="C1439" t="inlineStr">
        <is>
          <t>Retail-Core</t>
        </is>
      </c>
      <c r="D1439" t="inlineStr">
        <is>
          <t>store</t>
        </is>
      </c>
      <c r="E1439" s="7" t="n">
        <v>46205</v>
      </c>
      <c r="F1439" t="n">
        <v>1400</v>
      </c>
      <c r="G1439" t="n">
        <v>0</v>
      </c>
      <c r="H1439" t="inlineStr"/>
      <c r="I1439">
        <f>IF(MONTH(E1439)&lt;=6,"Q1","Q2")</f>
        <v/>
      </c>
      <c r="J1439">
        <f>YEAR(E1439)*100+MONTH(E1439)</f>
        <v/>
      </c>
      <c r="K1439">
        <f>IF(COUNTIF($A$2:A1439,A1439)=1,1,0)</f>
        <v/>
      </c>
      <c r="L1439">
        <f>IF(K1439=1,IF(COUNTIFS($B$2:B1439,B1439,$I$2:I1439,I1439,$K$2:K1439,1)=1,1,0),0)</f>
        <v/>
      </c>
      <c r="M1439">
        <f>IF(Tree!$C$4="once per order",F1439*K1439,F1439)</f>
        <v/>
      </c>
      <c r="N1439">
        <f>IF(Tree!$C$4="once per order",K1439,1)</f>
        <v/>
      </c>
      <c r="O1439">
        <f>IF(Tree!$C$4="once per order",L1439,1)</f>
        <v/>
      </c>
    </row>
    <row r="1440">
      <c r="A1440" t="inlineStr">
        <is>
          <t>KR-00989</t>
        </is>
      </c>
      <c r="B1440" t="inlineStr">
        <is>
          <t>C-0006</t>
        </is>
      </c>
      <c r="C1440" t="inlineStr">
        <is>
          <t>Retail-Core</t>
        </is>
      </c>
      <c r="D1440" t="inlineStr">
        <is>
          <t>app</t>
        </is>
      </c>
      <c r="E1440" s="7" t="n">
        <v>46243</v>
      </c>
      <c r="F1440" t="n">
        <v>2910</v>
      </c>
      <c r="G1440" t="n">
        <v>0</v>
      </c>
      <c r="H1440" t="inlineStr"/>
      <c r="I1440">
        <f>IF(MONTH(E1440)&lt;=6,"Q1","Q2")</f>
        <v/>
      </c>
      <c r="J1440">
        <f>YEAR(E1440)*100+MONTH(E1440)</f>
        <v/>
      </c>
      <c r="K1440">
        <f>IF(COUNTIF($A$2:A1440,A1440)=1,1,0)</f>
        <v/>
      </c>
      <c r="L1440">
        <f>IF(K1440=1,IF(COUNTIFS($B$2:B1440,B1440,$I$2:I1440,I1440,$K$2:K1440,1)=1,1,0),0)</f>
        <v/>
      </c>
      <c r="M1440">
        <f>IF(Tree!$C$4="once per order",F1440*K1440,F1440)</f>
        <v/>
      </c>
      <c r="N1440">
        <f>IF(Tree!$C$4="once per order",K1440,1)</f>
        <v/>
      </c>
      <c r="O1440">
        <f>IF(Tree!$C$4="once per order",L1440,1)</f>
        <v/>
      </c>
    </row>
    <row r="1441">
      <c r="A1441" t="inlineStr">
        <is>
          <t>KR-00990</t>
        </is>
      </c>
      <c r="B1441" t="inlineStr">
        <is>
          <t>C-0111</t>
        </is>
      </c>
      <c r="C1441" t="inlineStr">
        <is>
          <t>Retail-Core</t>
        </is>
      </c>
      <c r="D1441" t="inlineStr">
        <is>
          <t>store</t>
        </is>
      </c>
      <c r="E1441" s="7" t="n">
        <v>46287</v>
      </c>
      <c r="F1441" t="n">
        <v>1600</v>
      </c>
      <c r="G1441" t="n">
        <v>0</v>
      </c>
      <c r="H1441" t="inlineStr"/>
      <c r="I1441">
        <f>IF(MONTH(E1441)&lt;=6,"Q1","Q2")</f>
        <v/>
      </c>
      <c r="J1441">
        <f>YEAR(E1441)*100+MONTH(E1441)</f>
        <v/>
      </c>
      <c r="K1441">
        <f>IF(COUNTIF($A$2:A1441,A1441)=1,1,0)</f>
        <v/>
      </c>
      <c r="L1441">
        <f>IF(K1441=1,IF(COUNTIFS($B$2:B1441,B1441,$I$2:I1441,I1441,$K$2:K1441,1)=1,1,0),0)</f>
        <v/>
      </c>
      <c r="M1441">
        <f>IF(Tree!$C$4="once per order",F1441*K1441,F1441)</f>
        <v/>
      </c>
      <c r="N1441">
        <f>IF(Tree!$C$4="once per order",K1441,1)</f>
        <v/>
      </c>
      <c r="O1441">
        <f>IF(Tree!$C$4="once per order",L1441,1)</f>
        <v/>
      </c>
    </row>
    <row r="1442">
      <c r="A1442" t="inlineStr">
        <is>
          <t>KR-00991</t>
        </is>
      </c>
      <c r="B1442" t="inlineStr">
        <is>
          <t>C-0132</t>
        </is>
      </c>
      <c r="C1442" t="inlineStr">
        <is>
          <t>Retail-Core</t>
        </is>
      </c>
      <c r="D1442" t="inlineStr">
        <is>
          <t>web</t>
        </is>
      </c>
      <c r="E1442" s="7" t="n">
        <v>46223</v>
      </c>
      <c r="F1442" t="n">
        <v>2620</v>
      </c>
      <c r="G1442" t="n">
        <v>0</v>
      </c>
      <c r="H1442" t="inlineStr"/>
      <c r="I1442">
        <f>IF(MONTH(E1442)&lt;=6,"Q1","Q2")</f>
        <v/>
      </c>
      <c r="J1442">
        <f>YEAR(E1442)*100+MONTH(E1442)</f>
        <v/>
      </c>
      <c r="K1442">
        <f>IF(COUNTIF($A$2:A1442,A1442)=1,1,0)</f>
        <v/>
      </c>
      <c r="L1442">
        <f>IF(K1442=1,IF(COUNTIFS($B$2:B1442,B1442,$I$2:I1442,I1442,$K$2:K1442,1)=1,1,0),0)</f>
        <v/>
      </c>
      <c r="M1442">
        <f>IF(Tree!$C$4="once per order",F1442*K1442,F1442)</f>
        <v/>
      </c>
      <c r="N1442">
        <f>IF(Tree!$C$4="once per order",K1442,1)</f>
        <v/>
      </c>
      <c r="O1442">
        <f>IF(Tree!$C$4="once per order",L1442,1)</f>
        <v/>
      </c>
    </row>
    <row r="1443">
      <c r="A1443" t="inlineStr">
        <is>
          <t>KR-00992</t>
        </is>
      </c>
      <c r="B1443" t="inlineStr">
        <is>
          <t>C-0150</t>
        </is>
      </c>
      <c r="C1443" t="inlineStr">
        <is>
          <t>Retail-Core</t>
        </is>
      </c>
      <c r="D1443" t="inlineStr">
        <is>
          <t>store</t>
        </is>
      </c>
      <c r="E1443" s="7" t="n">
        <v>46252</v>
      </c>
      <c r="F1443" t="n">
        <v>2410</v>
      </c>
      <c r="G1443" t="n">
        <v>0</v>
      </c>
      <c r="H1443" t="inlineStr"/>
      <c r="I1443">
        <f>IF(MONTH(E1443)&lt;=6,"Q1","Q2")</f>
        <v/>
      </c>
      <c r="J1443">
        <f>YEAR(E1443)*100+MONTH(E1443)</f>
        <v/>
      </c>
      <c r="K1443">
        <f>IF(COUNTIF($A$2:A1443,A1443)=1,1,0)</f>
        <v/>
      </c>
      <c r="L1443">
        <f>IF(K1443=1,IF(COUNTIFS($B$2:B1443,B1443,$I$2:I1443,I1443,$K$2:K1443,1)=1,1,0),0)</f>
        <v/>
      </c>
      <c r="M1443">
        <f>IF(Tree!$C$4="once per order",F1443*K1443,F1443)</f>
        <v/>
      </c>
      <c r="N1443">
        <f>IF(Tree!$C$4="once per order",K1443,1)</f>
        <v/>
      </c>
      <c r="O1443">
        <f>IF(Tree!$C$4="once per order",L1443,1)</f>
        <v/>
      </c>
    </row>
    <row r="1444">
      <c r="A1444" t="inlineStr">
        <is>
          <t>KR-00993</t>
        </is>
      </c>
      <c r="B1444" t="inlineStr">
        <is>
          <t>C-0139</t>
        </is>
      </c>
      <c r="C1444" t="inlineStr">
        <is>
          <t>Retail-Core</t>
        </is>
      </c>
      <c r="D1444" t="inlineStr">
        <is>
          <t>store</t>
        </is>
      </c>
      <c r="E1444" s="7" t="n">
        <v>46276</v>
      </c>
      <c r="F1444" t="n">
        <v>2710</v>
      </c>
      <c r="G1444" t="n">
        <v>0</v>
      </c>
      <c r="H1444" t="inlineStr"/>
      <c r="I1444">
        <f>IF(MONTH(E1444)&lt;=6,"Q1","Q2")</f>
        <v/>
      </c>
      <c r="J1444">
        <f>YEAR(E1444)*100+MONTH(E1444)</f>
        <v/>
      </c>
      <c r="K1444">
        <f>IF(COUNTIF($A$2:A1444,A1444)=1,1,0)</f>
        <v/>
      </c>
      <c r="L1444">
        <f>IF(K1444=1,IF(COUNTIFS($B$2:B1444,B1444,$I$2:I1444,I1444,$K$2:K1444,1)=1,1,0),0)</f>
        <v/>
      </c>
      <c r="M1444">
        <f>IF(Tree!$C$4="once per order",F1444*K1444,F1444)</f>
        <v/>
      </c>
      <c r="N1444">
        <f>IF(Tree!$C$4="once per order",K1444,1)</f>
        <v/>
      </c>
      <c r="O1444">
        <f>IF(Tree!$C$4="once per order",L1444,1)</f>
        <v/>
      </c>
    </row>
    <row r="1445">
      <c r="A1445" t="inlineStr">
        <is>
          <t>KR-00994</t>
        </is>
      </c>
      <c r="B1445" t="inlineStr">
        <is>
          <t>C-0004</t>
        </is>
      </c>
      <c r="C1445" t="inlineStr">
        <is>
          <t>Retail-Core</t>
        </is>
      </c>
      <c r="D1445" t="inlineStr">
        <is>
          <t>app</t>
        </is>
      </c>
      <c r="E1445" s="7" t="n">
        <v>46212</v>
      </c>
      <c r="F1445" t="n">
        <v>1710</v>
      </c>
      <c r="G1445" t="n">
        <v>0</v>
      </c>
      <c r="H1445" t="inlineStr"/>
      <c r="I1445">
        <f>IF(MONTH(E1445)&lt;=6,"Q1","Q2")</f>
        <v/>
      </c>
      <c r="J1445">
        <f>YEAR(E1445)*100+MONTH(E1445)</f>
        <v/>
      </c>
      <c r="K1445">
        <f>IF(COUNTIF($A$2:A1445,A1445)=1,1,0)</f>
        <v/>
      </c>
      <c r="L1445">
        <f>IF(K1445=1,IF(COUNTIFS($B$2:B1445,B1445,$I$2:I1445,I1445,$K$2:K1445,1)=1,1,0),0)</f>
        <v/>
      </c>
      <c r="M1445">
        <f>IF(Tree!$C$4="once per order",F1445*K1445,F1445)</f>
        <v/>
      </c>
      <c r="N1445">
        <f>IF(Tree!$C$4="once per order",K1445,1)</f>
        <v/>
      </c>
      <c r="O1445">
        <f>IF(Tree!$C$4="once per order",L1445,1)</f>
        <v/>
      </c>
    </row>
    <row r="1446">
      <c r="A1446" t="inlineStr">
        <is>
          <t>KR-00995</t>
        </is>
      </c>
      <c r="B1446" t="inlineStr">
        <is>
          <t>C-0013</t>
        </is>
      </c>
      <c r="C1446" t="inlineStr">
        <is>
          <t>Retail-Core</t>
        </is>
      </c>
      <c r="D1446" t="inlineStr">
        <is>
          <t>store</t>
        </is>
      </c>
      <c r="E1446" s="7" t="n">
        <v>46256</v>
      </c>
      <c r="F1446" t="n">
        <v>2870</v>
      </c>
      <c r="G1446" t="n">
        <v>0</v>
      </c>
      <c r="H1446" t="inlineStr"/>
      <c r="I1446">
        <f>IF(MONTH(E1446)&lt;=6,"Q1","Q2")</f>
        <v/>
      </c>
      <c r="J1446">
        <f>YEAR(E1446)*100+MONTH(E1446)</f>
        <v/>
      </c>
      <c r="K1446">
        <f>IF(COUNTIF($A$2:A1446,A1446)=1,1,0)</f>
        <v/>
      </c>
      <c r="L1446">
        <f>IF(K1446=1,IF(COUNTIFS($B$2:B1446,B1446,$I$2:I1446,I1446,$K$2:K1446,1)=1,1,0),0)</f>
        <v/>
      </c>
      <c r="M1446">
        <f>IF(Tree!$C$4="once per order",F1446*K1446,F1446)</f>
        <v/>
      </c>
      <c r="N1446">
        <f>IF(Tree!$C$4="once per order",K1446,1)</f>
        <v/>
      </c>
      <c r="O1446">
        <f>IF(Tree!$C$4="once per order",L1446,1)</f>
        <v/>
      </c>
    </row>
    <row r="1447">
      <c r="A1447" t="inlineStr">
        <is>
          <t>KR-00996</t>
        </is>
      </c>
      <c r="B1447" t="inlineStr">
        <is>
          <t>C-0121</t>
        </is>
      </c>
      <c r="C1447" t="inlineStr">
        <is>
          <t>Retail-Core</t>
        </is>
      </c>
      <c r="D1447" t="inlineStr">
        <is>
          <t>app</t>
        </is>
      </c>
      <c r="E1447" s="7" t="n">
        <v>46286</v>
      </c>
      <c r="F1447" t="n">
        <v>1190</v>
      </c>
      <c r="G1447" t="n">
        <v>0</v>
      </c>
      <c r="H1447" t="inlineStr"/>
      <c r="I1447">
        <f>IF(MONTH(E1447)&lt;=6,"Q1","Q2")</f>
        <v/>
      </c>
      <c r="J1447">
        <f>YEAR(E1447)*100+MONTH(E1447)</f>
        <v/>
      </c>
      <c r="K1447">
        <f>IF(COUNTIF($A$2:A1447,A1447)=1,1,0)</f>
        <v/>
      </c>
      <c r="L1447">
        <f>IF(K1447=1,IF(COUNTIFS($B$2:B1447,B1447,$I$2:I1447,I1447,$K$2:K1447,1)=1,1,0),0)</f>
        <v/>
      </c>
      <c r="M1447">
        <f>IF(Tree!$C$4="once per order",F1447*K1447,F1447)</f>
        <v/>
      </c>
      <c r="N1447">
        <f>IF(Tree!$C$4="once per order",K1447,1)</f>
        <v/>
      </c>
      <c r="O1447">
        <f>IF(Tree!$C$4="once per order",L1447,1)</f>
        <v/>
      </c>
    </row>
    <row r="1448">
      <c r="A1448" t="inlineStr">
        <is>
          <t>KR-00997</t>
        </is>
      </c>
      <c r="B1448" t="inlineStr">
        <is>
          <t>C-0113</t>
        </is>
      </c>
      <c r="C1448" t="inlineStr">
        <is>
          <t>Retail-Core</t>
        </is>
      </c>
      <c r="D1448" t="inlineStr">
        <is>
          <t>web</t>
        </is>
      </c>
      <c r="E1448" s="7" t="n">
        <v>46210</v>
      </c>
      <c r="F1448" t="n">
        <v>2900</v>
      </c>
      <c r="G1448" t="n">
        <v>0</v>
      </c>
      <c r="H1448" t="inlineStr"/>
      <c r="I1448">
        <f>IF(MONTH(E1448)&lt;=6,"Q1","Q2")</f>
        <v/>
      </c>
      <c r="J1448">
        <f>YEAR(E1448)*100+MONTH(E1448)</f>
        <v/>
      </c>
      <c r="K1448">
        <f>IF(COUNTIF($A$2:A1448,A1448)=1,1,0)</f>
        <v/>
      </c>
      <c r="L1448">
        <f>IF(K1448=1,IF(COUNTIFS($B$2:B1448,B1448,$I$2:I1448,I1448,$K$2:K1448,1)=1,1,0),0)</f>
        <v/>
      </c>
      <c r="M1448">
        <f>IF(Tree!$C$4="once per order",F1448*K1448,F1448)</f>
        <v/>
      </c>
      <c r="N1448">
        <f>IF(Tree!$C$4="once per order",K1448,1)</f>
        <v/>
      </c>
      <c r="O1448">
        <f>IF(Tree!$C$4="once per order",L1448,1)</f>
        <v/>
      </c>
    </row>
    <row r="1449">
      <c r="A1449" t="inlineStr">
        <is>
          <t>KR-00998</t>
        </is>
      </c>
      <c r="B1449" t="inlineStr">
        <is>
          <t>C-0108</t>
        </is>
      </c>
      <c r="C1449" t="inlineStr">
        <is>
          <t>Retail-Core</t>
        </is>
      </c>
      <c r="D1449" t="inlineStr">
        <is>
          <t>store</t>
        </is>
      </c>
      <c r="E1449" s="7" t="n">
        <v>46239</v>
      </c>
      <c r="F1449" t="n">
        <v>870</v>
      </c>
      <c r="G1449" t="n">
        <v>0</v>
      </c>
      <c r="H1449" t="inlineStr"/>
      <c r="I1449">
        <f>IF(MONTH(E1449)&lt;=6,"Q1","Q2")</f>
        <v/>
      </c>
      <c r="J1449">
        <f>YEAR(E1449)*100+MONTH(E1449)</f>
        <v/>
      </c>
      <c r="K1449">
        <f>IF(COUNTIF($A$2:A1449,A1449)=1,1,0)</f>
        <v/>
      </c>
      <c r="L1449">
        <f>IF(K1449=1,IF(COUNTIFS($B$2:B1449,B1449,$I$2:I1449,I1449,$K$2:K1449,1)=1,1,0),0)</f>
        <v/>
      </c>
      <c r="M1449">
        <f>IF(Tree!$C$4="once per order",F1449*K1449,F1449)</f>
        <v/>
      </c>
      <c r="N1449">
        <f>IF(Tree!$C$4="once per order",K1449,1)</f>
        <v/>
      </c>
      <c r="O1449">
        <f>IF(Tree!$C$4="once per order",L1449,1)</f>
        <v/>
      </c>
    </row>
    <row r="1450">
      <c r="A1450" t="inlineStr">
        <is>
          <t>KR-00999</t>
        </is>
      </c>
      <c r="B1450" t="inlineStr">
        <is>
          <t>C-0108</t>
        </is>
      </c>
      <c r="C1450" t="inlineStr">
        <is>
          <t>Retail-Core</t>
        </is>
      </c>
      <c r="D1450" t="inlineStr">
        <is>
          <t>web</t>
        </is>
      </c>
      <c r="E1450" s="7" t="n">
        <v>46281</v>
      </c>
      <c r="F1450" t="n">
        <v>880</v>
      </c>
      <c r="G1450" t="n">
        <v>0</v>
      </c>
      <c r="H1450" t="inlineStr"/>
      <c r="I1450">
        <f>IF(MONTH(E1450)&lt;=6,"Q1","Q2")</f>
        <v/>
      </c>
      <c r="J1450">
        <f>YEAR(E1450)*100+MONTH(E1450)</f>
        <v/>
      </c>
      <c r="K1450">
        <f>IF(COUNTIF($A$2:A1450,A1450)=1,1,0)</f>
        <v/>
      </c>
      <c r="L1450">
        <f>IF(K1450=1,IF(COUNTIFS($B$2:B1450,B1450,$I$2:I1450,I1450,$K$2:K1450,1)=1,1,0),0)</f>
        <v/>
      </c>
      <c r="M1450">
        <f>IF(Tree!$C$4="once per order",F1450*K1450,F1450)</f>
        <v/>
      </c>
      <c r="N1450">
        <f>IF(Tree!$C$4="once per order",K1450,1)</f>
        <v/>
      </c>
      <c r="O1450">
        <f>IF(Tree!$C$4="once per order",L1450,1)</f>
        <v/>
      </c>
    </row>
    <row r="1451">
      <c r="A1451" t="inlineStr">
        <is>
          <t>KR-01000</t>
        </is>
      </c>
      <c r="B1451" t="inlineStr">
        <is>
          <t>C-0033</t>
        </is>
      </c>
      <c r="C1451" t="inlineStr">
        <is>
          <t>Retail-Core</t>
        </is>
      </c>
      <c r="D1451" t="inlineStr">
        <is>
          <t>web</t>
        </is>
      </c>
      <c r="E1451" s="7" t="n">
        <v>46220</v>
      </c>
      <c r="F1451" t="n">
        <v>1430</v>
      </c>
      <c r="G1451" t="n">
        <v>0</v>
      </c>
      <c r="H1451" t="inlineStr"/>
      <c r="I1451">
        <f>IF(MONTH(E1451)&lt;=6,"Q1","Q2")</f>
        <v/>
      </c>
      <c r="J1451">
        <f>YEAR(E1451)*100+MONTH(E1451)</f>
        <v/>
      </c>
      <c r="K1451">
        <f>IF(COUNTIF($A$2:A1451,A1451)=1,1,0)</f>
        <v/>
      </c>
      <c r="L1451">
        <f>IF(K1451=1,IF(COUNTIFS($B$2:B1451,B1451,$I$2:I1451,I1451,$K$2:K1451,1)=1,1,0),0)</f>
        <v/>
      </c>
      <c r="M1451">
        <f>IF(Tree!$C$4="once per order",F1451*K1451,F1451)</f>
        <v/>
      </c>
      <c r="N1451">
        <f>IF(Tree!$C$4="once per order",K1451,1)</f>
        <v/>
      </c>
      <c r="O1451">
        <f>IF(Tree!$C$4="once per order",L1451,1)</f>
        <v/>
      </c>
    </row>
  </sheetData>
  <autoFilter ref="A1:O14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8" customWidth="1" min="4" max="4"/>
    <col width="13" customWidth="1" min="5" max="5"/>
    <col width="14" customWidth="1" min="6" max="6"/>
    <col width="14" customWidth="1" min="7" max="7"/>
  </cols>
  <sheetData>
    <row r="1">
      <c r="A1" s="4" t="inlineStr">
        <is>
          <t>customer_id</t>
        </is>
      </c>
      <c r="B1" s="4" t="inlineStr">
        <is>
          <t>segment</t>
        </is>
      </c>
      <c r="C1" s="4" t="inlineStr">
        <is>
          <t>city</t>
        </is>
      </c>
      <c r="D1" s="4" t="inlineStr">
        <is>
          <t>orders</t>
        </is>
      </c>
      <c r="E1" s="4" t="inlineStr">
        <is>
          <t>revenue</t>
        </is>
      </c>
      <c r="F1" s="4" t="inlineStr">
        <is>
          <t>last_order_date</t>
        </is>
      </c>
      <c r="G1" s="4" t="inlineStr">
        <is>
          <t>rank in the list's segment</t>
        </is>
      </c>
    </row>
    <row r="2">
      <c r="A2" t="inlineStr">
        <is>
          <t>C-0001</t>
        </is>
      </c>
      <c r="B2" t="inlineStr">
        <is>
          <t>Retail-Core</t>
        </is>
      </c>
      <c r="C2" t="inlineStr">
        <is>
          <t>Delhi</t>
        </is>
      </c>
      <c r="D2" t="n">
        <v>2</v>
      </c>
      <c r="E2" s="8" t="n">
        <v>2840</v>
      </c>
      <c r="F2" s="7" t="n">
        <v>46240</v>
      </c>
      <c r="G2">
        <f>IF(B2=Protect!$C$4,COUNTIFS($B$2:$B$301,B2,$E$2:$E$301,"&gt;"&amp;E2)+COUNTIFS($B$2:B2,B2,$E$2:E2,E2),"")</f>
        <v/>
      </c>
    </row>
    <row r="3">
      <c r="A3" t="inlineStr">
        <is>
          <t>C-0002</t>
        </is>
      </c>
      <c r="B3" t="inlineStr">
        <is>
          <t>Retail-Core</t>
        </is>
      </c>
      <c r="C3" t="inlineStr">
        <is>
          <t>Chennai</t>
        </is>
      </c>
      <c r="D3" t="n">
        <v>4</v>
      </c>
      <c r="E3" s="8" t="n">
        <v>6700</v>
      </c>
      <c r="F3" s="7" t="n">
        <v>46208</v>
      </c>
      <c r="G3">
        <f>IF(B3=Protect!$C$4,COUNTIFS($B$2:$B$301,B3,$E$2:$E$301,"&gt;"&amp;E3)+COUNTIFS($B$2:B3,B3,$E$2:E3,E3),"")</f>
        <v/>
      </c>
    </row>
    <row r="4">
      <c r="A4" t="inlineStr">
        <is>
          <t>C-0003</t>
        </is>
      </c>
      <c r="B4" t="inlineStr">
        <is>
          <t>Retail-Core</t>
        </is>
      </c>
      <c r="C4" t="inlineStr">
        <is>
          <t>Delhi</t>
        </is>
      </c>
      <c r="D4" t="n">
        <v>6</v>
      </c>
      <c r="E4" s="8" t="n">
        <v>9710</v>
      </c>
      <c r="F4" s="7" t="n">
        <v>46249</v>
      </c>
      <c r="G4">
        <f>IF(B4=Protect!$C$4,COUNTIFS($B$2:$B$301,B4,$E$2:$E$301,"&gt;"&amp;E4)+COUNTIFS($B$2:B4,B4,$E$2:E4,E4),"")</f>
        <v/>
      </c>
    </row>
    <row r="5">
      <c r="A5" t="inlineStr">
        <is>
          <t>C-0004</t>
        </is>
      </c>
      <c r="B5" t="inlineStr">
        <is>
          <t>Retail-Core</t>
        </is>
      </c>
      <c r="C5" t="inlineStr">
        <is>
          <t>Bengaluru</t>
        </is>
      </c>
      <c r="D5" t="n">
        <v>2</v>
      </c>
      <c r="E5" s="8" t="n">
        <v>3120</v>
      </c>
      <c r="F5" s="7" t="n">
        <v>46245</v>
      </c>
      <c r="G5">
        <f>IF(B5=Protect!$C$4,COUNTIFS($B$2:$B$301,B5,$E$2:$E$301,"&gt;"&amp;E5)+COUNTIFS($B$2:B5,B5,$E$2:E5,E5),"")</f>
        <v/>
      </c>
    </row>
    <row r="6">
      <c r="A6" t="inlineStr">
        <is>
          <t>C-0005</t>
        </is>
      </c>
      <c r="B6" t="inlineStr">
        <is>
          <t>Retail-Core</t>
        </is>
      </c>
      <c r="C6" t="inlineStr">
        <is>
          <t>Bengaluru</t>
        </is>
      </c>
      <c r="D6" t="n">
        <v>3</v>
      </c>
      <c r="E6" s="8" t="n">
        <v>4970</v>
      </c>
      <c r="F6" s="7" t="n">
        <v>46284</v>
      </c>
      <c r="G6">
        <f>IF(B6=Protect!$C$4,COUNTIFS($B$2:$B$301,B6,$E$2:$E$301,"&gt;"&amp;E6)+COUNTIFS($B$2:B6,B6,$E$2:E6,E6),"")</f>
        <v/>
      </c>
    </row>
    <row r="7">
      <c r="A7" t="inlineStr">
        <is>
          <t>C-0006</t>
        </is>
      </c>
      <c r="B7" t="inlineStr">
        <is>
          <t>Retail-Core</t>
        </is>
      </c>
      <c r="C7" t="inlineStr">
        <is>
          <t>Hyderabad</t>
        </is>
      </c>
      <c r="D7" t="n">
        <v>4</v>
      </c>
      <c r="E7" s="8" t="n">
        <v>9630</v>
      </c>
      <c r="F7" s="7" t="n">
        <v>46276</v>
      </c>
      <c r="G7">
        <f>IF(B7=Protect!$C$4,COUNTIFS($B$2:$B$301,B7,$E$2:$E$301,"&gt;"&amp;E7)+COUNTIFS($B$2:B7,B7,$E$2:E7,E7),"")</f>
        <v/>
      </c>
    </row>
    <row r="8">
      <c r="A8" t="inlineStr">
        <is>
          <t>C-0007</t>
        </is>
      </c>
      <c r="B8" t="inlineStr">
        <is>
          <t>Retail-Core</t>
        </is>
      </c>
      <c r="C8" t="inlineStr">
        <is>
          <t>Bengaluru</t>
        </is>
      </c>
      <c r="D8" t="n">
        <v>5</v>
      </c>
      <c r="E8" s="8" t="n">
        <v>8250</v>
      </c>
      <c r="F8" s="7" t="n">
        <v>46267</v>
      </c>
      <c r="G8">
        <f>IF(B8=Protect!$C$4,COUNTIFS($B$2:$B$301,B8,$E$2:$E$301,"&gt;"&amp;E8)+COUNTIFS($B$2:B8,B8,$E$2:E8,E8),"")</f>
        <v/>
      </c>
    </row>
    <row r="9">
      <c r="A9" t="inlineStr">
        <is>
          <t>C-0008</t>
        </is>
      </c>
      <c r="B9" t="inlineStr">
        <is>
          <t>Retail-Core</t>
        </is>
      </c>
      <c r="C9" t="inlineStr">
        <is>
          <t>Chennai</t>
        </is>
      </c>
      <c r="D9" t="n">
        <v>3</v>
      </c>
      <c r="E9" s="8" t="n">
        <v>6550</v>
      </c>
      <c r="F9" s="7" t="n">
        <v>46159</v>
      </c>
      <c r="G9">
        <f>IF(B9=Protect!$C$4,COUNTIFS($B$2:$B$301,B9,$E$2:$E$301,"&gt;"&amp;E9)+COUNTIFS($B$2:B9,B9,$E$2:E9,E9),"")</f>
        <v/>
      </c>
    </row>
    <row r="10">
      <c r="A10" t="inlineStr">
        <is>
          <t>C-0009</t>
        </is>
      </c>
      <c r="B10" t="inlineStr">
        <is>
          <t>Retail-Core</t>
        </is>
      </c>
      <c r="C10" t="inlineStr">
        <is>
          <t>Pune</t>
        </is>
      </c>
      <c r="D10" t="n">
        <v>3</v>
      </c>
      <c r="E10" s="8" t="n">
        <v>8670</v>
      </c>
      <c r="F10" s="7" t="n">
        <v>46174</v>
      </c>
      <c r="G10">
        <f>IF(B10=Protect!$C$4,COUNTIFS($B$2:$B$301,B10,$E$2:$E$301,"&gt;"&amp;E10)+COUNTIFS($B$2:B10,B10,$E$2:E10,E10),"")</f>
        <v/>
      </c>
    </row>
    <row r="11">
      <c r="A11" t="inlineStr">
        <is>
          <t>C-0010</t>
        </is>
      </c>
      <c r="B11" t="inlineStr">
        <is>
          <t>Retail-Core</t>
        </is>
      </c>
      <c r="C11" t="inlineStr">
        <is>
          <t>Hyderabad</t>
        </is>
      </c>
      <c r="D11" t="n">
        <v>10</v>
      </c>
      <c r="E11" s="8" t="n">
        <v>19680</v>
      </c>
      <c r="F11" s="7" t="n">
        <v>46289</v>
      </c>
      <c r="G11">
        <f>IF(B11=Protect!$C$4,COUNTIFS($B$2:$B$301,B11,$E$2:$E$301,"&gt;"&amp;E11)+COUNTIFS($B$2:B11,B11,$E$2:E11,E11),"")</f>
        <v/>
      </c>
    </row>
    <row r="12">
      <c r="A12" t="inlineStr">
        <is>
          <t>C-0011</t>
        </is>
      </c>
      <c r="B12" t="inlineStr">
        <is>
          <t>Retail-Core</t>
        </is>
      </c>
      <c r="C12" t="inlineStr">
        <is>
          <t>Bengaluru</t>
        </is>
      </c>
      <c r="D12" t="n">
        <v>7</v>
      </c>
      <c r="E12" s="8" t="n">
        <v>13970</v>
      </c>
      <c r="F12" s="7" t="n">
        <v>46292</v>
      </c>
      <c r="G12">
        <f>IF(B12=Protect!$C$4,COUNTIFS($B$2:$B$301,B12,$E$2:$E$301,"&gt;"&amp;E12)+COUNTIFS($B$2:B12,B12,$E$2:E12,E12),"")</f>
        <v/>
      </c>
    </row>
    <row r="13">
      <c r="A13" t="inlineStr">
        <is>
          <t>C-0012</t>
        </is>
      </c>
      <c r="B13" t="inlineStr">
        <is>
          <t>Retail-Core</t>
        </is>
      </c>
      <c r="C13" t="inlineStr">
        <is>
          <t>Delhi</t>
        </is>
      </c>
      <c r="D13" t="n">
        <v>3</v>
      </c>
      <c r="E13" s="8" t="n">
        <v>5180</v>
      </c>
      <c r="F13" s="7" t="n">
        <v>46177</v>
      </c>
      <c r="G13">
        <f>IF(B13=Protect!$C$4,COUNTIFS($B$2:$B$301,B13,$E$2:$E$301,"&gt;"&amp;E13)+COUNTIFS($B$2:B13,B13,$E$2:E13,E13),"")</f>
        <v/>
      </c>
    </row>
    <row r="14">
      <c r="A14" t="inlineStr">
        <is>
          <t>C-0013</t>
        </is>
      </c>
      <c r="B14" t="inlineStr">
        <is>
          <t>Retail-Core</t>
        </is>
      </c>
      <c r="C14" t="inlineStr">
        <is>
          <t>Hyderabad</t>
        </is>
      </c>
      <c r="D14" t="n">
        <v>3</v>
      </c>
      <c r="E14" s="8" t="n">
        <v>7190</v>
      </c>
      <c r="F14" s="7" t="n">
        <v>46256</v>
      </c>
      <c r="G14">
        <f>IF(B14=Protect!$C$4,COUNTIFS($B$2:$B$301,B14,$E$2:$E$301,"&gt;"&amp;E14)+COUNTIFS($B$2:B14,B14,$E$2:E14,E14),"")</f>
        <v/>
      </c>
    </row>
    <row r="15">
      <c r="A15" t="inlineStr">
        <is>
          <t>C-0014</t>
        </is>
      </c>
      <c r="B15" t="inlineStr">
        <is>
          <t>Retail-Core</t>
        </is>
      </c>
      <c r="C15" t="inlineStr">
        <is>
          <t>Mumbai</t>
        </is>
      </c>
      <c r="D15" t="n">
        <v>3</v>
      </c>
      <c r="E15" s="8" t="n">
        <v>4870</v>
      </c>
      <c r="F15" s="7" t="n">
        <v>46205</v>
      </c>
      <c r="G15">
        <f>IF(B15=Protect!$C$4,COUNTIFS($B$2:$B$301,B15,$E$2:$E$301,"&gt;"&amp;E15)+COUNTIFS($B$2:B15,B15,$E$2:E15,E15),"")</f>
        <v/>
      </c>
    </row>
    <row r="16">
      <c r="A16" t="inlineStr">
        <is>
          <t>C-0015</t>
        </is>
      </c>
      <c r="B16" t="inlineStr">
        <is>
          <t>Retail-Core</t>
        </is>
      </c>
      <c r="C16" t="inlineStr">
        <is>
          <t>Pune</t>
        </is>
      </c>
      <c r="D16" t="n">
        <v>2</v>
      </c>
      <c r="E16" s="8" t="n">
        <v>2880</v>
      </c>
      <c r="F16" s="7" t="n">
        <v>46275</v>
      </c>
      <c r="G16">
        <f>IF(B16=Protect!$C$4,COUNTIFS($B$2:$B$301,B16,$E$2:$E$301,"&gt;"&amp;E16)+COUNTIFS($B$2:B16,B16,$E$2:E16,E16),"")</f>
        <v/>
      </c>
    </row>
    <row r="17">
      <c r="A17" t="inlineStr">
        <is>
          <t>C-0016</t>
        </is>
      </c>
      <c r="B17" t="inlineStr">
        <is>
          <t>Retail-Core</t>
        </is>
      </c>
      <c r="C17" t="inlineStr">
        <is>
          <t>Delhi</t>
        </is>
      </c>
      <c r="D17" t="n">
        <v>3</v>
      </c>
      <c r="E17" s="8" t="n">
        <v>6780</v>
      </c>
      <c r="F17" s="7" t="n">
        <v>46275</v>
      </c>
      <c r="G17">
        <f>IF(B17=Protect!$C$4,COUNTIFS($B$2:$B$301,B17,$E$2:$E$301,"&gt;"&amp;E17)+COUNTIFS($B$2:B17,B17,$E$2:E17,E17),"")</f>
        <v/>
      </c>
    </row>
    <row r="18">
      <c r="A18" t="inlineStr">
        <is>
          <t>C-0017</t>
        </is>
      </c>
      <c r="B18" t="inlineStr">
        <is>
          <t>Retail-Core</t>
        </is>
      </c>
      <c r="C18" t="inlineStr">
        <is>
          <t>Bengaluru</t>
        </is>
      </c>
      <c r="D18" t="n">
        <v>6</v>
      </c>
      <c r="E18" s="8" t="n">
        <v>11700</v>
      </c>
      <c r="F18" s="7" t="n">
        <v>46285</v>
      </c>
      <c r="G18">
        <f>IF(B18=Protect!$C$4,COUNTIFS($B$2:$B$301,B18,$E$2:$E$301,"&gt;"&amp;E18)+COUNTIFS($B$2:B18,B18,$E$2:E18,E18),"")</f>
        <v/>
      </c>
    </row>
    <row r="19">
      <c r="A19" t="inlineStr">
        <is>
          <t>C-0018</t>
        </is>
      </c>
      <c r="B19" t="inlineStr">
        <is>
          <t>Retail-Core</t>
        </is>
      </c>
      <c r="C19" t="inlineStr">
        <is>
          <t>Delhi</t>
        </is>
      </c>
      <c r="D19" t="n">
        <v>4</v>
      </c>
      <c r="E19" s="8" t="n">
        <v>7430</v>
      </c>
      <c r="F19" s="7" t="n">
        <v>46274</v>
      </c>
      <c r="G19">
        <f>IF(B19=Protect!$C$4,COUNTIFS($B$2:$B$301,B19,$E$2:$E$301,"&gt;"&amp;E19)+COUNTIFS($B$2:B19,B19,$E$2:E19,E19),"")</f>
        <v/>
      </c>
    </row>
    <row r="20">
      <c r="A20" t="inlineStr">
        <is>
          <t>C-0019</t>
        </is>
      </c>
      <c r="B20" t="inlineStr">
        <is>
          <t>Retail-Core</t>
        </is>
      </c>
      <c r="C20" t="inlineStr">
        <is>
          <t>Delhi</t>
        </is>
      </c>
      <c r="D20" t="n">
        <v>4</v>
      </c>
      <c r="E20" s="8" t="n">
        <v>6500</v>
      </c>
      <c r="F20" s="7" t="n">
        <v>46269</v>
      </c>
      <c r="G20">
        <f>IF(B20=Protect!$C$4,COUNTIFS($B$2:$B$301,B20,$E$2:$E$301,"&gt;"&amp;E20)+COUNTIFS($B$2:B20,B20,$E$2:E20,E20),"")</f>
        <v/>
      </c>
    </row>
    <row r="21">
      <c r="A21" t="inlineStr">
        <is>
          <t>C-0020</t>
        </is>
      </c>
      <c r="B21" t="inlineStr">
        <is>
          <t>Retail-Core</t>
        </is>
      </c>
      <c r="C21" t="inlineStr">
        <is>
          <t>Pune</t>
        </is>
      </c>
      <c r="D21" t="n">
        <v>7</v>
      </c>
      <c r="E21" s="8" t="n">
        <v>15260</v>
      </c>
      <c r="F21" s="7" t="n">
        <v>46201</v>
      </c>
      <c r="G21">
        <f>IF(B21=Protect!$C$4,COUNTIFS($B$2:$B$301,B21,$E$2:$E$301,"&gt;"&amp;E21)+COUNTIFS($B$2:B21,B21,$E$2:E21,E21),"")</f>
        <v/>
      </c>
    </row>
    <row r="22">
      <c r="A22" t="inlineStr">
        <is>
          <t>C-0021</t>
        </is>
      </c>
      <c r="B22" t="inlineStr">
        <is>
          <t>Retail-Core</t>
        </is>
      </c>
      <c r="C22" t="inlineStr">
        <is>
          <t>Mumbai</t>
        </is>
      </c>
      <c r="D22" t="n">
        <v>6</v>
      </c>
      <c r="E22" s="8" t="n">
        <v>10110</v>
      </c>
      <c r="F22" s="7" t="n">
        <v>46235</v>
      </c>
      <c r="G22">
        <f>IF(B22=Protect!$C$4,COUNTIFS($B$2:$B$301,B22,$E$2:$E$301,"&gt;"&amp;E22)+COUNTIFS($B$2:B22,B22,$E$2:E22,E22),"")</f>
        <v/>
      </c>
    </row>
    <row r="23">
      <c r="A23" t="inlineStr">
        <is>
          <t>C-0022</t>
        </is>
      </c>
      <c r="B23" t="inlineStr">
        <is>
          <t>Retail-Core</t>
        </is>
      </c>
      <c r="C23" t="inlineStr">
        <is>
          <t>Hyderabad</t>
        </is>
      </c>
      <c r="D23" t="n">
        <v>5</v>
      </c>
      <c r="E23" s="8" t="n">
        <v>10160</v>
      </c>
      <c r="F23" s="7" t="n">
        <v>46289</v>
      </c>
      <c r="G23">
        <f>IF(B23=Protect!$C$4,COUNTIFS($B$2:$B$301,B23,$E$2:$E$301,"&gt;"&amp;E23)+COUNTIFS($B$2:B23,B23,$E$2:E23,E23),"")</f>
        <v/>
      </c>
    </row>
    <row r="24">
      <c r="A24" t="inlineStr">
        <is>
          <t>C-0023</t>
        </is>
      </c>
      <c r="B24" t="inlineStr">
        <is>
          <t>Retail-Core</t>
        </is>
      </c>
      <c r="C24" t="inlineStr">
        <is>
          <t>Bengaluru</t>
        </is>
      </c>
      <c r="D24" t="n">
        <v>4</v>
      </c>
      <c r="E24" s="8" t="n">
        <v>6200</v>
      </c>
      <c r="F24" s="7" t="n">
        <v>46281</v>
      </c>
      <c r="G24">
        <f>IF(B24=Protect!$C$4,COUNTIFS($B$2:$B$301,B24,$E$2:$E$301,"&gt;"&amp;E24)+COUNTIFS($B$2:B24,B24,$E$2:E24,E24),"")</f>
        <v/>
      </c>
    </row>
    <row r="25">
      <c r="A25" t="inlineStr">
        <is>
          <t>C-0024</t>
        </is>
      </c>
      <c r="B25" t="inlineStr">
        <is>
          <t>Retail-Core</t>
        </is>
      </c>
      <c r="C25" t="inlineStr">
        <is>
          <t>Hyderabad</t>
        </is>
      </c>
      <c r="D25" t="n">
        <v>4</v>
      </c>
      <c r="E25" s="8" t="n">
        <v>7770</v>
      </c>
      <c r="F25" s="7" t="n">
        <v>46275</v>
      </c>
      <c r="G25">
        <f>IF(B25=Protect!$C$4,COUNTIFS($B$2:$B$301,B25,$E$2:$E$301,"&gt;"&amp;E25)+COUNTIFS($B$2:B25,B25,$E$2:E25,E25),"")</f>
        <v/>
      </c>
    </row>
    <row r="26">
      <c r="A26" t="inlineStr">
        <is>
          <t>C-0025</t>
        </is>
      </c>
      <c r="B26" t="inlineStr">
        <is>
          <t>Retail-Core</t>
        </is>
      </c>
      <c r="C26" t="inlineStr">
        <is>
          <t>Chennai</t>
        </is>
      </c>
      <c r="D26" t="n">
        <v>2</v>
      </c>
      <c r="E26" s="8" t="n">
        <v>4760</v>
      </c>
      <c r="F26" s="7" t="n">
        <v>46152</v>
      </c>
      <c r="G26">
        <f>IF(B26=Protect!$C$4,COUNTIFS($B$2:$B$301,B26,$E$2:$E$301,"&gt;"&amp;E26)+COUNTIFS($B$2:B26,B26,$E$2:E26,E26),"")</f>
        <v/>
      </c>
    </row>
    <row r="27">
      <c r="A27" t="inlineStr">
        <is>
          <t>C-0026</t>
        </is>
      </c>
      <c r="B27" t="inlineStr">
        <is>
          <t>Retail-Core</t>
        </is>
      </c>
      <c r="C27" t="inlineStr">
        <is>
          <t>Chennai</t>
        </is>
      </c>
      <c r="D27" t="n">
        <v>4</v>
      </c>
      <c r="E27" s="8" t="n">
        <v>9910</v>
      </c>
      <c r="F27" s="7" t="n">
        <v>46247</v>
      </c>
      <c r="G27">
        <f>IF(B27=Protect!$C$4,COUNTIFS($B$2:$B$301,B27,$E$2:$E$301,"&gt;"&amp;E27)+COUNTIFS($B$2:B27,B27,$E$2:E27,E27),"")</f>
        <v/>
      </c>
    </row>
    <row r="28">
      <c r="A28" t="inlineStr">
        <is>
          <t>C-0027</t>
        </is>
      </c>
      <c r="B28" t="inlineStr">
        <is>
          <t>Retail-Core</t>
        </is>
      </c>
      <c r="C28" t="inlineStr">
        <is>
          <t>Mumbai</t>
        </is>
      </c>
      <c r="D28" t="n">
        <v>3</v>
      </c>
      <c r="E28" s="8" t="n">
        <v>5040</v>
      </c>
      <c r="F28" s="7" t="n">
        <v>46247</v>
      </c>
      <c r="G28">
        <f>IF(B28=Protect!$C$4,COUNTIFS($B$2:$B$301,B28,$E$2:$E$301,"&gt;"&amp;E28)+COUNTIFS($B$2:B28,B28,$E$2:E28,E28),"")</f>
        <v/>
      </c>
    </row>
    <row r="29">
      <c r="A29" t="inlineStr">
        <is>
          <t>C-0028</t>
        </is>
      </c>
      <c r="B29" t="inlineStr">
        <is>
          <t>Retail-Core</t>
        </is>
      </c>
      <c r="C29" t="inlineStr">
        <is>
          <t>Hyderabad</t>
        </is>
      </c>
      <c r="D29" t="n">
        <v>2</v>
      </c>
      <c r="E29" s="8" t="n">
        <v>3750</v>
      </c>
      <c r="F29" s="7" t="n">
        <v>46191</v>
      </c>
      <c r="G29">
        <f>IF(B29=Protect!$C$4,COUNTIFS($B$2:$B$301,B29,$E$2:$E$301,"&gt;"&amp;E29)+COUNTIFS($B$2:B29,B29,$E$2:E29,E29),"")</f>
        <v/>
      </c>
    </row>
    <row r="30">
      <c r="A30" t="inlineStr">
        <is>
          <t>C-0029</t>
        </is>
      </c>
      <c r="B30" t="inlineStr">
        <is>
          <t>Retail-Core</t>
        </is>
      </c>
      <c r="C30" t="inlineStr">
        <is>
          <t>Mumbai</t>
        </is>
      </c>
      <c r="D30" t="n">
        <v>5</v>
      </c>
      <c r="E30" s="8" t="n">
        <v>9930</v>
      </c>
      <c r="F30" s="7" t="n">
        <v>46277</v>
      </c>
      <c r="G30">
        <f>IF(B30=Protect!$C$4,COUNTIFS($B$2:$B$301,B30,$E$2:$E$301,"&gt;"&amp;E30)+COUNTIFS($B$2:B30,B30,$E$2:E30,E30),"")</f>
        <v/>
      </c>
    </row>
    <row r="31">
      <c r="A31" t="inlineStr">
        <is>
          <t>C-0030</t>
        </is>
      </c>
      <c r="B31" t="inlineStr">
        <is>
          <t>Retail-Core</t>
        </is>
      </c>
      <c r="C31" t="inlineStr">
        <is>
          <t>Delhi</t>
        </is>
      </c>
      <c r="D31" t="n">
        <v>4</v>
      </c>
      <c r="E31" s="8" t="n">
        <v>5800</v>
      </c>
      <c r="F31" s="7" t="n">
        <v>46280</v>
      </c>
      <c r="G31">
        <f>IF(B31=Protect!$C$4,COUNTIFS($B$2:$B$301,B31,$E$2:$E$301,"&gt;"&amp;E31)+COUNTIFS($B$2:B31,B31,$E$2:E31,E31),"")</f>
        <v/>
      </c>
    </row>
    <row r="32">
      <c r="A32" t="inlineStr">
        <is>
          <t>C-0031</t>
        </is>
      </c>
      <c r="B32" t="inlineStr">
        <is>
          <t>Retail-Core</t>
        </is>
      </c>
      <c r="C32" t="inlineStr">
        <is>
          <t>Hyderabad</t>
        </is>
      </c>
      <c r="D32" t="n">
        <v>6</v>
      </c>
      <c r="E32" s="8" t="n">
        <v>9820</v>
      </c>
      <c r="F32" s="7" t="n">
        <v>46281</v>
      </c>
      <c r="G32">
        <f>IF(B32=Protect!$C$4,COUNTIFS($B$2:$B$301,B32,$E$2:$E$301,"&gt;"&amp;E32)+COUNTIFS($B$2:B32,B32,$E$2:E32,E32),"")</f>
        <v/>
      </c>
    </row>
    <row r="33">
      <c r="A33" t="inlineStr">
        <is>
          <t>C-0032</t>
        </is>
      </c>
      <c r="B33" t="inlineStr">
        <is>
          <t>Retail-Core</t>
        </is>
      </c>
      <c r="C33" t="inlineStr">
        <is>
          <t>Hyderabad</t>
        </is>
      </c>
      <c r="D33" t="n">
        <v>4</v>
      </c>
      <c r="E33" s="8" t="n">
        <v>7440</v>
      </c>
      <c r="F33" s="7" t="n">
        <v>46288</v>
      </c>
      <c r="G33">
        <f>IF(B33=Protect!$C$4,COUNTIFS($B$2:$B$301,B33,$E$2:$E$301,"&gt;"&amp;E33)+COUNTIFS($B$2:B33,B33,$E$2:E33,E33),"")</f>
        <v/>
      </c>
    </row>
    <row r="34">
      <c r="A34" t="inlineStr">
        <is>
          <t>C-0033</t>
        </is>
      </c>
      <c r="B34" t="inlineStr">
        <is>
          <t>Retail-Core</t>
        </is>
      </c>
      <c r="C34" t="inlineStr">
        <is>
          <t>Mumbai</t>
        </is>
      </c>
      <c r="D34" t="n">
        <v>8</v>
      </c>
      <c r="E34" s="8" t="n">
        <v>15910</v>
      </c>
      <c r="F34" s="7" t="n">
        <v>46287</v>
      </c>
      <c r="G34">
        <f>IF(B34=Protect!$C$4,COUNTIFS($B$2:$B$301,B34,$E$2:$E$301,"&gt;"&amp;E34)+COUNTIFS($B$2:B34,B34,$E$2:E34,E34),"")</f>
        <v/>
      </c>
    </row>
    <row r="35">
      <c r="A35" t="inlineStr">
        <is>
          <t>C-0034</t>
        </is>
      </c>
      <c r="B35" t="inlineStr">
        <is>
          <t>Retail-Core</t>
        </is>
      </c>
      <c r="C35" t="inlineStr">
        <is>
          <t>Bengaluru</t>
        </is>
      </c>
      <c r="D35" t="n">
        <v>4</v>
      </c>
      <c r="E35" s="8" t="n">
        <v>9430</v>
      </c>
      <c r="F35" s="7" t="n">
        <v>46287</v>
      </c>
      <c r="G35">
        <f>IF(B35=Protect!$C$4,COUNTIFS($B$2:$B$301,B35,$E$2:$E$301,"&gt;"&amp;E35)+COUNTIFS($B$2:B35,B35,$E$2:E35,E35),"")</f>
        <v/>
      </c>
    </row>
    <row r="36">
      <c r="A36" t="inlineStr">
        <is>
          <t>C-0035</t>
        </is>
      </c>
      <c r="B36" t="inlineStr">
        <is>
          <t>Retail-Core</t>
        </is>
      </c>
      <c r="C36" t="inlineStr">
        <is>
          <t>Bengaluru</t>
        </is>
      </c>
      <c r="D36" t="n">
        <v>6</v>
      </c>
      <c r="E36" s="8" t="n">
        <v>12300</v>
      </c>
      <c r="F36" s="7" t="n">
        <v>46280</v>
      </c>
      <c r="G36">
        <f>IF(B36=Protect!$C$4,COUNTIFS($B$2:$B$301,B36,$E$2:$E$301,"&gt;"&amp;E36)+COUNTIFS($B$2:B36,B36,$E$2:E36,E36),"")</f>
        <v/>
      </c>
    </row>
    <row r="37">
      <c r="A37" t="inlineStr">
        <is>
          <t>C-0036</t>
        </is>
      </c>
      <c r="B37" t="inlineStr">
        <is>
          <t>Retail-Core</t>
        </is>
      </c>
      <c r="C37" t="inlineStr">
        <is>
          <t>Delhi</t>
        </is>
      </c>
      <c r="D37" t="n">
        <v>4</v>
      </c>
      <c r="E37" s="8" t="n">
        <v>7850</v>
      </c>
      <c r="F37" s="7" t="n">
        <v>46248</v>
      </c>
      <c r="G37">
        <f>IF(B37=Protect!$C$4,COUNTIFS($B$2:$B$301,B37,$E$2:$E$301,"&gt;"&amp;E37)+COUNTIFS($B$2:B37,B37,$E$2:E37,E37),"")</f>
        <v/>
      </c>
    </row>
    <row r="38">
      <c r="A38" t="inlineStr">
        <is>
          <t>C-0037</t>
        </is>
      </c>
      <c r="B38" t="inlineStr">
        <is>
          <t>Retail-Core</t>
        </is>
      </c>
      <c r="C38" t="inlineStr">
        <is>
          <t>Chennai</t>
        </is>
      </c>
      <c r="D38" t="n">
        <v>6</v>
      </c>
      <c r="E38" s="8" t="n">
        <v>12240</v>
      </c>
      <c r="F38" s="7" t="n">
        <v>46272</v>
      </c>
      <c r="G38">
        <f>IF(B38=Protect!$C$4,COUNTIFS($B$2:$B$301,B38,$E$2:$E$301,"&gt;"&amp;E38)+COUNTIFS($B$2:B38,B38,$E$2:E38,E38),"")</f>
        <v/>
      </c>
    </row>
    <row r="39">
      <c r="A39" t="inlineStr">
        <is>
          <t>C-0038</t>
        </is>
      </c>
      <c r="B39" t="inlineStr">
        <is>
          <t>Retail-Core</t>
        </is>
      </c>
      <c r="C39" t="inlineStr">
        <is>
          <t>Pune</t>
        </is>
      </c>
      <c r="D39" t="n">
        <v>4</v>
      </c>
      <c r="E39" s="8" t="n">
        <v>6370</v>
      </c>
      <c r="F39" s="7" t="n">
        <v>46248</v>
      </c>
      <c r="G39">
        <f>IF(B39=Protect!$C$4,COUNTIFS($B$2:$B$301,B39,$E$2:$E$301,"&gt;"&amp;E39)+COUNTIFS($B$2:B39,B39,$E$2:E39,E39),"")</f>
        <v/>
      </c>
    </row>
    <row r="40">
      <c r="A40" t="inlineStr">
        <is>
          <t>C-0039</t>
        </is>
      </c>
      <c r="B40" t="inlineStr">
        <is>
          <t>Retail-Core</t>
        </is>
      </c>
      <c r="C40" t="inlineStr">
        <is>
          <t>Delhi</t>
        </is>
      </c>
      <c r="D40" t="n">
        <v>4</v>
      </c>
      <c r="E40" s="8" t="n">
        <v>7100</v>
      </c>
      <c r="F40" s="7" t="n">
        <v>46283</v>
      </c>
      <c r="G40">
        <f>IF(B40=Protect!$C$4,COUNTIFS($B$2:$B$301,B40,$E$2:$E$301,"&gt;"&amp;E40)+COUNTIFS($B$2:B40,B40,$E$2:E40,E40),"")</f>
        <v/>
      </c>
    </row>
    <row r="41">
      <c r="A41" t="inlineStr">
        <is>
          <t>C-0040</t>
        </is>
      </c>
      <c r="B41" t="inlineStr">
        <is>
          <t>Retail-Core</t>
        </is>
      </c>
      <c r="C41" t="inlineStr">
        <is>
          <t>Delhi</t>
        </is>
      </c>
      <c r="D41" t="n">
        <v>14</v>
      </c>
      <c r="E41" s="8" t="n">
        <v>26020</v>
      </c>
      <c r="F41" s="7" t="n">
        <v>46286</v>
      </c>
      <c r="G41">
        <f>IF(B41=Protect!$C$4,COUNTIFS($B$2:$B$301,B41,$E$2:$E$301,"&gt;"&amp;E41)+COUNTIFS($B$2:B41,B41,$E$2:E41,E41),"")</f>
        <v/>
      </c>
    </row>
    <row r="42">
      <c r="A42" t="inlineStr">
        <is>
          <t>C-0041</t>
        </is>
      </c>
      <c r="B42" t="inlineStr">
        <is>
          <t>Retail-Core</t>
        </is>
      </c>
      <c r="C42" t="inlineStr">
        <is>
          <t>Hyderabad</t>
        </is>
      </c>
      <c r="D42" t="n">
        <v>7</v>
      </c>
      <c r="E42" s="8" t="n">
        <v>12460</v>
      </c>
      <c r="F42" s="7" t="n">
        <v>46293</v>
      </c>
      <c r="G42">
        <f>IF(B42=Protect!$C$4,COUNTIFS($B$2:$B$301,B42,$E$2:$E$301,"&gt;"&amp;E42)+COUNTIFS($B$2:B42,B42,$E$2:E42,E42),"")</f>
        <v/>
      </c>
    </row>
    <row r="43">
      <c r="A43" t="inlineStr">
        <is>
          <t>C-0042</t>
        </is>
      </c>
      <c r="B43" t="inlineStr">
        <is>
          <t>Retail-Core</t>
        </is>
      </c>
      <c r="C43" t="inlineStr">
        <is>
          <t>Mumbai</t>
        </is>
      </c>
      <c r="D43" t="n">
        <v>4</v>
      </c>
      <c r="E43" s="8" t="n">
        <v>7910</v>
      </c>
      <c r="F43" s="7" t="n">
        <v>46256</v>
      </c>
      <c r="G43">
        <f>IF(B43=Protect!$C$4,COUNTIFS($B$2:$B$301,B43,$E$2:$E$301,"&gt;"&amp;E43)+COUNTIFS($B$2:B43,B43,$E$2:E43,E43),"")</f>
        <v/>
      </c>
    </row>
    <row r="44">
      <c r="A44" t="inlineStr">
        <is>
          <t>C-0043</t>
        </is>
      </c>
      <c r="B44" t="inlineStr">
        <is>
          <t>Retail-Core</t>
        </is>
      </c>
      <c r="C44" t="inlineStr">
        <is>
          <t>Bengaluru</t>
        </is>
      </c>
      <c r="D44" t="n">
        <v>2</v>
      </c>
      <c r="E44" s="8" t="n">
        <v>3810</v>
      </c>
      <c r="F44" s="7" t="n">
        <v>46205</v>
      </c>
      <c r="G44">
        <f>IF(B44=Protect!$C$4,COUNTIFS($B$2:$B$301,B44,$E$2:$E$301,"&gt;"&amp;E44)+COUNTIFS($B$2:B44,B44,$E$2:E44,E44),"")</f>
        <v/>
      </c>
    </row>
    <row r="45">
      <c r="A45" t="inlineStr">
        <is>
          <t>C-0044</t>
        </is>
      </c>
      <c r="B45" t="inlineStr">
        <is>
          <t>Retail-Core</t>
        </is>
      </c>
      <c r="C45" t="inlineStr">
        <is>
          <t>Pune</t>
        </is>
      </c>
      <c r="D45" t="n">
        <v>8</v>
      </c>
      <c r="E45" s="8" t="n">
        <v>12600</v>
      </c>
      <c r="F45" s="7" t="n">
        <v>46252</v>
      </c>
      <c r="G45">
        <f>IF(B45=Protect!$C$4,COUNTIFS($B$2:$B$301,B45,$E$2:$E$301,"&gt;"&amp;E45)+COUNTIFS($B$2:B45,B45,$E$2:E45,E45),"")</f>
        <v/>
      </c>
    </row>
    <row r="46">
      <c r="A46" t="inlineStr">
        <is>
          <t>C-0045</t>
        </is>
      </c>
      <c r="B46" t="inlineStr">
        <is>
          <t>Retail-Core</t>
        </is>
      </c>
      <c r="C46" t="inlineStr">
        <is>
          <t>Pune</t>
        </is>
      </c>
      <c r="D46" t="n">
        <v>2</v>
      </c>
      <c r="E46" s="8" t="n">
        <v>5200</v>
      </c>
      <c r="F46" s="7" t="n">
        <v>46244</v>
      </c>
      <c r="G46">
        <f>IF(B46=Protect!$C$4,COUNTIFS($B$2:$B$301,B46,$E$2:$E$301,"&gt;"&amp;E46)+COUNTIFS($B$2:B46,B46,$E$2:E46,E46),"")</f>
        <v/>
      </c>
    </row>
    <row r="47">
      <c r="A47" t="inlineStr">
        <is>
          <t>C-0046</t>
        </is>
      </c>
      <c r="B47" t="inlineStr">
        <is>
          <t>Retail-Core</t>
        </is>
      </c>
      <c r="C47" t="inlineStr">
        <is>
          <t>Delhi</t>
        </is>
      </c>
      <c r="D47" t="n">
        <v>5</v>
      </c>
      <c r="E47" s="8" t="n">
        <v>8500</v>
      </c>
      <c r="F47" s="7" t="n">
        <v>46274</v>
      </c>
      <c r="G47">
        <f>IF(B47=Protect!$C$4,COUNTIFS($B$2:$B$301,B47,$E$2:$E$301,"&gt;"&amp;E47)+COUNTIFS($B$2:B47,B47,$E$2:E47,E47),"")</f>
        <v/>
      </c>
    </row>
    <row r="48">
      <c r="A48" t="inlineStr">
        <is>
          <t>C-0047</t>
        </is>
      </c>
      <c r="B48" t="inlineStr">
        <is>
          <t>Retail-Core</t>
        </is>
      </c>
      <c r="C48" t="inlineStr">
        <is>
          <t>Bengaluru</t>
        </is>
      </c>
      <c r="D48" t="n">
        <v>6</v>
      </c>
      <c r="E48" s="8" t="n">
        <v>12440</v>
      </c>
      <c r="F48" s="7" t="n">
        <v>46292</v>
      </c>
      <c r="G48">
        <f>IF(B48=Protect!$C$4,COUNTIFS($B$2:$B$301,B48,$E$2:$E$301,"&gt;"&amp;E48)+COUNTIFS($B$2:B48,B48,$E$2:E48,E48),"")</f>
        <v/>
      </c>
    </row>
    <row r="49">
      <c r="A49" t="inlineStr">
        <is>
          <t>C-0048</t>
        </is>
      </c>
      <c r="B49" t="inlineStr">
        <is>
          <t>Retail-Core</t>
        </is>
      </c>
      <c r="C49" t="inlineStr">
        <is>
          <t>Pune</t>
        </is>
      </c>
      <c r="D49" t="n">
        <v>2</v>
      </c>
      <c r="E49" s="8" t="n">
        <v>4510</v>
      </c>
      <c r="F49" s="7" t="n">
        <v>46273</v>
      </c>
      <c r="G49">
        <f>IF(B49=Protect!$C$4,COUNTIFS($B$2:$B$301,B49,$E$2:$E$301,"&gt;"&amp;E49)+COUNTIFS($B$2:B49,B49,$E$2:E49,E49),"")</f>
        <v/>
      </c>
    </row>
    <row r="50">
      <c r="A50" t="inlineStr">
        <is>
          <t>C-0049</t>
        </is>
      </c>
      <c r="B50" t="inlineStr">
        <is>
          <t>Retail-Core</t>
        </is>
      </c>
      <c r="C50" t="inlineStr">
        <is>
          <t>Bengaluru</t>
        </is>
      </c>
      <c r="D50" t="n">
        <v>5</v>
      </c>
      <c r="E50" s="8" t="n">
        <v>9430</v>
      </c>
      <c r="F50" s="7" t="n">
        <v>46280</v>
      </c>
      <c r="G50">
        <f>IF(B50=Protect!$C$4,COUNTIFS($B$2:$B$301,B50,$E$2:$E$301,"&gt;"&amp;E50)+COUNTIFS($B$2:B50,B50,$E$2:E50,E50),"")</f>
        <v/>
      </c>
    </row>
    <row r="51">
      <c r="A51" t="inlineStr">
        <is>
          <t>C-0050</t>
        </is>
      </c>
      <c r="B51" t="inlineStr">
        <is>
          <t>Retail-Core</t>
        </is>
      </c>
      <c r="C51" t="inlineStr">
        <is>
          <t>Pune</t>
        </is>
      </c>
      <c r="D51" t="n">
        <v>7</v>
      </c>
      <c r="E51" s="8" t="n">
        <v>11480</v>
      </c>
      <c r="F51" s="7" t="n">
        <v>46281</v>
      </c>
      <c r="G51">
        <f>IF(B51=Protect!$C$4,COUNTIFS($B$2:$B$301,B51,$E$2:$E$301,"&gt;"&amp;E51)+COUNTIFS($B$2:B51,B51,$E$2:E51,E51),"")</f>
        <v/>
      </c>
    </row>
    <row r="52">
      <c r="A52" t="inlineStr">
        <is>
          <t>C-0051</t>
        </is>
      </c>
      <c r="B52" t="inlineStr">
        <is>
          <t>Retail-Core</t>
        </is>
      </c>
      <c r="C52" t="inlineStr">
        <is>
          <t>Mumbai</t>
        </is>
      </c>
      <c r="D52" t="n">
        <v>3</v>
      </c>
      <c r="E52" s="8" t="n">
        <v>6380</v>
      </c>
      <c r="F52" s="7" t="n">
        <v>46260</v>
      </c>
      <c r="G52">
        <f>IF(B52=Protect!$C$4,COUNTIFS($B$2:$B$301,B52,$E$2:$E$301,"&gt;"&amp;E52)+COUNTIFS($B$2:B52,B52,$E$2:E52,E52),"")</f>
        <v/>
      </c>
    </row>
    <row r="53">
      <c r="A53" t="inlineStr">
        <is>
          <t>C-0052</t>
        </is>
      </c>
      <c r="B53" t="inlineStr">
        <is>
          <t>Retail-Core</t>
        </is>
      </c>
      <c r="C53" t="inlineStr">
        <is>
          <t>Chennai</t>
        </is>
      </c>
      <c r="D53" t="n">
        <v>1</v>
      </c>
      <c r="E53" s="8" t="n">
        <v>1210</v>
      </c>
      <c r="F53" s="7" t="n">
        <v>46284</v>
      </c>
      <c r="G53">
        <f>IF(B53=Protect!$C$4,COUNTIFS($B$2:$B$301,B53,$E$2:$E$301,"&gt;"&amp;E53)+COUNTIFS($B$2:B53,B53,$E$2:E53,E53),"")</f>
        <v/>
      </c>
    </row>
    <row r="54">
      <c r="A54" t="inlineStr">
        <is>
          <t>C-0053</t>
        </is>
      </c>
      <c r="B54" t="inlineStr">
        <is>
          <t>Retail-Core</t>
        </is>
      </c>
      <c r="C54" t="inlineStr">
        <is>
          <t>Chennai</t>
        </is>
      </c>
      <c r="D54" t="n">
        <v>1</v>
      </c>
      <c r="E54" s="8" t="n">
        <v>1410</v>
      </c>
      <c r="F54" s="7" t="n">
        <v>46213</v>
      </c>
      <c r="G54">
        <f>IF(B54=Protect!$C$4,COUNTIFS($B$2:$B$301,B54,$E$2:$E$301,"&gt;"&amp;E54)+COUNTIFS($B$2:B54,B54,$E$2:E54,E54),"")</f>
        <v/>
      </c>
    </row>
    <row r="55">
      <c r="A55" t="inlineStr">
        <is>
          <t>C-0054</t>
        </is>
      </c>
      <c r="B55" t="inlineStr">
        <is>
          <t>Retail-Core</t>
        </is>
      </c>
      <c r="C55" t="inlineStr">
        <is>
          <t>Pune</t>
        </is>
      </c>
      <c r="D55" t="n">
        <v>5</v>
      </c>
      <c r="E55" s="8" t="n">
        <v>8950</v>
      </c>
      <c r="F55" s="7" t="n">
        <v>46276</v>
      </c>
      <c r="G55">
        <f>IF(B55=Protect!$C$4,COUNTIFS($B$2:$B$301,B55,$E$2:$E$301,"&gt;"&amp;E55)+COUNTIFS($B$2:B55,B55,$E$2:E55,E55),"")</f>
        <v/>
      </c>
    </row>
    <row r="56">
      <c r="A56" t="inlineStr">
        <is>
          <t>C-0056</t>
        </is>
      </c>
      <c r="B56" t="inlineStr">
        <is>
          <t>Retail-Core</t>
        </is>
      </c>
      <c r="C56" t="inlineStr">
        <is>
          <t>Mumbai</t>
        </is>
      </c>
      <c r="D56" t="n">
        <v>1</v>
      </c>
      <c r="E56" s="8" t="n">
        <v>1970</v>
      </c>
      <c r="F56" s="7" t="n">
        <v>46210</v>
      </c>
      <c r="G56">
        <f>IF(B56=Protect!$C$4,COUNTIFS($B$2:$B$301,B56,$E$2:$E$301,"&gt;"&amp;E56)+COUNTIFS($B$2:B56,B56,$E$2:E56,E56),"")</f>
        <v/>
      </c>
    </row>
    <row r="57">
      <c r="A57" t="inlineStr">
        <is>
          <t>C-0058</t>
        </is>
      </c>
      <c r="B57" t="inlineStr">
        <is>
          <t>Retail-Core</t>
        </is>
      </c>
      <c r="C57" t="inlineStr">
        <is>
          <t>Bengaluru</t>
        </is>
      </c>
      <c r="D57" t="n">
        <v>4</v>
      </c>
      <c r="E57" s="8" t="n">
        <v>6280</v>
      </c>
      <c r="F57" s="7" t="n">
        <v>46191</v>
      </c>
      <c r="G57">
        <f>IF(B57=Protect!$C$4,COUNTIFS($B$2:$B$301,B57,$E$2:$E$301,"&gt;"&amp;E57)+COUNTIFS($B$2:B57,B57,$E$2:E57,E57),"")</f>
        <v/>
      </c>
    </row>
    <row r="58">
      <c r="A58" t="inlineStr">
        <is>
          <t>C-0060</t>
        </is>
      </c>
      <c r="B58" t="inlineStr">
        <is>
          <t>Retail-Core</t>
        </is>
      </c>
      <c r="C58" t="inlineStr">
        <is>
          <t>Pune</t>
        </is>
      </c>
      <c r="D58" t="n">
        <v>6</v>
      </c>
      <c r="E58" s="8" t="n">
        <v>11550</v>
      </c>
      <c r="F58" s="7" t="n">
        <v>46284</v>
      </c>
      <c r="G58">
        <f>IF(B58=Protect!$C$4,COUNTIFS($B$2:$B$301,B58,$E$2:$E$301,"&gt;"&amp;E58)+COUNTIFS($B$2:B58,B58,$E$2:E58,E58),"")</f>
        <v/>
      </c>
    </row>
    <row r="59">
      <c r="A59" t="inlineStr">
        <is>
          <t>C-0066</t>
        </is>
      </c>
      <c r="B59" t="inlineStr">
        <is>
          <t>Retail-Core</t>
        </is>
      </c>
      <c r="C59" t="inlineStr">
        <is>
          <t>Chennai</t>
        </is>
      </c>
      <c r="D59" t="n">
        <v>3</v>
      </c>
      <c r="E59" s="8" t="n">
        <v>6540</v>
      </c>
      <c r="F59" s="7" t="n">
        <v>46272</v>
      </c>
      <c r="G59">
        <f>IF(B59=Protect!$C$4,COUNTIFS($B$2:$B$301,B59,$E$2:$E$301,"&gt;"&amp;E59)+COUNTIFS($B$2:B59,B59,$E$2:E59,E59),"")</f>
        <v/>
      </c>
    </row>
    <row r="60">
      <c r="A60" t="inlineStr">
        <is>
          <t>C-0067</t>
        </is>
      </c>
      <c r="B60" t="inlineStr">
        <is>
          <t>Retail-Core</t>
        </is>
      </c>
      <c r="C60" t="inlineStr">
        <is>
          <t>Pune</t>
        </is>
      </c>
      <c r="D60" t="n">
        <v>1</v>
      </c>
      <c r="E60" s="8" t="n">
        <v>2120</v>
      </c>
      <c r="F60" s="7" t="n">
        <v>46269</v>
      </c>
      <c r="G60">
        <f>IF(B60=Protect!$C$4,COUNTIFS($B$2:$B$301,B60,$E$2:$E$301,"&gt;"&amp;E60)+COUNTIFS($B$2:B60,B60,$E$2:E60,E60),"")</f>
        <v/>
      </c>
    </row>
    <row r="61">
      <c r="A61" t="inlineStr">
        <is>
          <t>C-0068</t>
        </is>
      </c>
      <c r="B61" t="inlineStr">
        <is>
          <t>Retail-Core</t>
        </is>
      </c>
      <c r="C61" t="inlineStr">
        <is>
          <t>Pune</t>
        </is>
      </c>
      <c r="D61" t="n">
        <v>2</v>
      </c>
      <c r="E61" s="8" t="n">
        <v>4310</v>
      </c>
      <c r="F61" s="7" t="n">
        <v>46287</v>
      </c>
      <c r="G61">
        <f>IF(B61=Protect!$C$4,COUNTIFS($B$2:$B$301,B61,$E$2:$E$301,"&gt;"&amp;E61)+COUNTIFS($B$2:B61,B61,$E$2:E61,E61),"")</f>
        <v/>
      </c>
    </row>
    <row r="62">
      <c r="A62" t="inlineStr">
        <is>
          <t>C-0070</t>
        </is>
      </c>
      <c r="B62" t="inlineStr">
        <is>
          <t>Retail-Core</t>
        </is>
      </c>
      <c r="C62" t="inlineStr">
        <is>
          <t>Hyderabad</t>
        </is>
      </c>
      <c r="D62" t="n">
        <v>2</v>
      </c>
      <c r="E62" s="8" t="n">
        <v>2730</v>
      </c>
      <c r="F62" s="7" t="n">
        <v>46290</v>
      </c>
      <c r="G62">
        <f>IF(B62=Protect!$C$4,COUNTIFS($B$2:$B$301,B62,$E$2:$E$301,"&gt;"&amp;E62)+COUNTIFS($B$2:B62,B62,$E$2:E62,E62),"")</f>
        <v/>
      </c>
    </row>
    <row r="63">
      <c r="A63" t="inlineStr">
        <is>
          <t>C-0071</t>
        </is>
      </c>
      <c r="B63" t="inlineStr">
        <is>
          <t>Retail-Core</t>
        </is>
      </c>
      <c r="C63" t="inlineStr">
        <is>
          <t>Hyderabad</t>
        </is>
      </c>
      <c r="D63" t="n">
        <v>2</v>
      </c>
      <c r="E63" s="8" t="n">
        <v>4840</v>
      </c>
      <c r="F63" s="7" t="n">
        <v>46237</v>
      </c>
      <c r="G63">
        <f>IF(B63=Protect!$C$4,COUNTIFS($B$2:$B$301,B63,$E$2:$E$301,"&gt;"&amp;E63)+COUNTIFS($B$2:B63,B63,$E$2:E63,E63),"")</f>
        <v/>
      </c>
    </row>
    <row r="64">
      <c r="A64" t="inlineStr">
        <is>
          <t>C-0072</t>
        </is>
      </c>
      <c r="B64" t="inlineStr">
        <is>
          <t>Retail-Core</t>
        </is>
      </c>
      <c r="C64" t="inlineStr">
        <is>
          <t>Chennai</t>
        </is>
      </c>
      <c r="D64" t="n">
        <v>1</v>
      </c>
      <c r="E64" s="8" t="n">
        <v>2990</v>
      </c>
      <c r="F64" s="7" t="n">
        <v>46268</v>
      </c>
      <c r="G64">
        <f>IF(B64=Protect!$C$4,COUNTIFS($B$2:$B$301,B64,$E$2:$E$301,"&gt;"&amp;E64)+COUNTIFS($B$2:B64,B64,$E$2:E64,E64),"")</f>
        <v/>
      </c>
    </row>
    <row r="65">
      <c r="A65" t="inlineStr">
        <is>
          <t>C-0073</t>
        </is>
      </c>
      <c r="B65" t="inlineStr">
        <is>
          <t>Retail-Core</t>
        </is>
      </c>
      <c r="C65" t="inlineStr">
        <is>
          <t>Delhi</t>
        </is>
      </c>
      <c r="D65" t="n">
        <v>1</v>
      </c>
      <c r="E65" s="8" t="n">
        <v>1460</v>
      </c>
      <c r="F65" s="7" t="n">
        <v>46156</v>
      </c>
      <c r="G65">
        <f>IF(B65=Protect!$C$4,COUNTIFS($B$2:$B$301,B65,$E$2:$E$301,"&gt;"&amp;E65)+COUNTIFS($B$2:B65,B65,$E$2:E65,E65),"")</f>
        <v/>
      </c>
    </row>
    <row r="66">
      <c r="A66" t="inlineStr">
        <is>
          <t>C-0074</t>
        </is>
      </c>
      <c r="B66" t="inlineStr">
        <is>
          <t>Retail-Core</t>
        </is>
      </c>
      <c r="C66" t="inlineStr">
        <is>
          <t>Mumbai</t>
        </is>
      </c>
      <c r="D66" t="n">
        <v>1</v>
      </c>
      <c r="E66" s="8" t="n">
        <v>2810</v>
      </c>
      <c r="F66" s="7" t="n">
        <v>46293</v>
      </c>
      <c r="G66">
        <f>IF(B66=Protect!$C$4,COUNTIFS($B$2:$B$301,B66,$E$2:$E$301,"&gt;"&amp;E66)+COUNTIFS($B$2:B66,B66,$E$2:E66,E66),"")</f>
        <v/>
      </c>
    </row>
    <row r="67">
      <c r="A67" t="inlineStr">
        <is>
          <t>C-0075</t>
        </is>
      </c>
      <c r="B67" t="inlineStr">
        <is>
          <t>Retail-Core</t>
        </is>
      </c>
      <c r="C67" t="inlineStr">
        <is>
          <t>Chennai</t>
        </is>
      </c>
      <c r="D67" t="n">
        <v>2</v>
      </c>
      <c r="E67" s="8" t="n">
        <v>3330</v>
      </c>
      <c r="F67" s="7" t="n">
        <v>46168</v>
      </c>
      <c r="G67">
        <f>IF(B67=Protect!$C$4,COUNTIFS($B$2:$B$301,B67,$E$2:$E$301,"&gt;"&amp;E67)+COUNTIFS($B$2:B67,B67,$E$2:E67,E67),"")</f>
        <v/>
      </c>
    </row>
    <row r="68">
      <c r="A68" t="inlineStr">
        <is>
          <t>C-0076</t>
        </is>
      </c>
      <c r="B68" t="inlineStr">
        <is>
          <t>Retail-Core</t>
        </is>
      </c>
      <c r="C68" t="inlineStr">
        <is>
          <t>Hyderabad</t>
        </is>
      </c>
      <c r="D68" t="n">
        <v>1</v>
      </c>
      <c r="E68" s="8" t="n">
        <v>1550</v>
      </c>
      <c r="F68" s="7" t="n">
        <v>46124</v>
      </c>
      <c r="G68">
        <f>IF(B68=Protect!$C$4,COUNTIFS($B$2:$B$301,B68,$E$2:$E$301,"&gt;"&amp;E68)+COUNTIFS($B$2:B68,B68,$E$2:E68,E68),"")</f>
        <v/>
      </c>
    </row>
    <row r="69">
      <c r="A69" t="inlineStr">
        <is>
          <t>C-0077</t>
        </is>
      </c>
      <c r="B69" t="inlineStr">
        <is>
          <t>Retail-Core</t>
        </is>
      </c>
      <c r="C69" t="inlineStr">
        <is>
          <t>Hyderabad</t>
        </is>
      </c>
      <c r="D69" t="n">
        <v>2</v>
      </c>
      <c r="E69" s="8" t="n">
        <v>2550</v>
      </c>
      <c r="F69" s="7" t="n">
        <v>46154</v>
      </c>
      <c r="G69">
        <f>IF(B69=Protect!$C$4,COUNTIFS($B$2:$B$301,B69,$E$2:$E$301,"&gt;"&amp;E69)+COUNTIFS($B$2:B69,B69,$E$2:E69,E69),"")</f>
        <v/>
      </c>
    </row>
    <row r="70">
      <c r="A70" t="inlineStr">
        <is>
          <t>C-0078</t>
        </is>
      </c>
      <c r="B70" t="inlineStr">
        <is>
          <t>Retail-Core</t>
        </is>
      </c>
      <c r="C70" t="inlineStr">
        <is>
          <t>Bengaluru</t>
        </is>
      </c>
      <c r="D70" t="n">
        <v>1</v>
      </c>
      <c r="E70" s="8" t="n">
        <v>1750</v>
      </c>
      <c r="F70" s="7" t="n">
        <v>46191</v>
      </c>
      <c r="G70">
        <f>IF(B70=Protect!$C$4,COUNTIFS($B$2:$B$301,B70,$E$2:$E$301,"&gt;"&amp;E70)+COUNTIFS($B$2:B70,B70,$E$2:E70,E70),"")</f>
        <v/>
      </c>
    </row>
    <row r="71">
      <c r="A71" t="inlineStr">
        <is>
          <t>C-0079</t>
        </is>
      </c>
      <c r="B71" t="inlineStr">
        <is>
          <t>Retail-Core</t>
        </is>
      </c>
      <c r="C71" t="inlineStr">
        <is>
          <t>Bengaluru</t>
        </is>
      </c>
      <c r="D71" t="n">
        <v>2</v>
      </c>
      <c r="E71" s="8" t="n">
        <v>2630</v>
      </c>
      <c r="F71" s="7" t="n">
        <v>46260</v>
      </c>
      <c r="G71">
        <f>IF(B71=Protect!$C$4,COUNTIFS($B$2:$B$301,B71,$E$2:$E$301,"&gt;"&amp;E71)+COUNTIFS($B$2:B71,B71,$E$2:E71,E71),"")</f>
        <v/>
      </c>
    </row>
    <row r="72">
      <c r="A72" t="inlineStr">
        <is>
          <t>C-0080</t>
        </is>
      </c>
      <c r="B72" t="inlineStr">
        <is>
          <t>Retail-Core</t>
        </is>
      </c>
      <c r="C72" t="inlineStr">
        <is>
          <t>Hyderabad</t>
        </is>
      </c>
      <c r="D72" t="n">
        <v>1</v>
      </c>
      <c r="E72" s="8" t="n">
        <v>1020</v>
      </c>
      <c r="F72" s="7" t="n">
        <v>46260</v>
      </c>
      <c r="G72">
        <f>IF(B72=Protect!$C$4,COUNTIFS($B$2:$B$301,B72,$E$2:$E$301,"&gt;"&amp;E72)+COUNTIFS($B$2:B72,B72,$E$2:E72,E72),"")</f>
        <v/>
      </c>
    </row>
    <row r="73">
      <c r="A73" t="inlineStr">
        <is>
          <t>C-0081</t>
        </is>
      </c>
      <c r="B73" t="inlineStr">
        <is>
          <t>Retail-Core</t>
        </is>
      </c>
      <c r="C73" t="inlineStr">
        <is>
          <t>Hyderabad</t>
        </is>
      </c>
      <c r="D73" t="n">
        <v>1</v>
      </c>
      <c r="E73" s="8" t="n">
        <v>1070</v>
      </c>
      <c r="F73" s="7" t="n">
        <v>46163</v>
      </c>
      <c r="G73">
        <f>IF(B73=Protect!$C$4,COUNTIFS($B$2:$B$301,B73,$E$2:$E$301,"&gt;"&amp;E73)+COUNTIFS($B$2:B73,B73,$E$2:E73,E73),"")</f>
        <v/>
      </c>
    </row>
    <row r="74">
      <c r="A74" t="inlineStr">
        <is>
          <t>C-0082</t>
        </is>
      </c>
      <c r="B74" t="inlineStr">
        <is>
          <t>Retail-Core</t>
        </is>
      </c>
      <c r="C74" t="inlineStr">
        <is>
          <t>Bengaluru</t>
        </is>
      </c>
      <c r="D74" t="n">
        <v>1</v>
      </c>
      <c r="E74" s="8" t="n">
        <v>2340</v>
      </c>
      <c r="F74" s="7" t="n">
        <v>46253</v>
      </c>
      <c r="G74">
        <f>IF(B74=Protect!$C$4,COUNTIFS($B$2:$B$301,B74,$E$2:$E$301,"&gt;"&amp;E74)+COUNTIFS($B$2:B74,B74,$E$2:E74,E74),"")</f>
        <v/>
      </c>
    </row>
    <row r="75">
      <c r="A75" t="inlineStr">
        <is>
          <t>C-0083</t>
        </is>
      </c>
      <c r="B75" t="inlineStr">
        <is>
          <t>Retail-Core</t>
        </is>
      </c>
      <c r="C75" t="inlineStr">
        <is>
          <t>Delhi</t>
        </is>
      </c>
      <c r="D75" t="n">
        <v>1</v>
      </c>
      <c r="E75" s="8" t="n">
        <v>1480</v>
      </c>
      <c r="F75" s="7" t="n">
        <v>46198</v>
      </c>
      <c r="G75">
        <f>IF(B75=Protect!$C$4,COUNTIFS($B$2:$B$301,B75,$E$2:$E$301,"&gt;"&amp;E75)+COUNTIFS($B$2:B75,B75,$E$2:E75,E75),"")</f>
        <v/>
      </c>
    </row>
    <row r="76">
      <c r="A76" t="inlineStr">
        <is>
          <t>C-0084</t>
        </is>
      </c>
      <c r="B76" t="inlineStr">
        <is>
          <t>Retail-Core</t>
        </is>
      </c>
      <c r="C76" t="inlineStr">
        <is>
          <t>Pune</t>
        </is>
      </c>
      <c r="D76" t="n">
        <v>3</v>
      </c>
      <c r="E76" s="8" t="n">
        <v>6400</v>
      </c>
      <c r="F76" s="7" t="n">
        <v>46138</v>
      </c>
      <c r="G76">
        <f>IF(B76=Protect!$C$4,COUNTIFS($B$2:$B$301,B76,$E$2:$E$301,"&gt;"&amp;E76)+COUNTIFS($B$2:B76,B76,$E$2:E76,E76),"")</f>
        <v/>
      </c>
    </row>
    <row r="77">
      <c r="A77" t="inlineStr">
        <is>
          <t>C-0085</t>
        </is>
      </c>
      <c r="B77" t="inlineStr">
        <is>
          <t>Retail-Core</t>
        </is>
      </c>
      <c r="C77" t="inlineStr">
        <is>
          <t>Chennai</t>
        </is>
      </c>
      <c r="D77" t="n">
        <v>2</v>
      </c>
      <c r="E77" s="8" t="n">
        <v>3610</v>
      </c>
      <c r="F77" s="7" t="n">
        <v>46259</v>
      </c>
      <c r="G77">
        <f>IF(B77=Protect!$C$4,COUNTIFS($B$2:$B$301,B77,$E$2:$E$301,"&gt;"&amp;E77)+COUNTIFS($B$2:B77,B77,$E$2:E77,E77),"")</f>
        <v/>
      </c>
    </row>
    <row r="78">
      <c r="A78" t="inlineStr">
        <is>
          <t>C-0086</t>
        </is>
      </c>
      <c r="B78" t="inlineStr">
        <is>
          <t>Retail-Core</t>
        </is>
      </c>
      <c r="C78" t="inlineStr">
        <is>
          <t>Chennai</t>
        </is>
      </c>
      <c r="D78" t="n">
        <v>3</v>
      </c>
      <c r="E78" s="8" t="n">
        <v>5810</v>
      </c>
      <c r="F78" s="7" t="n">
        <v>46180</v>
      </c>
      <c r="G78">
        <f>IF(B78=Protect!$C$4,COUNTIFS($B$2:$B$301,B78,$E$2:$E$301,"&gt;"&amp;E78)+COUNTIFS($B$2:B78,B78,$E$2:E78,E78),"")</f>
        <v/>
      </c>
    </row>
    <row r="79">
      <c r="A79" t="inlineStr">
        <is>
          <t>C-0087</t>
        </is>
      </c>
      <c r="B79" t="inlineStr">
        <is>
          <t>Retail-Core</t>
        </is>
      </c>
      <c r="C79" t="inlineStr">
        <is>
          <t>Pune</t>
        </is>
      </c>
      <c r="D79" t="n">
        <v>1</v>
      </c>
      <c r="E79" s="8" t="n">
        <v>2970</v>
      </c>
      <c r="F79" s="7" t="n">
        <v>46139</v>
      </c>
      <c r="G79">
        <f>IF(B79=Protect!$C$4,COUNTIFS($B$2:$B$301,B79,$E$2:$E$301,"&gt;"&amp;E79)+COUNTIFS($B$2:B79,B79,$E$2:E79,E79),"")</f>
        <v/>
      </c>
    </row>
    <row r="80">
      <c r="A80" t="inlineStr">
        <is>
          <t>C-0088</t>
        </is>
      </c>
      <c r="B80" t="inlineStr">
        <is>
          <t>Retail-Core</t>
        </is>
      </c>
      <c r="C80" t="inlineStr">
        <is>
          <t>Bengaluru</t>
        </is>
      </c>
      <c r="D80" t="n">
        <v>1</v>
      </c>
      <c r="E80" s="8" t="n">
        <v>960</v>
      </c>
      <c r="F80" s="7" t="n">
        <v>46187</v>
      </c>
      <c r="G80">
        <f>IF(B80=Protect!$C$4,COUNTIFS($B$2:$B$301,B80,$E$2:$E$301,"&gt;"&amp;E80)+COUNTIFS($B$2:B80,B80,$E$2:E80,E80),"")</f>
        <v/>
      </c>
    </row>
    <row r="81">
      <c r="A81" t="inlineStr">
        <is>
          <t>C-0089</t>
        </is>
      </c>
      <c r="B81" t="inlineStr">
        <is>
          <t>Retail-Core</t>
        </is>
      </c>
      <c r="C81" t="inlineStr">
        <is>
          <t>Delhi</t>
        </is>
      </c>
      <c r="D81" t="n">
        <v>3</v>
      </c>
      <c r="E81" s="8" t="n">
        <v>7500</v>
      </c>
      <c r="F81" s="7" t="n">
        <v>46239</v>
      </c>
      <c r="G81">
        <f>IF(B81=Protect!$C$4,COUNTIFS($B$2:$B$301,B81,$E$2:$E$301,"&gt;"&amp;E81)+COUNTIFS($B$2:B81,B81,$E$2:E81,E81),"")</f>
        <v/>
      </c>
    </row>
    <row r="82">
      <c r="A82" t="inlineStr">
        <is>
          <t>C-0090</t>
        </is>
      </c>
      <c r="B82" t="inlineStr">
        <is>
          <t>Retail-Core</t>
        </is>
      </c>
      <c r="C82" t="inlineStr">
        <is>
          <t>Delhi</t>
        </is>
      </c>
      <c r="D82" t="n">
        <v>1</v>
      </c>
      <c r="E82" s="8" t="n">
        <v>1900</v>
      </c>
      <c r="F82" s="7" t="n">
        <v>46217</v>
      </c>
      <c r="G82">
        <f>IF(B82=Protect!$C$4,COUNTIFS($B$2:$B$301,B82,$E$2:$E$301,"&gt;"&amp;E82)+COUNTIFS($B$2:B82,B82,$E$2:E82,E82),"")</f>
        <v/>
      </c>
    </row>
    <row r="83">
      <c r="A83" t="inlineStr">
        <is>
          <t>C-0091</t>
        </is>
      </c>
      <c r="B83" t="inlineStr">
        <is>
          <t>Retail-Core</t>
        </is>
      </c>
      <c r="C83" t="inlineStr">
        <is>
          <t>Hyderabad</t>
        </is>
      </c>
      <c r="D83" t="n">
        <v>3</v>
      </c>
      <c r="E83" s="8" t="n">
        <v>5230</v>
      </c>
      <c r="F83" s="7" t="n">
        <v>46236</v>
      </c>
      <c r="G83">
        <f>IF(B83=Protect!$C$4,COUNTIFS($B$2:$B$301,B83,$E$2:$E$301,"&gt;"&amp;E83)+COUNTIFS($B$2:B83,B83,$E$2:E83,E83),"")</f>
        <v/>
      </c>
    </row>
    <row r="84">
      <c r="A84" t="inlineStr">
        <is>
          <t>C-0092</t>
        </is>
      </c>
      <c r="B84" t="inlineStr">
        <is>
          <t>Retail-Core</t>
        </is>
      </c>
      <c r="C84" t="inlineStr">
        <is>
          <t>Chennai</t>
        </is>
      </c>
      <c r="D84" t="n">
        <v>2</v>
      </c>
      <c r="E84" s="8" t="n">
        <v>2950</v>
      </c>
      <c r="F84" s="7" t="n">
        <v>46248</v>
      </c>
      <c r="G84">
        <f>IF(B84=Protect!$C$4,COUNTIFS($B$2:$B$301,B84,$E$2:$E$301,"&gt;"&amp;E84)+COUNTIFS($B$2:B84,B84,$E$2:E84,E84),"")</f>
        <v/>
      </c>
    </row>
    <row r="85">
      <c r="A85" t="inlineStr">
        <is>
          <t>C-0093</t>
        </is>
      </c>
      <c r="B85" t="inlineStr">
        <is>
          <t>Retail-Core</t>
        </is>
      </c>
      <c r="C85" t="inlineStr">
        <is>
          <t>Mumbai</t>
        </is>
      </c>
      <c r="D85" t="n">
        <v>1</v>
      </c>
      <c r="E85" s="8" t="n">
        <v>1740</v>
      </c>
      <c r="F85" s="7" t="n">
        <v>46116</v>
      </c>
      <c r="G85">
        <f>IF(B85=Protect!$C$4,COUNTIFS($B$2:$B$301,B85,$E$2:$E$301,"&gt;"&amp;E85)+COUNTIFS($B$2:B85,B85,$E$2:E85,E85),"")</f>
        <v/>
      </c>
    </row>
    <row r="86">
      <c r="A86" t="inlineStr">
        <is>
          <t>C-0094</t>
        </is>
      </c>
      <c r="B86" t="inlineStr">
        <is>
          <t>Retail-Core</t>
        </is>
      </c>
      <c r="C86" t="inlineStr">
        <is>
          <t>Hyderabad</t>
        </is>
      </c>
      <c r="D86" t="n">
        <v>2</v>
      </c>
      <c r="E86" s="8" t="n">
        <v>5160</v>
      </c>
      <c r="F86" s="7" t="n">
        <v>46212</v>
      </c>
      <c r="G86">
        <f>IF(B86=Protect!$C$4,COUNTIFS($B$2:$B$301,B86,$E$2:$E$301,"&gt;"&amp;E86)+COUNTIFS($B$2:B86,B86,$E$2:E86,E86),"")</f>
        <v/>
      </c>
    </row>
    <row r="87">
      <c r="A87" t="inlineStr">
        <is>
          <t>C-0095</t>
        </is>
      </c>
      <c r="B87" t="inlineStr">
        <is>
          <t>Retail-Core</t>
        </is>
      </c>
      <c r="C87" t="inlineStr">
        <is>
          <t>Mumbai</t>
        </is>
      </c>
      <c r="D87" t="n">
        <v>3</v>
      </c>
      <c r="E87" s="8" t="n">
        <v>7010</v>
      </c>
      <c r="F87" s="7" t="n">
        <v>46257</v>
      </c>
      <c r="G87">
        <f>IF(B87=Protect!$C$4,COUNTIFS($B$2:$B$301,B87,$E$2:$E$301,"&gt;"&amp;E87)+COUNTIFS($B$2:B87,B87,$E$2:E87,E87),"")</f>
        <v/>
      </c>
    </row>
    <row r="88">
      <c r="A88" t="inlineStr">
        <is>
          <t>C-0096</t>
        </is>
      </c>
      <c r="B88" t="inlineStr">
        <is>
          <t>Retail-Core</t>
        </is>
      </c>
      <c r="C88" t="inlineStr">
        <is>
          <t>Hyderabad</t>
        </is>
      </c>
      <c r="D88" t="n">
        <v>2</v>
      </c>
      <c r="E88" s="8" t="n">
        <v>3210</v>
      </c>
      <c r="F88" s="7" t="n">
        <v>46290</v>
      </c>
      <c r="G88">
        <f>IF(B88=Protect!$C$4,COUNTIFS($B$2:$B$301,B88,$E$2:$E$301,"&gt;"&amp;E88)+COUNTIFS($B$2:B88,B88,$E$2:E88,E88),"")</f>
        <v/>
      </c>
    </row>
    <row r="89">
      <c r="A89" t="inlineStr">
        <is>
          <t>C-0098</t>
        </is>
      </c>
      <c r="B89" t="inlineStr">
        <is>
          <t>Retail-Core</t>
        </is>
      </c>
      <c r="C89" t="inlineStr">
        <is>
          <t>Chennai</t>
        </is>
      </c>
      <c r="D89" t="n">
        <v>1</v>
      </c>
      <c r="E89" s="8" t="n">
        <v>2030</v>
      </c>
      <c r="F89" s="7" t="n">
        <v>46241</v>
      </c>
      <c r="G89">
        <f>IF(B89=Protect!$C$4,COUNTIFS($B$2:$B$301,B89,$E$2:$E$301,"&gt;"&amp;E89)+COUNTIFS($B$2:B89,B89,$E$2:E89,E89),"")</f>
        <v/>
      </c>
    </row>
    <row r="90">
      <c r="A90" t="inlineStr">
        <is>
          <t>C-0099</t>
        </is>
      </c>
      <c r="B90" t="inlineStr">
        <is>
          <t>Retail-Core</t>
        </is>
      </c>
      <c r="C90" t="inlineStr">
        <is>
          <t>Pune</t>
        </is>
      </c>
      <c r="D90" t="n">
        <v>1</v>
      </c>
      <c r="E90" s="8" t="n">
        <v>1180</v>
      </c>
      <c r="F90" s="7" t="n">
        <v>46187</v>
      </c>
      <c r="G90">
        <f>IF(B90=Protect!$C$4,COUNTIFS($B$2:$B$301,B90,$E$2:$E$301,"&gt;"&amp;E90)+COUNTIFS($B$2:B90,B90,$E$2:E90,E90),"")</f>
        <v/>
      </c>
    </row>
    <row r="91">
      <c r="A91" t="inlineStr">
        <is>
          <t>C-0100</t>
        </is>
      </c>
      <c r="B91" t="inlineStr">
        <is>
          <t>Retail-Core</t>
        </is>
      </c>
      <c r="C91" t="inlineStr">
        <is>
          <t>Hyderabad</t>
        </is>
      </c>
      <c r="D91" t="n">
        <v>2</v>
      </c>
      <c r="E91" s="8" t="n">
        <v>4080</v>
      </c>
      <c r="F91" s="7" t="n">
        <v>46261</v>
      </c>
      <c r="G91">
        <f>IF(B91=Protect!$C$4,COUNTIFS($B$2:$B$301,B91,$E$2:$E$301,"&gt;"&amp;E91)+COUNTIFS($B$2:B91,B91,$E$2:E91,E91),"")</f>
        <v/>
      </c>
    </row>
    <row r="92">
      <c r="A92" t="inlineStr">
        <is>
          <t>C-0102</t>
        </is>
      </c>
      <c r="B92" t="inlineStr">
        <is>
          <t>Retail-Core</t>
        </is>
      </c>
      <c r="C92" t="inlineStr">
        <is>
          <t>Hyderabad</t>
        </is>
      </c>
      <c r="D92" t="n">
        <v>1</v>
      </c>
      <c r="E92" s="8" t="n">
        <v>2190</v>
      </c>
      <c r="F92" s="7" t="n">
        <v>46180</v>
      </c>
      <c r="G92">
        <f>IF(B92=Protect!$C$4,COUNTIFS($B$2:$B$301,B92,$E$2:$E$301,"&gt;"&amp;E92)+COUNTIFS($B$2:B92,B92,$E$2:E92,E92),"")</f>
        <v/>
      </c>
    </row>
    <row r="93">
      <c r="A93" t="inlineStr">
        <is>
          <t>C-0103</t>
        </is>
      </c>
      <c r="B93" t="inlineStr">
        <is>
          <t>Retail-Core</t>
        </is>
      </c>
      <c r="C93" t="inlineStr">
        <is>
          <t>Chennai</t>
        </is>
      </c>
      <c r="D93" t="n">
        <v>2</v>
      </c>
      <c r="E93" s="8" t="n">
        <v>4430</v>
      </c>
      <c r="F93" s="7" t="n">
        <v>46226</v>
      </c>
      <c r="G93">
        <f>IF(B93=Protect!$C$4,COUNTIFS($B$2:$B$301,B93,$E$2:$E$301,"&gt;"&amp;E93)+COUNTIFS($B$2:B93,B93,$E$2:E93,E93),"")</f>
        <v/>
      </c>
    </row>
    <row r="94">
      <c r="A94" t="inlineStr">
        <is>
          <t>C-0104</t>
        </is>
      </c>
      <c r="B94" t="inlineStr">
        <is>
          <t>Retail-Core</t>
        </is>
      </c>
      <c r="C94" t="inlineStr">
        <is>
          <t>Delhi</t>
        </is>
      </c>
      <c r="D94" t="n">
        <v>3</v>
      </c>
      <c r="E94" s="8" t="n">
        <v>4720</v>
      </c>
      <c r="F94" s="7" t="n">
        <v>46231</v>
      </c>
      <c r="G94">
        <f>IF(B94=Protect!$C$4,COUNTIFS($B$2:$B$301,B94,$E$2:$E$301,"&gt;"&amp;E94)+COUNTIFS($B$2:B94,B94,$E$2:E94,E94),"")</f>
        <v/>
      </c>
    </row>
    <row r="95">
      <c r="A95" t="inlineStr">
        <is>
          <t>C-0107</t>
        </is>
      </c>
      <c r="B95" t="inlineStr">
        <is>
          <t>Retail-Core</t>
        </is>
      </c>
      <c r="C95" t="inlineStr">
        <is>
          <t>Pune</t>
        </is>
      </c>
      <c r="D95" t="n">
        <v>1</v>
      </c>
      <c r="E95" s="8" t="n">
        <v>1630</v>
      </c>
      <c r="F95" s="7" t="n">
        <v>46131</v>
      </c>
      <c r="G95">
        <f>IF(B95=Protect!$C$4,COUNTIFS($B$2:$B$301,B95,$E$2:$E$301,"&gt;"&amp;E95)+COUNTIFS($B$2:B95,B95,$E$2:E95,E95),"")</f>
        <v/>
      </c>
    </row>
    <row r="96">
      <c r="A96" t="inlineStr">
        <is>
          <t>C-0108</t>
        </is>
      </c>
      <c r="B96" t="inlineStr">
        <is>
          <t>Retail-Core</t>
        </is>
      </c>
      <c r="C96" t="inlineStr">
        <is>
          <t>Mumbai</t>
        </is>
      </c>
      <c r="D96" t="n">
        <v>5</v>
      </c>
      <c r="E96" s="8" t="n">
        <v>5250</v>
      </c>
      <c r="F96" s="7" t="n">
        <v>46281</v>
      </c>
      <c r="G96">
        <f>IF(B96=Protect!$C$4,COUNTIFS($B$2:$B$301,B96,$E$2:$E$301,"&gt;"&amp;E96)+COUNTIFS($B$2:B96,B96,$E$2:E96,E96),"")</f>
        <v/>
      </c>
    </row>
    <row r="97">
      <c r="A97" t="inlineStr">
        <is>
          <t>C-0109</t>
        </is>
      </c>
      <c r="B97" t="inlineStr">
        <is>
          <t>Retail-Core</t>
        </is>
      </c>
      <c r="C97" t="inlineStr">
        <is>
          <t>Bengaluru</t>
        </is>
      </c>
      <c r="D97" t="n">
        <v>1</v>
      </c>
      <c r="E97" s="8" t="n">
        <v>930</v>
      </c>
      <c r="F97" s="7" t="n">
        <v>46222</v>
      </c>
      <c r="G97">
        <f>IF(B97=Protect!$C$4,COUNTIFS($B$2:$B$301,B97,$E$2:$E$301,"&gt;"&amp;E97)+COUNTIFS($B$2:B97,B97,$E$2:E97,E97),"")</f>
        <v/>
      </c>
    </row>
    <row r="98">
      <c r="A98" t="inlineStr">
        <is>
          <t>C-0110</t>
        </is>
      </c>
      <c r="B98" t="inlineStr">
        <is>
          <t>Retail-Core</t>
        </is>
      </c>
      <c r="C98" t="inlineStr">
        <is>
          <t>Mumbai</t>
        </is>
      </c>
      <c r="D98" t="n">
        <v>2</v>
      </c>
      <c r="E98" s="8" t="n">
        <v>3850</v>
      </c>
      <c r="F98" s="7" t="n">
        <v>46195</v>
      </c>
      <c r="G98">
        <f>IF(B98=Protect!$C$4,COUNTIFS($B$2:$B$301,B98,$E$2:$E$301,"&gt;"&amp;E98)+COUNTIFS($B$2:B98,B98,$E$2:E98,E98),"")</f>
        <v/>
      </c>
    </row>
    <row r="99">
      <c r="A99" t="inlineStr">
        <is>
          <t>C-0111</t>
        </is>
      </c>
      <c r="B99" t="inlineStr">
        <is>
          <t>Retail-Core</t>
        </is>
      </c>
      <c r="C99" t="inlineStr">
        <is>
          <t>Pune</t>
        </is>
      </c>
      <c r="D99" t="n">
        <v>4</v>
      </c>
      <c r="E99" s="8" t="n">
        <v>8770</v>
      </c>
      <c r="F99" s="7" t="n">
        <v>46289</v>
      </c>
      <c r="G99">
        <f>IF(B99=Protect!$C$4,COUNTIFS($B$2:$B$301,B99,$E$2:$E$301,"&gt;"&amp;E99)+COUNTIFS($B$2:B99,B99,$E$2:E99,E99),"")</f>
        <v/>
      </c>
    </row>
    <row r="100">
      <c r="A100" t="inlineStr">
        <is>
          <t>C-0112</t>
        </is>
      </c>
      <c r="B100" t="inlineStr">
        <is>
          <t>Retail-Core</t>
        </is>
      </c>
      <c r="C100" t="inlineStr">
        <is>
          <t>Pune</t>
        </is>
      </c>
      <c r="D100" t="n">
        <v>4</v>
      </c>
      <c r="E100" s="8" t="n">
        <v>4600</v>
      </c>
      <c r="F100" s="7" t="n">
        <v>46280</v>
      </c>
      <c r="G100">
        <f>IF(B100=Protect!$C$4,COUNTIFS($B$2:$B$301,B100,$E$2:$E$301,"&gt;"&amp;E100)+COUNTIFS($B$2:B100,B100,$E$2:E100,E100),"")</f>
        <v/>
      </c>
    </row>
    <row r="101">
      <c r="A101" t="inlineStr">
        <is>
          <t>C-0113</t>
        </is>
      </c>
      <c r="B101" t="inlineStr">
        <is>
          <t>Retail-Core</t>
        </is>
      </c>
      <c r="C101" t="inlineStr">
        <is>
          <t>Bengaluru</t>
        </is>
      </c>
      <c r="D101" t="n">
        <v>2</v>
      </c>
      <c r="E101" s="8" t="n">
        <v>4300</v>
      </c>
      <c r="F101" s="7" t="n">
        <v>46282</v>
      </c>
      <c r="G101">
        <f>IF(B101=Protect!$C$4,COUNTIFS($B$2:$B$301,B101,$E$2:$E$301,"&gt;"&amp;E101)+COUNTIFS($B$2:B101,B101,$E$2:E101,E101),"")</f>
        <v/>
      </c>
    </row>
    <row r="102">
      <c r="A102" t="inlineStr">
        <is>
          <t>C-0115</t>
        </is>
      </c>
      <c r="B102" t="inlineStr">
        <is>
          <t>Retail-Core</t>
        </is>
      </c>
      <c r="C102" t="inlineStr">
        <is>
          <t>Chennai</t>
        </is>
      </c>
      <c r="D102" t="n">
        <v>1</v>
      </c>
      <c r="E102" s="8" t="n">
        <v>1480</v>
      </c>
      <c r="F102" s="7" t="n">
        <v>46115</v>
      </c>
      <c r="G102">
        <f>IF(B102=Protect!$C$4,COUNTIFS($B$2:$B$301,B102,$E$2:$E$301,"&gt;"&amp;E102)+COUNTIFS($B$2:B102,B102,$E$2:E102,E102),"")</f>
        <v/>
      </c>
    </row>
    <row r="103">
      <c r="A103" t="inlineStr">
        <is>
          <t>C-0116</t>
        </is>
      </c>
      <c r="B103" t="inlineStr">
        <is>
          <t>Retail-Core</t>
        </is>
      </c>
      <c r="C103" t="inlineStr">
        <is>
          <t>Delhi</t>
        </is>
      </c>
      <c r="D103" t="n">
        <v>2</v>
      </c>
      <c r="E103" s="8" t="n">
        <v>4770</v>
      </c>
      <c r="F103" s="7" t="n">
        <v>46248</v>
      </c>
      <c r="G103">
        <f>IF(B103=Protect!$C$4,COUNTIFS($B$2:$B$301,B103,$E$2:$E$301,"&gt;"&amp;E103)+COUNTIFS($B$2:B103,B103,$E$2:E103,E103),"")</f>
        <v/>
      </c>
    </row>
    <row r="104">
      <c r="A104" t="inlineStr">
        <is>
          <t>C-0117</t>
        </is>
      </c>
      <c r="B104" t="inlineStr">
        <is>
          <t>Retail-Core</t>
        </is>
      </c>
      <c r="C104" t="inlineStr">
        <is>
          <t>Hyderabad</t>
        </is>
      </c>
      <c r="D104" t="n">
        <v>2</v>
      </c>
      <c r="E104" s="8" t="n">
        <v>3160</v>
      </c>
      <c r="F104" s="7" t="n">
        <v>46289</v>
      </c>
      <c r="G104">
        <f>IF(B104=Protect!$C$4,COUNTIFS($B$2:$B$301,B104,$E$2:$E$301,"&gt;"&amp;E104)+COUNTIFS($B$2:B104,B104,$E$2:E104,E104),"")</f>
        <v/>
      </c>
    </row>
    <row r="105">
      <c r="A105" t="inlineStr">
        <is>
          <t>C-0118</t>
        </is>
      </c>
      <c r="B105" t="inlineStr">
        <is>
          <t>Retail-Core</t>
        </is>
      </c>
      <c r="C105" t="inlineStr">
        <is>
          <t>Mumbai</t>
        </is>
      </c>
      <c r="D105" t="n">
        <v>2</v>
      </c>
      <c r="E105" s="8" t="n">
        <v>3590</v>
      </c>
      <c r="F105" s="7" t="n">
        <v>46277</v>
      </c>
      <c r="G105">
        <f>IF(B105=Protect!$C$4,COUNTIFS($B$2:$B$301,B105,$E$2:$E$301,"&gt;"&amp;E105)+COUNTIFS($B$2:B105,B105,$E$2:E105,E105),"")</f>
        <v/>
      </c>
    </row>
    <row r="106">
      <c r="A106" t="inlineStr">
        <is>
          <t>C-0119</t>
        </is>
      </c>
      <c r="B106" t="inlineStr">
        <is>
          <t>Retail-Core</t>
        </is>
      </c>
      <c r="C106" t="inlineStr">
        <is>
          <t>Mumbai</t>
        </is>
      </c>
      <c r="D106" t="n">
        <v>1</v>
      </c>
      <c r="E106" s="8" t="n">
        <v>1530</v>
      </c>
      <c r="F106" s="7" t="n">
        <v>46123</v>
      </c>
      <c r="G106">
        <f>IF(B106=Protect!$C$4,COUNTIFS($B$2:$B$301,B106,$E$2:$E$301,"&gt;"&amp;E106)+COUNTIFS($B$2:B106,B106,$E$2:E106,E106),"")</f>
        <v/>
      </c>
    </row>
    <row r="107">
      <c r="A107" t="inlineStr">
        <is>
          <t>C-0121</t>
        </is>
      </c>
      <c r="B107" t="inlineStr">
        <is>
          <t>Retail-Core</t>
        </is>
      </c>
      <c r="C107" t="inlineStr">
        <is>
          <t>Chennai</t>
        </is>
      </c>
      <c r="D107" t="n">
        <v>3</v>
      </c>
      <c r="E107" s="8" t="n">
        <v>6470</v>
      </c>
      <c r="F107" s="7" t="n">
        <v>46286</v>
      </c>
      <c r="G107">
        <f>IF(B107=Protect!$C$4,COUNTIFS($B$2:$B$301,B107,$E$2:$E$301,"&gt;"&amp;E107)+COUNTIFS($B$2:B107,B107,$E$2:E107,E107),"")</f>
        <v/>
      </c>
    </row>
    <row r="108">
      <c r="A108" t="inlineStr">
        <is>
          <t>C-0122</t>
        </is>
      </c>
      <c r="B108" t="inlineStr">
        <is>
          <t>Retail-Core</t>
        </is>
      </c>
      <c r="C108" t="inlineStr">
        <is>
          <t>Pune</t>
        </is>
      </c>
      <c r="D108" t="n">
        <v>1</v>
      </c>
      <c r="E108" s="8" t="n">
        <v>2480</v>
      </c>
      <c r="F108" s="7" t="n">
        <v>46175</v>
      </c>
      <c r="G108">
        <f>IF(B108=Protect!$C$4,COUNTIFS($B$2:$B$301,B108,$E$2:$E$301,"&gt;"&amp;E108)+COUNTIFS($B$2:B108,B108,$E$2:E108,E108),"")</f>
        <v/>
      </c>
    </row>
    <row r="109">
      <c r="A109" t="inlineStr">
        <is>
          <t>C-0123</t>
        </is>
      </c>
      <c r="B109" t="inlineStr">
        <is>
          <t>Retail-Core</t>
        </is>
      </c>
      <c r="C109" t="inlineStr">
        <is>
          <t>Pune</t>
        </is>
      </c>
      <c r="D109" t="n">
        <v>1</v>
      </c>
      <c r="E109" s="8" t="n">
        <v>3000</v>
      </c>
      <c r="F109" s="7" t="n">
        <v>46197</v>
      </c>
      <c r="G109">
        <f>IF(B109=Protect!$C$4,COUNTIFS($B$2:$B$301,B109,$E$2:$E$301,"&gt;"&amp;E109)+COUNTIFS($B$2:B109,B109,$E$2:E109,E109),"")</f>
        <v/>
      </c>
    </row>
    <row r="110">
      <c r="A110" t="inlineStr">
        <is>
          <t>C-0124</t>
        </is>
      </c>
      <c r="B110" t="inlineStr">
        <is>
          <t>Retail-Core</t>
        </is>
      </c>
      <c r="C110" t="inlineStr">
        <is>
          <t>Pune</t>
        </is>
      </c>
      <c r="D110" t="n">
        <v>3</v>
      </c>
      <c r="E110" s="8" t="n">
        <v>6610</v>
      </c>
      <c r="F110" s="7" t="n">
        <v>46270</v>
      </c>
      <c r="G110">
        <f>IF(B110=Protect!$C$4,COUNTIFS($B$2:$B$301,B110,$E$2:$E$301,"&gt;"&amp;E110)+COUNTIFS($B$2:B110,B110,$E$2:E110,E110),"")</f>
        <v/>
      </c>
    </row>
    <row r="111">
      <c r="A111" t="inlineStr">
        <is>
          <t>C-0125</t>
        </is>
      </c>
      <c r="B111" t="inlineStr">
        <is>
          <t>Retail-Core</t>
        </is>
      </c>
      <c r="C111" t="inlineStr">
        <is>
          <t>Chennai</t>
        </is>
      </c>
      <c r="D111" t="n">
        <v>1</v>
      </c>
      <c r="E111" s="8" t="n">
        <v>820</v>
      </c>
      <c r="F111" s="7" t="n">
        <v>46129</v>
      </c>
      <c r="G111">
        <f>IF(B111=Protect!$C$4,COUNTIFS($B$2:$B$301,B111,$E$2:$E$301,"&gt;"&amp;E111)+COUNTIFS($B$2:B111,B111,$E$2:E111,E111),"")</f>
        <v/>
      </c>
    </row>
    <row r="112">
      <c r="A112" t="inlineStr">
        <is>
          <t>C-0126</t>
        </is>
      </c>
      <c r="B112" t="inlineStr">
        <is>
          <t>Retail-Core</t>
        </is>
      </c>
      <c r="C112" t="inlineStr">
        <is>
          <t>Mumbai</t>
        </is>
      </c>
      <c r="D112" t="n">
        <v>2</v>
      </c>
      <c r="E112" s="8" t="n">
        <v>3290</v>
      </c>
      <c r="F112" s="7" t="n">
        <v>46244</v>
      </c>
      <c r="G112">
        <f>IF(B112=Protect!$C$4,COUNTIFS($B$2:$B$301,B112,$E$2:$E$301,"&gt;"&amp;E112)+COUNTIFS($B$2:B112,B112,$E$2:E112,E112),"")</f>
        <v/>
      </c>
    </row>
    <row r="113">
      <c r="A113" t="inlineStr">
        <is>
          <t>C-0127</t>
        </is>
      </c>
      <c r="B113" t="inlineStr">
        <is>
          <t>Retail-Core</t>
        </is>
      </c>
      <c r="C113" t="inlineStr">
        <is>
          <t>Chennai</t>
        </is>
      </c>
      <c r="D113" t="n">
        <v>4</v>
      </c>
      <c r="E113" s="8" t="n">
        <v>5000</v>
      </c>
      <c r="F113" s="7" t="n">
        <v>46253</v>
      </c>
      <c r="G113">
        <f>IF(B113=Protect!$C$4,COUNTIFS($B$2:$B$301,B113,$E$2:$E$301,"&gt;"&amp;E113)+COUNTIFS($B$2:B113,B113,$E$2:E113,E113),"")</f>
        <v/>
      </c>
    </row>
    <row r="114">
      <c r="A114" t="inlineStr">
        <is>
          <t>C-0128</t>
        </is>
      </c>
      <c r="B114" t="inlineStr">
        <is>
          <t>Retail-Core</t>
        </is>
      </c>
      <c r="C114" t="inlineStr">
        <is>
          <t>Chennai</t>
        </is>
      </c>
      <c r="D114" t="n">
        <v>3</v>
      </c>
      <c r="E114" s="8" t="n">
        <v>5700</v>
      </c>
      <c r="F114" s="7" t="n">
        <v>46251</v>
      </c>
      <c r="G114">
        <f>IF(B114=Protect!$C$4,COUNTIFS($B$2:$B$301,B114,$E$2:$E$301,"&gt;"&amp;E114)+COUNTIFS($B$2:B114,B114,$E$2:E114,E114),"")</f>
        <v/>
      </c>
    </row>
    <row r="115">
      <c r="A115" t="inlineStr">
        <is>
          <t>C-0129</t>
        </is>
      </c>
      <c r="B115" t="inlineStr">
        <is>
          <t>Retail-Core</t>
        </is>
      </c>
      <c r="C115" t="inlineStr">
        <is>
          <t>Delhi</t>
        </is>
      </c>
      <c r="D115" t="n">
        <v>1</v>
      </c>
      <c r="E115" s="8" t="n">
        <v>1620</v>
      </c>
      <c r="F115" s="7" t="n">
        <v>46240</v>
      </c>
      <c r="G115">
        <f>IF(B115=Protect!$C$4,COUNTIFS($B$2:$B$301,B115,$E$2:$E$301,"&gt;"&amp;E115)+COUNTIFS($B$2:B115,B115,$E$2:E115,E115),"")</f>
        <v/>
      </c>
    </row>
    <row r="116">
      <c r="A116" t="inlineStr">
        <is>
          <t>C-0131</t>
        </is>
      </c>
      <c r="B116" t="inlineStr">
        <is>
          <t>Retail-Core</t>
        </is>
      </c>
      <c r="C116" t="inlineStr">
        <is>
          <t>Delhi</t>
        </is>
      </c>
      <c r="D116" t="n">
        <v>2</v>
      </c>
      <c r="E116" s="8" t="n">
        <v>4700</v>
      </c>
      <c r="F116" s="7" t="n">
        <v>46208</v>
      </c>
      <c r="G116">
        <f>IF(B116=Protect!$C$4,COUNTIFS($B$2:$B$301,B116,$E$2:$E$301,"&gt;"&amp;E116)+COUNTIFS($B$2:B116,B116,$E$2:E116,E116),"")</f>
        <v/>
      </c>
    </row>
    <row r="117">
      <c r="A117" t="inlineStr">
        <is>
          <t>C-0132</t>
        </is>
      </c>
      <c r="B117" t="inlineStr">
        <is>
          <t>Retail-Core</t>
        </is>
      </c>
      <c r="C117" t="inlineStr">
        <is>
          <t>Pune</t>
        </is>
      </c>
      <c r="D117" t="n">
        <v>2</v>
      </c>
      <c r="E117" s="8" t="n">
        <v>4540</v>
      </c>
      <c r="F117" s="7" t="n">
        <v>46292</v>
      </c>
      <c r="G117">
        <f>IF(B117=Protect!$C$4,COUNTIFS($B$2:$B$301,B117,$E$2:$E$301,"&gt;"&amp;E117)+COUNTIFS($B$2:B117,B117,$E$2:E117,E117),"")</f>
        <v/>
      </c>
    </row>
    <row r="118">
      <c r="A118" t="inlineStr">
        <is>
          <t>C-0133</t>
        </is>
      </c>
      <c r="B118" t="inlineStr">
        <is>
          <t>Retail-Core</t>
        </is>
      </c>
      <c r="C118" t="inlineStr">
        <is>
          <t>Chennai</t>
        </is>
      </c>
      <c r="D118" t="n">
        <v>1</v>
      </c>
      <c r="E118" s="8" t="n">
        <v>2660</v>
      </c>
      <c r="F118" s="7" t="n">
        <v>46197</v>
      </c>
      <c r="G118">
        <f>IF(B118=Protect!$C$4,COUNTIFS($B$2:$B$301,B118,$E$2:$E$301,"&gt;"&amp;E118)+COUNTIFS($B$2:B118,B118,$E$2:E118,E118),"")</f>
        <v/>
      </c>
    </row>
    <row r="119">
      <c r="A119" t="inlineStr">
        <is>
          <t>C-0134</t>
        </is>
      </c>
      <c r="B119" t="inlineStr">
        <is>
          <t>Retail-Core</t>
        </is>
      </c>
      <c r="C119" t="inlineStr">
        <is>
          <t>Pune</t>
        </is>
      </c>
      <c r="D119" t="n">
        <v>1</v>
      </c>
      <c r="E119" s="8" t="n">
        <v>890</v>
      </c>
      <c r="F119" s="7" t="n">
        <v>46193</v>
      </c>
      <c r="G119">
        <f>IF(B119=Protect!$C$4,COUNTIFS($B$2:$B$301,B119,$E$2:$E$301,"&gt;"&amp;E119)+COUNTIFS($B$2:B119,B119,$E$2:E119,E119),"")</f>
        <v/>
      </c>
    </row>
    <row r="120">
      <c r="A120" t="inlineStr">
        <is>
          <t>C-0136</t>
        </is>
      </c>
      <c r="B120" t="inlineStr">
        <is>
          <t>Retail-Core</t>
        </is>
      </c>
      <c r="C120" t="inlineStr">
        <is>
          <t>Pune</t>
        </is>
      </c>
      <c r="D120" t="n">
        <v>5</v>
      </c>
      <c r="E120" s="8" t="n">
        <v>9470</v>
      </c>
      <c r="F120" s="7" t="n">
        <v>46256</v>
      </c>
      <c r="G120">
        <f>IF(B120=Protect!$C$4,COUNTIFS($B$2:$B$301,B120,$E$2:$E$301,"&gt;"&amp;E120)+COUNTIFS($B$2:B120,B120,$E$2:E120,E120),"")</f>
        <v/>
      </c>
    </row>
    <row r="121">
      <c r="A121" t="inlineStr">
        <is>
          <t>C-0137</t>
        </is>
      </c>
      <c r="B121" t="inlineStr">
        <is>
          <t>Retail-Core</t>
        </is>
      </c>
      <c r="C121" t="inlineStr">
        <is>
          <t>Hyderabad</t>
        </is>
      </c>
      <c r="D121" t="n">
        <v>2</v>
      </c>
      <c r="E121" s="8" t="n">
        <v>4390</v>
      </c>
      <c r="F121" s="7" t="n">
        <v>46209</v>
      </c>
      <c r="G121">
        <f>IF(B121=Protect!$C$4,COUNTIFS($B$2:$B$301,B121,$E$2:$E$301,"&gt;"&amp;E121)+COUNTIFS($B$2:B121,B121,$E$2:E121,E121),"")</f>
        <v/>
      </c>
    </row>
    <row r="122">
      <c r="A122" t="inlineStr">
        <is>
          <t>C-0138</t>
        </is>
      </c>
      <c r="B122" t="inlineStr">
        <is>
          <t>Retail-Core</t>
        </is>
      </c>
      <c r="C122" t="inlineStr">
        <is>
          <t>Bengaluru</t>
        </is>
      </c>
      <c r="D122" t="n">
        <v>1</v>
      </c>
      <c r="E122" s="8" t="n">
        <v>1480</v>
      </c>
      <c r="F122" s="7" t="n">
        <v>46188</v>
      </c>
      <c r="G122">
        <f>IF(B122=Protect!$C$4,COUNTIFS($B$2:$B$301,B122,$E$2:$E$301,"&gt;"&amp;E122)+COUNTIFS($B$2:B122,B122,$E$2:E122,E122),"")</f>
        <v/>
      </c>
    </row>
    <row r="123">
      <c r="A123" t="inlineStr">
        <is>
          <t>C-0139</t>
        </is>
      </c>
      <c r="B123" t="inlineStr">
        <is>
          <t>Retail-Core</t>
        </is>
      </c>
      <c r="C123" t="inlineStr">
        <is>
          <t>Pune</t>
        </is>
      </c>
      <c r="D123" t="n">
        <v>2</v>
      </c>
      <c r="E123" s="8" t="n">
        <v>5020</v>
      </c>
      <c r="F123" s="7" t="n">
        <v>46276</v>
      </c>
      <c r="G123">
        <f>IF(B123=Protect!$C$4,COUNTIFS($B$2:$B$301,B123,$E$2:$E$301,"&gt;"&amp;E123)+COUNTIFS($B$2:B123,B123,$E$2:E123,E123),"")</f>
        <v/>
      </c>
    </row>
    <row r="124">
      <c r="A124" t="inlineStr">
        <is>
          <t>C-0140</t>
        </is>
      </c>
      <c r="B124" t="inlineStr">
        <is>
          <t>Retail-Core</t>
        </is>
      </c>
      <c r="C124" t="inlineStr">
        <is>
          <t>Bengaluru</t>
        </is>
      </c>
      <c r="D124" t="n">
        <v>2</v>
      </c>
      <c r="E124" s="8" t="n">
        <v>4470</v>
      </c>
      <c r="F124" s="7" t="n">
        <v>46204</v>
      </c>
      <c r="G124">
        <f>IF(B124=Protect!$C$4,COUNTIFS($B$2:$B$301,B124,$E$2:$E$301,"&gt;"&amp;E124)+COUNTIFS($B$2:B124,B124,$E$2:E124,E124),"")</f>
        <v/>
      </c>
    </row>
    <row r="125">
      <c r="A125" t="inlineStr">
        <is>
          <t>C-0142</t>
        </is>
      </c>
      <c r="B125" t="inlineStr">
        <is>
          <t>Retail-Core</t>
        </is>
      </c>
      <c r="C125" t="inlineStr">
        <is>
          <t>Chennai</t>
        </is>
      </c>
      <c r="D125" t="n">
        <v>2</v>
      </c>
      <c r="E125" s="8" t="n">
        <v>5750</v>
      </c>
      <c r="F125" s="7" t="n">
        <v>46271</v>
      </c>
      <c r="G125">
        <f>IF(B125=Protect!$C$4,COUNTIFS($B$2:$B$301,B125,$E$2:$E$301,"&gt;"&amp;E125)+COUNTIFS($B$2:B125,B125,$E$2:E125,E125),"")</f>
        <v/>
      </c>
    </row>
    <row r="126">
      <c r="A126" t="inlineStr">
        <is>
          <t>C-0143</t>
        </is>
      </c>
      <c r="B126" t="inlineStr">
        <is>
          <t>Retail-Core</t>
        </is>
      </c>
      <c r="C126" t="inlineStr">
        <is>
          <t>Pune</t>
        </is>
      </c>
      <c r="D126" t="n">
        <v>1</v>
      </c>
      <c r="E126" s="8" t="n">
        <v>1140</v>
      </c>
      <c r="F126" s="7" t="n">
        <v>46194</v>
      </c>
      <c r="G126">
        <f>IF(B126=Protect!$C$4,COUNTIFS($B$2:$B$301,B126,$E$2:$E$301,"&gt;"&amp;E126)+COUNTIFS($B$2:B126,B126,$E$2:E126,E126),"")</f>
        <v/>
      </c>
    </row>
    <row r="127">
      <c r="A127" t="inlineStr">
        <is>
          <t>C-0144</t>
        </is>
      </c>
      <c r="B127" t="inlineStr">
        <is>
          <t>Retail-Core</t>
        </is>
      </c>
      <c r="C127" t="inlineStr">
        <is>
          <t>Mumbai</t>
        </is>
      </c>
      <c r="D127" t="n">
        <v>2</v>
      </c>
      <c r="E127" s="8" t="n">
        <v>2340</v>
      </c>
      <c r="F127" s="7" t="n">
        <v>46177</v>
      </c>
      <c r="G127">
        <f>IF(B127=Protect!$C$4,COUNTIFS($B$2:$B$301,B127,$E$2:$E$301,"&gt;"&amp;E127)+COUNTIFS($B$2:B127,B127,$E$2:E127,E127),"")</f>
        <v/>
      </c>
    </row>
    <row r="128">
      <c r="A128" t="inlineStr">
        <is>
          <t>C-0145</t>
        </is>
      </c>
      <c r="B128" t="inlineStr">
        <is>
          <t>Retail-Core</t>
        </is>
      </c>
      <c r="C128" t="inlineStr">
        <is>
          <t>Chennai</t>
        </is>
      </c>
      <c r="D128" t="n">
        <v>1</v>
      </c>
      <c r="E128" s="8" t="n">
        <v>2690</v>
      </c>
      <c r="F128" s="7" t="n">
        <v>46137</v>
      </c>
      <c r="G128">
        <f>IF(B128=Protect!$C$4,COUNTIFS($B$2:$B$301,B128,$E$2:$E$301,"&gt;"&amp;E128)+COUNTIFS($B$2:B128,B128,$E$2:E128,E128),"")</f>
        <v/>
      </c>
    </row>
    <row r="129">
      <c r="A129" t="inlineStr">
        <is>
          <t>C-0146</t>
        </is>
      </c>
      <c r="B129" t="inlineStr">
        <is>
          <t>Retail-Core</t>
        </is>
      </c>
      <c r="C129" t="inlineStr">
        <is>
          <t>Delhi</t>
        </is>
      </c>
      <c r="D129" t="n">
        <v>3</v>
      </c>
      <c r="E129" s="8" t="n">
        <v>6330</v>
      </c>
      <c r="F129" s="7" t="n">
        <v>46205</v>
      </c>
      <c r="G129">
        <f>IF(B129=Protect!$C$4,COUNTIFS($B$2:$B$301,B129,$E$2:$E$301,"&gt;"&amp;E129)+COUNTIFS($B$2:B129,B129,$E$2:E129,E129),"")</f>
        <v/>
      </c>
    </row>
    <row r="130">
      <c r="A130" t="inlineStr">
        <is>
          <t>C-0147</t>
        </is>
      </c>
      <c r="B130" t="inlineStr">
        <is>
          <t>Retail-Core</t>
        </is>
      </c>
      <c r="C130" t="inlineStr">
        <is>
          <t>Pune</t>
        </is>
      </c>
      <c r="D130" t="n">
        <v>3</v>
      </c>
      <c r="E130" s="8" t="n">
        <v>6370</v>
      </c>
      <c r="F130" s="7" t="n">
        <v>46273</v>
      </c>
      <c r="G130">
        <f>IF(B130=Protect!$C$4,COUNTIFS($B$2:$B$301,B130,$E$2:$E$301,"&gt;"&amp;E130)+COUNTIFS($B$2:B130,B130,$E$2:E130,E130),"")</f>
        <v/>
      </c>
    </row>
    <row r="131">
      <c r="A131" t="inlineStr">
        <is>
          <t>C-0148</t>
        </is>
      </c>
      <c r="B131" t="inlineStr">
        <is>
          <t>Retail-Core</t>
        </is>
      </c>
      <c r="C131" t="inlineStr">
        <is>
          <t>Delhi</t>
        </is>
      </c>
      <c r="D131" t="n">
        <v>1</v>
      </c>
      <c r="E131" s="8" t="n">
        <v>1340</v>
      </c>
      <c r="F131" s="7" t="n">
        <v>46120</v>
      </c>
      <c r="G131">
        <f>IF(B131=Protect!$C$4,COUNTIFS($B$2:$B$301,B131,$E$2:$E$301,"&gt;"&amp;E131)+COUNTIFS($B$2:B131,B131,$E$2:E131,E131),"")</f>
        <v/>
      </c>
    </row>
    <row r="132">
      <c r="A132" t="inlineStr">
        <is>
          <t>C-0150</t>
        </is>
      </c>
      <c r="B132" t="inlineStr">
        <is>
          <t>Retail-Core</t>
        </is>
      </c>
      <c r="C132" t="inlineStr">
        <is>
          <t>Pune</t>
        </is>
      </c>
      <c r="D132" t="n">
        <v>1</v>
      </c>
      <c r="E132" s="8" t="n">
        <v>2410</v>
      </c>
      <c r="F132" s="7" t="n">
        <v>46252</v>
      </c>
      <c r="G132">
        <f>IF(B132=Protect!$C$4,COUNTIFS($B$2:$B$301,B132,$E$2:$E$301,"&gt;"&amp;E132)+COUNTIFS($B$2:B132,B132,$E$2:E132,E132),"")</f>
        <v/>
      </c>
    </row>
    <row r="133">
      <c r="A133" t="inlineStr">
        <is>
          <t>C-0151</t>
        </is>
      </c>
      <c r="B133" t="inlineStr">
        <is>
          <t>Retail-Plus</t>
        </is>
      </c>
      <c r="C133" t="inlineStr">
        <is>
          <t>Mumbai</t>
        </is>
      </c>
      <c r="D133" t="n">
        <v>8</v>
      </c>
      <c r="E133" s="8" t="n">
        <v>19840</v>
      </c>
      <c r="F133" s="7" t="n">
        <v>46262</v>
      </c>
      <c r="G133">
        <f>IF(B133=Protect!$C$4,COUNTIFS($B$2:$B$301,B133,$E$2:$E$301,"&gt;"&amp;E133)+COUNTIFS($B$2:B133,B133,$E$2:E133,E133),"")</f>
        <v/>
      </c>
    </row>
    <row r="134">
      <c r="A134" t="inlineStr">
        <is>
          <t>C-0152</t>
        </is>
      </c>
      <c r="B134" t="inlineStr">
        <is>
          <t>Retail-Plus</t>
        </is>
      </c>
      <c r="C134" t="inlineStr">
        <is>
          <t>Pune</t>
        </is>
      </c>
      <c r="D134" t="n">
        <v>9</v>
      </c>
      <c r="E134" s="8" t="n">
        <v>25840</v>
      </c>
      <c r="F134" s="7" t="n">
        <v>46286</v>
      </c>
      <c r="G134">
        <f>IF(B134=Protect!$C$4,COUNTIFS($B$2:$B$301,B134,$E$2:$E$301,"&gt;"&amp;E134)+COUNTIFS($B$2:B134,B134,$E$2:E134,E134),"")</f>
        <v/>
      </c>
    </row>
    <row r="135">
      <c r="A135" t="inlineStr">
        <is>
          <t>C-0153</t>
        </is>
      </c>
      <c r="B135" t="inlineStr">
        <is>
          <t>Retail-Plus</t>
        </is>
      </c>
      <c r="C135" t="inlineStr">
        <is>
          <t>Mumbai</t>
        </is>
      </c>
      <c r="D135" t="n">
        <v>5</v>
      </c>
      <c r="E135" s="8" t="n">
        <v>12650</v>
      </c>
      <c r="F135" s="7" t="n">
        <v>46291</v>
      </c>
      <c r="G135">
        <f>IF(B135=Protect!$C$4,COUNTIFS($B$2:$B$301,B135,$E$2:$E$301,"&gt;"&amp;E135)+COUNTIFS($B$2:B135,B135,$E$2:E135,E135),"")</f>
        <v/>
      </c>
    </row>
    <row r="136">
      <c r="A136" t="inlineStr">
        <is>
          <t>C-0154</t>
        </is>
      </c>
      <c r="B136" t="inlineStr">
        <is>
          <t>Retail-Plus</t>
        </is>
      </c>
      <c r="C136" t="inlineStr">
        <is>
          <t>Mumbai</t>
        </is>
      </c>
      <c r="D136" t="n">
        <v>5</v>
      </c>
      <c r="E136" s="8" t="n">
        <v>16360</v>
      </c>
      <c r="F136" s="7" t="n">
        <v>46277</v>
      </c>
      <c r="G136">
        <f>IF(B136=Protect!$C$4,COUNTIFS($B$2:$B$301,B136,$E$2:$E$301,"&gt;"&amp;E136)+COUNTIFS($B$2:B136,B136,$E$2:E136,E136),"")</f>
        <v/>
      </c>
    </row>
    <row r="137">
      <c r="A137" t="inlineStr">
        <is>
          <t>C-0155</t>
        </is>
      </c>
      <c r="B137" t="inlineStr">
        <is>
          <t>Retail-Plus</t>
        </is>
      </c>
      <c r="C137" t="inlineStr">
        <is>
          <t>Chennai</t>
        </is>
      </c>
      <c r="D137" t="n">
        <v>4</v>
      </c>
      <c r="E137" s="8" t="n">
        <v>10550</v>
      </c>
      <c r="F137" s="7" t="n">
        <v>46250</v>
      </c>
      <c r="G137">
        <f>IF(B137=Protect!$C$4,COUNTIFS($B$2:$B$301,B137,$E$2:$E$301,"&gt;"&amp;E137)+COUNTIFS($B$2:B137,B137,$E$2:E137,E137),"")</f>
        <v/>
      </c>
    </row>
    <row r="138">
      <c r="A138" t="inlineStr">
        <is>
          <t>C-0156</t>
        </is>
      </c>
      <c r="B138" t="inlineStr">
        <is>
          <t>Retail-Plus</t>
        </is>
      </c>
      <c r="C138" t="inlineStr">
        <is>
          <t>Bengaluru</t>
        </is>
      </c>
      <c r="D138" t="n">
        <v>6</v>
      </c>
      <c r="E138" s="8" t="n">
        <v>16900</v>
      </c>
      <c r="F138" s="7" t="n">
        <v>46276</v>
      </c>
      <c r="G138">
        <f>IF(B138=Protect!$C$4,COUNTIFS($B$2:$B$301,B138,$E$2:$E$301,"&gt;"&amp;E138)+COUNTIFS($B$2:B138,B138,$E$2:E138,E138),"")</f>
        <v/>
      </c>
    </row>
    <row r="139">
      <c r="A139" t="inlineStr">
        <is>
          <t>C-0157</t>
        </is>
      </c>
      <c r="B139" t="inlineStr">
        <is>
          <t>Retail-Plus</t>
        </is>
      </c>
      <c r="C139" t="inlineStr">
        <is>
          <t>Mumbai</t>
        </is>
      </c>
      <c r="D139" t="n">
        <v>4</v>
      </c>
      <c r="E139" s="8" t="n">
        <v>12910</v>
      </c>
      <c r="F139" s="7" t="n">
        <v>46248</v>
      </c>
      <c r="G139">
        <f>IF(B139=Protect!$C$4,COUNTIFS($B$2:$B$301,B139,$E$2:$E$301,"&gt;"&amp;E139)+COUNTIFS($B$2:B139,B139,$E$2:E139,E139),"")</f>
        <v/>
      </c>
    </row>
    <row r="140">
      <c r="A140" t="inlineStr">
        <is>
          <t>C-0158</t>
        </is>
      </c>
      <c r="B140" t="inlineStr">
        <is>
          <t>Retail-Plus</t>
        </is>
      </c>
      <c r="C140" t="inlineStr">
        <is>
          <t>Mumbai</t>
        </is>
      </c>
      <c r="D140" t="n">
        <v>3</v>
      </c>
      <c r="E140" s="8" t="n">
        <v>7670</v>
      </c>
      <c r="F140" s="7" t="n">
        <v>46245</v>
      </c>
      <c r="G140">
        <f>IF(B140=Protect!$C$4,COUNTIFS($B$2:$B$301,B140,$E$2:$E$301,"&gt;"&amp;E140)+COUNTIFS($B$2:B140,B140,$E$2:E140,E140),"")</f>
        <v/>
      </c>
    </row>
    <row r="141">
      <c r="A141" t="inlineStr">
        <is>
          <t>C-0159</t>
        </is>
      </c>
      <c r="B141" t="inlineStr">
        <is>
          <t>Retail-Plus</t>
        </is>
      </c>
      <c r="C141" t="inlineStr">
        <is>
          <t>Delhi</t>
        </is>
      </c>
      <c r="D141" t="n">
        <v>3</v>
      </c>
      <c r="E141" s="8" t="n">
        <v>6340</v>
      </c>
      <c r="F141" s="7" t="n">
        <v>46286</v>
      </c>
      <c r="G141">
        <f>IF(B141=Protect!$C$4,COUNTIFS($B$2:$B$301,B141,$E$2:$E$301,"&gt;"&amp;E141)+COUNTIFS($B$2:B141,B141,$E$2:E141,E141),"")</f>
        <v/>
      </c>
    </row>
    <row r="142">
      <c r="A142" t="inlineStr">
        <is>
          <t>C-0160</t>
        </is>
      </c>
      <c r="B142" t="inlineStr">
        <is>
          <t>Retail-Plus</t>
        </is>
      </c>
      <c r="C142" t="inlineStr">
        <is>
          <t>Chennai</t>
        </is>
      </c>
      <c r="D142" t="n">
        <v>7</v>
      </c>
      <c r="E142" s="8" t="n">
        <v>23020</v>
      </c>
      <c r="F142" s="7" t="n">
        <v>46284</v>
      </c>
      <c r="G142">
        <f>IF(B142=Protect!$C$4,COUNTIFS($B$2:$B$301,B142,$E$2:$E$301,"&gt;"&amp;E142)+COUNTIFS($B$2:B142,B142,$E$2:E142,E142),"")</f>
        <v/>
      </c>
    </row>
    <row r="143">
      <c r="A143" t="inlineStr">
        <is>
          <t>C-0161</t>
        </is>
      </c>
      <c r="B143" t="inlineStr">
        <is>
          <t>Retail-Plus</t>
        </is>
      </c>
      <c r="C143" t="inlineStr">
        <is>
          <t>Pune</t>
        </is>
      </c>
      <c r="D143" t="n">
        <v>4</v>
      </c>
      <c r="E143" s="8" t="n">
        <v>12720</v>
      </c>
      <c r="F143" s="7" t="n">
        <v>46279</v>
      </c>
      <c r="G143">
        <f>IF(B143=Protect!$C$4,COUNTIFS($B$2:$B$301,B143,$E$2:$E$301,"&gt;"&amp;E143)+COUNTIFS($B$2:B143,B143,$E$2:E143,E143),"")</f>
        <v/>
      </c>
    </row>
    <row r="144">
      <c r="A144" t="inlineStr">
        <is>
          <t>C-0162</t>
        </is>
      </c>
      <c r="B144" t="inlineStr">
        <is>
          <t>Retail-Plus</t>
        </is>
      </c>
      <c r="C144" t="inlineStr">
        <is>
          <t>Delhi</t>
        </is>
      </c>
      <c r="D144" t="n">
        <v>5</v>
      </c>
      <c r="E144" s="8" t="n">
        <v>14100</v>
      </c>
      <c r="F144" s="7" t="n">
        <v>46238</v>
      </c>
      <c r="G144">
        <f>IF(B144=Protect!$C$4,COUNTIFS($B$2:$B$301,B144,$E$2:$E$301,"&gt;"&amp;E144)+COUNTIFS($B$2:B144,B144,$E$2:E144,E144),"")</f>
        <v/>
      </c>
    </row>
    <row r="145">
      <c r="A145" t="inlineStr">
        <is>
          <t>C-0163</t>
        </is>
      </c>
      <c r="B145" t="inlineStr">
        <is>
          <t>Retail-Plus</t>
        </is>
      </c>
      <c r="C145" t="inlineStr">
        <is>
          <t>Bengaluru</t>
        </is>
      </c>
      <c r="D145" t="n">
        <v>1</v>
      </c>
      <c r="E145" s="8" t="n">
        <v>1220</v>
      </c>
      <c r="F145" s="7" t="n">
        <v>46270</v>
      </c>
      <c r="G145">
        <f>IF(B145=Protect!$C$4,COUNTIFS($B$2:$B$301,B145,$E$2:$E$301,"&gt;"&amp;E145)+COUNTIFS($B$2:B145,B145,$E$2:E145,E145),"")</f>
        <v/>
      </c>
    </row>
    <row r="146">
      <c r="A146" t="inlineStr">
        <is>
          <t>C-0164</t>
        </is>
      </c>
      <c r="B146" t="inlineStr">
        <is>
          <t>Retail-Plus</t>
        </is>
      </c>
      <c r="C146" t="inlineStr">
        <is>
          <t>Bengaluru</t>
        </is>
      </c>
      <c r="D146" t="n">
        <v>6</v>
      </c>
      <c r="E146" s="8" t="n">
        <v>19740</v>
      </c>
      <c r="F146" s="7" t="n">
        <v>46237</v>
      </c>
      <c r="G146">
        <f>IF(B146=Protect!$C$4,COUNTIFS($B$2:$B$301,B146,$E$2:$E$301,"&gt;"&amp;E146)+COUNTIFS($B$2:B146,B146,$E$2:E146,E146),"")</f>
        <v/>
      </c>
    </row>
    <row r="147">
      <c r="A147" t="inlineStr">
        <is>
          <t>C-0165</t>
        </is>
      </c>
      <c r="B147" t="inlineStr">
        <is>
          <t>Retail-Plus</t>
        </is>
      </c>
      <c r="C147" t="inlineStr">
        <is>
          <t>Delhi</t>
        </is>
      </c>
      <c r="D147" t="n">
        <v>6</v>
      </c>
      <c r="E147" s="8" t="n">
        <v>15240</v>
      </c>
      <c r="F147" s="7" t="n">
        <v>46206</v>
      </c>
      <c r="G147">
        <f>IF(B147=Protect!$C$4,COUNTIFS($B$2:$B$301,B147,$E$2:$E$301,"&gt;"&amp;E147)+COUNTIFS($B$2:B147,B147,$E$2:E147,E147),"")</f>
        <v/>
      </c>
    </row>
    <row r="148">
      <c r="A148" t="inlineStr">
        <is>
          <t>C-0166</t>
        </is>
      </c>
      <c r="B148" t="inlineStr">
        <is>
          <t>Retail-Plus</t>
        </is>
      </c>
      <c r="C148" t="inlineStr">
        <is>
          <t>Bengaluru</t>
        </is>
      </c>
      <c r="D148" t="n">
        <v>3</v>
      </c>
      <c r="E148" s="8" t="n">
        <v>5820</v>
      </c>
      <c r="F148" s="7" t="n">
        <v>46241</v>
      </c>
      <c r="G148">
        <f>IF(B148=Protect!$C$4,COUNTIFS($B$2:$B$301,B148,$E$2:$E$301,"&gt;"&amp;E148)+COUNTIFS($B$2:B148,B148,$E$2:E148,E148),"")</f>
        <v/>
      </c>
    </row>
    <row r="149">
      <c r="A149" t="inlineStr">
        <is>
          <t>C-0167</t>
        </is>
      </c>
      <c r="B149" t="inlineStr">
        <is>
          <t>Retail-Plus</t>
        </is>
      </c>
      <c r="C149" t="inlineStr">
        <is>
          <t>Hyderabad</t>
        </is>
      </c>
      <c r="D149" t="n">
        <v>8</v>
      </c>
      <c r="E149" s="8" t="n">
        <v>22520</v>
      </c>
      <c r="F149" s="7" t="n">
        <v>46279</v>
      </c>
      <c r="G149">
        <f>IF(B149=Protect!$C$4,COUNTIFS($B$2:$B$301,B149,$E$2:$E$301,"&gt;"&amp;E149)+COUNTIFS($B$2:B149,B149,$E$2:E149,E149),"")</f>
        <v/>
      </c>
    </row>
    <row r="150">
      <c r="A150" t="inlineStr">
        <is>
          <t>C-0168</t>
        </is>
      </c>
      <c r="B150" t="inlineStr">
        <is>
          <t>Retail-Plus</t>
        </is>
      </c>
      <c r="C150" t="inlineStr">
        <is>
          <t>Mumbai</t>
        </is>
      </c>
      <c r="D150" t="n">
        <v>3</v>
      </c>
      <c r="E150" s="8" t="n">
        <v>8520</v>
      </c>
      <c r="F150" s="7" t="n">
        <v>46224</v>
      </c>
      <c r="G150">
        <f>IF(B150=Protect!$C$4,COUNTIFS($B$2:$B$301,B150,$E$2:$E$301,"&gt;"&amp;E150)+COUNTIFS($B$2:B150,B150,$E$2:E150,E150),"")</f>
        <v/>
      </c>
    </row>
    <row r="151">
      <c r="A151" t="inlineStr">
        <is>
          <t>C-0169</t>
        </is>
      </c>
      <c r="B151" t="inlineStr">
        <is>
          <t>Retail-Plus</t>
        </is>
      </c>
      <c r="C151" t="inlineStr">
        <is>
          <t>Hyderabad</t>
        </is>
      </c>
      <c r="D151" t="n">
        <v>4</v>
      </c>
      <c r="E151" s="8" t="n">
        <v>8580</v>
      </c>
      <c r="F151" s="7" t="n">
        <v>46285</v>
      </c>
      <c r="G151">
        <f>IF(B151=Protect!$C$4,COUNTIFS($B$2:$B$301,B151,$E$2:$E$301,"&gt;"&amp;E151)+COUNTIFS($B$2:B151,B151,$E$2:E151,E151),"")</f>
        <v/>
      </c>
    </row>
    <row r="152">
      <c r="A152" t="inlineStr">
        <is>
          <t>C-0171</t>
        </is>
      </c>
      <c r="B152" t="inlineStr">
        <is>
          <t>Retail-Plus</t>
        </is>
      </c>
      <c r="C152" t="inlineStr">
        <is>
          <t>Hyderabad</t>
        </is>
      </c>
      <c r="D152" t="n">
        <v>5</v>
      </c>
      <c r="E152" s="8" t="n">
        <v>14140</v>
      </c>
      <c r="F152" s="7" t="n">
        <v>46279</v>
      </c>
      <c r="G152">
        <f>IF(B152=Protect!$C$4,COUNTIFS($B$2:$B$301,B152,$E$2:$E$301,"&gt;"&amp;E152)+COUNTIFS($B$2:B152,B152,$E$2:E152,E152),"")</f>
        <v/>
      </c>
    </row>
    <row r="153">
      <c r="A153" t="inlineStr">
        <is>
          <t>C-0172</t>
        </is>
      </c>
      <c r="B153" t="inlineStr">
        <is>
          <t>Retail-Plus</t>
        </is>
      </c>
      <c r="C153" t="inlineStr">
        <is>
          <t>Delhi</t>
        </is>
      </c>
      <c r="D153" t="n">
        <v>5</v>
      </c>
      <c r="E153" s="8" t="n">
        <v>15290</v>
      </c>
      <c r="F153" s="7" t="n">
        <v>46205</v>
      </c>
      <c r="G153">
        <f>IF(B153=Protect!$C$4,COUNTIFS($B$2:$B$301,B153,$E$2:$E$301,"&gt;"&amp;E153)+COUNTIFS($B$2:B153,B153,$E$2:E153,E153),"")</f>
        <v/>
      </c>
    </row>
    <row r="154">
      <c r="A154" t="inlineStr">
        <is>
          <t>C-0173</t>
        </is>
      </c>
      <c r="B154" t="inlineStr">
        <is>
          <t>Retail-Plus</t>
        </is>
      </c>
      <c r="C154" t="inlineStr">
        <is>
          <t>Pune</t>
        </is>
      </c>
      <c r="D154" t="n">
        <v>7</v>
      </c>
      <c r="E154" s="8" t="n">
        <v>20490</v>
      </c>
      <c r="F154" s="7" t="n">
        <v>46247</v>
      </c>
      <c r="G154">
        <f>IF(B154=Protect!$C$4,COUNTIFS($B$2:$B$301,B154,$E$2:$E$301,"&gt;"&amp;E154)+COUNTIFS($B$2:B154,B154,$E$2:E154,E154),"")</f>
        <v/>
      </c>
    </row>
    <row r="155">
      <c r="A155" t="inlineStr">
        <is>
          <t>C-0174</t>
        </is>
      </c>
      <c r="B155" t="inlineStr">
        <is>
          <t>Retail-Plus</t>
        </is>
      </c>
      <c r="C155" t="inlineStr">
        <is>
          <t>Mumbai</t>
        </is>
      </c>
      <c r="D155" t="n">
        <v>5</v>
      </c>
      <c r="E155" s="8" t="n">
        <v>15370</v>
      </c>
      <c r="F155" s="7" t="n">
        <v>46277</v>
      </c>
      <c r="G155">
        <f>IF(B155=Protect!$C$4,COUNTIFS($B$2:$B$301,B155,$E$2:$E$301,"&gt;"&amp;E155)+COUNTIFS($B$2:B155,B155,$E$2:E155,E155),"")</f>
        <v/>
      </c>
    </row>
    <row r="156">
      <c r="A156" t="inlineStr">
        <is>
          <t>C-0175</t>
        </is>
      </c>
      <c r="B156" t="inlineStr">
        <is>
          <t>Retail-Plus</t>
        </is>
      </c>
      <c r="C156" t="inlineStr">
        <is>
          <t>Mumbai</t>
        </is>
      </c>
      <c r="D156" t="n">
        <v>5</v>
      </c>
      <c r="E156" s="8" t="n">
        <v>15220</v>
      </c>
      <c r="F156" s="7" t="n">
        <v>46279</v>
      </c>
      <c r="G156">
        <f>IF(B156=Protect!$C$4,COUNTIFS($B$2:$B$301,B156,$E$2:$E$301,"&gt;"&amp;E156)+COUNTIFS($B$2:B156,B156,$E$2:E156,E156),"")</f>
        <v/>
      </c>
    </row>
    <row r="157">
      <c r="A157" t="inlineStr">
        <is>
          <t>C-0176</t>
        </is>
      </c>
      <c r="B157" t="inlineStr">
        <is>
          <t>Retail-Plus</t>
        </is>
      </c>
      <c r="C157" t="inlineStr">
        <is>
          <t>Bengaluru</t>
        </is>
      </c>
      <c r="D157" t="n">
        <v>3</v>
      </c>
      <c r="E157" s="8" t="n">
        <v>6580</v>
      </c>
      <c r="F157" s="7" t="n">
        <v>46187</v>
      </c>
      <c r="G157">
        <f>IF(B157=Protect!$C$4,COUNTIFS($B$2:$B$301,B157,$E$2:$E$301,"&gt;"&amp;E157)+COUNTIFS($B$2:B157,B157,$E$2:E157,E157),"")</f>
        <v/>
      </c>
    </row>
    <row r="158">
      <c r="A158" t="inlineStr">
        <is>
          <t>C-0177</t>
        </is>
      </c>
      <c r="B158" t="inlineStr">
        <is>
          <t>Retail-Plus</t>
        </is>
      </c>
      <c r="C158" t="inlineStr">
        <is>
          <t>Delhi</t>
        </is>
      </c>
      <c r="D158" t="n">
        <v>6</v>
      </c>
      <c r="E158" s="8" t="n">
        <v>19510</v>
      </c>
      <c r="F158" s="7" t="n">
        <v>46227</v>
      </c>
      <c r="G158">
        <f>IF(B158=Protect!$C$4,COUNTIFS($B$2:$B$301,B158,$E$2:$E$301,"&gt;"&amp;E158)+COUNTIFS($B$2:B158,B158,$E$2:E158,E158),"")</f>
        <v/>
      </c>
    </row>
    <row r="159">
      <c r="A159" t="inlineStr">
        <is>
          <t>C-0178</t>
        </is>
      </c>
      <c r="B159" t="inlineStr">
        <is>
          <t>Retail-Plus</t>
        </is>
      </c>
      <c r="C159" t="inlineStr">
        <is>
          <t>Chennai</t>
        </is>
      </c>
      <c r="D159" t="n">
        <v>1</v>
      </c>
      <c r="E159" s="8" t="n">
        <v>1840</v>
      </c>
      <c r="F159" s="7" t="n">
        <v>46189</v>
      </c>
      <c r="G159">
        <f>IF(B159=Protect!$C$4,COUNTIFS($B$2:$B$301,B159,$E$2:$E$301,"&gt;"&amp;E159)+COUNTIFS($B$2:B159,B159,$E$2:E159,E159),"")</f>
        <v/>
      </c>
    </row>
    <row r="160">
      <c r="A160" t="inlineStr">
        <is>
          <t>C-0179</t>
        </is>
      </c>
      <c r="B160" t="inlineStr">
        <is>
          <t>Retail-Plus</t>
        </is>
      </c>
      <c r="C160" t="inlineStr">
        <is>
          <t>Bengaluru</t>
        </is>
      </c>
      <c r="D160" t="n">
        <v>5</v>
      </c>
      <c r="E160" s="8" t="n">
        <v>14090</v>
      </c>
      <c r="F160" s="7" t="n">
        <v>46240</v>
      </c>
      <c r="G160">
        <f>IF(B160=Protect!$C$4,COUNTIFS($B$2:$B$301,B160,$E$2:$E$301,"&gt;"&amp;E160)+COUNTIFS($B$2:B160,B160,$E$2:E160,E160),"")</f>
        <v/>
      </c>
    </row>
    <row r="161">
      <c r="A161" t="inlineStr">
        <is>
          <t>C-0180</t>
        </is>
      </c>
      <c r="B161" t="inlineStr">
        <is>
          <t>Retail-Plus</t>
        </is>
      </c>
      <c r="C161" t="inlineStr">
        <is>
          <t>Chennai</t>
        </is>
      </c>
      <c r="D161" t="n">
        <v>3</v>
      </c>
      <c r="E161" s="8" t="n">
        <v>12190</v>
      </c>
      <c r="F161" s="7" t="n">
        <v>46260</v>
      </c>
      <c r="G161">
        <f>IF(B161=Protect!$C$4,COUNTIFS($B$2:$B$301,B161,$E$2:$E$301,"&gt;"&amp;E161)+COUNTIFS($B$2:B161,B161,$E$2:E161,E161),"")</f>
        <v/>
      </c>
    </row>
    <row r="162">
      <c r="A162" t="inlineStr">
        <is>
          <t>C-0181</t>
        </is>
      </c>
      <c r="B162" t="inlineStr">
        <is>
          <t>Retail-Plus</t>
        </is>
      </c>
      <c r="C162" t="inlineStr">
        <is>
          <t>Delhi</t>
        </is>
      </c>
      <c r="D162" t="n">
        <v>4</v>
      </c>
      <c r="E162" s="8" t="n">
        <v>8700</v>
      </c>
      <c r="F162" s="7" t="n">
        <v>46247</v>
      </c>
      <c r="G162">
        <f>IF(B162=Protect!$C$4,COUNTIFS($B$2:$B$301,B162,$E$2:$E$301,"&gt;"&amp;E162)+COUNTIFS($B$2:B162,B162,$E$2:E162,E162),"")</f>
        <v/>
      </c>
    </row>
    <row r="163">
      <c r="A163" t="inlineStr">
        <is>
          <t>C-0182</t>
        </is>
      </c>
      <c r="B163" t="inlineStr">
        <is>
          <t>Retail-Plus</t>
        </is>
      </c>
      <c r="C163" t="inlineStr">
        <is>
          <t>Chennai</t>
        </is>
      </c>
      <c r="D163" t="n">
        <v>3</v>
      </c>
      <c r="E163" s="8" t="n">
        <v>9150</v>
      </c>
      <c r="F163" s="7" t="n">
        <v>46169</v>
      </c>
      <c r="G163">
        <f>IF(B163=Protect!$C$4,COUNTIFS($B$2:$B$301,B163,$E$2:$E$301,"&gt;"&amp;E163)+COUNTIFS($B$2:B163,B163,$E$2:E163,E163),"")</f>
        <v/>
      </c>
    </row>
    <row r="164">
      <c r="A164" t="inlineStr">
        <is>
          <t>C-0183</t>
        </is>
      </c>
      <c r="B164" t="inlineStr">
        <is>
          <t>Retail-Plus</t>
        </is>
      </c>
      <c r="C164" t="inlineStr">
        <is>
          <t>Delhi</t>
        </is>
      </c>
      <c r="D164" t="n">
        <v>8</v>
      </c>
      <c r="E164" s="8" t="n">
        <v>23450</v>
      </c>
      <c r="F164" s="7" t="n">
        <v>46239</v>
      </c>
      <c r="G164">
        <f>IF(B164=Protect!$C$4,COUNTIFS($B$2:$B$301,B164,$E$2:$E$301,"&gt;"&amp;E164)+COUNTIFS($B$2:B164,B164,$E$2:E164,E164),"")</f>
        <v/>
      </c>
    </row>
    <row r="165">
      <c r="A165" t="inlineStr">
        <is>
          <t>C-0184</t>
        </is>
      </c>
      <c r="B165" t="inlineStr">
        <is>
          <t>Retail-Plus</t>
        </is>
      </c>
      <c r="C165" t="inlineStr">
        <is>
          <t>Mumbai</t>
        </is>
      </c>
      <c r="D165" t="n">
        <v>7</v>
      </c>
      <c r="E165" s="8" t="n">
        <v>19750</v>
      </c>
      <c r="F165" s="7" t="n">
        <v>46260</v>
      </c>
      <c r="G165">
        <f>IF(B165=Protect!$C$4,COUNTIFS($B$2:$B$301,B165,$E$2:$E$301,"&gt;"&amp;E165)+COUNTIFS($B$2:B165,B165,$E$2:E165,E165),"")</f>
        <v/>
      </c>
    </row>
    <row r="166">
      <c r="A166" t="inlineStr">
        <is>
          <t>C-0185</t>
        </is>
      </c>
      <c r="B166" t="inlineStr">
        <is>
          <t>Retail-Plus</t>
        </is>
      </c>
      <c r="C166" t="inlineStr">
        <is>
          <t>Delhi</t>
        </is>
      </c>
      <c r="D166" t="n">
        <v>7</v>
      </c>
      <c r="E166" s="8" t="n">
        <v>16910</v>
      </c>
      <c r="F166" s="7" t="n">
        <v>46267</v>
      </c>
      <c r="G166">
        <f>IF(B166=Protect!$C$4,COUNTIFS($B$2:$B$301,B166,$E$2:$E$301,"&gt;"&amp;E166)+COUNTIFS($B$2:B166,B166,$E$2:E166,E166),"")</f>
        <v/>
      </c>
    </row>
    <row r="167">
      <c r="A167" t="inlineStr">
        <is>
          <t>C-0186</t>
        </is>
      </c>
      <c r="B167" t="inlineStr">
        <is>
          <t>Retail-Plus</t>
        </is>
      </c>
      <c r="C167" t="inlineStr">
        <is>
          <t>Delhi</t>
        </is>
      </c>
      <c r="D167" t="n">
        <v>4</v>
      </c>
      <c r="E167" s="8" t="n">
        <v>8960</v>
      </c>
      <c r="F167" s="7" t="n">
        <v>46272</v>
      </c>
      <c r="G167">
        <f>IF(B167=Protect!$C$4,COUNTIFS($B$2:$B$301,B167,$E$2:$E$301,"&gt;"&amp;E167)+COUNTIFS($B$2:B167,B167,$E$2:E167,E167),"")</f>
        <v/>
      </c>
    </row>
    <row r="168">
      <c r="A168" t="inlineStr">
        <is>
          <t>C-0187</t>
        </is>
      </c>
      <c r="B168" t="inlineStr">
        <is>
          <t>Retail-Plus</t>
        </is>
      </c>
      <c r="C168" t="inlineStr">
        <is>
          <t>Pune</t>
        </is>
      </c>
      <c r="D168" t="n">
        <v>5</v>
      </c>
      <c r="E168" s="8" t="n">
        <v>10180</v>
      </c>
      <c r="F168" s="7" t="n">
        <v>46210</v>
      </c>
      <c r="G168">
        <f>IF(B168=Protect!$C$4,COUNTIFS($B$2:$B$301,B168,$E$2:$E$301,"&gt;"&amp;E168)+COUNTIFS($B$2:B168,B168,$E$2:E168,E168),"")</f>
        <v/>
      </c>
    </row>
    <row r="169">
      <c r="A169" t="inlineStr">
        <is>
          <t>C-0188</t>
        </is>
      </c>
      <c r="B169" t="inlineStr">
        <is>
          <t>Retail-Plus</t>
        </is>
      </c>
      <c r="C169" t="inlineStr">
        <is>
          <t>Hyderabad</t>
        </is>
      </c>
      <c r="D169" t="n">
        <v>6</v>
      </c>
      <c r="E169" s="8" t="n">
        <v>18150</v>
      </c>
      <c r="F169" s="7" t="n">
        <v>46257</v>
      </c>
      <c r="G169">
        <f>IF(B169=Protect!$C$4,COUNTIFS($B$2:$B$301,B169,$E$2:$E$301,"&gt;"&amp;E169)+COUNTIFS($B$2:B169,B169,$E$2:E169,E169),"")</f>
        <v/>
      </c>
    </row>
    <row r="170">
      <c r="A170" t="inlineStr">
        <is>
          <t>C-0189</t>
        </is>
      </c>
      <c r="B170" t="inlineStr">
        <is>
          <t>Retail-Plus</t>
        </is>
      </c>
      <c r="C170" t="inlineStr">
        <is>
          <t>Delhi</t>
        </is>
      </c>
      <c r="D170" t="n">
        <v>3</v>
      </c>
      <c r="E170" s="8" t="n">
        <v>10120</v>
      </c>
      <c r="F170" s="7" t="n">
        <v>46247</v>
      </c>
      <c r="G170">
        <f>IF(B170=Protect!$C$4,COUNTIFS($B$2:$B$301,B170,$E$2:$E$301,"&gt;"&amp;E170)+COUNTIFS($B$2:B170,B170,$E$2:E170,E170),"")</f>
        <v/>
      </c>
    </row>
    <row r="171">
      <c r="A171" t="inlineStr">
        <is>
          <t>C-0190</t>
        </is>
      </c>
      <c r="B171" t="inlineStr">
        <is>
          <t>Retail-Plus</t>
        </is>
      </c>
      <c r="C171" t="inlineStr">
        <is>
          <t>Delhi</t>
        </is>
      </c>
      <c r="D171" t="n">
        <v>3</v>
      </c>
      <c r="E171" s="8" t="n">
        <v>9770</v>
      </c>
      <c r="F171" s="7" t="n">
        <v>46230</v>
      </c>
      <c r="G171">
        <f>IF(B171=Protect!$C$4,COUNTIFS($B$2:$B$301,B171,$E$2:$E$301,"&gt;"&amp;E171)+COUNTIFS($B$2:B171,B171,$E$2:E171,E171),"")</f>
        <v/>
      </c>
    </row>
    <row r="172">
      <c r="A172" t="inlineStr">
        <is>
          <t>C-0191</t>
        </is>
      </c>
      <c r="B172" t="inlineStr">
        <is>
          <t>Retail-Plus</t>
        </is>
      </c>
      <c r="C172" t="inlineStr">
        <is>
          <t>Delhi</t>
        </is>
      </c>
      <c r="D172" t="n">
        <v>4</v>
      </c>
      <c r="E172" s="8" t="n">
        <v>12140</v>
      </c>
      <c r="F172" s="7" t="n">
        <v>46229</v>
      </c>
      <c r="G172">
        <f>IF(B172=Protect!$C$4,COUNTIFS($B$2:$B$301,B172,$E$2:$E$301,"&gt;"&amp;E172)+COUNTIFS($B$2:B172,B172,$E$2:E172,E172),"")</f>
        <v/>
      </c>
    </row>
    <row r="173">
      <c r="A173" t="inlineStr">
        <is>
          <t>C-0192</t>
        </is>
      </c>
      <c r="B173" t="inlineStr">
        <is>
          <t>Retail-Plus</t>
        </is>
      </c>
      <c r="C173" t="inlineStr">
        <is>
          <t>Delhi</t>
        </is>
      </c>
      <c r="D173" t="n">
        <v>1</v>
      </c>
      <c r="E173" s="8" t="n">
        <v>3260</v>
      </c>
      <c r="F173" s="7" t="n">
        <v>46132</v>
      </c>
      <c r="G173">
        <f>IF(B173=Protect!$C$4,COUNTIFS($B$2:$B$301,B173,$E$2:$E$301,"&gt;"&amp;E173)+COUNTIFS($B$2:B173,B173,$E$2:E173,E173),"")</f>
        <v/>
      </c>
    </row>
    <row r="174">
      <c r="A174" t="inlineStr">
        <is>
          <t>C-0193</t>
        </is>
      </c>
      <c r="B174" t="inlineStr">
        <is>
          <t>Retail-Plus</t>
        </is>
      </c>
      <c r="C174" t="inlineStr">
        <is>
          <t>Bengaluru</t>
        </is>
      </c>
      <c r="D174" t="n">
        <v>1</v>
      </c>
      <c r="E174" s="8" t="n">
        <v>1580</v>
      </c>
      <c r="F174" s="7" t="n">
        <v>46130</v>
      </c>
      <c r="G174">
        <f>IF(B174=Protect!$C$4,COUNTIFS($B$2:$B$301,B174,$E$2:$E$301,"&gt;"&amp;E174)+COUNTIFS($B$2:B174,B174,$E$2:E174,E174),"")</f>
        <v/>
      </c>
    </row>
    <row r="175">
      <c r="A175" t="inlineStr">
        <is>
          <t>C-0194</t>
        </is>
      </c>
      <c r="B175" t="inlineStr">
        <is>
          <t>Retail-Plus</t>
        </is>
      </c>
      <c r="C175" t="inlineStr">
        <is>
          <t>Hyderabad</t>
        </is>
      </c>
      <c r="D175" t="n">
        <v>5</v>
      </c>
      <c r="E175" s="8" t="n">
        <v>16740</v>
      </c>
      <c r="F175" s="7" t="n">
        <v>46286</v>
      </c>
      <c r="G175">
        <f>IF(B175=Protect!$C$4,COUNTIFS($B$2:$B$301,B175,$E$2:$E$301,"&gt;"&amp;E175)+COUNTIFS($B$2:B175,B175,$E$2:E175,E175),"")</f>
        <v/>
      </c>
    </row>
    <row r="176">
      <c r="A176" t="inlineStr">
        <is>
          <t>C-0196</t>
        </is>
      </c>
      <c r="B176" t="inlineStr">
        <is>
          <t>Retail-Plus</t>
        </is>
      </c>
      <c r="C176" t="inlineStr">
        <is>
          <t>Mumbai</t>
        </is>
      </c>
      <c r="D176" t="n">
        <v>1</v>
      </c>
      <c r="E176" s="8" t="n">
        <v>2380</v>
      </c>
      <c r="F176" s="7" t="n">
        <v>46248</v>
      </c>
      <c r="G176">
        <f>IF(B176=Protect!$C$4,COUNTIFS($B$2:$B$301,B176,$E$2:$E$301,"&gt;"&amp;E176)+COUNTIFS($B$2:B176,B176,$E$2:E176,E176),"")</f>
        <v/>
      </c>
    </row>
    <row r="177">
      <c r="A177" t="inlineStr">
        <is>
          <t>C-0197</t>
        </is>
      </c>
      <c r="B177" t="inlineStr">
        <is>
          <t>Retail-Plus</t>
        </is>
      </c>
      <c r="C177" t="inlineStr">
        <is>
          <t>Pune</t>
        </is>
      </c>
      <c r="D177" t="n">
        <v>4</v>
      </c>
      <c r="E177" s="8" t="n">
        <v>11490</v>
      </c>
      <c r="F177" s="7" t="n">
        <v>46288</v>
      </c>
      <c r="G177">
        <f>IF(B177=Protect!$C$4,COUNTIFS($B$2:$B$301,B177,$E$2:$E$301,"&gt;"&amp;E177)+COUNTIFS($B$2:B177,B177,$E$2:E177,E177),"")</f>
        <v/>
      </c>
    </row>
    <row r="178">
      <c r="A178" t="inlineStr">
        <is>
          <t>C-0198</t>
        </is>
      </c>
      <c r="B178" t="inlineStr">
        <is>
          <t>Retail-Plus</t>
        </is>
      </c>
      <c r="C178" t="inlineStr">
        <is>
          <t>Hyderabad</t>
        </is>
      </c>
      <c r="D178" t="n">
        <v>1</v>
      </c>
      <c r="E178" s="8" t="n">
        <v>1850</v>
      </c>
      <c r="F178" s="7" t="n">
        <v>46206</v>
      </c>
      <c r="G178">
        <f>IF(B178=Protect!$C$4,COUNTIFS($B$2:$B$301,B178,$E$2:$E$301,"&gt;"&amp;E178)+COUNTIFS($B$2:B178,B178,$E$2:E178,E178),"")</f>
        <v/>
      </c>
    </row>
    <row r="179">
      <c r="A179" t="inlineStr">
        <is>
          <t>C-0200</t>
        </is>
      </c>
      <c r="B179" t="inlineStr">
        <is>
          <t>Retail-Plus</t>
        </is>
      </c>
      <c r="C179" t="inlineStr">
        <is>
          <t>Chennai</t>
        </is>
      </c>
      <c r="D179" t="n">
        <v>1</v>
      </c>
      <c r="E179" s="8" t="n">
        <v>4010</v>
      </c>
      <c r="F179" s="7" t="n">
        <v>46117</v>
      </c>
      <c r="G179">
        <f>IF(B179=Protect!$C$4,COUNTIFS($B$2:$B$301,B179,$E$2:$E$301,"&gt;"&amp;E179)+COUNTIFS($B$2:B179,B179,$E$2:E179,E179),"")</f>
        <v/>
      </c>
    </row>
    <row r="180">
      <c r="A180" t="inlineStr">
        <is>
          <t>C-0201</t>
        </is>
      </c>
      <c r="B180" t="inlineStr">
        <is>
          <t>Retail-Plus</t>
        </is>
      </c>
      <c r="C180" t="inlineStr">
        <is>
          <t>Chennai</t>
        </is>
      </c>
      <c r="D180" t="n">
        <v>1</v>
      </c>
      <c r="E180" s="8" t="n">
        <v>3840</v>
      </c>
      <c r="F180" s="7" t="n">
        <v>46145</v>
      </c>
      <c r="G180">
        <f>IF(B180=Protect!$C$4,COUNTIFS($B$2:$B$301,B180,$E$2:$E$301,"&gt;"&amp;E180)+COUNTIFS($B$2:B180,B180,$E$2:E180,E180),"")</f>
        <v/>
      </c>
    </row>
    <row r="181">
      <c r="A181" t="inlineStr">
        <is>
          <t>C-0202</t>
        </is>
      </c>
      <c r="B181" t="inlineStr">
        <is>
          <t>Retail-Plus</t>
        </is>
      </c>
      <c r="C181" t="inlineStr">
        <is>
          <t>Chennai</t>
        </is>
      </c>
      <c r="D181" t="n">
        <v>1</v>
      </c>
      <c r="E181" s="8" t="n">
        <v>3840</v>
      </c>
      <c r="F181" s="7" t="n">
        <v>46189</v>
      </c>
      <c r="G181">
        <f>IF(B181=Protect!$C$4,COUNTIFS($B$2:$B$301,B181,$E$2:$E$301,"&gt;"&amp;E181)+COUNTIFS($B$2:B181,B181,$E$2:E181,E181),"")</f>
        <v/>
      </c>
    </row>
    <row r="182">
      <c r="A182" t="inlineStr">
        <is>
          <t>C-0204</t>
        </is>
      </c>
      <c r="B182" t="inlineStr">
        <is>
          <t>Retail-Plus</t>
        </is>
      </c>
      <c r="C182" t="inlineStr">
        <is>
          <t>Chennai</t>
        </is>
      </c>
      <c r="D182" t="n">
        <v>2</v>
      </c>
      <c r="E182" s="8" t="n">
        <v>4350</v>
      </c>
      <c r="F182" s="7" t="n">
        <v>46177</v>
      </c>
      <c r="G182">
        <f>IF(B182=Protect!$C$4,COUNTIFS($B$2:$B$301,B182,$E$2:$E$301,"&gt;"&amp;E182)+COUNTIFS($B$2:B182,B182,$E$2:E182,E182),"")</f>
        <v/>
      </c>
    </row>
    <row r="183">
      <c r="A183" t="inlineStr">
        <is>
          <t>C-0205</t>
        </is>
      </c>
      <c r="B183" t="inlineStr">
        <is>
          <t>Retail-Plus</t>
        </is>
      </c>
      <c r="C183" t="inlineStr">
        <is>
          <t>Pune</t>
        </is>
      </c>
      <c r="D183" t="n">
        <v>2</v>
      </c>
      <c r="E183" s="8" t="n">
        <v>5400</v>
      </c>
      <c r="F183" s="7" t="n">
        <v>46286</v>
      </c>
      <c r="G183">
        <f>IF(B183=Protect!$C$4,COUNTIFS($B$2:$B$301,B183,$E$2:$E$301,"&gt;"&amp;E183)+COUNTIFS($B$2:B183,B183,$E$2:E183,E183),"")</f>
        <v/>
      </c>
    </row>
    <row r="184">
      <c r="A184" t="inlineStr">
        <is>
          <t>C-0206</t>
        </is>
      </c>
      <c r="B184" t="inlineStr">
        <is>
          <t>Retail-Plus</t>
        </is>
      </c>
      <c r="C184" t="inlineStr">
        <is>
          <t>Hyderabad</t>
        </is>
      </c>
      <c r="D184" t="n">
        <v>1</v>
      </c>
      <c r="E184" s="8" t="n">
        <v>3480</v>
      </c>
      <c r="F184" s="7" t="n">
        <v>46238</v>
      </c>
      <c r="G184">
        <f>IF(B184=Protect!$C$4,COUNTIFS($B$2:$B$301,B184,$E$2:$E$301,"&gt;"&amp;E184)+COUNTIFS($B$2:B184,B184,$E$2:E184,E184),"")</f>
        <v/>
      </c>
    </row>
    <row r="185">
      <c r="A185" t="inlineStr">
        <is>
          <t>C-0208</t>
        </is>
      </c>
      <c r="B185" t="inlineStr">
        <is>
          <t>Retail-Plus</t>
        </is>
      </c>
      <c r="C185" t="inlineStr">
        <is>
          <t>Bengaluru</t>
        </is>
      </c>
      <c r="D185" t="n">
        <v>3</v>
      </c>
      <c r="E185" s="8" t="n">
        <v>7360</v>
      </c>
      <c r="F185" s="7" t="n">
        <v>46238</v>
      </c>
      <c r="G185">
        <f>IF(B185=Protect!$C$4,COUNTIFS($B$2:$B$301,B185,$E$2:$E$301,"&gt;"&amp;E185)+COUNTIFS($B$2:B185,B185,$E$2:E185,E185),"")</f>
        <v/>
      </c>
    </row>
    <row r="186">
      <c r="A186" t="inlineStr">
        <is>
          <t>C-0209</t>
        </is>
      </c>
      <c r="B186" t="inlineStr">
        <is>
          <t>Retail-Plus</t>
        </is>
      </c>
      <c r="C186" t="inlineStr">
        <is>
          <t>Chennai</t>
        </is>
      </c>
      <c r="D186" t="n">
        <v>1</v>
      </c>
      <c r="E186" s="8" t="n">
        <v>4420</v>
      </c>
      <c r="F186" s="7" t="n">
        <v>46170</v>
      </c>
      <c r="G186">
        <f>IF(B186=Protect!$C$4,COUNTIFS($B$2:$B$301,B186,$E$2:$E$301,"&gt;"&amp;E186)+COUNTIFS($B$2:B186,B186,$E$2:E186,E186),"")</f>
        <v/>
      </c>
    </row>
    <row r="187">
      <c r="A187" t="inlineStr">
        <is>
          <t>C-0210</t>
        </is>
      </c>
      <c r="B187" t="inlineStr">
        <is>
          <t>Retail-Plus</t>
        </is>
      </c>
      <c r="C187" t="inlineStr">
        <is>
          <t>Delhi</t>
        </is>
      </c>
      <c r="D187" t="n">
        <v>4</v>
      </c>
      <c r="E187" s="8" t="n">
        <v>8180</v>
      </c>
      <c r="F187" s="7" t="n">
        <v>46158</v>
      </c>
      <c r="G187">
        <f>IF(B187=Protect!$C$4,COUNTIFS($B$2:$B$301,B187,$E$2:$E$301,"&gt;"&amp;E187)+COUNTIFS($B$2:B187,B187,$E$2:E187,E187),"")</f>
        <v/>
      </c>
    </row>
    <row r="188">
      <c r="A188" t="inlineStr">
        <is>
          <t>C-0211</t>
        </is>
      </c>
      <c r="B188" t="inlineStr">
        <is>
          <t>Retail-Plus</t>
        </is>
      </c>
      <c r="C188" t="inlineStr">
        <is>
          <t>Chennai</t>
        </is>
      </c>
      <c r="D188" t="n">
        <v>3</v>
      </c>
      <c r="E188" s="8" t="n">
        <v>7550</v>
      </c>
      <c r="F188" s="7" t="n">
        <v>46271</v>
      </c>
      <c r="G188">
        <f>IF(B188=Protect!$C$4,COUNTIFS($B$2:$B$301,B188,$E$2:$E$301,"&gt;"&amp;E188)+COUNTIFS($B$2:B188,B188,$E$2:E188,E188),"")</f>
        <v/>
      </c>
    </row>
    <row r="189">
      <c r="A189" t="inlineStr">
        <is>
          <t>C-0212</t>
        </is>
      </c>
      <c r="B189" t="inlineStr">
        <is>
          <t>Retail-Plus</t>
        </is>
      </c>
      <c r="C189" t="inlineStr">
        <is>
          <t>Mumbai</t>
        </is>
      </c>
      <c r="D189" t="n">
        <v>4</v>
      </c>
      <c r="E189" s="8" t="n">
        <v>10660</v>
      </c>
      <c r="F189" s="7" t="n">
        <v>46287</v>
      </c>
      <c r="G189">
        <f>IF(B189=Protect!$C$4,COUNTIFS($B$2:$B$301,B189,$E$2:$E$301,"&gt;"&amp;E189)+COUNTIFS($B$2:B189,B189,$E$2:E189,E189),"")</f>
        <v/>
      </c>
    </row>
    <row r="190">
      <c r="A190" t="inlineStr">
        <is>
          <t>C-0213</t>
        </is>
      </c>
      <c r="B190" t="inlineStr">
        <is>
          <t>Retail-Plus</t>
        </is>
      </c>
      <c r="C190" t="inlineStr">
        <is>
          <t>Bengaluru</t>
        </is>
      </c>
      <c r="D190" t="n">
        <v>3</v>
      </c>
      <c r="E190" s="8" t="n">
        <v>6400</v>
      </c>
      <c r="F190" s="7" t="n">
        <v>46270</v>
      </c>
      <c r="G190">
        <f>IF(B190=Protect!$C$4,COUNTIFS($B$2:$B$301,B190,$E$2:$E$301,"&gt;"&amp;E190)+COUNTIFS($B$2:B190,B190,$E$2:E190,E190),"")</f>
        <v/>
      </c>
    </row>
    <row r="191">
      <c r="A191" t="inlineStr">
        <is>
          <t>C-0216</t>
        </is>
      </c>
      <c r="B191" t="inlineStr">
        <is>
          <t>Retail-Plus</t>
        </is>
      </c>
      <c r="C191" t="inlineStr">
        <is>
          <t>Mumbai</t>
        </is>
      </c>
      <c r="D191" t="n">
        <v>4</v>
      </c>
      <c r="E191" s="8" t="n">
        <v>13280</v>
      </c>
      <c r="F191" s="7" t="n">
        <v>46285</v>
      </c>
      <c r="G191">
        <f>IF(B191=Protect!$C$4,COUNTIFS($B$2:$B$301,B191,$E$2:$E$301,"&gt;"&amp;E191)+COUNTIFS($B$2:B191,B191,$E$2:E191,E191),"")</f>
        <v/>
      </c>
    </row>
    <row r="192">
      <c r="A192" t="inlineStr">
        <is>
          <t>C-0217</t>
        </is>
      </c>
      <c r="B192" t="inlineStr">
        <is>
          <t>Retail-Plus</t>
        </is>
      </c>
      <c r="C192" t="inlineStr">
        <is>
          <t>Hyderabad</t>
        </is>
      </c>
      <c r="D192" t="n">
        <v>1</v>
      </c>
      <c r="E192" s="8" t="n">
        <v>4080</v>
      </c>
      <c r="F192" s="7" t="n">
        <v>46164</v>
      </c>
      <c r="G192">
        <f>IF(B192=Protect!$C$4,COUNTIFS($B$2:$B$301,B192,$E$2:$E$301,"&gt;"&amp;E192)+COUNTIFS($B$2:B192,B192,$E$2:E192,E192),"")</f>
        <v/>
      </c>
    </row>
    <row r="193">
      <c r="A193" t="inlineStr">
        <is>
          <t>C-0218</t>
        </is>
      </c>
      <c r="B193" t="inlineStr">
        <is>
          <t>Retail-Plus</t>
        </is>
      </c>
      <c r="C193" t="inlineStr">
        <is>
          <t>Hyderabad</t>
        </is>
      </c>
      <c r="D193" t="n">
        <v>1</v>
      </c>
      <c r="E193" s="8" t="n">
        <v>1320</v>
      </c>
      <c r="F193" s="7" t="n">
        <v>46124</v>
      </c>
      <c r="G193">
        <f>IF(B193=Protect!$C$4,COUNTIFS($B$2:$B$301,B193,$E$2:$E$301,"&gt;"&amp;E193)+COUNTIFS($B$2:B193,B193,$E$2:E193,E193),"")</f>
        <v/>
      </c>
    </row>
    <row r="194">
      <c r="A194" t="inlineStr">
        <is>
          <t>C-0219</t>
        </is>
      </c>
      <c r="B194" t="inlineStr">
        <is>
          <t>Retail-Plus</t>
        </is>
      </c>
      <c r="C194" t="inlineStr">
        <is>
          <t>Delhi</t>
        </is>
      </c>
      <c r="D194" t="n">
        <v>7</v>
      </c>
      <c r="E194" s="8" t="n">
        <v>20640</v>
      </c>
      <c r="F194" s="7" t="n">
        <v>46293</v>
      </c>
      <c r="G194">
        <f>IF(B194=Protect!$C$4,COUNTIFS($B$2:$B$301,B194,$E$2:$E$301,"&gt;"&amp;E194)+COUNTIFS($B$2:B194,B194,$E$2:E194,E194),"")</f>
        <v/>
      </c>
    </row>
    <row r="195">
      <c r="A195" t="inlineStr">
        <is>
          <t>C-0220</t>
        </is>
      </c>
      <c r="B195" t="inlineStr">
        <is>
          <t>Retail-Plus</t>
        </is>
      </c>
      <c r="C195" t="inlineStr">
        <is>
          <t>Chennai</t>
        </is>
      </c>
      <c r="D195" t="n">
        <v>1</v>
      </c>
      <c r="E195" s="8" t="n">
        <v>3450</v>
      </c>
      <c r="F195" s="7" t="n">
        <v>46152</v>
      </c>
      <c r="G195">
        <f>IF(B195=Protect!$C$4,COUNTIFS($B$2:$B$301,B195,$E$2:$E$301,"&gt;"&amp;E195)+COUNTIFS($B$2:B195,B195,$E$2:E195,E195),"")</f>
        <v/>
      </c>
    </row>
    <row r="196">
      <c r="A196" t="inlineStr">
        <is>
          <t>C-0222</t>
        </is>
      </c>
      <c r="B196" t="inlineStr">
        <is>
          <t>Retail-Plus</t>
        </is>
      </c>
      <c r="C196" t="inlineStr">
        <is>
          <t>Mumbai</t>
        </is>
      </c>
      <c r="D196" t="n">
        <v>4</v>
      </c>
      <c r="E196" s="8" t="n">
        <v>9390</v>
      </c>
      <c r="F196" s="7" t="n">
        <v>46246</v>
      </c>
      <c r="G196">
        <f>IF(B196=Protect!$C$4,COUNTIFS($B$2:$B$301,B196,$E$2:$E$301,"&gt;"&amp;E196)+COUNTIFS($B$2:B196,B196,$E$2:E196,E196),"")</f>
        <v/>
      </c>
    </row>
    <row r="197">
      <c r="A197" t="inlineStr">
        <is>
          <t>C-0223</t>
        </is>
      </c>
      <c r="B197" t="inlineStr">
        <is>
          <t>Retail-Plus</t>
        </is>
      </c>
      <c r="C197" t="inlineStr">
        <is>
          <t>Mumbai</t>
        </is>
      </c>
      <c r="D197" t="n">
        <v>2</v>
      </c>
      <c r="E197" s="8" t="n">
        <v>7120</v>
      </c>
      <c r="F197" s="7" t="n">
        <v>46160</v>
      </c>
      <c r="G197">
        <f>IF(B197=Protect!$C$4,COUNTIFS($B$2:$B$301,B197,$E$2:$E$301,"&gt;"&amp;E197)+COUNTIFS($B$2:B197,B197,$E$2:E197,E197),"")</f>
        <v/>
      </c>
    </row>
    <row r="198">
      <c r="A198" t="inlineStr">
        <is>
          <t>C-0224</t>
        </is>
      </c>
      <c r="B198" t="inlineStr">
        <is>
          <t>Retail-Plus</t>
        </is>
      </c>
      <c r="C198" t="inlineStr">
        <is>
          <t>Bengaluru</t>
        </is>
      </c>
      <c r="D198" t="n">
        <v>3</v>
      </c>
      <c r="E198" s="8" t="n">
        <v>11510</v>
      </c>
      <c r="F198" s="7" t="n">
        <v>46266</v>
      </c>
      <c r="G198">
        <f>IF(B198=Protect!$C$4,COUNTIFS($B$2:$B$301,B198,$E$2:$E$301,"&gt;"&amp;E198)+COUNTIFS($B$2:B198,B198,$E$2:E198,E198),"")</f>
        <v/>
      </c>
    </row>
    <row r="199">
      <c r="A199" t="inlineStr">
        <is>
          <t>C-0225</t>
        </is>
      </c>
      <c r="B199" t="inlineStr">
        <is>
          <t>Retail-Plus</t>
        </is>
      </c>
      <c r="C199" t="inlineStr">
        <is>
          <t>Chennai</t>
        </is>
      </c>
      <c r="D199" t="n">
        <v>1</v>
      </c>
      <c r="E199" s="8" t="n">
        <v>1970</v>
      </c>
      <c r="F199" s="7" t="n">
        <v>46153</v>
      </c>
      <c r="G199">
        <f>IF(B199=Protect!$C$4,COUNTIFS($B$2:$B$301,B199,$E$2:$E$301,"&gt;"&amp;E199)+COUNTIFS($B$2:B199,B199,$E$2:E199,E199),"")</f>
        <v/>
      </c>
    </row>
    <row r="200">
      <c r="A200" t="inlineStr">
        <is>
          <t>C-0226</t>
        </is>
      </c>
      <c r="B200" t="inlineStr">
        <is>
          <t>Retail-Plus</t>
        </is>
      </c>
      <c r="C200" t="inlineStr">
        <is>
          <t>Mumbai</t>
        </is>
      </c>
      <c r="D200" t="n">
        <v>2</v>
      </c>
      <c r="E200" s="8" t="n">
        <v>5950</v>
      </c>
      <c r="F200" s="7" t="n">
        <v>46167</v>
      </c>
      <c r="G200">
        <f>IF(B200=Protect!$C$4,COUNTIFS($B$2:$B$301,B200,$E$2:$E$301,"&gt;"&amp;E200)+COUNTIFS($B$2:B200,B200,$E$2:E200,E200),"")</f>
        <v/>
      </c>
    </row>
    <row r="201">
      <c r="A201" t="inlineStr">
        <is>
          <t>C-0227</t>
        </is>
      </c>
      <c r="B201" t="inlineStr">
        <is>
          <t>Retail-Plus</t>
        </is>
      </c>
      <c r="C201" t="inlineStr">
        <is>
          <t>Bengaluru</t>
        </is>
      </c>
      <c r="D201" t="n">
        <v>4</v>
      </c>
      <c r="E201" s="8" t="n">
        <v>12430</v>
      </c>
      <c r="F201" s="7" t="n">
        <v>46185</v>
      </c>
      <c r="G201">
        <f>IF(B201=Protect!$C$4,COUNTIFS($B$2:$B$301,B201,$E$2:$E$301,"&gt;"&amp;E201)+COUNTIFS($B$2:B201,B201,$E$2:E201,E201),"")</f>
        <v/>
      </c>
    </row>
    <row r="202">
      <c r="A202" t="inlineStr">
        <is>
          <t>C-0228</t>
        </is>
      </c>
      <c r="B202" t="inlineStr">
        <is>
          <t>Retail-Plus</t>
        </is>
      </c>
      <c r="C202" t="inlineStr">
        <is>
          <t>Delhi</t>
        </is>
      </c>
      <c r="D202" t="n">
        <v>1</v>
      </c>
      <c r="E202" s="8" t="n">
        <v>3620</v>
      </c>
      <c r="F202" s="7" t="n">
        <v>46146</v>
      </c>
      <c r="G202">
        <f>IF(B202=Protect!$C$4,COUNTIFS($B$2:$B$301,B202,$E$2:$E$301,"&gt;"&amp;E202)+COUNTIFS($B$2:B202,B202,$E$2:E202,E202),"")</f>
        <v/>
      </c>
    </row>
    <row r="203">
      <c r="A203" t="inlineStr">
        <is>
          <t>C-0229</t>
        </is>
      </c>
      <c r="B203" t="inlineStr">
        <is>
          <t>Retail-Plus</t>
        </is>
      </c>
      <c r="C203" t="inlineStr">
        <is>
          <t>Bengaluru</t>
        </is>
      </c>
      <c r="D203" t="n">
        <v>3</v>
      </c>
      <c r="E203" s="8" t="n">
        <v>8070</v>
      </c>
      <c r="F203" s="7" t="n">
        <v>46270</v>
      </c>
      <c r="G203">
        <f>IF(B203=Protect!$C$4,COUNTIFS($B$2:$B$301,B203,$E$2:$E$301,"&gt;"&amp;E203)+COUNTIFS($B$2:B203,B203,$E$2:E203,E203),"")</f>
        <v/>
      </c>
    </row>
    <row r="204">
      <c r="A204" t="inlineStr">
        <is>
          <t>C-0230</t>
        </is>
      </c>
      <c r="B204" t="inlineStr">
        <is>
          <t>Retail-Plus</t>
        </is>
      </c>
      <c r="C204" t="inlineStr">
        <is>
          <t>Bengaluru</t>
        </is>
      </c>
      <c r="D204" t="n">
        <v>2</v>
      </c>
      <c r="E204" s="8" t="n">
        <v>5920</v>
      </c>
      <c r="F204" s="7" t="n">
        <v>46134</v>
      </c>
      <c r="G204">
        <f>IF(B204=Protect!$C$4,COUNTIFS($B$2:$B$301,B204,$E$2:$E$301,"&gt;"&amp;E204)+COUNTIFS($B$2:B204,B204,$E$2:E204,E204),"")</f>
        <v/>
      </c>
    </row>
    <row r="205">
      <c r="A205" t="inlineStr">
        <is>
          <t>C-0231</t>
        </is>
      </c>
      <c r="B205" t="inlineStr">
        <is>
          <t>Retail-Plus</t>
        </is>
      </c>
      <c r="C205" t="inlineStr">
        <is>
          <t>Pune</t>
        </is>
      </c>
      <c r="D205" t="n">
        <v>2</v>
      </c>
      <c r="E205" s="8" t="n">
        <v>4910</v>
      </c>
      <c r="F205" s="7" t="n">
        <v>46276</v>
      </c>
      <c r="G205">
        <f>IF(B205=Protect!$C$4,COUNTIFS($B$2:$B$301,B205,$E$2:$E$301,"&gt;"&amp;E205)+COUNTIFS($B$2:B205,B205,$E$2:E205,E205),"")</f>
        <v/>
      </c>
    </row>
    <row r="206">
      <c r="A206" t="inlineStr">
        <is>
          <t>C-0232</t>
        </is>
      </c>
      <c r="B206" t="inlineStr">
        <is>
          <t>Retail-Plus</t>
        </is>
      </c>
      <c r="C206" t="inlineStr">
        <is>
          <t>Bengaluru</t>
        </is>
      </c>
      <c r="D206" t="n">
        <v>2</v>
      </c>
      <c r="E206" s="8" t="n">
        <v>6550</v>
      </c>
      <c r="F206" s="7" t="n">
        <v>46130</v>
      </c>
      <c r="G206">
        <f>IF(B206=Protect!$C$4,COUNTIFS($B$2:$B$301,B206,$E$2:$E$301,"&gt;"&amp;E206)+COUNTIFS($B$2:B206,B206,$E$2:E206,E206),"")</f>
        <v/>
      </c>
    </row>
    <row r="207">
      <c r="A207" t="inlineStr">
        <is>
          <t>C-0234</t>
        </is>
      </c>
      <c r="B207" t="inlineStr">
        <is>
          <t>Retail-Plus</t>
        </is>
      </c>
      <c r="C207" t="inlineStr">
        <is>
          <t>Hyderabad</t>
        </is>
      </c>
      <c r="D207" t="n">
        <v>5</v>
      </c>
      <c r="E207" s="8" t="n">
        <v>13360</v>
      </c>
      <c r="F207" s="7" t="n">
        <v>46253</v>
      </c>
      <c r="G207">
        <f>IF(B207=Protect!$C$4,COUNTIFS($B$2:$B$301,B207,$E$2:$E$301,"&gt;"&amp;E207)+COUNTIFS($B$2:B207,B207,$E$2:E207,E207),"")</f>
        <v/>
      </c>
    </row>
    <row r="208">
      <c r="A208" t="inlineStr">
        <is>
          <t>C-0235</t>
        </is>
      </c>
      <c r="B208" t="inlineStr">
        <is>
          <t>Retail-Plus</t>
        </is>
      </c>
      <c r="C208" t="inlineStr">
        <is>
          <t>Mumbai</t>
        </is>
      </c>
      <c r="D208" t="n">
        <v>1</v>
      </c>
      <c r="E208" s="8" t="n">
        <v>3270</v>
      </c>
      <c r="F208" s="7" t="n">
        <v>46125</v>
      </c>
      <c r="G208">
        <f>IF(B208=Protect!$C$4,COUNTIFS($B$2:$B$301,B208,$E$2:$E$301,"&gt;"&amp;E208)+COUNTIFS($B$2:B208,B208,$E$2:E208,E208),"")</f>
        <v/>
      </c>
    </row>
    <row r="209">
      <c r="A209" t="inlineStr">
        <is>
          <t>C-0236</t>
        </is>
      </c>
      <c r="B209" t="inlineStr">
        <is>
          <t>Retail-Plus</t>
        </is>
      </c>
      <c r="C209" t="inlineStr">
        <is>
          <t>Pune</t>
        </is>
      </c>
      <c r="D209" t="n">
        <v>1</v>
      </c>
      <c r="E209" s="8" t="n">
        <v>4500</v>
      </c>
      <c r="F209" s="7" t="n">
        <v>46220</v>
      </c>
      <c r="G209">
        <f>IF(B209=Protect!$C$4,COUNTIFS($B$2:$B$301,B209,$E$2:$E$301,"&gt;"&amp;E209)+COUNTIFS($B$2:B209,B209,$E$2:E209,E209),"")</f>
        <v/>
      </c>
    </row>
    <row r="210">
      <c r="A210" t="inlineStr">
        <is>
          <t>C-0237</t>
        </is>
      </c>
      <c r="B210" t="inlineStr">
        <is>
          <t>Retail-Plus</t>
        </is>
      </c>
      <c r="C210" t="inlineStr">
        <is>
          <t>Chennai</t>
        </is>
      </c>
      <c r="D210" t="n">
        <v>4</v>
      </c>
      <c r="E210" s="8" t="n">
        <v>10180</v>
      </c>
      <c r="F210" s="7" t="n">
        <v>46277</v>
      </c>
      <c r="G210">
        <f>IF(B210=Protect!$C$4,COUNTIFS($B$2:$B$301,B210,$E$2:$E$301,"&gt;"&amp;E210)+COUNTIFS($B$2:B210,B210,$E$2:E210,E210),"")</f>
        <v/>
      </c>
    </row>
    <row r="211">
      <c r="A211" t="inlineStr">
        <is>
          <t>C-0238</t>
        </is>
      </c>
      <c r="B211" t="inlineStr">
        <is>
          <t>Retail-Plus</t>
        </is>
      </c>
      <c r="C211" t="inlineStr">
        <is>
          <t>Delhi</t>
        </is>
      </c>
      <c r="D211" t="n">
        <v>4</v>
      </c>
      <c r="E211" s="8" t="n">
        <v>9610</v>
      </c>
      <c r="F211" s="7" t="n">
        <v>46255</v>
      </c>
      <c r="G211">
        <f>IF(B211=Protect!$C$4,COUNTIFS($B$2:$B$301,B211,$E$2:$E$301,"&gt;"&amp;E211)+COUNTIFS($B$2:B211,B211,$E$2:E211,E211),"")</f>
        <v/>
      </c>
    </row>
    <row r="212">
      <c r="A212" t="inlineStr">
        <is>
          <t>C-0239</t>
        </is>
      </c>
      <c r="B212" t="inlineStr">
        <is>
          <t>Retail-Plus</t>
        </is>
      </c>
      <c r="C212" t="inlineStr">
        <is>
          <t>Delhi</t>
        </is>
      </c>
      <c r="D212" t="n">
        <v>6</v>
      </c>
      <c r="E212" s="8" t="n">
        <v>17240</v>
      </c>
      <c r="F212" s="7" t="n">
        <v>46285</v>
      </c>
      <c r="G212">
        <f>IF(B212=Protect!$C$4,COUNTIFS($B$2:$B$301,B212,$E$2:$E$301,"&gt;"&amp;E212)+COUNTIFS($B$2:B212,B212,$E$2:E212,E212),"")</f>
        <v/>
      </c>
    </row>
    <row r="213">
      <c r="A213" t="inlineStr">
        <is>
          <t>C-0240</t>
        </is>
      </c>
      <c r="B213" t="inlineStr">
        <is>
          <t>Retail-Plus</t>
        </is>
      </c>
      <c r="C213" t="inlineStr">
        <is>
          <t>Bengaluru</t>
        </is>
      </c>
      <c r="D213" t="n">
        <v>2</v>
      </c>
      <c r="E213" s="8" t="n">
        <v>5750</v>
      </c>
      <c r="F213" s="7" t="n">
        <v>46271</v>
      </c>
      <c r="G213">
        <f>IF(B213=Protect!$C$4,COUNTIFS($B$2:$B$301,B213,$E$2:$E$301,"&gt;"&amp;E213)+COUNTIFS($B$2:B213,B213,$E$2:E213,E213),"")</f>
        <v/>
      </c>
    </row>
    <row r="214">
      <c r="A214" t="inlineStr">
        <is>
          <t>C-0242</t>
        </is>
      </c>
      <c r="B214" t="inlineStr">
        <is>
          <t>Retail-Plus</t>
        </is>
      </c>
      <c r="C214" t="inlineStr">
        <is>
          <t>Mumbai</t>
        </is>
      </c>
      <c r="D214" t="n">
        <v>3</v>
      </c>
      <c r="E214" s="8" t="n">
        <v>11360</v>
      </c>
      <c r="F214" s="7" t="n">
        <v>46215</v>
      </c>
      <c r="G214">
        <f>IF(B214=Protect!$C$4,COUNTIFS($B$2:$B$301,B214,$E$2:$E$301,"&gt;"&amp;E214)+COUNTIFS($B$2:B214,B214,$E$2:E214,E214),"")</f>
        <v/>
      </c>
    </row>
    <row r="215">
      <c r="A215" t="inlineStr">
        <is>
          <t>C-0243</t>
        </is>
      </c>
      <c r="B215" t="inlineStr">
        <is>
          <t>Retail-Plus</t>
        </is>
      </c>
      <c r="C215" t="inlineStr">
        <is>
          <t>Hyderabad</t>
        </is>
      </c>
      <c r="D215" t="n">
        <v>1</v>
      </c>
      <c r="E215" s="8" t="n">
        <v>1350</v>
      </c>
      <c r="F215" s="7" t="n">
        <v>46206</v>
      </c>
      <c r="G215">
        <f>IF(B215=Protect!$C$4,COUNTIFS($B$2:$B$301,B215,$E$2:$E$301,"&gt;"&amp;E215)+COUNTIFS($B$2:B215,B215,$E$2:E215,E215),"")</f>
        <v/>
      </c>
    </row>
    <row r="216">
      <c r="A216" t="inlineStr">
        <is>
          <t>C-0244</t>
        </is>
      </c>
      <c r="B216" t="inlineStr">
        <is>
          <t>Retail-Plus</t>
        </is>
      </c>
      <c r="C216" t="inlineStr">
        <is>
          <t>Chennai</t>
        </is>
      </c>
      <c r="D216" t="n">
        <v>2</v>
      </c>
      <c r="E216" s="8" t="n">
        <v>2970</v>
      </c>
      <c r="F216" s="7" t="n">
        <v>46215</v>
      </c>
      <c r="G216">
        <f>IF(B216=Protect!$C$4,COUNTIFS($B$2:$B$301,B216,$E$2:$E$301,"&gt;"&amp;E216)+COUNTIFS($B$2:B216,B216,$E$2:E216,E216),"")</f>
        <v/>
      </c>
    </row>
    <row r="217">
      <c r="A217" t="inlineStr">
        <is>
          <t>C-0245</t>
        </is>
      </c>
      <c r="B217" t="inlineStr">
        <is>
          <t>Retail-Plus</t>
        </is>
      </c>
      <c r="C217" t="inlineStr">
        <is>
          <t>Mumbai</t>
        </is>
      </c>
      <c r="D217" t="n">
        <v>2</v>
      </c>
      <c r="E217" s="8" t="n">
        <v>4350</v>
      </c>
      <c r="F217" s="7" t="n">
        <v>46269</v>
      </c>
      <c r="G217">
        <f>IF(B217=Protect!$C$4,COUNTIFS($B$2:$B$301,B217,$E$2:$E$301,"&gt;"&amp;E217)+COUNTIFS($B$2:B217,B217,$E$2:E217,E217),"")</f>
        <v/>
      </c>
    </row>
    <row r="218">
      <c r="A218" t="inlineStr">
        <is>
          <t>C-0246</t>
        </is>
      </c>
      <c r="B218" t="inlineStr">
        <is>
          <t>Retail-Plus</t>
        </is>
      </c>
      <c r="C218" t="inlineStr">
        <is>
          <t>Pune</t>
        </is>
      </c>
      <c r="D218" t="n">
        <v>1</v>
      </c>
      <c r="E218" s="8" t="n">
        <v>3650</v>
      </c>
      <c r="F218" s="7" t="n">
        <v>46184</v>
      </c>
      <c r="G218">
        <f>IF(B218=Protect!$C$4,COUNTIFS($B$2:$B$301,B218,$E$2:$E$301,"&gt;"&amp;E218)+COUNTIFS($B$2:B218,B218,$E$2:E218,E218),"")</f>
        <v/>
      </c>
    </row>
    <row r="219">
      <c r="A219" t="inlineStr">
        <is>
          <t>C-0247</t>
        </is>
      </c>
      <c r="B219" t="inlineStr">
        <is>
          <t>Retail-Plus</t>
        </is>
      </c>
      <c r="C219" t="inlineStr">
        <is>
          <t>Chennai</t>
        </is>
      </c>
      <c r="D219" t="n">
        <v>3</v>
      </c>
      <c r="E219" s="8" t="n">
        <v>7890</v>
      </c>
      <c r="F219" s="7" t="n">
        <v>46201</v>
      </c>
      <c r="G219">
        <f>IF(B219=Protect!$C$4,COUNTIFS($B$2:$B$301,B219,$E$2:$E$301,"&gt;"&amp;E219)+COUNTIFS($B$2:B219,B219,$E$2:E219,E219),"")</f>
        <v/>
      </c>
    </row>
    <row r="220">
      <c r="A220" t="inlineStr">
        <is>
          <t>C-0248</t>
        </is>
      </c>
      <c r="B220" t="inlineStr">
        <is>
          <t>Retail-Plus</t>
        </is>
      </c>
      <c r="C220" t="inlineStr">
        <is>
          <t>Chennai</t>
        </is>
      </c>
      <c r="D220" t="n">
        <v>2</v>
      </c>
      <c r="E220" s="8" t="n">
        <v>7000</v>
      </c>
      <c r="F220" s="7" t="n">
        <v>46213</v>
      </c>
      <c r="G220">
        <f>IF(B220=Protect!$C$4,COUNTIFS($B$2:$B$301,B220,$E$2:$E$301,"&gt;"&amp;E220)+COUNTIFS($B$2:B220,B220,$E$2:E220,E220),"")</f>
        <v/>
      </c>
    </row>
    <row r="221">
      <c r="A221" t="inlineStr">
        <is>
          <t>C-0249</t>
        </is>
      </c>
      <c r="B221" t="inlineStr">
        <is>
          <t>Retail-Plus</t>
        </is>
      </c>
      <c r="C221" t="inlineStr">
        <is>
          <t>Chennai</t>
        </is>
      </c>
      <c r="D221" t="n">
        <v>1</v>
      </c>
      <c r="E221" s="8" t="n">
        <v>1570</v>
      </c>
      <c r="F221" s="7" t="n">
        <v>46222</v>
      </c>
      <c r="G221">
        <f>IF(B221=Protect!$C$4,COUNTIFS($B$2:$B$301,B221,$E$2:$E$301,"&gt;"&amp;E221)+COUNTIFS($B$2:B221,B221,$E$2:E221,E221),"")</f>
        <v/>
      </c>
    </row>
    <row r="222">
      <c r="A222" t="inlineStr">
        <is>
          <t>C-0250</t>
        </is>
      </c>
      <c r="B222" t="inlineStr">
        <is>
          <t>Retail-Plus</t>
        </is>
      </c>
      <c r="C222" t="inlineStr">
        <is>
          <t>Mumbai</t>
        </is>
      </c>
      <c r="D222" t="n">
        <v>3</v>
      </c>
      <c r="E222" s="8" t="n">
        <v>5580</v>
      </c>
      <c r="F222" s="7" t="n">
        <v>46191</v>
      </c>
      <c r="G222">
        <f>IF(B222=Protect!$C$4,COUNTIFS($B$2:$B$301,B222,$E$2:$E$301,"&gt;"&amp;E222)+COUNTIFS($B$2:B222,B222,$E$2:E222,E222),"")</f>
        <v/>
      </c>
    </row>
    <row r="223">
      <c r="A223" t="inlineStr">
        <is>
          <t>C-0251</t>
        </is>
      </c>
      <c r="B223" t="inlineStr">
        <is>
          <t>Retail-Plus</t>
        </is>
      </c>
      <c r="C223" t="inlineStr">
        <is>
          <t>Delhi</t>
        </is>
      </c>
      <c r="D223" t="n">
        <v>2</v>
      </c>
      <c r="E223" s="8" t="n">
        <v>8790</v>
      </c>
      <c r="F223" s="7" t="n">
        <v>46217</v>
      </c>
      <c r="G223">
        <f>IF(B223=Protect!$C$4,COUNTIFS($B$2:$B$301,B223,$E$2:$E$301,"&gt;"&amp;E223)+COUNTIFS($B$2:B223,B223,$E$2:E223,E223),"")</f>
        <v/>
      </c>
    </row>
    <row r="224">
      <c r="A224" t="inlineStr">
        <is>
          <t>C-0252</t>
        </is>
      </c>
      <c r="B224" t="inlineStr">
        <is>
          <t>Retail-Plus</t>
        </is>
      </c>
      <c r="C224" t="inlineStr">
        <is>
          <t>Chennai</t>
        </is>
      </c>
      <c r="D224" t="n">
        <v>4</v>
      </c>
      <c r="E224" s="8" t="n">
        <v>12280</v>
      </c>
      <c r="F224" s="7" t="n">
        <v>46281</v>
      </c>
      <c r="G224">
        <f>IF(B224=Protect!$C$4,COUNTIFS($B$2:$B$301,B224,$E$2:$E$301,"&gt;"&amp;E224)+COUNTIFS($B$2:B224,B224,$E$2:E224,E224),"")</f>
        <v/>
      </c>
    </row>
    <row r="225">
      <c r="A225" t="inlineStr">
        <is>
          <t>C-0254</t>
        </is>
      </c>
      <c r="B225" t="inlineStr">
        <is>
          <t>Retail-Plus</t>
        </is>
      </c>
      <c r="C225" t="inlineStr">
        <is>
          <t>Pune</t>
        </is>
      </c>
      <c r="D225" t="n">
        <v>3</v>
      </c>
      <c r="E225" s="8" t="n">
        <v>6380</v>
      </c>
      <c r="F225" s="7" t="n">
        <v>46269</v>
      </c>
      <c r="G225">
        <f>IF(B225=Protect!$C$4,COUNTIFS($B$2:$B$301,B225,$E$2:$E$301,"&gt;"&amp;E225)+COUNTIFS($B$2:B225,B225,$E$2:E225,E225),"")</f>
        <v/>
      </c>
    </row>
    <row r="226">
      <c r="A226" t="inlineStr">
        <is>
          <t>C-0257</t>
        </is>
      </c>
      <c r="B226" t="inlineStr">
        <is>
          <t>Retail-Plus</t>
        </is>
      </c>
      <c r="C226" t="inlineStr">
        <is>
          <t>Delhi</t>
        </is>
      </c>
      <c r="D226" t="n">
        <v>4</v>
      </c>
      <c r="E226" s="8" t="n">
        <v>10680</v>
      </c>
      <c r="F226" s="7" t="n">
        <v>46127</v>
      </c>
      <c r="G226">
        <f>IF(B226=Protect!$C$4,COUNTIFS($B$2:$B$301,B226,$E$2:$E$301,"&gt;"&amp;E226)+COUNTIFS($B$2:B226,B226,$E$2:E226,E226),"")</f>
        <v/>
      </c>
    </row>
    <row r="227">
      <c r="A227" t="inlineStr">
        <is>
          <t>C-0259</t>
        </is>
      </c>
      <c r="B227" t="inlineStr">
        <is>
          <t>Retail-Plus</t>
        </is>
      </c>
      <c r="C227" t="inlineStr">
        <is>
          <t>Delhi</t>
        </is>
      </c>
      <c r="D227" t="n">
        <v>2</v>
      </c>
      <c r="E227" s="8" t="n">
        <v>5720</v>
      </c>
      <c r="F227" s="7" t="n">
        <v>46270</v>
      </c>
      <c r="G227">
        <f>IF(B227=Protect!$C$4,COUNTIFS($B$2:$B$301,B227,$E$2:$E$301,"&gt;"&amp;E227)+COUNTIFS($B$2:B227,B227,$E$2:E227,E227),"")</f>
        <v/>
      </c>
    </row>
    <row r="228">
      <c r="A228" t="inlineStr">
        <is>
          <t>C-0260</t>
        </is>
      </c>
      <c r="B228" t="inlineStr">
        <is>
          <t>Retail-Plus</t>
        </is>
      </c>
      <c r="C228" t="inlineStr">
        <is>
          <t>Bengaluru</t>
        </is>
      </c>
      <c r="D228" t="n">
        <v>2</v>
      </c>
      <c r="E228" s="8" t="n">
        <v>8320</v>
      </c>
      <c r="F228" s="7" t="n">
        <v>46200</v>
      </c>
      <c r="G228">
        <f>IF(B228=Protect!$C$4,COUNTIFS($B$2:$B$301,B228,$E$2:$E$301,"&gt;"&amp;E228)+COUNTIFS($B$2:B228,B228,$E$2:E228,E228),"")</f>
        <v/>
      </c>
    </row>
    <row r="229">
      <c r="A229" t="inlineStr">
        <is>
          <t>C-0261</t>
        </is>
      </c>
      <c r="B229" t="inlineStr">
        <is>
          <t>Retail-Plus</t>
        </is>
      </c>
      <c r="C229" t="inlineStr">
        <is>
          <t>Delhi</t>
        </is>
      </c>
      <c r="D229" t="n">
        <v>3</v>
      </c>
      <c r="E229" s="8" t="n">
        <v>5270</v>
      </c>
      <c r="F229" s="7" t="n">
        <v>46292</v>
      </c>
      <c r="G229">
        <f>IF(B229=Protect!$C$4,COUNTIFS($B$2:$B$301,B229,$E$2:$E$301,"&gt;"&amp;E229)+COUNTIFS($B$2:B229,B229,$E$2:E229,E229),"")</f>
        <v/>
      </c>
    </row>
    <row r="230">
      <c r="A230" t="inlineStr">
        <is>
          <t>C-0262</t>
        </is>
      </c>
      <c r="B230" t="inlineStr">
        <is>
          <t>Retail-Plus</t>
        </is>
      </c>
      <c r="C230" t="inlineStr">
        <is>
          <t>Chennai</t>
        </is>
      </c>
      <c r="D230" t="n">
        <v>1</v>
      </c>
      <c r="E230" s="8" t="n">
        <v>1310</v>
      </c>
      <c r="F230" s="7" t="n">
        <v>46119</v>
      </c>
      <c r="G230">
        <f>IF(B230=Protect!$C$4,COUNTIFS($B$2:$B$301,B230,$E$2:$E$301,"&gt;"&amp;E230)+COUNTIFS($B$2:B230,B230,$E$2:E230,E230),"")</f>
        <v/>
      </c>
    </row>
    <row r="231">
      <c r="A231" t="inlineStr">
        <is>
          <t>C-0263</t>
        </is>
      </c>
      <c r="B231" t="inlineStr">
        <is>
          <t>Retail-Plus</t>
        </is>
      </c>
      <c r="C231" t="inlineStr">
        <is>
          <t>Bengaluru</t>
        </is>
      </c>
      <c r="D231" t="n">
        <v>1</v>
      </c>
      <c r="E231" s="8" t="n">
        <v>3690</v>
      </c>
      <c r="F231" s="7" t="n">
        <v>46255</v>
      </c>
      <c r="G231">
        <f>IF(B231=Protect!$C$4,COUNTIFS($B$2:$B$301,B231,$E$2:$E$301,"&gt;"&amp;E231)+COUNTIFS($B$2:B231,B231,$E$2:E231,E231),"")</f>
        <v/>
      </c>
    </row>
    <row r="232">
      <c r="A232" t="inlineStr">
        <is>
          <t>C-0264</t>
        </is>
      </c>
      <c r="B232" t="inlineStr">
        <is>
          <t>Retail-Plus</t>
        </is>
      </c>
      <c r="C232" t="inlineStr">
        <is>
          <t>Mumbai</t>
        </is>
      </c>
      <c r="D232" t="n">
        <v>1</v>
      </c>
      <c r="E232" s="8" t="n">
        <v>3540</v>
      </c>
      <c r="F232" s="7" t="n">
        <v>46285</v>
      </c>
      <c r="G232">
        <f>IF(B232=Protect!$C$4,COUNTIFS($B$2:$B$301,B232,$E$2:$E$301,"&gt;"&amp;E232)+COUNTIFS($B$2:B232,B232,$E$2:E232,E232),"")</f>
        <v/>
      </c>
    </row>
    <row r="233">
      <c r="A233" t="inlineStr">
        <is>
          <t>C-0265</t>
        </is>
      </c>
      <c r="B233" t="inlineStr">
        <is>
          <t>Retail-Plus</t>
        </is>
      </c>
      <c r="C233" t="inlineStr">
        <is>
          <t>Bengaluru</t>
        </is>
      </c>
      <c r="D233" t="n">
        <v>4</v>
      </c>
      <c r="E233" s="8" t="n">
        <v>10700</v>
      </c>
      <c r="F233" s="7" t="n">
        <v>46262</v>
      </c>
      <c r="G233">
        <f>IF(B233=Protect!$C$4,COUNTIFS($B$2:$B$301,B233,$E$2:$E$301,"&gt;"&amp;E233)+COUNTIFS($B$2:B233,B233,$E$2:E233,E233),"")</f>
        <v/>
      </c>
    </row>
    <row r="234">
      <c r="A234" t="inlineStr">
        <is>
          <t>C-0266</t>
        </is>
      </c>
      <c r="B234" t="inlineStr">
        <is>
          <t>Retail-Plus</t>
        </is>
      </c>
      <c r="C234" t="inlineStr">
        <is>
          <t>Bengaluru</t>
        </is>
      </c>
      <c r="D234" t="n">
        <v>3</v>
      </c>
      <c r="E234" s="8" t="n">
        <v>4960</v>
      </c>
      <c r="F234" s="7" t="n">
        <v>46155</v>
      </c>
      <c r="G234">
        <f>IF(B234=Protect!$C$4,COUNTIFS($B$2:$B$301,B234,$E$2:$E$301,"&gt;"&amp;E234)+COUNTIFS($B$2:B234,B234,$E$2:E234,E234),"")</f>
        <v/>
      </c>
    </row>
    <row r="235">
      <c r="A235" t="inlineStr">
        <is>
          <t>C-0267</t>
        </is>
      </c>
      <c r="B235" t="inlineStr">
        <is>
          <t>Retail-Plus</t>
        </is>
      </c>
      <c r="C235" t="inlineStr">
        <is>
          <t>Chennai</t>
        </is>
      </c>
      <c r="D235" t="n">
        <v>1</v>
      </c>
      <c r="E235" s="8" t="n">
        <v>2200</v>
      </c>
      <c r="F235" s="7" t="n">
        <v>46178</v>
      </c>
      <c r="G235">
        <f>IF(B235=Protect!$C$4,COUNTIFS($B$2:$B$301,B235,$E$2:$E$301,"&gt;"&amp;E235)+COUNTIFS($B$2:B235,B235,$E$2:E235,E235),"")</f>
        <v/>
      </c>
    </row>
    <row r="236">
      <c r="A236" t="inlineStr">
        <is>
          <t>C-0268</t>
        </is>
      </c>
      <c r="B236" t="inlineStr">
        <is>
          <t>Retail-Plus</t>
        </is>
      </c>
      <c r="C236" t="inlineStr">
        <is>
          <t>Delhi</t>
        </is>
      </c>
      <c r="D236" t="n">
        <v>1</v>
      </c>
      <c r="E236" s="8" t="n">
        <v>2100</v>
      </c>
      <c r="F236" s="7" t="n">
        <v>46140</v>
      </c>
      <c r="G236">
        <f>IF(B236=Protect!$C$4,COUNTIFS($B$2:$B$301,B236,$E$2:$E$301,"&gt;"&amp;E236)+COUNTIFS($B$2:B236,B236,$E$2:E236,E236),"")</f>
        <v/>
      </c>
    </row>
    <row r="237">
      <c r="A237" t="inlineStr">
        <is>
          <t>C-0269</t>
        </is>
      </c>
      <c r="B237" t="inlineStr">
        <is>
          <t>Retail-Plus</t>
        </is>
      </c>
      <c r="C237" t="inlineStr">
        <is>
          <t>Bengaluru</t>
        </is>
      </c>
      <c r="D237" t="n">
        <v>3</v>
      </c>
      <c r="E237" s="8" t="n">
        <v>7970</v>
      </c>
      <c r="F237" s="7" t="n">
        <v>46276</v>
      </c>
      <c r="G237">
        <f>IF(B237=Protect!$C$4,COUNTIFS($B$2:$B$301,B237,$E$2:$E$301,"&gt;"&amp;E237)+COUNTIFS($B$2:B237,B237,$E$2:E237,E237),"")</f>
        <v/>
      </c>
    </row>
    <row r="238">
      <c r="A238" t="inlineStr">
        <is>
          <t>C-0270</t>
        </is>
      </c>
      <c r="B238" t="inlineStr">
        <is>
          <t>Retail-Plus</t>
        </is>
      </c>
      <c r="C238" t="inlineStr">
        <is>
          <t>Delhi</t>
        </is>
      </c>
      <c r="D238" t="n">
        <v>1</v>
      </c>
      <c r="E238" s="8" t="n">
        <v>4330</v>
      </c>
      <c r="F238" s="7" t="n">
        <v>46220</v>
      </c>
      <c r="G238">
        <f>IF(B238=Protect!$C$4,COUNTIFS($B$2:$B$301,B238,$E$2:$E$301,"&gt;"&amp;E238)+COUNTIFS($B$2:B238,B238,$E$2:E238,E238),"")</f>
        <v/>
      </c>
    </row>
    <row r="239">
      <c r="A239" t="inlineStr">
        <is>
          <t>C-0271</t>
        </is>
      </c>
      <c r="B239" t="inlineStr">
        <is>
          <t>Business</t>
        </is>
      </c>
      <c r="C239" t="inlineStr">
        <is>
          <t>Delhi</t>
        </is>
      </c>
      <c r="D239" t="n">
        <v>6</v>
      </c>
      <c r="E239" s="8" t="n">
        <v>5649000</v>
      </c>
      <c r="F239" s="7" t="n">
        <v>46275</v>
      </c>
      <c r="G239">
        <f>IF(B239=Protect!$C$4,COUNTIFS($B$2:$B$301,B239,$E$2:$E$301,"&gt;"&amp;E239)+COUNTIFS($B$2:B239,B239,$E$2:E239,E239),"")</f>
        <v/>
      </c>
    </row>
    <row r="240">
      <c r="A240" t="inlineStr">
        <is>
          <t>C-0272</t>
        </is>
      </c>
      <c r="B240" t="inlineStr">
        <is>
          <t>Business</t>
        </is>
      </c>
      <c r="C240" t="inlineStr">
        <is>
          <t>Pune</t>
        </is>
      </c>
      <c r="D240" t="n">
        <v>6</v>
      </c>
      <c r="E240" s="8" t="n">
        <v>5224000</v>
      </c>
      <c r="F240" s="7" t="n">
        <v>46281</v>
      </c>
      <c r="G240">
        <f>IF(B240=Protect!$C$4,COUNTIFS($B$2:$B$301,B240,$E$2:$E$301,"&gt;"&amp;E240)+COUNTIFS($B$2:B240,B240,$E$2:E240,E240),"")</f>
        <v/>
      </c>
    </row>
    <row r="241">
      <c r="A241" t="inlineStr">
        <is>
          <t>C-0273</t>
        </is>
      </c>
      <c r="B241" t="inlineStr">
        <is>
          <t>Business</t>
        </is>
      </c>
      <c r="C241" t="inlineStr">
        <is>
          <t>Chennai</t>
        </is>
      </c>
      <c r="D241" t="n">
        <v>10</v>
      </c>
      <c r="E241" s="8" t="n">
        <v>12545000</v>
      </c>
      <c r="F241" s="7" t="n">
        <v>46289</v>
      </c>
      <c r="G241">
        <f>IF(B241=Protect!$C$4,COUNTIFS($B$2:$B$301,B241,$E$2:$E$301,"&gt;"&amp;E241)+COUNTIFS($B$2:B241,B241,$E$2:E241,E241),"")</f>
        <v/>
      </c>
    </row>
    <row r="242">
      <c r="A242" t="inlineStr">
        <is>
          <t>C-0274</t>
        </is>
      </c>
      <c r="B242" t="inlineStr">
        <is>
          <t>Business</t>
        </is>
      </c>
      <c r="C242" t="inlineStr">
        <is>
          <t>Delhi</t>
        </is>
      </c>
      <c r="D242" t="n">
        <v>6</v>
      </c>
      <c r="E242" s="8" t="n">
        <v>4752000</v>
      </c>
      <c r="F242" s="7" t="n">
        <v>46252</v>
      </c>
      <c r="G242">
        <f>IF(B242=Protect!$C$4,COUNTIFS($B$2:$B$301,B242,$E$2:$E$301,"&gt;"&amp;E242)+COUNTIFS($B$2:B242,B242,$E$2:E242,E242),"")</f>
        <v/>
      </c>
    </row>
    <row r="243">
      <c r="A243" t="inlineStr">
        <is>
          <t>C-0275</t>
        </is>
      </c>
      <c r="B243" t="inlineStr">
        <is>
          <t>Business</t>
        </is>
      </c>
      <c r="C243" t="inlineStr">
        <is>
          <t>Mumbai</t>
        </is>
      </c>
      <c r="D243" t="n">
        <v>10</v>
      </c>
      <c r="E243" s="8" t="n">
        <v>9603000</v>
      </c>
      <c r="F243" s="7" t="n">
        <v>46285</v>
      </c>
      <c r="G243">
        <f>IF(B243=Protect!$C$4,COUNTIFS($B$2:$B$301,B243,$E$2:$E$301,"&gt;"&amp;E243)+COUNTIFS($B$2:B243,B243,$E$2:E243,E243),"")</f>
        <v/>
      </c>
    </row>
    <row r="244">
      <c r="A244" t="inlineStr">
        <is>
          <t>C-0276</t>
        </is>
      </c>
      <c r="B244" t="inlineStr">
        <is>
          <t>Business</t>
        </is>
      </c>
      <c r="C244" t="inlineStr">
        <is>
          <t>Chennai</t>
        </is>
      </c>
      <c r="D244" t="n">
        <v>10</v>
      </c>
      <c r="E244" s="8" t="n">
        <v>9377000</v>
      </c>
      <c r="F244" s="7" t="n">
        <v>46277</v>
      </c>
      <c r="G244">
        <f>IF(B244=Protect!$C$4,COUNTIFS($B$2:$B$301,B244,$E$2:$E$301,"&gt;"&amp;E244)+COUNTIFS($B$2:B244,B244,$E$2:E244,E244),"")</f>
        <v/>
      </c>
    </row>
    <row r="245">
      <c r="A245" t="inlineStr">
        <is>
          <t>C-0277</t>
        </is>
      </c>
      <c r="B245" t="inlineStr">
        <is>
          <t>Business</t>
        </is>
      </c>
      <c r="C245" t="inlineStr">
        <is>
          <t>Bengaluru</t>
        </is>
      </c>
      <c r="D245" t="n">
        <v>4</v>
      </c>
      <c r="E245" s="8" t="n">
        <v>4178000</v>
      </c>
      <c r="F245" s="7" t="n">
        <v>46250</v>
      </c>
      <c r="G245">
        <f>IF(B245=Protect!$C$4,COUNTIFS($B$2:$B$301,B245,$E$2:$E$301,"&gt;"&amp;E245)+COUNTIFS($B$2:B245,B245,$E$2:E245,E245),"")</f>
        <v/>
      </c>
    </row>
    <row r="246">
      <c r="A246" t="inlineStr">
        <is>
          <t>C-0278</t>
        </is>
      </c>
      <c r="B246" t="inlineStr">
        <is>
          <t>Business</t>
        </is>
      </c>
      <c r="C246" t="inlineStr">
        <is>
          <t>Delhi</t>
        </is>
      </c>
      <c r="D246" t="n">
        <v>3</v>
      </c>
      <c r="E246" s="8" t="n">
        <v>4284000</v>
      </c>
      <c r="F246" s="7" t="n">
        <v>46279</v>
      </c>
      <c r="G246">
        <f>IF(B246=Protect!$C$4,COUNTIFS($B$2:$B$301,B246,$E$2:$E$301,"&gt;"&amp;E246)+COUNTIFS($B$2:B246,B246,$E$2:E246,E246),"")</f>
        <v/>
      </c>
    </row>
    <row r="247">
      <c r="A247" t="inlineStr">
        <is>
          <t>C-0279</t>
        </is>
      </c>
      <c r="B247" t="inlineStr">
        <is>
          <t>Business</t>
        </is>
      </c>
      <c r="C247" t="inlineStr">
        <is>
          <t>Delhi</t>
        </is>
      </c>
      <c r="D247" t="n">
        <v>8</v>
      </c>
      <c r="E247" s="8" t="n">
        <v>6563000</v>
      </c>
      <c r="F247" s="7" t="n">
        <v>46269</v>
      </c>
      <c r="G247">
        <f>IF(B247=Protect!$C$4,COUNTIFS($B$2:$B$301,B247,$E$2:$E$301,"&gt;"&amp;E247)+COUNTIFS($B$2:B247,B247,$E$2:E247,E247),"")</f>
        <v/>
      </c>
    </row>
    <row r="248">
      <c r="A248" t="inlineStr">
        <is>
          <t>C-0280</t>
        </is>
      </c>
      <c r="B248" t="inlineStr">
        <is>
          <t>Business</t>
        </is>
      </c>
      <c r="C248" t="inlineStr">
        <is>
          <t>Delhi</t>
        </is>
      </c>
      <c r="D248" t="n">
        <v>10</v>
      </c>
      <c r="E248" s="8" t="n">
        <v>8181000</v>
      </c>
      <c r="F248" s="7" t="n">
        <v>46289</v>
      </c>
      <c r="G248">
        <f>IF(B248=Protect!$C$4,COUNTIFS($B$2:$B$301,B248,$E$2:$E$301,"&gt;"&amp;E248)+COUNTIFS($B$2:B248,B248,$E$2:E248,E248),"")</f>
        <v/>
      </c>
    </row>
    <row r="249">
      <c r="A249" t="inlineStr">
        <is>
          <t>C-0281</t>
        </is>
      </c>
      <c r="B249" t="inlineStr">
        <is>
          <t>Business</t>
        </is>
      </c>
      <c r="C249" t="inlineStr">
        <is>
          <t>Delhi</t>
        </is>
      </c>
      <c r="D249" t="n">
        <v>5</v>
      </c>
      <c r="E249" s="8" t="n">
        <v>3714000</v>
      </c>
      <c r="F249" s="7" t="n">
        <v>46275</v>
      </c>
      <c r="G249">
        <f>IF(B249=Protect!$C$4,COUNTIFS($B$2:$B$301,B249,$E$2:$E$301,"&gt;"&amp;E249)+COUNTIFS($B$2:B249,B249,$E$2:E249,E249),"")</f>
        <v/>
      </c>
    </row>
    <row r="250">
      <c r="A250" t="inlineStr">
        <is>
          <t>C-0282</t>
        </is>
      </c>
      <c r="B250" t="inlineStr">
        <is>
          <t>Business</t>
        </is>
      </c>
      <c r="C250" t="inlineStr">
        <is>
          <t>Hyderabad</t>
        </is>
      </c>
      <c r="D250" t="n">
        <v>11</v>
      </c>
      <c r="E250" s="8" t="n">
        <v>6084000</v>
      </c>
      <c r="F250" s="7" t="n">
        <v>46290</v>
      </c>
      <c r="G250">
        <f>IF(B250=Protect!$C$4,COUNTIFS($B$2:$B$301,B250,$E$2:$E$301,"&gt;"&amp;E250)+COUNTIFS($B$2:B250,B250,$E$2:E250,E250),"")</f>
        <v/>
      </c>
    </row>
    <row r="251">
      <c r="A251" t="inlineStr">
        <is>
          <t>C-0283</t>
        </is>
      </c>
      <c r="B251" t="inlineStr">
        <is>
          <t>Business</t>
        </is>
      </c>
      <c r="C251" t="inlineStr">
        <is>
          <t>Chennai</t>
        </is>
      </c>
      <c r="D251" t="n">
        <v>10</v>
      </c>
      <c r="E251" s="8" t="n">
        <v>10263000</v>
      </c>
      <c r="F251" s="7" t="n">
        <v>46280</v>
      </c>
      <c r="G251">
        <f>IF(B251=Protect!$C$4,COUNTIFS($B$2:$B$301,B251,$E$2:$E$301,"&gt;"&amp;E251)+COUNTIFS($B$2:B251,B251,$E$2:E251,E251),"")</f>
        <v/>
      </c>
    </row>
    <row r="252">
      <c r="A252" t="inlineStr">
        <is>
          <t>C-0284</t>
        </is>
      </c>
      <c r="B252" t="inlineStr">
        <is>
          <t>Business</t>
        </is>
      </c>
      <c r="C252" t="inlineStr">
        <is>
          <t>Delhi</t>
        </is>
      </c>
      <c r="D252" t="n">
        <v>4</v>
      </c>
      <c r="E252" s="8" t="n">
        <v>3532000</v>
      </c>
      <c r="F252" s="7" t="n">
        <v>46282</v>
      </c>
      <c r="G252">
        <f>IF(B252=Protect!$C$4,COUNTIFS($B$2:$B$301,B252,$E$2:$E$301,"&gt;"&amp;E252)+COUNTIFS($B$2:B252,B252,$E$2:E252,E252),"")</f>
        <v/>
      </c>
    </row>
    <row r="253">
      <c r="A253" t="inlineStr">
        <is>
          <t>C-0285</t>
        </is>
      </c>
      <c r="B253" t="inlineStr">
        <is>
          <t>Business</t>
        </is>
      </c>
      <c r="C253" t="inlineStr">
        <is>
          <t>Bengaluru</t>
        </is>
      </c>
      <c r="D253" t="n">
        <v>2</v>
      </c>
      <c r="E253" s="8" t="n">
        <v>2421000</v>
      </c>
      <c r="F253" s="7" t="n">
        <v>46198</v>
      </c>
      <c r="G253">
        <f>IF(B253=Protect!$C$4,COUNTIFS($B$2:$B$301,B253,$E$2:$E$301,"&gt;"&amp;E253)+COUNTIFS($B$2:B253,B253,$E$2:E253,E253),"")</f>
        <v/>
      </c>
    </row>
    <row r="254">
      <c r="A254" t="inlineStr">
        <is>
          <t>C-0286</t>
        </is>
      </c>
      <c r="B254" t="inlineStr">
        <is>
          <t>Business</t>
        </is>
      </c>
      <c r="C254" t="inlineStr">
        <is>
          <t>Delhi</t>
        </is>
      </c>
      <c r="D254" t="n">
        <v>4</v>
      </c>
      <c r="E254" s="8" t="n">
        <v>22310600</v>
      </c>
      <c r="F254" s="7" t="n">
        <v>46243</v>
      </c>
      <c r="G254">
        <f>IF(B254=Protect!$C$4,COUNTIFS($B$2:$B$301,B254,$E$2:$E$301,"&gt;"&amp;E254)+COUNTIFS($B$2:B254,B254,$E$2:E254,E254),"")</f>
        <v/>
      </c>
    </row>
    <row r="255">
      <c r="A255" t="inlineStr">
        <is>
          <t>C-0287</t>
        </is>
      </c>
      <c r="B255" t="inlineStr">
        <is>
          <t>Business</t>
        </is>
      </c>
      <c r="C255" t="inlineStr">
        <is>
          <t>Chennai</t>
        </is>
      </c>
      <c r="D255" t="n">
        <v>3</v>
      </c>
      <c r="E255" s="8" t="n">
        <v>1874000</v>
      </c>
      <c r="F255" s="7" t="n">
        <v>46283</v>
      </c>
      <c r="G255">
        <f>IF(B255=Protect!$C$4,COUNTIFS($B$2:$B$301,B255,$E$2:$E$301,"&gt;"&amp;E255)+COUNTIFS($B$2:B255,B255,$E$2:E255,E255),"")</f>
        <v/>
      </c>
    </row>
    <row r="256">
      <c r="A256" t="inlineStr">
        <is>
          <t>C-0288</t>
        </is>
      </c>
      <c r="B256" t="inlineStr">
        <is>
          <t>Business</t>
        </is>
      </c>
      <c r="C256" t="inlineStr">
        <is>
          <t>Delhi</t>
        </is>
      </c>
      <c r="D256" t="n">
        <v>4</v>
      </c>
      <c r="E256" s="8" t="n">
        <v>3912000</v>
      </c>
      <c r="F256" s="7" t="n">
        <v>46276</v>
      </c>
      <c r="G256">
        <f>IF(B256=Protect!$C$4,COUNTIFS($B$2:$B$301,B256,$E$2:$E$301,"&gt;"&amp;E256)+COUNTIFS($B$2:B256,B256,$E$2:E256,E256),"")</f>
        <v/>
      </c>
    </row>
    <row r="257">
      <c r="A257" t="inlineStr">
        <is>
          <t>C-0289</t>
        </is>
      </c>
      <c r="B257" t="inlineStr">
        <is>
          <t>Business</t>
        </is>
      </c>
      <c r="C257" t="inlineStr">
        <is>
          <t>Delhi</t>
        </is>
      </c>
      <c r="D257" t="n">
        <v>3</v>
      </c>
      <c r="E257" s="8" t="n">
        <v>3172000</v>
      </c>
      <c r="F257" s="7" t="n">
        <v>46286</v>
      </c>
      <c r="G257">
        <f>IF(B257=Protect!$C$4,COUNTIFS($B$2:$B$301,B257,$E$2:$E$301,"&gt;"&amp;E257)+COUNTIFS($B$2:B257,B257,$E$2:E257,E257),"")</f>
        <v/>
      </c>
    </row>
    <row r="258">
      <c r="A258" t="inlineStr">
        <is>
          <t>C-0290</t>
        </is>
      </c>
      <c r="B258" t="inlineStr">
        <is>
          <t>Business</t>
        </is>
      </c>
      <c r="C258" t="inlineStr">
        <is>
          <t>Delhi</t>
        </is>
      </c>
      <c r="D258" t="n">
        <v>6</v>
      </c>
      <c r="E258" s="8" t="n">
        <v>5306000</v>
      </c>
      <c r="F258" s="7" t="n">
        <v>46245</v>
      </c>
      <c r="G258">
        <f>IF(B258=Protect!$C$4,COUNTIFS($B$2:$B$301,B258,$E$2:$E$301,"&gt;"&amp;E258)+COUNTIFS($B$2:B258,B258,$E$2:E258,E258),"")</f>
        <v/>
      </c>
    </row>
    <row r="259">
      <c r="A259" t="inlineStr">
        <is>
          <t>C-0291</t>
        </is>
      </c>
      <c r="B259" t="inlineStr">
        <is>
          <t>Business</t>
        </is>
      </c>
      <c r="C259" t="inlineStr">
        <is>
          <t>Pune</t>
        </is>
      </c>
      <c r="D259" t="n">
        <v>2</v>
      </c>
      <c r="E259" s="8" t="n">
        <v>13395440</v>
      </c>
      <c r="F259" s="7" t="n">
        <v>46144</v>
      </c>
      <c r="G259">
        <f>IF(B259=Protect!$C$4,COUNTIFS($B$2:$B$301,B259,$E$2:$E$301,"&gt;"&amp;E259)+COUNTIFS($B$2:B259,B259,$E$2:E259,E259),"")</f>
        <v/>
      </c>
    </row>
    <row r="260">
      <c r="A260" t="inlineStr">
        <is>
          <t>C-0292</t>
        </is>
      </c>
      <c r="B260" t="inlineStr">
        <is>
          <t>Business</t>
        </is>
      </c>
      <c r="C260" t="inlineStr">
        <is>
          <t>Mumbai</t>
        </is>
      </c>
      <c r="D260" t="n">
        <v>2</v>
      </c>
      <c r="E260" s="8" t="n">
        <v>668000</v>
      </c>
      <c r="F260" s="7" t="n">
        <v>46272</v>
      </c>
      <c r="G260">
        <f>IF(B260=Protect!$C$4,COUNTIFS($B$2:$B$301,B260,$E$2:$E$301,"&gt;"&amp;E260)+COUNTIFS($B$2:B260,B260,$E$2:E260,E260),"")</f>
        <v/>
      </c>
    </row>
    <row r="261">
      <c r="A261" t="inlineStr">
        <is>
          <t>C-0293</t>
        </is>
      </c>
      <c r="B261" t="inlineStr">
        <is>
          <t>Business</t>
        </is>
      </c>
      <c r="C261" t="inlineStr">
        <is>
          <t>Bengaluru</t>
        </is>
      </c>
      <c r="D261" t="n">
        <v>5</v>
      </c>
      <c r="E261" s="8" t="n">
        <v>4950000</v>
      </c>
      <c r="F261" s="7" t="n">
        <v>46292</v>
      </c>
      <c r="G261">
        <f>IF(B261=Protect!$C$4,COUNTIFS($B$2:$B$301,B261,$E$2:$E$301,"&gt;"&amp;E261)+COUNTIFS($B$2:B261,B261,$E$2:E261,E261),"")</f>
        <v/>
      </c>
    </row>
    <row r="262">
      <c r="A262" t="inlineStr">
        <is>
          <t>C-0294</t>
        </is>
      </c>
      <c r="B262" t="inlineStr">
        <is>
          <t>Business</t>
        </is>
      </c>
      <c r="C262" t="inlineStr">
        <is>
          <t>Chennai</t>
        </is>
      </c>
      <c r="D262" t="n">
        <v>5</v>
      </c>
      <c r="E262" s="8" t="n">
        <v>3705000</v>
      </c>
      <c r="F262" s="7" t="n">
        <v>46242</v>
      </c>
      <c r="G262">
        <f>IF(B262=Protect!$C$4,COUNTIFS($B$2:$B$301,B262,$E$2:$E$301,"&gt;"&amp;E262)+COUNTIFS($B$2:B262,B262,$E$2:E262,E262),"")</f>
        <v/>
      </c>
    </row>
    <row r="263">
      <c r="A263" t="inlineStr">
        <is>
          <t>C-0295</t>
        </is>
      </c>
      <c r="B263" t="inlineStr">
        <is>
          <t>Business</t>
        </is>
      </c>
      <c r="C263" t="inlineStr">
        <is>
          <t>Chennai</t>
        </is>
      </c>
      <c r="D263" t="n">
        <v>6</v>
      </c>
      <c r="E263" s="8" t="n">
        <v>4441000</v>
      </c>
      <c r="F263" s="7" t="n">
        <v>46248</v>
      </c>
      <c r="G263">
        <f>IF(B263=Protect!$C$4,COUNTIFS($B$2:$B$301,B263,$E$2:$E$301,"&gt;"&amp;E263)+COUNTIFS($B$2:B263,B263,$E$2:E263,E263),"")</f>
        <v/>
      </c>
    </row>
    <row r="264">
      <c r="A264" t="inlineStr">
        <is>
          <t>C-0296</t>
        </is>
      </c>
      <c r="B264" t="inlineStr">
        <is>
          <t>Business</t>
        </is>
      </c>
      <c r="C264" t="inlineStr">
        <is>
          <t>Bengaluru</t>
        </is>
      </c>
      <c r="D264" t="n">
        <v>6</v>
      </c>
      <c r="E264" s="8" t="n">
        <v>5330000</v>
      </c>
      <c r="F264" s="7" t="n">
        <v>46241</v>
      </c>
      <c r="G264">
        <f>IF(B264=Protect!$C$4,COUNTIFS($B$2:$B$301,B264,$E$2:$E$301,"&gt;"&amp;E264)+COUNTIFS($B$2:B264,B264,$E$2:E264,E264),"")</f>
        <v/>
      </c>
    </row>
    <row r="265">
      <c r="A265" t="inlineStr">
        <is>
          <t>C-0297</t>
        </is>
      </c>
      <c r="B265" t="inlineStr">
        <is>
          <t>Business</t>
        </is>
      </c>
      <c r="C265" t="inlineStr">
        <is>
          <t>Mumbai</t>
        </is>
      </c>
      <c r="D265" t="n">
        <v>1</v>
      </c>
      <c r="E265" s="8" t="n">
        <v>1127000</v>
      </c>
      <c r="F265" s="7" t="n">
        <v>46249</v>
      </c>
      <c r="G265">
        <f>IF(B265=Protect!$C$4,COUNTIFS($B$2:$B$301,B265,$E$2:$E$301,"&gt;"&amp;E265)+COUNTIFS($B$2:B265,B265,$E$2:E265,E265),"")</f>
        <v/>
      </c>
    </row>
    <row r="266">
      <c r="A266" t="inlineStr">
        <is>
          <t>C-0298</t>
        </is>
      </c>
      <c r="B266" t="inlineStr">
        <is>
          <t>Business</t>
        </is>
      </c>
      <c r="C266" t="inlineStr">
        <is>
          <t>Hyderabad</t>
        </is>
      </c>
      <c r="D266" t="n">
        <v>1</v>
      </c>
      <c r="E266" s="8" t="n">
        <v>880000</v>
      </c>
      <c r="F266" s="7" t="n">
        <v>46113</v>
      </c>
      <c r="G266">
        <f>IF(B266=Protect!$C$4,COUNTIFS($B$2:$B$301,B266,$E$2:$E$301,"&gt;"&amp;E266)+COUNTIFS($B$2:B266,B266,$E$2:E266,E266),"")</f>
        <v/>
      </c>
    </row>
    <row r="267">
      <c r="A267" t="inlineStr">
        <is>
          <t>C-0299</t>
        </is>
      </c>
      <c r="B267" t="inlineStr">
        <is>
          <t>Business</t>
        </is>
      </c>
      <c r="C267" t="inlineStr">
        <is>
          <t>Bengaluru</t>
        </is>
      </c>
      <c r="D267" t="n">
        <v>2</v>
      </c>
      <c r="E267" s="8" t="n">
        <v>2649000</v>
      </c>
      <c r="F267" s="7" t="n">
        <v>46169</v>
      </c>
      <c r="G267">
        <f>IF(B267=Protect!$C$4,COUNTIFS($B$2:$B$301,B267,$E$2:$E$301,"&gt;"&amp;E267)+COUNTIFS($B$2:B267,B267,$E$2:E267,E267),"")</f>
        <v/>
      </c>
    </row>
    <row r="268">
      <c r="A268" t="inlineStr">
        <is>
          <t>C-0300</t>
        </is>
      </c>
      <c r="B268" t="inlineStr">
        <is>
          <t>Business</t>
        </is>
      </c>
      <c r="C268" t="inlineStr">
        <is>
          <t>Bengaluru</t>
        </is>
      </c>
      <c r="D268" t="n">
        <v>2</v>
      </c>
      <c r="E268" s="8" t="n">
        <v>2978000</v>
      </c>
      <c r="F268" s="7" t="n">
        <v>46288</v>
      </c>
      <c r="G268">
        <f>IF(B268=Protect!$C$4,COUNTIFS($B$2:$B$301,B268,$E$2:$E$301,"&gt;"&amp;E268)+COUNTIFS($B$2:B268,B268,$E$2:E268,E268),"")</f>
        <v/>
      </c>
    </row>
    <row r="269">
      <c r="A269" t="inlineStr">
        <is>
          <t>C-0302</t>
        </is>
      </c>
      <c r="B269" t="inlineStr">
        <is>
          <t>Business</t>
        </is>
      </c>
      <c r="C269" t="inlineStr">
        <is>
          <t>Delhi</t>
        </is>
      </c>
      <c r="D269" t="n">
        <v>3</v>
      </c>
      <c r="E269" s="8" t="n">
        <v>1974000</v>
      </c>
      <c r="F269" s="7" t="n">
        <v>46239</v>
      </c>
      <c r="G269">
        <f>IF(B269=Protect!$C$4,COUNTIFS($B$2:$B$301,B269,$E$2:$E$301,"&gt;"&amp;E269)+COUNTIFS($B$2:B269,B269,$E$2:E269,E269),"")</f>
        <v/>
      </c>
    </row>
    <row r="270">
      <c r="A270" t="inlineStr">
        <is>
          <t>C-0303</t>
        </is>
      </c>
      <c r="B270" t="inlineStr">
        <is>
          <t>Business</t>
        </is>
      </c>
      <c r="C270" t="inlineStr">
        <is>
          <t>Hyderabad</t>
        </is>
      </c>
      <c r="D270" t="n">
        <v>2</v>
      </c>
      <c r="E270" s="8" t="n">
        <v>1536000</v>
      </c>
      <c r="F270" s="7" t="n">
        <v>46247</v>
      </c>
      <c r="G270">
        <f>IF(B270=Protect!$C$4,COUNTIFS($B$2:$B$301,B270,$E$2:$E$301,"&gt;"&amp;E270)+COUNTIFS($B$2:B270,B270,$E$2:E270,E270),"")</f>
        <v/>
      </c>
    </row>
    <row r="271">
      <c r="A271" t="inlineStr">
        <is>
          <t>C-0304</t>
        </is>
      </c>
      <c r="B271" t="inlineStr">
        <is>
          <t>Business</t>
        </is>
      </c>
      <c r="C271" t="inlineStr">
        <is>
          <t>Pune</t>
        </is>
      </c>
      <c r="D271" t="n">
        <v>3</v>
      </c>
      <c r="E271" s="8" t="n">
        <v>2853000</v>
      </c>
      <c r="F271" s="7" t="n">
        <v>46240</v>
      </c>
      <c r="G271">
        <f>IF(B271=Protect!$C$4,COUNTIFS($B$2:$B$301,B271,$E$2:$E$301,"&gt;"&amp;E271)+COUNTIFS($B$2:B271,B271,$E$2:E271,E271),"")</f>
        <v/>
      </c>
    </row>
    <row r="272">
      <c r="A272" t="inlineStr">
        <is>
          <t>C-0305</t>
        </is>
      </c>
      <c r="B272" t="inlineStr">
        <is>
          <t>Business</t>
        </is>
      </c>
      <c r="C272" t="inlineStr">
        <is>
          <t>Chennai</t>
        </is>
      </c>
      <c r="D272" t="n">
        <v>3</v>
      </c>
      <c r="E272" s="8" t="n">
        <v>2753000</v>
      </c>
      <c r="F272" s="7" t="n">
        <v>46251</v>
      </c>
      <c r="G272">
        <f>IF(B272=Protect!$C$4,COUNTIFS($B$2:$B$301,B272,$E$2:$E$301,"&gt;"&amp;E272)+COUNTIFS($B$2:B272,B272,$E$2:E272,E272),"")</f>
        <v/>
      </c>
    </row>
    <row r="273">
      <c r="A273" t="inlineStr">
        <is>
          <t>C-0306</t>
        </is>
      </c>
      <c r="B273" t="inlineStr">
        <is>
          <t>Business</t>
        </is>
      </c>
      <c r="C273" t="inlineStr">
        <is>
          <t>Pune</t>
        </is>
      </c>
      <c r="D273" t="n">
        <v>5</v>
      </c>
      <c r="E273" s="8" t="n">
        <v>5174000</v>
      </c>
      <c r="F273" s="7" t="n">
        <v>46293</v>
      </c>
      <c r="G273">
        <f>IF(B273=Protect!$C$4,COUNTIFS($B$2:$B$301,B273,$E$2:$E$301,"&gt;"&amp;E273)+COUNTIFS($B$2:B273,B273,$E$2:E273,E273),"")</f>
        <v/>
      </c>
    </row>
    <row r="274">
      <c r="A274" t="inlineStr">
        <is>
          <t>C-0307</t>
        </is>
      </c>
      <c r="B274" t="inlineStr">
        <is>
          <t>Business</t>
        </is>
      </c>
      <c r="C274" t="inlineStr">
        <is>
          <t>Chennai</t>
        </is>
      </c>
      <c r="D274" t="n">
        <v>6</v>
      </c>
      <c r="E274" s="8" t="n">
        <v>3284000</v>
      </c>
      <c r="F274" s="7" t="n">
        <v>46252</v>
      </c>
      <c r="G274">
        <f>IF(B274=Protect!$C$4,COUNTIFS($B$2:$B$301,B274,$E$2:$E$301,"&gt;"&amp;E274)+COUNTIFS($B$2:B274,B274,$E$2:E274,E274),"")</f>
        <v/>
      </c>
    </row>
    <row r="275">
      <c r="A275" t="inlineStr">
        <is>
          <t>C-0308</t>
        </is>
      </c>
      <c r="B275" t="inlineStr">
        <is>
          <t>Business</t>
        </is>
      </c>
      <c r="C275" t="inlineStr">
        <is>
          <t>Pune</t>
        </is>
      </c>
      <c r="D275" t="n">
        <v>4</v>
      </c>
      <c r="E275" s="8" t="n">
        <v>2590000</v>
      </c>
      <c r="F275" s="7" t="n">
        <v>46235</v>
      </c>
      <c r="G275">
        <f>IF(B275=Protect!$C$4,COUNTIFS($B$2:$B$301,B275,$E$2:$E$301,"&gt;"&amp;E275)+COUNTIFS($B$2:B275,B275,$E$2:E275,E275),"")</f>
        <v/>
      </c>
    </row>
    <row r="276">
      <c r="A276" t="inlineStr">
        <is>
          <t>C-0309</t>
        </is>
      </c>
      <c r="B276" t="inlineStr">
        <is>
          <t>Business</t>
        </is>
      </c>
      <c r="C276" t="inlineStr">
        <is>
          <t>Chennai</t>
        </is>
      </c>
      <c r="D276" t="n">
        <v>2</v>
      </c>
      <c r="E276" s="8" t="n">
        <v>1446000</v>
      </c>
      <c r="F276" s="7" t="n">
        <v>46231</v>
      </c>
      <c r="G276">
        <f>IF(B276=Protect!$C$4,COUNTIFS($B$2:$B$301,B276,$E$2:$E$301,"&gt;"&amp;E276)+COUNTIFS($B$2:B276,B276,$E$2:E276,E276),"")</f>
        <v/>
      </c>
    </row>
    <row r="277">
      <c r="A277" t="inlineStr">
        <is>
          <t>C-0310</t>
        </is>
      </c>
      <c r="B277" t="inlineStr">
        <is>
          <t>Business</t>
        </is>
      </c>
      <c r="C277" t="inlineStr">
        <is>
          <t>Chennai</t>
        </is>
      </c>
      <c r="D277" t="n">
        <v>3</v>
      </c>
      <c r="E277" s="8" t="n">
        <v>1921000</v>
      </c>
      <c r="F277" s="7" t="n">
        <v>46278</v>
      </c>
      <c r="G277">
        <f>IF(B277=Protect!$C$4,COUNTIFS($B$2:$B$301,B277,$E$2:$E$301,"&gt;"&amp;E277)+COUNTIFS($B$2:B277,B277,$E$2:E277,E277),"")</f>
        <v/>
      </c>
    </row>
    <row r="278">
      <c r="A278" t="inlineStr">
        <is>
          <t>C-0311</t>
        </is>
      </c>
      <c r="B278" t="inlineStr">
        <is>
          <t>Student</t>
        </is>
      </c>
      <c r="C278" t="inlineStr">
        <is>
          <t>Chennai</t>
        </is>
      </c>
      <c r="D278" t="n">
        <v>3</v>
      </c>
      <c r="E278" s="8" t="n">
        <v>2560</v>
      </c>
      <c r="F278" s="7" t="n">
        <v>46270</v>
      </c>
      <c r="G278">
        <f>IF(B278=Protect!$C$4,COUNTIFS($B$2:$B$301,B278,$E$2:$E$301,"&gt;"&amp;E278)+COUNTIFS($B$2:B278,B278,$E$2:E278,E278),"")</f>
        <v/>
      </c>
    </row>
    <row r="279">
      <c r="A279" t="inlineStr">
        <is>
          <t>C-0312</t>
        </is>
      </c>
      <c r="B279" t="inlineStr">
        <is>
          <t>Student</t>
        </is>
      </c>
      <c r="C279" t="inlineStr">
        <is>
          <t>Chennai</t>
        </is>
      </c>
      <c r="D279" t="n">
        <v>2</v>
      </c>
      <c r="E279" s="8" t="n">
        <v>1360</v>
      </c>
      <c r="F279" s="7" t="n">
        <v>46270</v>
      </c>
      <c r="G279">
        <f>IF(B279=Protect!$C$4,COUNTIFS($B$2:$B$301,B279,$E$2:$E$301,"&gt;"&amp;E279)+COUNTIFS($B$2:B279,B279,$E$2:E279,E279),"")</f>
        <v/>
      </c>
    </row>
    <row r="280">
      <c r="A280" t="inlineStr">
        <is>
          <t>C-0313</t>
        </is>
      </c>
      <c r="B280" t="inlineStr">
        <is>
          <t>Student</t>
        </is>
      </c>
      <c r="C280" t="inlineStr">
        <is>
          <t>Chennai</t>
        </is>
      </c>
      <c r="D280" t="n">
        <v>3</v>
      </c>
      <c r="E280" s="8" t="n">
        <v>2200</v>
      </c>
      <c r="F280" s="7" t="n">
        <v>46249</v>
      </c>
      <c r="G280">
        <f>IF(B280=Protect!$C$4,COUNTIFS($B$2:$B$301,B280,$E$2:$E$301,"&gt;"&amp;E280)+COUNTIFS($B$2:B280,B280,$E$2:E280,E280),"")</f>
        <v/>
      </c>
    </row>
    <row r="281">
      <c r="A281" t="inlineStr">
        <is>
          <t>C-0314</t>
        </is>
      </c>
      <c r="B281" t="inlineStr">
        <is>
          <t>Student</t>
        </is>
      </c>
      <c r="C281" t="inlineStr">
        <is>
          <t>Chennai</t>
        </is>
      </c>
      <c r="D281" t="n">
        <v>3</v>
      </c>
      <c r="E281" s="8" t="n">
        <v>3380</v>
      </c>
      <c r="F281" s="7" t="n">
        <v>46291</v>
      </c>
      <c r="G281">
        <f>IF(B281=Protect!$C$4,COUNTIFS($B$2:$B$301,B281,$E$2:$E$301,"&gt;"&amp;E281)+COUNTIFS($B$2:B281,B281,$E$2:E281,E281),"")</f>
        <v/>
      </c>
    </row>
    <row r="282">
      <c r="A282" t="inlineStr">
        <is>
          <t>C-0315</t>
        </is>
      </c>
      <c r="B282" t="inlineStr">
        <is>
          <t>Student</t>
        </is>
      </c>
      <c r="C282" t="inlineStr">
        <is>
          <t>Pune</t>
        </is>
      </c>
      <c r="D282" t="n">
        <v>5</v>
      </c>
      <c r="E282" s="8" t="n">
        <v>5690</v>
      </c>
      <c r="F282" s="7" t="n">
        <v>46290</v>
      </c>
      <c r="G282">
        <f>IF(B282=Protect!$C$4,COUNTIFS($B$2:$B$301,B282,$E$2:$E$301,"&gt;"&amp;E282)+COUNTIFS($B$2:B282,B282,$E$2:E282,E282),"")</f>
        <v/>
      </c>
    </row>
    <row r="283">
      <c r="A283" t="inlineStr">
        <is>
          <t>C-0316</t>
        </is>
      </c>
      <c r="B283" t="inlineStr">
        <is>
          <t>Student</t>
        </is>
      </c>
      <c r="C283" t="inlineStr">
        <is>
          <t>Delhi</t>
        </is>
      </c>
      <c r="D283" t="n">
        <v>5</v>
      </c>
      <c r="E283" s="8" t="n">
        <v>3710</v>
      </c>
      <c r="F283" s="7" t="n">
        <v>46292</v>
      </c>
      <c r="G283">
        <f>IF(B283=Protect!$C$4,COUNTIFS($B$2:$B$301,B283,$E$2:$E$301,"&gt;"&amp;E283)+COUNTIFS($B$2:B283,B283,$E$2:E283,E283),"")</f>
        <v/>
      </c>
    </row>
    <row r="284">
      <c r="A284" t="inlineStr">
        <is>
          <t>C-0317</t>
        </is>
      </c>
      <c r="B284" t="inlineStr">
        <is>
          <t>Student</t>
        </is>
      </c>
      <c r="C284" t="inlineStr">
        <is>
          <t>Bengaluru</t>
        </is>
      </c>
      <c r="D284" t="n">
        <v>3</v>
      </c>
      <c r="E284" s="8" t="n">
        <v>2450</v>
      </c>
      <c r="F284" s="7" t="n">
        <v>46253</v>
      </c>
      <c r="G284">
        <f>IF(B284=Protect!$C$4,COUNTIFS($B$2:$B$301,B284,$E$2:$E$301,"&gt;"&amp;E284)+COUNTIFS($B$2:B284,B284,$E$2:E284,E284),"")</f>
        <v/>
      </c>
    </row>
    <row r="285">
      <c r="A285" t="inlineStr">
        <is>
          <t>C-0319</t>
        </is>
      </c>
      <c r="B285" t="inlineStr">
        <is>
          <t>Student</t>
        </is>
      </c>
      <c r="C285" t="inlineStr">
        <is>
          <t>Bengaluru</t>
        </is>
      </c>
      <c r="D285" t="n">
        <v>5</v>
      </c>
      <c r="E285" s="8" t="n">
        <v>5710</v>
      </c>
      <c r="F285" s="7" t="n">
        <v>46281</v>
      </c>
      <c r="G285">
        <f>IF(B285=Protect!$C$4,COUNTIFS($B$2:$B$301,B285,$E$2:$E$301,"&gt;"&amp;E285)+COUNTIFS($B$2:B285,B285,$E$2:E285,E285),"")</f>
        <v/>
      </c>
    </row>
    <row r="286">
      <c r="A286" t="inlineStr">
        <is>
          <t>C-0320</t>
        </is>
      </c>
      <c r="B286" t="inlineStr">
        <is>
          <t>Student</t>
        </is>
      </c>
      <c r="C286" t="inlineStr">
        <is>
          <t>Hyderabad</t>
        </is>
      </c>
      <c r="D286" t="n">
        <v>3</v>
      </c>
      <c r="E286" s="8" t="n">
        <v>2630</v>
      </c>
      <c r="F286" s="7" t="n">
        <v>46280</v>
      </c>
      <c r="G286">
        <f>IF(B286=Protect!$C$4,COUNTIFS($B$2:$B$301,B286,$E$2:$E$301,"&gt;"&amp;E286)+COUNTIFS($B$2:B286,B286,$E$2:E286,E286),"")</f>
        <v/>
      </c>
    </row>
    <row r="287">
      <c r="A287" t="inlineStr">
        <is>
          <t>C-0322</t>
        </is>
      </c>
      <c r="B287" t="inlineStr">
        <is>
          <t>Student</t>
        </is>
      </c>
      <c r="C287" t="inlineStr">
        <is>
          <t>Chennai</t>
        </is>
      </c>
      <c r="D287" t="n">
        <v>2</v>
      </c>
      <c r="E287" s="8" t="n">
        <v>1610</v>
      </c>
      <c r="F287" s="7" t="n">
        <v>46204</v>
      </c>
      <c r="G287">
        <f>IF(B287=Protect!$C$4,COUNTIFS($B$2:$B$301,B287,$E$2:$E$301,"&gt;"&amp;E287)+COUNTIFS($B$2:B287,B287,$E$2:E287,E287),"")</f>
        <v/>
      </c>
    </row>
    <row r="288">
      <c r="A288" t="inlineStr">
        <is>
          <t>C-0323</t>
        </is>
      </c>
      <c r="B288" t="inlineStr">
        <is>
          <t>Student</t>
        </is>
      </c>
      <c r="C288" t="inlineStr">
        <is>
          <t>Mumbai</t>
        </is>
      </c>
      <c r="D288" t="n">
        <v>4</v>
      </c>
      <c r="E288" s="8" t="n">
        <v>3930</v>
      </c>
      <c r="F288" s="7" t="n">
        <v>46227</v>
      </c>
      <c r="G288">
        <f>IF(B288=Protect!$C$4,COUNTIFS($B$2:$B$301,B288,$E$2:$E$301,"&gt;"&amp;E288)+COUNTIFS($B$2:B288,B288,$E$2:E288,E288),"")</f>
        <v/>
      </c>
    </row>
    <row r="289">
      <c r="A289" t="inlineStr">
        <is>
          <t>C-0325</t>
        </is>
      </c>
      <c r="B289" t="inlineStr">
        <is>
          <t>Student</t>
        </is>
      </c>
      <c r="C289" t="inlineStr">
        <is>
          <t>Chennai</t>
        </is>
      </c>
      <c r="D289" t="n">
        <v>3</v>
      </c>
      <c r="E289" s="8" t="n">
        <v>3580</v>
      </c>
      <c r="F289" s="7" t="n">
        <v>46229</v>
      </c>
      <c r="G289">
        <f>IF(B289=Protect!$C$4,COUNTIFS($B$2:$B$301,B289,$E$2:$E$301,"&gt;"&amp;E289)+COUNTIFS($B$2:B289,B289,$E$2:E289,E289),"")</f>
        <v/>
      </c>
    </row>
    <row r="290">
      <c r="A290" t="inlineStr">
        <is>
          <t>C-0326</t>
        </is>
      </c>
      <c r="B290" t="inlineStr">
        <is>
          <t>Student</t>
        </is>
      </c>
      <c r="C290" t="inlineStr">
        <is>
          <t>Hyderabad</t>
        </is>
      </c>
      <c r="D290" t="n">
        <v>1</v>
      </c>
      <c r="E290" s="8" t="n">
        <v>1420</v>
      </c>
      <c r="F290" s="7" t="n">
        <v>46113</v>
      </c>
      <c r="G290">
        <f>IF(B290=Protect!$C$4,COUNTIFS($B$2:$B$301,B290,$E$2:$E$301,"&gt;"&amp;E290)+COUNTIFS($B$2:B290,B290,$E$2:E290,E290),"")</f>
        <v/>
      </c>
    </row>
    <row r="291">
      <c r="A291" t="inlineStr">
        <is>
          <t>C-0328</t>
        </is>
      </c>
      <c r="B291" t="inlineStr">
        <is>
          <t>Student</t>
        </is>
      </c>
      <c r="C291" t="inlineStr">
        <is>
          <t>Delhi</t>
        </is>
      </c>
      <c r="D291" t="n">
        <v>2</v>
      </c>
      <c r="E291" s="8" t="n">
        <v>2090</v>
      </c>
      <c r="F291" s="7" t="n">
        <v>46176</v>
      </c>
      <c r="G291">
        <f>IF(B291=Protect!$C$4,COUNTIFS($B$2:$B$301,B291,$E$2:$E$301,"&gt;"&amp;E291)+COUNTIFS($B$2:B291,B291,$E$2:E291,E291),"")</f>
        <v/>
      </c>
    </row>
    <row r="292">
      <c r="A292" t="inlineStr">
        <is>
          <t>C-0329</t>
        </is>
      </c>
      <c r="B292" t="inlineStr">
        <is>
          <t>Student</t>
        </is>
      </c>
      <c r="C292" t="inlineStr">
        <is>
          <t>Mumbai</t>
        </is>
      </c>
      <c r="D292" t="n">
        <v>2</v>
      </c>
      <c r="E292" s="8" t="n">
        <v>1820</v>
      </c>
      <c r="F292" s="7" t="n">
        <v>46282</v>
      </c>
      <c r="G292">
        <f>IF(B292=Protect!$C$4,COUNTIFS($B$2:$B$301,B292,$E$2:$E$301,"&gt;"&amp;E292)+COUNTIFS($B$2:B292,B292,$E$2:E292,E292),"")</f>
        <v/>
      </c>
    </row>
    <row r="293">
      <c r="A293" t="inlineStr">
        <is>
          <t>C-0331</t>
        </is>
      </c>
      <c r="B293" t="inlineStr">
        <is>
          <t>Student</t>
        </is>
      </c>
      <c r="C293" t="inlineStr">
        <is>
          <t>Bengaluru</t>
        </is>
      </c>
      <c r="D293" t="n">
        <v>1</v>
      </c>
      <c r="E293" s="8" t="n">
        <v>1070</v>
      </c>
      <c r="F293" s="7" t="n">
        <v>46160</v>
      </c>
      <c r="G293">
        <f>IF(B293=Protect!$C$4,COUNTIFS($B$2:$B$301,B293,$E$2:$E$301,"&gt;"&amp;E293)+COUNTIFS($B$2:B293,B293,$E$2:E293,E293),"")</f>
        <v/>
      </c>
    </row>
    <row r="294">
      <c r="A294" t="inlineStr">
        <is>
          <t>C-0332</t>
        </is>
      </c>
      <c r="B294" t="inlineStr">
        <is>
          <t>Student</t>
        </is>
      </c>
      <c r="C294" t="inlineStr">
        <is>
          <t>Chennai</t>
        </is>
      </c>
      <c r="D294" t="n">
        <v>2</v>
      </c>
      <c r="E294" s="8" t="n">
        <v>1340</v>
      </c>
      <c r="F294" s="7" t="n">
        <v>46230</v>
      </c>
      <c r="G294">
        <f>IF(B294=Protect!$C$4,COUNTIFS($B$2:$B$301,B294,$E$2:$E$301,"&gt;"&amp;E294)+COUNTIFS($B$2:B294,B294,$E$2:E294,E294),"")</f>
        <v/>
      </c>
    </row>
    <row r="295">
      <c r="A295" t="inlineStr">
        <is>
          <t>C-0333</t>
        </is>
      </c>
      <c r="B295" t="inlineStr">
        <is>
          <t>Student</t>
        </is>
      </c>
      <c r="C295" t="inlineStr">
        <is>
          <t>Bengaluru</t>
        </is>
      </c>
      <c r="D295" t="n">
        <v>3</v>
      </c>
      <c r="E295" s="8" t="n">
        <v>3730</v>
      </c>
      <c r="F295" s="7" t="n">
        <v>46169</v>
      </c>
      <c r="G295">
        <f>IF(B295=Protect!$C$4,COUNTIFS($B$2:$B$301,B295,$E$2:$E$301,"&gt;"&amp;E295)+COUNTIFS($B$2:B295,B295,$E$2:E295,E295),"")</f>
        <v/>
      </c>
    </row>
    <row r="296">
      <c r="A296" t="inlineStr">
        <is>
          <t>C-0334</t>
        </is>
      </c>
      <c r="B296" t="inlineStr">
        <is>
          <t>Student</t>
        </is>
      </c>
      <c r="C296" t="inlineStr">
        <is>
          <t>Pune</t>
        </is>
      </c>
      <c r="D296" t="n">
        <v>2</v>
      </c>
      <c r="E296" s="8" t="n">
        <v>2150</v>
      </c>
      <c r="F296" s="7" t="n">
        <v>46259</v>
      </c>
      <c r="G296">
        <f>IF(B296=Protect!$C$4,COUNTIFS($B$2:$B$301,B296,$E$2:$E$301,"&gt;"&amp;E296)+COUNTIFS($B$2:B296,B296,$E$2:E296,E296),"")</f>
        <v/>
      </c>
    </row>
    <row r="297">
      <c r="A297" t="inlineStr">
        <is>
          <t>C-0335</t>
        </is>
      </c>
      <c r="B297" t="inlineStr">
        <is>
          <t>Student</t>
        </is>
      </c>
      <c r="C297" t="inlineStr">
        <is>
          <t>Pune</t>
        </is>
      </c>
      <c r="D297" t="n">
        <v>2</v>
      </c>
      <c r="E297" s="8" t="n">
        <v>1650</v>
      </c>
      <c r="F297" s="7" t="n">
        <v>46286</v>
      </c>
      <c r="G297">
        <f>IF(B297=Protect!$C$4,COUNTIFS($B$2:$B$301,B297,$E$2:$E$301,"&gt;"&amp;E297)+COUNTIFS($B$2:B297,B297,$E$2:E297,E297),"")</f>
        <v/>
      </c>
    </row>
    <row r="298">
      <c r="A298" t="inlineStr">
        <is>
          <t>C-0336</t>
        </is>
      </c>
      <c r="B298" t="inlineStr">
        <is>
          <t>Student</t>
        </is>
      </c>
      <c r="C298" t="inlineStr">
        <is>
          <t>Bengaluru</t>
        </is>
      </c>
      <c r="D298" t="n">
        <v>1</v>
      </c>
      <c r="E298" s="8" t="n">
        <v>1100</v>
      </c>
      <c r="F298" s="7" t="n">
        <v>46208</v>
      </c>
      <c r="G298">
        <f>IF(B298=Protect!$C$4,COUNTIFS($B$2:$B$301,B298,$E$2:$E$301,"&gt;"&amp;E298)+COUNTIFS($B$2:B298,B298,$E$2:E298,E298),"")</f>
        <v/>
      </c>
    </row>
    <row r="299">
      <c r="A299" t="inlineStr">
        <is>
          <t>C-0337</t>
        </is>
      </c>
      <c r="B299" t="inlineStr">
        <is>
          <t>Student</t>
        </is>
      </c>
      <c r="C299" t="inlineStr">
        <is>
          <t>Chennai</t>
        </is>
      </c>
      <c r="D299" t="n">
        <v>2</v>
      </c>
      <c r="E299" s="8" t="n">
        <v>2100</v>
      </c>
      <c r="F299" s="7" t="n">
        <v>46238</v>
      </c>
      <c r="G299">
        <f>IF(B299=Protect!$C$4,COUNTIFS($B$2:$B$301,B299,$E$2:$E$301,"&gt;"&amp;E299)+COUNTIFS($B$2:B299,B299,$E$2:E299,E299),"")</f>
        <v/>
      </c>
    </row>
    <row r="300">
      <c r="A300" t="inlineStr">
        <is>
          <t>C-0338</t>
        </is>
      </c>
      <c r="B300" t="inlineStr">
        <is>
          <t>Student</t>
        </is>
      </c>
      <c r="C300" t="inlineStr">
        <is>
          <t>Delhi</t>
        </is>
      </c>
      <c r="D300" t="n">
        <v>4</v>
      </c>
      <c r="E300" s="8" t="n">
        <v>3590</v>
      </c>
      <c r="F300" s="7" t="n">
        <v>46211</v>
      </c>
      <c r="G300">
        <f>IF(B300=Protect!$C$4,COUNTIFS($B$2:$B$301,B300,$E$2:$E$301,"&gt;"&amp;E300)+COUNTIFS($B$2:B300,B300,$E$2:E300,E300),"")</f>
        <v/>
      </c>
    </row>
    <row r="301">
      <c r="A301" t="inlineStr">
        <is>
          <t>C-0340</t>
        </is>
      </c>
      <c r="B301" t="inlineStr">
        <is>
          <t>Student</t>
        </is>
      </c>
      <c r="C301" t="inlineStr">
        <is>
          <t>Mumbai</t>
        </is>
      </c>
      <c r="D301" t="n">
        <v>2</v>
      </c>
      <c r="E301" s="8" t="n">
        <v>1620</v>
      </c>
      <c r="F301" s="7" t="n">
        <v>46267</v>
      </c>
      <c r="G301">
        <f>IF(B301=Protect!$C$4,COUNTIFS($B$2:$B$301,B301,$E$2:$E$301,"&gt;"&amp;E301)+COUNTIFS($B$2:B301,B301,$E$2:E301,E301),"")</f>
        <v/>
      </c>
    </row>
  </sheetData>
  <autoFilter ref="A1:G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20" customWidth="1" min="3" max="3"/>
    <col width="11" customWidth="1" min="4" max="4"/>
    <col width="11" customWidth="1" min="5" max="5"/>
    <col width="15" customWidth="1" min="6" max="6"/>
    <col width="11" customWidth="1" min="7" max="7"/>
    <col width="9" customWidth="1" min="8" max="8"/>
    <col width="11" customWidth="1" min="9" max="9"/>
    <col width="11" customWidth="1" min="10" max="10"/>
    <col width="15" customWidth="1" min="11" max="11"/>
    <col width="12" customWidth="1" min="12" max="12"/>
  </cols>
  <sheetData>
    <row r="1">
      <c r="A1" s="1" t="inlineStr">
        <is>
          <t>The revenue tree by segment, Q1 against Q2</t>
        </is>
      </c>
    </row>
    <row r="2">
      <c r="A2" s="3" t="inlineStr">
        <is>
          <t>Customers times orders per customer times revenue per order, per segment and quarter, counted from the raw export. It must reconcile to the warehouse before any number leaves the team.</t>
        </is>
      </c>
    </row>
    <row r="4">
      <c r="A4" s="9" t="inlineStr">
        <is>
          <t>Count each order</t>
        </is>
      </c>
      <c r="C4" s="10" t="inlineStr">
        <is>
          <t>once per order</t>
        </is>
      </c>
    </row>
    <row r="5">
      <c r="A5" s="9" t="inlineStr">
        <is>
          <t>Warehouse total, both quarters (Rs)</t>
        </is>
      </c>
      <c r="C5" s="11" t="n">
        <v>198400000</v>
      </c>
    </row>
    <row r="7">
      <c r="A7" s="4" t="inlineStr">
        <is>
          <t>Segment</t>
        </is>
      </c>
      <c r="B7" s="4" t="inlineStr">
        <is>
          <t>Q1 customers</t>
        </is>
      </c>
      <c r="C7" s="4" t="inlineStr">
        <is>
          <t>Q1 orders</t>
        </is>
      </c>
      <c r="D7" s="4" t="inlineStr">
        <is>
          <t>Q1 orders per customer</t>
        </is>
      </c>
      <c r="E7" s="4" t="inlineStr">
        <is>
          <t>Q1 revenue per order</t>
        </is>
      </c>
      <c r="F7" s="4" t="inlineStr">
        <is>
          <t>Q1 revenue (Rs)</t>
        </is>
      </c>
      <c r="G7" s="4" t="inlineStr">
        <is>
          <t>Q2 customers</t>
        </is>
      </c>
      <c r="H7" s="4" t="inlineStr">
        <is>
          <t>Q2 orders</t>
        </is>
      </c>
      <c r="I7" s="4" t="inlineStr">
        <is>
          <t>Q2 orders per customer</t>
        </is>
      </c>
      <c r="J7" s="4" t="inlineStr">
        <is>
          <t>Q2 revenue per order</t>
        </is>
      </c>
      <c r="K7" s="4" t="inlineStr">
        <is>
          <t>Q2 revenue (Rs)</t>
        </is>
      </c>
      <c r="L7" s="4" t="inlineStr">
        <is>
          <t>Revenue change</t>
        </is>
      </c>
    </row>
    <row r="8">
      <c r="A8" s="12" t="inlineStr">
        <is>
          <t>Business</t>
        </is>
      </c>
      <c r="B8">
        <f>SUMIFS(Raw!$O$2:$O$1451,Raw!$C$2:$C$1451,$A8,Raw!$I$2:$I$1451,"Q1")</f>
        <v/>
      </c>
      <c r="C8">
        <f>SUMIFS(Raw!$N$2:$N$1451,Raw!$C$2:$C$1451,$A8,Raw!$I$2:$I$1451,"Q1")</f>
        <v/>
      </c>
      <c r="D8" s="13">
        <f>IF(B8=0,0,C8/B8)</f>
        <v/>
      </c>
      <c r="E8" s="8">
        <f>IF(C8=0,0,F8/C8)</f>
        <v/>
      </c>
      <c r="F8" s="8">
        <f>SUMIFS(Raw!$M$2:$M$1451,Raw!$C$2:$C$1451,$A8,Raw!$I$2:$I$1451,"Q1")</f>
        <v/>
      </c>
      <c r="G8">
        <f>SUMIFS(Raw!$O$2:$O$1451,Raw!$C$2:$C$1451,$A8,Raw!$I$2:$I$1451,"Q2")</f>
        <v/>
      </c>
      <c r="H8">
        <f>SUMIFS(Raw!$N$2:$N$1451,Raw!$C$2:$C$1451,$A8,Raw!$I$2:$I$1451,"Q2")</f>
        <v/>
      </c>
      <c r="I8" s="13">
        <f>IF(G8=0,0,H8/G8)</f>
        <v/>
      </c>
      <c r="J8" s="8">
        <f>IF(H8=0,0,K8/H8)</f>
        <v/>
      </c>
      <c r="K8" s="8">
        <f>SUMIFS(Raw!$M$2:$M$1451,Raw!$C$2:$C$1451,$A8,Raw!$I$2:$I$1451,"Q2")</f>
        <v/>
      </c>
      <c r="L8" s="14">
        <f>IF(F8=0,0,(K8-F8)/F8)</f>
        <v/>
      </c>
    </row>
    <row r="9">
      <c r="A9" s="12" t="inlineStr">
        <is>
          <t>Retail-Core</t>
        </is>
      </c>
      <c r="B9">
        <f>SUMIFS(Raw!$O$2:$O$1451,Raw!$C$2:$C$1451,$A9,Raw!$I$2:$I$1451,"Q1")</f>
        <v/>
      </c>
      <c r="C9">
        <f>SUMIFS(Raw!$N$2:$N$1451,Raw!$C$2:$C$1451,$A9,Raw!$I$2:$I$1451,"Q1")</f>
        <v/>
      </c>
      <c r="D9" s="13">
        <f>IF(B9=0,0,C9/B9)</f>
        <v/>
      </c>
      <c r="E9" s="8">
        <f>IF(C9=0,0,F9/C9)</f>
        <v/>
      </c>
      <c r="F9" s="8">
        <f>SUMIFS(Raw!$M$2:$M$1451,Raw!$C$2:$C$1451,$A9,Raw!$I$2:$I$1451,"Q1")</f>
        <v/>
      </c>
      <c r="G9">
        <f>SUMIFS(Raw!$O$2:$O$1451,Raw!$C$2:$C$1451,$A9,Raw!$I$2:$I$1451,"Q2")</f>
        <v/>
      </c>
      <c r="H9">
        <f>SUMIFS(Raw!$N$2:$N$1451,Raw!$C$2:$C$1451,$A9,Raw!$I$2:$I$1451,"Q2")</f>
        <v/>
      </c>
      <c r="I9" s="13">
        <f>IF(G9=0,0,H9/G9)</f>
        <v/>
      </c>
      <c r="J9" s="8">
        <f>IF(H9=0,0,K9/H9)</f>
        <v/>
      </c>
      <c r="K9" s="8">
        <f>SUMIFS(Raw!$M$2:$M$1451,Raw!$C$2:$C$1451,$A9,Raw!$I$2:$I$1451,"Q2")</f>
        <v/>
      </c>
      <c r="L9" s="14">
        <f>IF(F9=0,0,(K9-F9)/F9)</f>
        <v/>
      </c>
    </row>
    <row r="10">
      <c r="A10" s="12" t="inlineStr">
        <is>
          <t>Retail-Plus</t>
        </is>
      </c>
      <c r="B10">
        <f>SUMIFS(Raw!$O$2:$O$1451,Raw!$C$2:$C$1451,$A10,Raw!$I$2:$I$1451,"Q1")</f>
        <v/>
      </c>
      <c r="C10">
        <f>SUMIFS(Raw!$N$2:$N$1451,Raw!$C$2:$C$1451,$A10,Raw!$I$2:$I$1451,"Q1")</f>
        <v/>
      </c>
      <c r="D10" s="13">
        <f>IF(B10=0,0,C10/B10)</f>
        <v/>
      </c>
      <c r="E10" s="8">
        <f>IF(C10=0,0,F10/C10)</f>
        <v/>
      </c>
      <c r="F10" s="8">
        <f>SUMIFS(Raw!$M$2:$M$1451,Raw!$C$2:$C$1451,$A10,Raw!$I$2:$I$1451,"Q1")</f>
        <v/>
      </c>
      <c r="G10">
        <f>SUMIFS(Raw!$O$2:$O$1451,Raw!$C$2:$C$1451,$A10,Raw!$I$2:$I$1451,"Q2")</f>
        <v/>
      </c>
      <c r="H10">
        <f>SUMIFS(Raw!$N$2:$N$1451,Raw!$C$2:$C$1451,$A10,Raw!$I$2:$I$1451,"Q2")</f>
        <v/>
      </c>
      <c r="I10" s="13">
        <f>IF(G10=0,0,H10/G10)</f>
        <v/>
      </c>
      <c r="J10" s="8">
        <f>IF(H10=0,0,K10/H10)</f>
        <v/>
      </c>
      <c r="K10" s="8">
        <f>SUMIFS(Raw!$M$2:$M$1451,Raw!$C$2:$C$1451,$A10,Raw!$I$2:$I$1451,"Q2")</f>
        <v/>
      </c>
      <c r="L10" s="14">
        <f>IF(F10=0,0,(K10-F10)/F10)</f>
        <v/>
      </c>
    </row>
    <row r="11">
      <c r="A11" s="12" t="inlineStr">
        <is>
          <t>Student</t>
        </is>
      </c>
      <c r="B11">
        <f>SUMIFS(Raw!$O$2:$O$1451,Raw!$C$2:$C$1451,$A11,Raw!$I$2:$I$1451,"Q1")</f>
        <v/>
      </c>
      <c r="C11">
        <f>SUMIFS(Raw!$N$2:$N$1451,Raw!$C$2:$C$1451,$A11,Raw!$I$2:$I$1451,"Q1")</f>
        <v/>
      </c>
      <c r="D11" s="13">
        <f>IF(B11=0,0,C11/B11)</f>
        <v/>
      </c>
      <c r="E11" s="8">
        <f>IF(C11=0,0,F11/C11)</f>
        <v/>
      </c>
      <c r="F11" s="8">
        <f>SUMIFS(Raw!$M$2:$M$1451,Raw!$C$2:$C$1451,$A11,Raw!$I$2:$I$1451,"Q1")</f>
        <v/>
      </c>
      <c r="G11">
        <f>SUMIFS(Raw!$O$2:$O$1451,Raw!$C$2:$C$1451,$A11,Raw!$I$2:$I$1451,"Q2")</f>
        <v/>
      </c>
      <c r="H11">
        <f>SUMIFS(Raw!$N$2:$N$1451,Raw!$C$2:$C$1451,$A11,Raw!$I$2:$I$1451,"Q2")</f>
        <v/>
      </c>
      <c r="I11" s="13">
        <f>IF(G11=0,0,H11/G11)</f>
        <v/>
      </c>
      <c r="J11" s="8">
        <f>IF(H11=0,0,K11/H11)</f>
        <v/>
      </c>
      <c r="K11" s="8">
        <f>SUMIFS(Raw!$M$2:$M$1451,Raw!$C$2:$C$1451,$A11,Raw!$I$2:$I$1451,"Q2")</f>
        <v/>
      </c>
      <c r="L11" s="14">
        <f>IF(F11=0,0,(K11-F11)/F11)</f>
        <v/>
      </c>
    </row>
    <row r="12">
      <c r="A12" s="9" t="inlineStr">
        <is>
          <t>All segments</t>
        </is>
      </c>
      <c r="B12">
        <f>SUM(B8:B11)</f>
        <v/>
      </c>
      <c r="C12">
        <f>SUM(C8:C11)</f>
        <v/>
      </c>
      <c r="D12" s="13">
        <f>IF(B12=0,0,C12/B12)</f>
        <v/>
      </c>
      <c r="E12" s="8">
        <f>IF(C12=0,0,F12/C12)</f>
        <v/>
      </c>
      <c r="F12" s="8">
        <f>SUM(F8:F11)</f>
        <v/>
      </c>
      <c r="G12">
        <f>SUM(G8:G11)</f>
        <v/>
      </c>
      <c r="H12">
        <f>SUM(H8:H11)</f>
        <v/>
      </c>
      <c r="I12" s="13">
        <f>IF(G12=0,0,H12/G12)</f>
        <v/>
      </c>
      <c r="J12" s="8">
        <f>IF(H12=0,0,K12/H12)</f>
        <v/>
      </c>
      <c r="K12" s="8">
        <f>SUM(K8:K11)</f>
        <v/>
      </c>
      <c r="L12" s="14">
        <f>IF(F12=0,0,(K12-F12)/F12)</f>
        <v/>
      </c>
    </row>
    <row r="14">
      <c r="A14" s="9" t="inlineStr">
        <is>
          <t>Tree total, both quarters (Rs)</t>
        </is>
      </c>
      <c r="C14" s="8">
        <f>F12+K12</f>
        <v/>
      </c>
    </row>
    <row r="15">
      <c r="A15" t="inlineStr">
        <is>
          <t>Tree total less the warehouse (Rs)</t>
        </is>
      </c>
      <c r="C15" s="8">
        <f>C14-C5</f>
        <v/>
      </c>
    </row>
    <row r="16">
      <c r="A16" t="inlineStr">
        <is>
          <t>Rows in the export</t>
        </is>
      </c>
      <c r="C16">
        <f>COUNTA(Raw!$A$2:$A$1451)</f>
        <v/>
      </c>
    </row>
    <row r="17">
      <c r="A17" t="inlineStr">
        <is>
          <t>Distinct orders in the export</t>
        </is>
      </c>
      <c r="C17">
        <f>SUM(Raw!$K$2:$K$1451)</f>
        <v/>
      </c>
    </row>
    <row r="18" ht="32" customHeight="1">
      <c r="A18" s="15" t="inlineStr">
        <is>
          <t>The check</t>
        </is>
      </c>
      <c r="C18" s="2">
        <f>IF(ABS(C15)&lt;1,"The tree reconciles to the warehouse to the rupee.","The tree is "&amp;IF(ABS((C15))&gt;=10000000,"Rs "&amp;TEXT((C15)/10000000,"0.00")&amp;" crore",IF(ABS((C15))&gt;=100000,"Rs "&amp;TEXT((C15)/100000,"0.00")&amp;" lakh","Rs "&amp;IF(ROUND((C15),0)&gt;=100000,INT(ROUND((C15),0)/100000)&amp;","&amp;TEXT(INT(MOD(ROUND((C15),0),100000)/1000),"00")&amp;","&amp;TEXT(MOD(ROUND((C15),0),1000),"000"),IF(ROUND((C15),0)&gt;=1000,INT(ROUND((C15),0)/1000)&amp;","&amp;TEXT(MOD(ROUND((C15),0),1000),"000"),ROUND((C15),0)&amp;""))))&amp;" over the warehouse: "&amp;C16&amp;" rows carry "&amp;C17&amp;" orders, so some orders are counted more than once.")</f>
        <v/>
      </c>
    </row>
    <row r="20" ht="48" customHeight="1">
      <c r="A20" s="16" t="inlineStr">
        <is>
          <t>Verdict</t>
        </is>
      </c>
      <c r="C20" s="6">
        <f>IF(ABS(C15)&gt;=1,"Do not send: the tree counts an order once per payment row. Count each order once.","Send: Q2 revenue "&amp;IF(ABS((K12))&gt;=10000000,"Rs "&amp;TEXT((K12)/10000000,"0.00")&amp;" crore",IF(ABS((K12))&gt;=100000,"Rs "&amp;TEXT((K12)/100000,"0.00")&amp;" lakh","Rs "&amp;IF(ROUND((K12),0)&gt;=100000,INT(ROUND((K12),0)/100000)&amp;","&amp;TEXT(INT(MOD(ROUND((K12),0),100000)/1000),"00")&amp;","&amp;TEXT(MOD(ROUND((K12),0),1000),"000"),IF(ROUND((K12),0)&gt;=1000,INT(ROUND((K12),0)/1000)&amp;","&amp;TEXT(MOD(ROUND((K12),0),1000),"000"),ROUND((K12),0)&amp;""))))&amp;", "&amp;IF(L12&lt;0,"down ","up ")&amp;TEXT(ABS(L12)*100,"0.0")&amp;" percent on Q1; Retail-Plus orders per customer "&amp;TEXT(D10,"0.00")&amp;" to "&amp;TEXT(I10,"0.00")&amp;", customers "&amp;B10&amp;" to "&amp;G10&amp;".")</f>
        <v/>
      </c>
      <c r="D20" s="17" t="n"/>
      <c r="E20" s="17" t="n"/>
      <c r="F20" s="17" t="n"/>
      <c r="G20" s="17" t="n"/>
      <c r="H20" s="17" t="n"/>
      <c r="I20" s="17" t="n"/>
      <c r="J20" s="17" t="n"/>
      <c r="K20" s="17" t="n"/>
      <c r="L20" s="18" t="n"/>
    </row>
  </sheetData>
  <mergeCells count="2">
    <mergeCell ref="C18:L18"/>
    <mergeCell ref="C20:L20"/>
  </mergeCells>
  <dataValidations count="1">
    <dataValidation sqref="C4" showDropDown="0" showInputMessage="0" showErrorMessage="0" allowBlank="0" type="list">
      <formula1>"once per order,once per row"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9" customWidth="1" min="4" max="4"/>
    <col width="22" customWidth="1" min="5" max="5"/>
    <col width="60" customWidth="1" min="6" max="6"/>
    <col width="44" customWidth="1" min="7" max="7"/>
  </cols>
  <sheetData>
    <row r="1">
      <c r="A1" s="1" t="inlineStr">
        <is>
          <t>The protect list, and a lookup by member id</t>
        </is>
      </c>
    </row>
    <row r="2">
      <c r="A2" s="3" t="inlineStr">
        <is>
          <t>The top members of one segment by revenue across both quarters, from the clean customer table. The lookup must say so when an id is missing.</t>
        </is>
      </c>
    </row>
    <row r="4">
      <c r="A4" s="9" t="inlineStr">
        <is>
          <t>Segment of the list</t>
        </is>
      </c>
      <c r="C4" s="10" t="inlineStr">
        <is>
          <t>Retail-Plus</t>
        </is>
      </c>
      <c r="E4" s="15" t="inlineStr">
        <is>
          <t>Row returned</t>
        </is>
      </c>
      <c r="F4">
        <f>IF(C7="exact",IFERROR(INDEX(Customers!$A$2:$A$301,MATCH(C6,Customers!$A$2:$A$301,0)),"not found"),IFERROR(INDEX(Customers!$A$2:$A$301,MATCH(C6,Customers!$A$2:$A$301,1)),"not found"))</f>
        <v/>
      </c>
    </row>
    <row r="5">
      <c r="A5" s="9" t="inlineStr">
        <is>
          <t>List size</t>
        </is>
      </c>
      <c r="C5" s="10" t="n">
        <v>50</v>
      </c>
      <c r="E5" s="15" t="inlineStr">
        <is>
          <t>Revenue (Rs)</t>
        </is>
      </c>
      <c r="F5" s="8">
        <f>IF(F4="not found","",INDEX(Customers!$E$2:$E$301,MATCH(F4,Customers!$A$2:$A$301,0)))</f>
        <v/>
      </c>
    </row>
    <row r="6">
      <c r="A6" s="9" t="inlineStr">
        <is>
          <t>Member id to find</t>
        </is>
      </c>
      <c r="C6" s="10" t="inlineStr">
        <is>
          <t>C-0152</t>
        </is>
      </c>
      <c r="E6" s="15" t="inlineStr">
        <is>
          <t>Place on the list</t>
        </is>
      </c>
      <c r="F6">
        <f>IF(F4="not found","",IFERROR(IF(INDEX(Customers!$G$2:$G$301,MATCH(F4,Customers!$A$2:$A$301,0))&lt;=C5,"rank "&amp;INDEX(Customers!$G$2:$G$301,MATCH(F4,Customers!$A$2:$A$301,0))&amp;" of "&amp;C5&amp;" on the "&amp;C4&amp;" list","outside the top "&amp;C5),"not in the "&amp;C4&amp;" segment"))</f>
        <v/>
      </c>
    </row>
    <row r="7" ht="30" customHeight="1">
      <c r="A7" s="9" t="inlineStr">
        <is>
          <t>Match type</t>
        </is>
      </c>
      <c r="C7" s="10" t="inlineStr">
        <is>
          <t>exact</t>
        </is>
      </c>
      <c r="E7" s="15" t="inlineStr">
        <is>
          <t>The check</t>
        </is>
      </c>
      <c r="F7" s="2">
        <f>IF(F4="not found",C6&amp;" is not in the customer table.",IF(F4=C6,"The row returned is the member asked for.","The lookup returned "&amp;F4&amp;" for "&amp;C6&amp;": an approximate match answered with a neighbour."))</f>
        <v/>
      </c>
    </row>
    <row r="8">
      <c r="E8" s="15" t="inlineStr">
        <is>
          <t>XLOOKUP, in Excel</t>
        </is>
      </c>
      <c r="F8">
        <f>_xlfn.XLOOKUP(C6,Customers!$A$2:$A$301,Customers!$E$2:$E$301,"not in the table",0)</f>
        <v/>
      </c>
      <c r="G8" s="19" t="inlineStr">
        <is>
          <t>Computed in Excel, not proved here: LibreOffice 24.2 returns #NAME? for XLOOKUP.</t>
        </is>
      </c>
    </row>
    <row r="9" ht="32" customHeight="1">
      <c r="E9" s="16" t="inlineStr">
        <is>
          <t>Verdict</t>
        </is>
      </c>
      <c r="F9" s="6">
        <f>IF(F4="not found",C6&amp;" is not in the customer table: say so, and check the export before anyone answers.",IF(F4&lt;&gt;C6,"Do not answer: the lookup returned "&amp;F4&amp;"'s row for "&amp;C6&amp;". Switch the match to exact.",C6&amp;": "&amp;"Rs "&amp;IF(ROUND(F5,0)&gt;=100000,INT(ROUND(F5,0)/100000)&amp;","&amp;TEXT(INT(MOD(ROUND(F5,0),100000)/1000),"00")&amp;","&amp;TEXT(MOD(ROUND(F5,0),1000),"000"),IF(ROUND(F5,0)&gt;=1000,INT(ROUND(F5,0)/1000)&amp;","&amp;TEXT(MOD(ROUND(F5,0),1000),"000"),ROUND(F5,0)&amp;""))&amp;" across both quarters, "&amp;F6&amp;"."))</f>
        <v/>
      </c>
    </row>
    <row r="11">
      <c r="A11" s="4" t="inlineStr">
        <is>
          <t>Rank</t>
        </is>
      </c>
      <c r="B11" s="4" t="inlineStr">
        <is>
          <t>Member id</t>
        </is>
      </c>
      <c r="C11" s="4" t="inlineStr">
        <is>
          <t>City</t>
        </is>
      </c>
      <c r="D11" s="4" t="inlineStr">
        <is>
          <t>Orders</t>
        </is>
      </c>
      <c r="E11" s="4" t="inlineStr">
        <is>
          <t>Revenue (Rs)</t>
        </is>
      </c>
      <c r="F11" s="4" t="inlineStr">
        <is>
          <t>Last order</t>
        </is>
      </c>
    </row>
    <row r="12">
      <c r="A12" t="n">
        <v>1</v>
      </c>
      <c r="B12">
        <f>IF($A12&lt;=$C$5,IFERROR(INDEX(Customers!$A$2:$A$301,MATCH($A12,Customers!$G$2:$G$301,0)),""),"")</f>
        <v/>
      </c>
      <c r="C12">
        <f>IF($B12="","",INDEX(Customers!$C$2:$C$301,MATCH($B12,Customers!$A$2:$A$301,0)))</f>
        <v/>
      </c>
      <c r="D12">
        <f>IF($B12="","",INDEX(Customers!$D$2:$D$301,MATCH($B12,Customers!$A$2:$A$301,0)))</f>
        <v/>
      </c>
      <c r="E12" s="8">
        <f>IF($B12="","",INDEX(Customers!$E$2:$E$301,MATCH($B12,Customers!$A$2:$A$301,0)))</f>
        <v/>
      </c>
      <c r="F12" s="20">
        <f>IF($B12="","",INDEX(Customers!$F$2:$F$301,MATCH($B12,Customers!$A$2:$A$301,0)))</f>
        <v/>
      </c>
    </row>
    <row r="13">
      <c r="A13" t="n">
        <v>2</v>
      </c>
      <c r="B13">
        <f>IF($A13&lt;=$C$5,IFERROR(INDEX(Customers!$A$2:$A$301,MATCH($A13,Customers!$G$2:$G$301,0)),""),"")</f>
        <v/>
      </c>
      <c r="C13">
        <f>IF($B13="","",INDEX(Customers!$C$2:$C$301,MATCH($B13,Customers!$A$2:$A$301,0)))</f>
        <v/>
      </c>
      <c r="D13">
        <f>IF($B13="","",INDEX(Customers!$D$2:$D$301,MATCH($B13,Customers!$A$2:$A$301,0)))</f>
        <v/>
      </c>
      <c r="E13" s="8">
        <f>IF($B13="","",INDEX(Customers!$E$2:$E$301,MATCH($B13,Customers!$A$2:$A$301,0)))</f>
        <v/>
      </c>
      <c r="F13" s="20">
        <f>IF($B13="","",INDEX(Customers!$F$2:$F$301,MATCH($B13,Customers!$A$2:$A$301,0)))</f>
        <v/>
      </c>
    </row>
    <row r="14">
      <c r="A14" t="n">
        <v>3</v>
      </c>
      <c r="B14">
        <f>IF($A14&lt;=$C$5,IFERROR(INDEX(Customers!$A$2:$A$301,MATCH($A14,Customers!$G$2:$G$301,0)),""),"")</f>
        <v/>
      </c>
      <c r="C14">
        <f>IF($B14="","",INDEX(Customers!$C$2:$C$301,MATCH($B14,Customers!$A$2:$A$301,0)))</f>
        <v/>
      </c>
      <c r="D14">
        <f>IF($B14="","",INDEX(Customers!$D$2:$D$301,MATCH($B14,Customers!$A$2:$A$301,0)))</f>
        <v/>
      </c>
      <c r="E14" s="8">
        <f>IF($B14="","",INDEX(Customers!$E$2:$E$301,MATCH($B14,Customers!$A$2:$A$301,0)))</f>
        <v/>
      </c>
      <c r="F14" s="20">
        <f>IF($B14="","",INDEX(Customers!$F$2:$F$301,MATCH($B14,Customers!$A$2:$A$301,0)))</f>
        <v/>
      </c>
    </row>
    <row r="15">
      <c r="A15" t="n">
        <v>4</v>
      </c>
      <c r="B15">
        <f>IF($A15&lt;=$C$5,IFERROR(INDEX(Customers!$A$2:$A$301,MATCH($A15,Customers!$G$2:$G$301,0)),""),"")</f>
        <v/>
      </c>
      <c r="C15">
        <f>IF($B15="","",INDEX(Customers!$C$2:$C$301,MATCH($B15,Customers!$A$2:$A$301,0)))</f>
        <v/>
      </c>
      <c r="D15">
        <f>IF($B15="","",INDEX(Customers!$D$2:$D$301,MATCH($B15,Customers!$A$2:$A$301,0)))</f>
        <v/>
      </c>
      <c r="E15" s="8">
        <f>IF($B15="","",INDEX(Customers!$E$2:$E$301,MATCH($B15,Customers!$A$2:$A$301,0)))</f>
        <v/>
      </c>
      <c r="F15" s="20">
        <f>IF($B15="","",INDEX(Customers!$F$2:$F$301,MATCH($B15,Customers!$A$2:$A$301,0)))</f>
        <v/>
      </c>
    </row>
    <row r="16">
      <c r="A16" t="n">
        <v>5</v>
      </c>
      <c r="B16">
        <f>IF($A16&lt;=$C$5,IFERROR(INDEX(Customers!$A$2:$A$301,MATCH($A16,Customers!$G$2:$G$301,0)),""),"")</f>
        <v/>
      </c>
      <c r="C16">
        <f>IF($B16="","",INDEX(Customers!$C$2:$C$301,MATCH($B16,Customers!$A$2:$A$301,0)))</f>
        <v/>
      </c>
      <c r="D16">
        <f>IF($B16="","",INDEX(Customers!$D$2:$D$301,MATCH($B16,Customers!$A$2:$A$301,0)))</f>
        <v/>
      </c>
      <c r="E16" s="8">
        <f>IF($B16="","",INDEX(Customers!$E$2:$E$301,MATCH($B16,Customers!$A$2:$A$301,0)))</f>
        <v/>
      </c>
      <c r="F16" s="20">
        <f>IF($B16="","",INDEX(Customers!$F$2:$F$301,MATCH($B16,Customers!$A$2:$A$301,0)))</f>
        <v/>
      </c>
    </row>
    <row r="17">
      <c r="A17" t="n">
        <v>6</v>
      </c>
      <c r="B17">
        <f>IF($A17&lt;=$C$5,IFERROR(INDEX(Customers!$A$2:$A$301,MATCH($A17,Customers!$G$2:$G$301,0)),""),"")</f>
        <v/>
      </c>
      <c r="C17">
        <f>IF($B17="","",INDEX(Customers!$C$2:$C$301,MATCH($B17,Customers!$A$2:$A$301,0)))</f>
        <v/>
      </c>
      <c r="D17">
        <f>IF($B17="","",INDEX(Customers!$D$2:$D$301,MATCH($B17,Customers!$A$2:$A$301,0)))</f>
        <v/>
      </c>
      <c r="E17" s="8">
        <f>IF($B17="","",INDEX(Customers!$E$2:$E$301,MATCH($B17,Customers!$A$2:$A$301,0)))</f>
        <v/>
      </c>
      <c r="F17" s="20">
        <f>IF($B17="","",INDEX(Customers!$F$2:$F$301,MATCH($B17,Customers!$A$2:$A$301,0)))</f>
        <v/>
      </c>
    </row>
    <row r="18">
      <c r="A18" t="n">
        <v>7</v>
      </c>
      <c r="B18">
        <f>IF($A18&lt;=$C$5,IFERROR(INDEX(Customers!$A$2:$A$301,MATCH($A18,Customers!$G$2:$G$301,0)),""),"")</f>
        <v/>
      </c>
      <c r="C18">
        <f>IF($B18="","",INDEX(Customers!$C$2:$C$301,MATCH($B18,Customers!$A$2:$A$301,0)))</f>
        <v/>
      </c>
      <c r="D18">
        <f>IF($B18="","",INDEX(Customers!$D$2:$D$301,MATCH($B18,Customers!$A$2:$A$301,0)))</f>
        <v/>
      </c>
      <c r="E18" s="8">
        <f>IF($B18="","",INDEX(Customers!$E$2:$E$301,MATCH($B18,Customers!$A$2:$A$301,0)))</f>
        <v/>
      </c>
      <c r="F18" s="20">
        <f>IF($B18="","",INDEX(Customers!$F$2:$F$301,MATCH($B18,Customers!$A$2:$A$301,0)))</f>
        <v/>
      </c>
    </row>
    <row r="19">
      <c r="A19" t="n">
        <v>8</v>
      </c>
      <c r="B19">
        <f>IF($A19&lt;=$C$5,IFERROR(INDEX(Customers!$A$2:$A$301,MATCH($A19,Customers!$G$2:$G$301,0)),""),"")</f>
        <v/>
      </c>
      <c r="C19">
        <f>IF($B19="","",INDEX(Customers!$C$2:$C$301,MATCH($B19,Customers!$A$2:$A$301,0)))</f>
        <v/>
      </c>
      <c r="D19">
        <f>IF($B19="","",INDEX(Customers!$D$2:$D$301,MATCH($B19,Customers!$A$2:$A$301,0)))</f>
        <v/>
      </c>
      <c r="E19" s="8">
        <f>IF($B19="","",INDEX(Customers!$E$2:$E$301,MATCH($B19,Customers!$A$2:$A$301,0)))</f>
        <v/>
      </c>
      <c r="F19" s="20">
        <f>IF($B19="","",INDEX(Customers!$F$2:$F$301,MATCH($B19,Customers!$A$2:$A$301,0)))</f>
        <v/>
      </c>
    </row>
    <row r="20">
      <c r="A20" t="n">
        <v>9</v>
      </c>
      <c r="B20">
        <f>IF($A20&lt;=$C$5,IFERROR(INDEX(Customers!$A$2:$A$301,MATCH($A20,Customers!$G$2:$G$301,0)),""),"")</f>
        <v/>
      </c>
      <c r="C20">
        <f>IF($B20="","",INDEX(Customers!$C$2:$C$301,MATCH($B20,Customers!$A$2:$A$301,0)))</f>
        <v/>
      </c>
      <c r="D20">
        <f>IF($B20="","",INDEX(Customers!$D$2:$D$301,MATCH($B20,Customers!$A$2:$A$301,0)))</f>
        <v/>
      </c>
      <c r="E20" s="8">
        <f>IF($B20="","",INDEX(Customers!$E$2:$E$301,MATCH($B20,Customers!$A$2:$A$301,0)))</f>
        <v/>
      </c>
      <c r="F20" s="20">
        <f>IF($B20="","",INDEX(Customers!$F$2:$F$301,MATCH($B20,Customers!$A$2:$A$301,0)))</f>
        <v/>
      </c>
    </row>
    <row r="21">
      <c r="A21" t="n">
        <v>10</v>
      </c>
      <c r="B21">
        <f>IF($A21&lt;=$C$5,IFERROR(INDEX(Customers!$A$2:$A$301,MATCH($A21,Customers!$G$2:$G$301,0)),""),"")</f>
        <v/>
      </c>
      <c r="C21">
        <f>IF($B21="","",INDEX(Customers!$C$2:$C$301,MATCH($B21,Customers!$A$2:$A$301,0)))</f>
        <v/>
      </c>
      <c r="D21">
        <f>IF($B21="","",INDEX(Customers!$D$2:$D$301,MATCH($B21,Customers!$A$2:$A$301,0)))</f>
        <v/>
      </c>
      <c r="E21" s="8">
        <f>IF($B21="","",INDEX(Customers!$E$2:$E$301,MATCH($B21,Customers!$A$2:$A$301,0)))</f>
        <v/>
      </c>
      <c r="F21" s="20">
        <f>IF($B21="","",INDEX(Customers!$F$2:$F$301,MATCH($B21,Customers!$A$2:$A$301,0)))</f>
        <v/>
      </c>
    </row>
    <row r="22">
      <c r="A22" t="n">
        <v>11</v>
      </c>
      <c r="B22">
        <f>IF($A22&lt;=$C$5,IFERROR(INDEX(Customers!$A$2:$A$301,MATCH($A22,Customers!$G$2:$G$301,0)),""),"")</f>
        <v/>
      </c>
      <c r="C22">
        <f>IF($B22="","",INDEX(Customers!$C$2:$C$301,MATCH($B22,Customers!$A$2:$A$301,0)))</f>
        <v/>
      </c>
      <c r="D22">
        <f>IF($B22="","",INDEX(Customers!$D$2:$D$301,MATCH($B22,Customers!$A$2:$A$301,0)))</f>
        <v/>
      </c>
      <c r="E22" s="8">
        <f>IF($B22="","",INDEX(Customers!$E$2:$E$301,MATCH($B22,Customers!$A$2:$A$301,0)))</f>
        <v/>
      </c>
      <c r="F22" s="20">
        <f>IF($B22="","",INDEX(Customers!$F$2:$F$301,MATCH($B22,Customers!$A$2:$A$301,0)))</f>
        <v/>
      </c>
    </row>
    <row r="23">
      <c r="A23" t="n">
        <v>12</v>
      </c>
      <c r="B23">
        <f>IF($A23&lt;=$C$5,IFERROR(INDEX(Customers!$A$2:$A$301,MATCH($A23,Customers!$G$2:$G$301,0)),""),"")</f>
        <v/>
      </c>
      <c r="C23">
        <f>IF($B23="","",INDEX(Customers!$C$2:$C$301,MATCH($B23,Customers!$A$2:$A$301,0)))</f>
        <v/>
      </c>
      <c r="D23">
        <f>IF($B23="","",INDEX(Customers!$D$2:$D$301,MATCH($B23,Customers!$A$2:$A$301,0)))</f>
        <v/>
      </c>
      <c r="E23" s="8">
        <f>IF($B23="","",INDEX(Customers!$E$2:$E$301,MATCH($B23,Customers!$A$2:$A$301,0)))</f>
        <v/>
      </c>
      <c r="F23" s="20">
        <f>IF($B23="","",INDEX(Customers!$F$2:$F$301,MATCH($B23,Customers!$A$2:$A$301,0)))</f>
        <v/>
      </c>
    </row>
    <row r="24">
      <c r="A24" t="n">
        <v>13</v>
      </c>
      <c r="B24">
        <f>IF($A24&lt;=$C$5,IFERROR(INDEX(Customers!$A$2:$A$301,MATCH($A24,Customers!$G$2:$G$301,0)),""),"")</f>
        <v/>
      </c>
      <c r="C24">
        <f>IF($B24="","",INDEX(Customers!$C$2:$C$301,MATCH($B24,Customers!$A$2:$A$301,0)))</f>
        <v/>
      </c>
      <c r="D24">
        <f>IF($B24="","",INDEX(Customers!$D$2:$D$301,MATCH($B24,Customers!$A$2:$A$301,0)))</f>
        <v/>
      </c>
      <c r="E24" s="8">
        <f>IF($B24="","",INDEX(Customers!$E$2:$E$301,MATCH($B24,Customers!$A$2:$A$301,0)))</f>
        <v/>
      </c>
      <c r="F24" s="20">
        <f>IF($B24="","",INDEX(Customers!$F$2:$F$301,MATCH($B24,Customers!$A$2:$A$301,0)))</f>
        <v/>
      </c>
    </row>
    <row r="25">
      <c r="A25" t="n">
        <v>14</v>
      </c>
      <c r="B25">
        <f>IF($A25&lt;=$C$5,IFERROR(INDEX(Customers!$A$2:$A$301,MATCH($A25,Customers!$G$2:$G$301,0)),""),"")</f>
        <v/>
      </c>
      <c r="C25">
        <f>IF($B25="","",INDEX(Customers!$C$2:$C$301,MATCH($B25,Customers!$A$2:$A$301,0)))</f>
        <v/>
      </c>
      <c r="D25">
        <f>IF($B25="","",INDEX(Customers!$D$2:$D$301,MATCH($B25,Customers!$A$2:$A$301,0)))</f>
        <v/>
      </c>
      <c r="E25" s="8">
        <f>IF($B25="","",INDEX(Customers!$E$2:$E$301,MATCH($B25,Customers!$A$2:$A$301,0)))</f>
        <v/>
      </c>
      <c r="F25" s="20">
        <f>IF($B25="","",INDEX(Customers!$F$2:$F$301,MATCH($B25,Customers!$A$2:$A$301,0)))</f>
        <v/>
      </c>
    </row>
    <row r="26">
      <c r="A26" t="n">
        <v>15</v>
      </c>
      <c r="B26">
        <f>IF($A26&lt;=$C$5,IFERROR(INDEX(Customers!$A$2:$A$301,MATCH($A26,Customers!$G$2:$G$301,0)),""),"")</f>
        <v/>
      </c>
      <c r="C26">
        <f>IF($B26="","",INDEX(Customers!$C$2:$C$301,MATCH($B26,Customers!$A$2:$A$301,0)))</f>
        <v/>
      </c>
      <c r="D26">
        <f>IF($B26="","",INDEX(Customers!$D$2:$D$301,MATCH($B26,Customers!$A$2:$A$301,0)))</f>
        <v/>
      </c>
      <c r="E26" s="8">
        <f>IF($B26="","",INDEX(Customers!$E$2:$E$301,MATCH($B26,Customers!$A$2:$A$301,0)))</f>
        <v/>
      </c>
      <c r="F26" s="20">
        <f>IF($B26="","",INDEX(Customers!$F$2:$F$301,MATCH($B26,Customers!$A$2:$A$301,0)))</f>
        <v/>
      </c>
    </row>
    <row r="27">
      <c r="A27" t="n">
        <v>16</v>
      </c>
      <c r="B27">
        <f>IF($A27&lt;=$C$5,IFERROR(INDEX(Customers!$A$2:$A$301,MATCH($A27,Customers!$G$2:$G$301,0)),""),"")</f>
        <v/>
      </c>
      <c r="C27">
        <f>IF($B27="","",INDEX(Customers!$C$2:$C$301,MATCH($B27,Customers!$A$2:$A$301,0)))</f>
        <v/>
      </c>
      <c r="D27">
        <f>IF($B27="","",INDEX(Customers!$D$2:$D$301,MATCH($B27,Customers!$A$2:$A$301,0)))</f>
        <v/>
      </c>
      <c r="E27" s="8">
        <f>IF($B27="","",INDEX(Customers!$E$2:$E$301,MATCH($B27,Customers!$A$2:$A$301,0)))</f>
        <v/>
      </c>
      <c r="F27" s="20">
        <f>IF($B27="","",INDEX(Customers!$F$2:$F$301,MATCH($B27,Customers!$A$2:$A$301,0)))</f>
        <v/>
      </c>
    </row>
    <row r="28">
      <c r="A28" t="n">
        <v>17</v>
      </c>
      <c r="B28">
        <f>IF($A28&lt;=$C$5,IFERROR(INDEX(Customers!$A$2:$A$301,MATCH($A28,Customers!$G$2:$G$301,0)),""),"")</f>
        <v/>
      </c>
      <c r="C28">
        <f>IF($B28="","",INDEX(Customers!$C$2:$C$301,MATCH($B28,Customers!$A$2:$A$301,0)))</f>
        <v/>
      </c>
      <c r="D28">
        <f>IF($B28="","",INDEX(Customers!$D$2:$D$301,MATCH($B28,Customers!$A$2:$A$301,0)))</f>
        <v/>
      </c>
      <c r="E28" s="8">
        <f>IF($B28="","",INDEX(Customers!$E$2:$E$301,MATCH($B28,Customers!$A$2:$A$301,0)))</f>
        <v/>
      </c>
      <c r="F28" s="20">
        <f>IF($B28="","",INDEX(Customers!$F$2:$F$301,MATCH($B28,Customers!$A$2:$A$301,0)))</f>
        <v/>
      </c>
    </row>
    <row r="29">
      <c r="A29" t="n">
        <v>18</v>
      </c>
      <c r="B29">
        <f>IF($A29&lt;=$C$5,IFERROR(INDEX(Customers!$A$2:$A$301,MATCH($A29,Customers!$G$2:$G$301,0)),""),"")</f>
        <v/>
      </c>
      <c r="C29">
        <f>IF($B29="","",INDEX(Customers!$C$2:$C$301,MATCH($B29,Customers!$A$2:$A$301,0)))</f>
        <v/>
      </c>
      <c r="D29">
        <f>IF($B29="","",INDEX(Customers!$D$2:$D$301,MATCH($B29,Customers!$A$2:$A$301,0)))</f>
        <v/>
      </c>
      <c r="E29" s="8">
        <f>IF($B29="","",INDEX(Customers!$E$2:$E$301,MATCH($B29,Customers!$A$2:$A$301,0)))</f>
        <v/>
      </c>
      <c r="F29" s="20">
        <f>IF($B29="","",INDEX(Customers!$F$2:$F$301,MATCH($B29,Customers!$A$2:$A$301,0)))</f>
        <v/>
      </c>
    </row>
    <row r="30">
      <c r="A30" t="n">
        <v>19</v>
      </c>
      <c r="B30">
        <f>IF($A30&lt;=$C$5,IFERROR(INDEX(Customers!$A$2:$A$301,MATCH($A30,Customers!$G$2:$G$301,0)),""),"")</f>
        <v/>
      </c>
      <c r="C30">
        <f>IF($B30="","",INDEX(Customers!$C$2:$C$301,MATCH($B30,Customers!$A$2:$A$301,0)))</f>
        <v/>
      </c>
      <c r="D30">
        <f>IF($B30="","",INDEX(Customers!$D$2:$D$301,MATCH($B30,Customers!$A$2:$A$301,0)))</f>
        <v/>
      </c>
      <c r="E30" s="8">
        <f>IF($B30="","",INDEX(Customers!$E$2:$E$301,MATCH($B30,Customers!$A$2:$A$301,0)))</f>
        <v/>
      </c>
      <c r="F30" s="20">
        <f>IF($B30="","",INDEX(Customers!$F$2:$F$301,MATCH($B30,Customers!$A$2:$A$301,0)))</f>
        <v/>
      </c>
    </row>
    <row r="31">
      <c r="A31" t="n">
        <v>20</v>
      </c>
      <c r="B31">
        <f>IF($A31&lt;=$C$5,IFERROR(INDEX(Customers!$A$2:$A$301,MATCH($A31,Customers!$G$2:$G$301,0)),""),"")</f>
        <v/>
      </c>
      <c r="C31">
        <f>IF($B31="","",INDEX(Customers!$C$2:$C$301,MATCH($B31,Customers!$A$2:$A$301,0)))</f>
        <v/>
      </c>
      <c r="D31">
        <f>IF($B31="","",INDEX(Customers!$D$2:$D$301,MATCH($B31,Customers!$A$2:$A$301,0)))</f>
        <v/>
      </c>
      <c r="E31" s="8">
        <f>IF($B31="","",INDEX(Customers!$E$2:$E$301,MATCH($B31,Customers!$A$2:$A$301,0)))</f>
        <v/>
      </c>
      <c r="F31" s="20">
        <f>IF($B31="","",INDEX(Customers!$F$2:$F$301,MATCH($B31,Customers!$A$2:$A$301,0)))</f>
        <v/>
      </c>
    </row>
    <row r="32">
      <c r="A32" t="n">
        <v>21</v>
      </c>
      <c r="B32">
        <f>IF($A32&lt;=$C$5,IFERROR(INDEX(Customers!$A$2:$A$301,MATCH($A32,Customers!$G$2:$G$301,0)),""),"")</f>
        <v/>
      </c>
      <c r="C32">
        <f>IF($B32="","",INDEX(Customers!$C$2:$C$301,MATCH($B32,Customers!$A$2:$A$301,0)))</f>
        <v/>
      </c>
      <c r="D32">
        <f>IF($B32="","",INDEX(Customers!$D$2:$D$301,MATCH($B32,Customers!$A$2:$A$301,0)))</f>
        <v/>
      </c>
      <c r="E32" s="8">
        <f>IF($B32="","",INDEX(Customers!$E$2:$E$301,MATCH($B32,Customers!$A$2:$A$301,0)))</f>
        <v/>
      </c>
      <c r="F32" s="20">
        <f>IF($B32="","",INDEX(Customers!$F$2:$F$301,MATCH($B32,Customers!$A$2:$A$301,0)))</f>
        <v/>
      </c>
    </row>
    <row r="33">
      <c r="A33" t="n">
        <v>22</v>
      </c>
      <c r="B33">
        <f>IF($A33&lt;=$C$5,IFERROR(INDEX(Customers!$A$2:$A$301,MATCH($A33,Customers!$G$2:$G$301,0)),""),"")</f>
        <v/>
      </c>
      <c r="C33">
        <f>IF($B33="","",INDEX(Customers!$C$2:$C$301,MATCH($B33,Customers!$A$2:$A$301,0)))</f>
        <v/>
      </c>
      <c r="D33">
        <f>IF($B33="","",INDEX(Customers!$D$2:$D$301,MATCH($B33,Customers!$A$2:$A$301,0)))</f>
        <v/>
      </c>
      <c r="E33" s="8">
        <f>IF($B33="","",INDEX(Customers!$E$2:$E$301,MATCH($B33,Customers!$A$2:$A$301,0)))</f>
        <v/>
      </c>
      <c r="F33" s="20">
        <f>IF($B33="","",INDEX(Customers!$F$2:$F$301,MATCH($B33,Customers!$A$2:$A$301,0)))</f>
        <v/>
      </c>
    </row>
    <row r="34">
      <c r="A34" t="n">
        <v>23</v>
      </c>
      <c r="B34">
        <f>IF($A34&lt;=$C$5,IFERROR(INDEX(Customers!$A$2:$A$301,MATCH($A34,Customers!$G$2:$G$301,0)),""),"")</f>
        <v/>
      </c>
      <c r="C34">
        <f>IF($B34="","",INDEX(Customers!$C$2:$C$301,MATCH($B34,Customers!$A$2:$A$301,0)))</f>
        <v/>
      </c>
      <c r="D34">
        <f>IF($B34="","",INDEX(Customers!$D$2:$D$301,MATCH($B34,Customers!$A$2:$A$301,0)))</f>
        <v/>
      </c>
      <c r="E34" s="8">
        <f>IF($B34="","",INDEX(Customers!$E$2:$E$301,MATCH($B34,Customers!$A$2:$A$301,0)))</f>
        <v/>
      </c>
      <c r="F34" s="20">
        <f>IF($B34="","",INDEX(Customers!$F$2:$F$301,MATCH($B34,Customers!$A$2:$A$301,0)))</f>
        <v/>
      </c>
    </row>
    <row r="35">
      <c r="A35" t="n">
        <v>24</v>
      </c>
      <c r="B35">
        <f>IF($A35&lt;=$C$5,IFERROR(INDEX(Customers!$A$2:$A$301,MATCH($A35,Customers!$G$2:$G$301,0)),""),"")</f>
        <v/>
      </c>
      <c r="C35">
        <f>IF($B35="","",INDEX(Customers!$C$2:$C$301,MATCH($B35,Customers!$A$2:$A$301,0)))</f>
        <v/>
      </c>
      <c r="D35">
        <f>IF($B35="","",INDEX(Customers!$D$2:$D$301,MATCH($B35,Customers!$A$2:$A$301,0)))</f>
        <v/>
      </c>
      <c r="E35" s="8">
        <f>IF($B35="","",INDEX(Customers!$E$2:$E$301,MATCH($B35,Customers!$A$2:$A$301,0)))</f>
        <v/>
      </c>
      <c r="F35" s="20">
        <f>IF($B35="","",INDEX(Customers!$F$2:$F$301,MATCH($B35,Customers!$A$2:$A$301,0)))</f>
        <v/>
      </c>
    </row>
    <row r="36">
      <c r="A36" t="n">
        <v>25</v>
      </c>
      <c r="B36">
        <f>IF($A36&lt;=$C$5,IFERROR(INDEX(Customers!$A$2:$A$301,MATCH($A36,Customers!$G$2:$G$301,0)),""),"")</f>
        <v/>
      </c>
      <c r="C36">
        <f>IF($B36="","",INDEX(Customers!$C$2:$C$301,MATCH($B36,Customers!$A$2:$A$301,0)))</f>
        <v/>
      </c>
      <c r="D36">
        <f>IF($B36="","",INDEX(Customers!$D$2:$D$301,MATCH($B36,Customers!$A$2:$A$301,0)))</f>
        <v/>
      </c>
      <c r="E36" s="8">
        <f>IF($B36="","",INDEX(Customers!$E$2:$E$301,MATCH($B36,Customers!$A$2:$A$301,0)))</f>
        <v/>
      </c>
      <c r="F36" s="20">
        <f>IF($B36="","",INDEX(Customers!$F$2:$F$301,MATCH($B36,Customers!$A$2:$A$301,0)))</f>
        <v/>
      </c>
    </row>
    <row r="37">
      <c r="A37" t="n">
        <v>26</v>
      </c>
      <c r="B37">
        <f>IF($A37&lt;=$C$5,IFERROR(INDEX(Customers!$A$2:$A$301,MATCH($A37,Customers!$G$2:$G$301,0)),""),"")</f>
        <v/>
      </c>
      <c r="C37">
        <f>IF($B37="","",INDEX(Customers!$C$2:$C$301,MATCH($B37,Customers!$A$2:$A$301,0)))</f>
        <v/>
      </c>
      <c r="D37">
        <f>IF($B37="","",INDEX(Customers!$D$2:$D$301,MATCH($B37,Customers!$A$2:$A$301,0)))</f>
        <v/>
      </c>
      <c r="E37" s="8">
        <f>IF($B37="","",INDEX(Customers!$E$2:$E$301,MATCH($B37,Customers!$A$2:$A$301,0)))</f>
        <v/>
      </c>
      <c r="F37" s="20">
        <f>IF($B37="","",INDEX(Customers!$F$2:$F$301,MATCH($B37,Customers!$A$2:$A$301,0)))</f>
        <v/>
      </c>
    </row>
    <row r="38">
      <c r="A38" t="n">
        <v>27</v>
      </c>
      <c r="B38">
        <f>IF($A38&lt;=$C$5,IFERROR(INDEX(Customers!$A$2:$A$301,MATCH($A38,Customers!$G$2:$G$301,0)),""),"")</f>
        <v/>
      </c>
      <c r="C38">
        <f>IF($B38="","",INDEX(Customers!$C$2:$C$301,MATCH($B38,Customers!$A$2:$A$301,0)))</f>
        <v/>
      </c>
      <c r="D38">
        <f>IF($B38="","",INDEX(Customers!$D$2:$D$301,MATCH($B38,Customers!$A$2:$A$301,0)))</f>
        <v/>
      </c>
      <c r="E38" s="8">
        <f>IF($B38="","",INDEX(Customers!$E$2:$E$301,MATCH($B38,Customers!$A$2:$A$301,0)))</f>
        <v/>
      </c>
      <c r="F38" s="20">
        <f>IF($B38="","",INDEX(Customers!$F$2:$F$301,MATCH($B38,Customers!$A$2:$A$301,0)))</f>
        <v/>
      </c>
    </row>
    <row r="39">
      <c r="A39" t="n">
        <v>28</v>
      </c>
      <c r="B39">
        <f>IF($A39&lt;=$C$5,IFERROR(INDEX(Customers!$A$2:$A$301,MATCH($A39,Customers!$G$2:$G$301,0)),""),"")</f>
        <v/>
      </c>
      <c r="C39">
        <f>IF($B39="","",INDEX(Customers!$C$2:$C$301,MATCH($B39,Customers!$A$2:$A$301,0)))</f>
        <v/>
      </c>
      <c r="D39">
        <f>IF($B39="","",INDEX(Customers!$D$2:$D$301,MATCH($B39,Customers!$A$2:$A$301,0)))</f>
        <v/>
      </c>
      <c r="E39" s="8">
        <f>IF($B39="","",INDEX(Customers!$E$2:$E$301,MATCH($B39,Customers!$A$2:$A$301,0)))</f>
        <v/>
      </c>
      <c r="F39" s="20">
        <f>IF($B39="","",INDEX(Customers!$F$2:$F$301,MATCH($B39,Customers!$A$2:$A$301,0)))</f>
        <v/>
      </c>
    </row>
    <row r="40">
      <c r="A40" t="n">
        <v>29</v>
      </c>
      <c r="B40">
        <f>IF($A40&lt;=$C$5,IFERROR(INDEX(Customers!$A$2:$A$301,MATCH($A40,Customers!$G$2:$G$301,0)),""),"")</f>
        <v/>
      </c>
      <c r="C40">
        <f>IF($B40="","",INDEX(Customers!$C$2:$C$301,MATCH($B40,Customers!$A$2:$A$301,0)))</f>
        <v/>
      </c>
      <c r="D40">
        <f>IF($B40="","",INDEX(Customers!$D$2:$D$301,MATCH($B40,Customers!$A$2:$A$301,0)))</f>
        <v/>
      </c>
      <c r="E40" s="8">
        <f>IF($B40="","",INDEX(Customers!$E$2:$E$301,MATCH($B40,Customers!$A$2:$A$301,0)))</f>
        <v/>
      </c>
      <c r="F40" s="20">
        <f>IF($B40="","",INDEX(Customers!$F$2:$F$301,MATCH($B40,Customers!$A$2:$A$301,0)))</f>
        <v/>
      </c>
    </row>
    <row r="41">
      <c r="A41" t="n">
        <v>30</v>
      </c>
      <c r="B41">
        <f>IF($A41&lt;=$C$5,IFERROR(INDEX(Customers!$A$2:$A$301,MATCH($A41,Customers!$G$2:$G$301,0)),""),"")</f>
        <v/>
      </c>
      <c r="C41">
        <f>IF($B41="","",INDEX(Customers!$C$2:$C$301,MATCH($B41,Customers!$A$2:$A$301,0)))</f>
        <v/>
      </c>
      <c r="D41">
        <f>IF($B41="","",INDEX(Customers!$D$2:$D$301,MATCH($B41,Customers!$A$2:$A$301,0)))</f>
        <v/>
      </c>
      <c r="E41" s="8">
        <f>IF($B41="","",INDEX(Customers!$E$2:$E$301,MATCH($B41,Customers!$A$2:$A$301,0)))</f>
        <v/>
      </c>
      <c r="F41" s="20">
        <f>IF($B41="","",INDEX(Customers!$F$2:$F$301,MATCH($B41,Customers!$A$2:$A$301,0)))</f>
        <v/>
      </c>
    </row>
    <row r="42">
      <c r="A42" t="n">
        <v>31</v>
      </c>
      <c r="B42">
        <f>IF($A42&lt;=$C$5,IFERROR(INDEX(Customers!$A$2:$A$301,MATCH($A42,Customers!$G$2:$G$301,0)),""),"")</f>
        <v/>
      </c>
      <c r="C42">
        <f>IF($B42="","",INDEX(Customers!$C$2:$C$301,MATCH($B42,Customers!$A$2:$A$301,0)))</f>
        <v/>
      </c>
      <c r="D42">
        <f>IF($B42="","",INDEX(Customers!$D$2:$D$301,MATCH($B42,Customers!$A$2:$A$301,0)))</f>
        <v/>
      </c>
      <c r="E42" s="8">
        <f>IF($B42="","",INDEX(Customers!$E$2:$E$301,MATCH($B42,Customers!$A$2:$A$301,0)))</f>
        <v/>
      </c>
      <c r="F42" s="20">
        <f>IF($B42="","",INDEX(Customers!$F$2:$F$301,MATCH($B42,Customers!$A$2:$A$301,0)))</f>
        <v/>
      </c>
    </row>
    <row r="43">
      <c r="A43" t="n">
        <v>32</v>
      </c>
      <c r="B43">
        <f>IF($A43&lt;=$C$5,IFERROR(INDEX(Customers!$A$2:$A$301,MATCH($A43,Customers!$G$2:$G$301,0)),""),"")</f>
        <v/>
      </c>
      <c r="C43">
        <f>IF($B43="","",INDEX(Customers!$C$2:$C$301,MATCH($B43,Customers!$A$2:$A$301,0)))</f>
        <v/>
      </c>
      <c r="D43">
        <f>IF($B43="","",INDEX(Customers!$D$2:$D$301,MATCH($B43,Customers!$A$2:$A$301,0)))</f>
        <v/>
      </c>
      <c r="E43" s="8">
        <f>IF($B43="","",INDEX(Customers!$E$2:$E$301,MATCH($B43,Customers!$A$2:$A$301,0)))</f>
        <v/>
      </c>
      <c r="F43" s="20">
        <f>IF($B43="","",INDEX(Customers!$F$2:$F$301,MATCH($B43,Customers!$A$2:$A$301,0)))</f>
        <v/>
      </c>
    </row>
    <row r="44">
      <c r="A44" t="n">
        <v>33</v>
      </c>
      <c r="B44">
        <f>IF($A44&lt;=$C$5,IFERROR(INDEX(Customers!$A$2:$A$301,MATCH($A44,Customers!$G$2:$G$301,0)),""),"")</f>
        <v/>
      </c>
      <c r="C44">
        <f>IF($B44="","",INDEX(Customers!$C$2:$C$301,MATCH($B44,Customers!$A$2:$A$301,0)))</f>
        <v/>
      </c>
      <c r="D44">
        <f>IF($B44="","",INDEX(Customers!$D$2:$D$301,MATCH($B44,Customers!$A$2:$A$301,0)))</f>
        <v/>
      </c>
      <c r="E44" s="8">
        <f>IF($B44="","",INDEX(Customers!$E$2:$E$301,MATCH($B44,Customers!$A$2:$A$301,0)))</f>
        <v/>
      </c>
      <c r="F44" s="20">
        <f>IF($B44="","",INDEX(Customers!$F$2:$F$301,MATCH($B44,Customers!$A$2:$A$301,0)))</f>
        <v/>
      </c>
    </row>
    <row r="45">
      <c r="A45" t="n">
        <v>34</v>
      </c>
      <c r="B45">
        <f>IF($A45&lt;=$C$5,IFERROR(INDEX(Customers!$A$2:$A$301,MATCH($A45,Customers!$G$2:$G$301,0)),""),"")</f>
        <v/>
      </c>
      <c r="C45">
        <f>IF($B45="","",INDEX(Customers!$C$2:$C$301,MATCH($B45,Customers!$A$2:$A$301,0)))</f>
        <v/>
      </c>
      <c r="D45">
        <f>IF($B45="","",INDEX(Customers!$D$2:$D$301,MATCH($B45,Customers!$A$2:$A$301,0)))</f>
        <v/>
      </c>
      <c r="E45" s="8">
        <f>IF($B45="","",INDEX(Customers!$E$2:$E$301,MATCH($B45,Customers!$A$2:$A$301,0)))</f>
        <v/>
      </c>
      <c r="F45" s="20">
        <f>IF($B45="","",INDEX(Customers!$F$2:$F$301,MATCH($B45,Customers!$A$2:$A$301,0)))</f>
        <v/>
      </c>
    </row>
    <row r="46">
      <c r="A46" t="n">
        <v>35</v>
      </c>
      <c r="B46">
        <f>IF($A46&lt;=$C$5,IFERROR(INDEX(Customers!$A$2:$A$301,MATCH($A46,Customers!$G$2:$G$301,0)),""),"")</f>
        <v/>
      </c>
      <c r="C46">
        <f>IF($B46="","",INDEX(Customers!$C$2:$C$301,MATCH($B46,Customers!$A$2:$A$301,0)))</f>
        <v/>
      </c>
      <c r="D46">
        <f>IF($B46="","",INDEX(Customers!$D$2:$D$301,MATCH($B46,Customers!$A$2:$A$301,0)))</f>
        <v/>
      </c>
      <c r="E46" s="8">
        <f>IF($B46="","",INDEX(Customers!$E$2:$E$301,MATCH($B46,Customers!$A$2:$A$301,0)))</f>
        <v/>
      </c>
      <c r="F46" s="20">
        <f>IF($B46="","",INDEX(Customers!$F$2:$F$301,MATCH($B46,Customers!$A$2:$A$301,0)))</f>
        <v/>
      </c>
    </row>
    <row r="47">
      <c r="A47" t="n">
        <v>36</v>
      </c>
      <c r="B47">
        <f>IF($A47&lt;=$C$5,IFERROR(INDEX(Customers!$A$2:$A$301,MATCH($A47,Customers!$G$2:$G$301,0)),""),"")</f>
        <v/>
      </c>
      <c r="C47">
        <f>IF($B47="","",INDEX(Customers!$C$2:$C$301,MATCH($B47,Customers!$A$2:$A$301,0)))</f>
        <v/>
      </c>
      <c r="D47">
        <f>IF($B47="","",INDEX(Customers!$D$2:$D$301,MATCH($B47,Customers!$A$2:$A$301,0)))</f>
        <v/>
      </c>
      <c r="E47" s="8">
        <f>IF($B47="","",INDEX(Customers!$E$2:$E$301,MATCH($B47,Customers!$A$2:$A$301,0)))</f>
        <v/>
      </c>
      <c r="F47" s="20">
        <f>IF($B47="","",INDEX(Customers!$F$2:$F$301,MATCH($B47,Customers!$A$2:$A$301,0)))</f>
        <v/>
      </c>
    </row>
    <row r="48">
      <c r="A48" t="n">
        <v>37</v>
      </c>
      <c r="B48">
        <f>IF($A48&lt;=$C$5,IFERROR(INDEX(Customers!$A$2:$A$301,MATCH($A48,Customers!$G$2:$G$301,0)),""),"")</f>
        <v/>
      </c>
      <c r="C48">
        <f>IF($B48="","",INDEX(Customers!$C$2:$C$301,MATCH($B48,Customers!$A$2:$A$301,0)))</f>
        <v/>
      </c>
      <c r="D48">
        <f>IF($B48="","",INDEX(Customers!$D$2:$D$301,MATCH($B48,Customers!$A$2:$A$301,0)))</f>
        <v/>
      </c>
      <c r="E48" s="8">
        <f>IF($B48="","",INDEX(Customers!$E$2:$E$301,MATCH($B48,Customers!$A$2:$A$301,0)))</f>
        <v/>
      </c>
      <c r="F48" s="20">
        <f>IF($B48="","",INDEX(Customers!$F$2:$F$301,MATCH($B48,Customers!$A$2:$A$301,0)))</f>
        <v/>
      </c>
    </row>
    <row r="49">
      <c r="A49" t="n">
        <v>38</v>
      </c>
      <c r="B49">
        <f>IF($A49&lt;=$C$5,IFERROR(INDEX(Customers!$A$2:$A$301,MATCH($A49,Customers!$G$2:$G$301,0)),""),"")</f>
        <v/>
      </c>
      <c r="C49">
        <f>IF($B49="","",INDEX(Customers!$C$2:$C$301,MATCH($B49,Customers!$A$2:$A$301,0)))</f>
        <v/>
      </c>
      <c r="D49">
        <f>IF($B49="","",INDEX(Customers!$D$2:$D$301,MATCH($B49,Customers!$A$2:$A$301,0)))</f>
        <v/>
      </c>
      <c r="E49" s="8">
        <f>IF($B49="","",INDEX(Customers!$E$2:$E$301,MATCH($B49,Customers!$A$2:$A$301,0)))</f>
        <v/>
      </c>
      <c r="F49" s="20">
        <f>IF($B49="","",INDEX(Customers!$F$2:$F$301,MATCH($B49,Customers!$A$2:$A$301,0)))</f>
        <v/>
      </c>
    </row>
    <row r="50">
      <c r="A50" t="n">
        <v>39</v>
      </c>
      <c r="B50">
        <f>IF($A50&lt;=$C$5,IFERROR(INDEX(Customers!$A$2:$A$301,MATCH($A50,Customers!$G$2:$G$301,0)),""),"")</f>
        <v/>
      </c>
      <c r="C50">
        <f>IF($B50="","",INDEX(Customers!$C$2:$C$301,MATCH($B50,Customers!$A$2:$A$301,0)))</f>
        <v/>
      </c>
      <c r="D50">
        <f>IF($B50="","",INDEX(Customers!$D$2:$D$301,MATCH($B50,Customers!$A$2:$A$301,0)))</f>
        <v/>
      </c>
      <c r="E50" s="8">
        <f>IF($B50="","",INDEX(Customers!$E$2:$E$301,MATCH($B50,Customers!$A$2:$A$301,0)))</f>
        <v/>
      </c>
      <c r="F50" s="20">
        <f>IF($B50="","",INDEX(Customers!$F$2:$F$301,MATCH($B50,Customers!$A$2:$A$301,0)))</f>
        <v/>
      </c>
    </row>
    <row r="51">
      <c r="A51" t="n">
        <v>40</v>
      </c>
      <c r="B51">
        <f>IF($A51&lt;=$C$5,IFERROR(INDEX(Customers!$A$2:$A$301,MATCH($A51,Customers!$G$2:$G$301,0)),""),"")</f>
        <v/>
      </c>
      <c r="C51">
        <f>IF($B51="","",INDEX(Customers!$C$2:$C$301,MATCH($B51,Customers!$A$2:$A$301,0)))</f>
        <v/>
      </c>
      <c r="D51">
        <f>IF($B51="","",INDEX(Customers!$D$2:$D$301,MATCH($B51,Customers!$A$2:$A$301,0)))</f>
        <v/>
      </c>
      <c r="E51" s="8">
        <f>IF($B51="","",INDEX(Customers!$E$2:$E$301,MATCH($B51,Customers!$A$2:$A$301,0)))</f>
        <v/>
      </c>
      <c r="F51" s="20">
        <f>IF($B51="","",INDEX(Customers!$F$2:$F$301,MATCH($B51,Customers!$A$2:$A$301,0)))</f>
        <v/>
      </c>
    </row>
    <row r="52">
      <c r="A52" t="n">
        <v>41</v>
      </c>
      <c r="B52">
        <f>IF($A52&lt;=$C$5,IFERROR(INDEX(Customers!$A$2:$A$301,MATCH($A52,Customers!$G$2:$G$301,0)),""),"")</f>
        <v/>
      </c>
      <c r="C52">
        <f>IF($B52="","",INDEX(Customers!$C$2:$C$301,MATCH($B52,Customers!$A$2:$A$301,0)))</f>
        <v/>
      </c>
      <c r="D52">
        <f>IF($B52="","",INDEX(Customers!$D$2:$D$301,MATCH($B52,Customers!$A$2:$A$301,0)))</f>
        <v/>
      </c>
      <c r="E52" s="8">
        <f>IF($B52="","",INDEX(Customers!$E$2:$E$301,MATCH($B52,Customers!$A$2:$A$301,0)))</f>
        <v/>
      </c>
      <c r="F52" s="20">
        <f>IF($B52="","",INDEX(Customers!$F$2:$F$301,MATCH($B52,Customers!$A$2:$A$301,0)))</f>
        <v/>
      </c>
    </row>
    <row r="53">
      <c r="A53" t="n">
        <v>42</v>
      </c>
      <c r="B53">
        <f>IF($A53&lt;=$C$5,IFERROR(INDEX(Customers!$A$2:$A$301,MATCH($A53,Customers!$G$2:$G$301,0)),""),"")</f>
        <v/>
      </c>
      <c r="C53">
        <f>IF($B53="","",INDEX(Customers!$C$2:$C$301,MATCH($B53,Customers!$A$2:$A$301,0)))</f>
        <v/>
      </c>
      <c r="D53">
        <f>IF($B53="","",INDEX(Customers!$D$2:$D$301,MATCH($B53,Customers!$A$2:$A$301,0)))</f>
        <v/>
      </c>
      <c r="E53" s="8">
        <f>IF($B53="","",INDEX(Customers!$E$2:$E$301,MATCH($B53,Customers!$A$2:$A$301,0)))</f>
        <v/>
      </c>
      <c r="F53" s="20">
        <f>IF($B53="","",INDEX(Customers!$F$2:$F$301,MATCH($B53,Customers!$A$2:$A$301,0)))</f>
        <v/>
      </c>
    </row>
    <row r="54">
      <c r="A54" t="n">
        <v>43</v>
      </c>
      <c r="B54">
        <f>IF($A54&lt;=$C$5,IFERROR(INDEX(Customers!$A$2:$A$301,MATCH($A54,Customers!$G$2:$G$301,0)),""),"")</f>
        <v/>
      </c>
      <c r="C54">
        <f>IF($B54="","",INDEX(Customers!$C$2:$C$301,MATCH($B54,Customers!$A$2:$A$301,0)))</f>
        <v/>
      </c>
      <c r="D54">
        <f>IF($B54="","",INDEX(Customers!$D$2:$D$301,MATCH($B54,Customers!$A$2:$A$301,0)))</f>
        <v/>
      </c>
      <c r="E54" s="8">
        <f>IF($B54="","",INDEX(Customers!$E$2:$E$301,MATCH($B54,Customers!$A$2:$A$301,0)))</f>
        <v/>
      </c>
      <c r="F54" s="20">
        <f>IF($B54="","",INDEX(Customers!$F$2:$F$301,MATCH($B54,Customers!$A$2:$A$301,0)))</f>
        <v/>
      </c>
    </row>
    <row r="55">
      <c r="A55" t="n">
        <v>44</v>
      </c>
      <c r="B55">
        <f>IF($A55&lt;=$C$5,IFERROR(INDEX(Customers!$A$2:$A$301,MATCH($A55,Customers!$G$2:$G$301,0)),""),"")</f>
        <v/>
      </c>
      <c r="C55">
        <f>IF($B55="","",INDEX(Customers!$C$2:$C$301,MATCH($B55,Customers!$A$2:$A$301,0)))</f>
        <v/>
      </c>
      <c r="D55">
        <f>IF($B55="","",INDEX(Customers!$D$2:$D$301,MATCH($B55,Customers!$A$2:$A$301,0)))</f>
        <v/>
      </c>
      <c r="E55" s="8">
        <f>IF($B55="","",INDEX(Customers!$E$2:$E$301,MATCH($B55,Customers!$A$2:$A$301,0)))</f>
        <v/>
      </c>
      <c r="F55" s="20">
        <f>IF($B55="","",INDEX(Customers!$F$2:$F$301,MATCH($B55,Customers!$A$2:$A$301,0)))</f>
        <v/>
      </c>
    </row>
    <row r="56">
      <c r="A56" t="n">
        <v>45</v>
      </c>
      <c r="B56">
        <f>IF($A56&lt;=$C$5,IFERROR(INDEX(Customers!$A$2:$A$301,MATCH($A56,Customers!$G$2:$G$301,0)),""),"")</f>
        <v/>
      </c>
      <c r="C56">
        <f>IF($B56="","",INDEX(Customers!$C$2:$C$301,MATCH($B56,Customers!$A$2:$A$301,0)))</f>
        <v/>
      </c>
      <c r="D56">
        <f>IF($B56="","",INDEX(Customers!$D$2:$D$301,MATCH($B56,Customers!$A$2:$A$301,0)))</f>
        <v/>
      </c>
      <c r="E56" s="8">
        <f>IF($B56="","",INDEX(Customers!$E$2:$E$301,MATCH($B56,Customers!$A$2:$A$301,0)))</f>
        <v/>
      </c>
      <c r="F56" s="20">
        <f>IF($B56="","",INDEX(Customers!$F$2:$F$301,MATCH($B56,Customers!$A$2:$A$301,0)))</f>
        <v/>
      </c>
    </row>
    <row r="57">
      <c r="A57" t="n">
        <v>46</v>
      </c>
      <c r="B57">
        <f>IF($A57&lt;=$C$5,IFERROR(INDEX(Customers!$A$2:$A$301,MATCH($A57,Customers!$G$2:$G$301,0)),""),"")</f>
        <v/>
      </c>
      <c r="C57">
        <f>IF($B57="","",INDEX(Customers!$C$2:$C$301,MATCH($B57,Customers!$A$2:$A$301,0)))</f>
        <v/>
      </c>
      <c r="D57">
        <f>IF($B57="","",INDEX(Customers!$D$2:$D$301,MATCH($B57,Customers!$A$2:$A$301,0)))</f>
        <v/>
      </c>
      <c r="E57" s="8">
        <f>IF($B57="","",INDEX(Customers!$E$2:$E$301,MATCH($B57,Customers!$A$2:$A$301,0)))</f>
        <v/>
      </c>
      <c r="F57" s="20">
        <f>IF($B57="","",INDEX(Customers!$F$2:$F$301,MATCH($B57,Customers!$A$2:$A$301,0)))</f>
        <v/>
      </c>
    </row>
    <row r="58">
      <c r="A58" t="n">
        <v>47</v>
      </c>
      <c r="B58">
        <f>IF($A58&lt;=$C$5,IFERROR(INDEX(Customers!$A$2:$A$301,MATCH($A58,Customers!$G$2:$G$301,0)),""),"")</f>
        <v/>
      </c>
      <c r="C58">
        <f>IF($B58="","",INDEX(Customers!$C$2:$C$301,MATCH($B58,Customers!$A$2:$A$301,0)))</f>
        <v/>
      </c>
      <c r="D58">
        <f>IF($B58="","",INDEX(Customers!$D$2:$D$301,MATCH($B58,Customers!$A$2:$A$301,0)))</f>
        <v/>
      </c>
      <c r="E58" s="8">
        <f>IF($B58="","",INDEX(Customers!$E$2:$E$301,MATCH($B58,Customers!$A$2:$A$301,0)))</f>
        <v/>
      </c>
      <c r="F58" s="20">
        <f>IF($B58="","",INDEX(Customers!$F$2:$F$301,MATCH($B58,Customers!$A$2:$A$301,0)))</f>
        <v/>
      </c>
    </row>
    <row r="59">
      <c r="A59" t="n">
        <v>48</v>
      </c>
      <c r="B59">
        <f>IF($A59&lt;=$C$5,IFERROR(INDEX(Customers!$A$2:$A$301,MATCH($A59,Customers!$G$2:$G$301,0)),""),"")</f>
        <v/>
      </c>
      <c r="C59">
        <f>IF($B59="","",INDEX(Customers!$C$2:$C$301,MATCH($B59,Customers!$A$2:$A$301,0)))</f>
        <v/>
      </c>
      <c r="D59">
        <f>IF($B59="","",INDEX(Customers!$D$2:$D$301,MATCH($B59,Customers!$A$2:$A$301,0)))</f>
        <v/>
      </c>
      <c r="E59" s="8">
        <f>IF($B59="","",INDEX(Customers!$E$2:$E$301,MATCH($B59,Customers!$A$2:$A$301,0)))</f>
        <v/>
      </c>
      <c r="F59" s="20">
        <f>IF($B59="","",INDEX(Customers!$F$2:$F$301,MATCH($B59,Customers!$A$2:$A$301,0)))</f>
        <v/>
      </c>
    </row>
    <row r="60">
      <c r="A60" t="n">
        <v>49</v>
      </c>
      <c r="B60">
        <f>IF($A60&lt;=$C$5,IFERROR(INDEX(Customers!$A$2:$A$301,MATCH($A60,Customers!$G$2:$G$301,0)),""),"")</f>
        <v/>
      </c>
      <c r="C60">
        <f>IF($B60="","",INDEX(Customers!$C$2:$C$301,MATCH($B60,Customers!$A$2:$A$301,0)))</f>
        <v/>
      </c>
      <c r="D60">
        <f>IF($B60="","",INDEX(Customers!$D$2:$D$301,MATCH($B60,Customers!$A$2:$A$301,0)))</f>
        <v/>
      </c>
      <c r="E60" s="8">
        <f>IF($B60="","",INDEX(Customers!$E$2:$E$301,MATCH($B60,Customers!$A$2:$A$301,0)))</f>
        <v/>
      </c>
      <c r="F60" s="20">
        <f>IF($B60="","",INDEX(Customers!$F$2:$F$301,MATCH($B60,Customers!$A$2:$A$301,0)))</f>
        <v/>
      </c>
    </row>
    <row r="61">
      <c r="A61" t="n">
        <v>50</v>
      </c>
      <c r="B61">
        <f>IF($A61&lt;=$C$5,IFERROR(INDEX(Customers!$A$2:$A$301,MATCH($A61,Customers!$G$2:$G$301,0)),""),"")</f>
        <v/>
      </c>
      <c r="C61">
        <f>IF($B61="","",INDEX(Customers!$C$2:$C$301,MATCH($B61,Customers!$A$2:$A$301,0)))</f>
        <v/>
      </c>
      <c r="D61">
        <f>IF($B61="","",INDEX(Customers!$D$2:$D$301,MATCH($B61,Customers!$A$2:$A$301,0)))</f>
        <v/>
      </c>
      <c r="E61" s="8">
        <f>IF($B61="","",INDEX(Customers!$E$2:$E$301,MATCH($B61,Customers!$A$2:$A$301,0)))</f>
        <v/>
      </c>
      <c r="F61" s="20">
        <f>IF($B61="","",INDEX(Customers!$F$2:$F$301,MATCH($B61,Customers!$A$2:$A$301,0)))</f>
        <v/>
      </c>
    </row>
    <row r="62">
      <c r="A62" t="n">
        <v>51</v>
      </c>
      <c r="B62">
        <f>IF($A62&lt;=$C$5,IFERROR(INDEX(Customers!$A$2:$A$301,MATCH($A62,Customers!$G$2:$G$301,0)),""),"")</f>
        <v/>
      </c>
      <c r="C62">
        <f>IF($B62="","",INDEX(Customers!$C$2:$C$301,MATCH($B62,Customers!$A$2:$A$301,0)))</f>
        <v/>
      </c>
      <c r="D62">
        <f>IF($B62="","",INDEX(Customers!$D$2:$D$301,MATCH($B62,Customers!$A$2:$A$301,0)))</f>
        <v/>
      </c>
      <c r="E62" s="8">
        <f>IF($B62="","",INDEX(Customers!$E$2:$E$301,MATCH($B62,Customers!$A$2:$A$301,0)))</f>
        <v/>
      </c>
      <c r="F62" s="20">
        <f>IF($B62="","",INDEX(Customers!$F$2:$F$301,MATCH($B62,Customers!$A$2:$A$301,0)))</f>
        <v/>
      </c>
    </row>
    <row r="63">
      <c r="A63" t="n">
        <v>52</v>
      </c>
      <c r="B63">
        <f>IF($A63&lt;=$C$5,IFERROR(INDEX(Customers!$A$2:$A$301,MATCH($A63,Customers!$G$2:$G$301,0)),""),"")</f>
        <v/>
      </c>
      <c r="C63">
        <f>IF($B63="","",INDEX(Customers!$C$2:$C$301,MATCH($B63,Customers!$A$2:$A$301,0)))</f>
        <v/>
      </c>
      <c r="D63">
        <f>IF($B63="","",INDEX(Customers!$D$2:$D$301,MATCH($B63,Customers!$A$2:$A$301,0)))</f>
        <v/>
      </c>
      <c r="E63" s="8">
        <f>IF($B63="","",INDEX(Customers!$E$2:$E$301,MATCH($B63,Customers!$A$2:$A$301,0)))</f>
        <v/>
      </c>
      <c r="F63" s="20">
        <f>IF($B63="","",INDEX(Customers!$F$2:$F$301,MATCH($B63,Customers!$A$2:$A$301,0)))</f>
        <v/>
      </c>
    </row>
    <row r="64">
      <c r="A64" t="n">
        <v>53</v>
      </c>
      <c r="B64">
        <f>IF($A64&lt;=$C$5,IFERROR(INDEX(Customers!$A$2:$A$301,MATCH($A64,Customers!$G$2:$G$301,0)),""),"")</f>
        <v/>
      </c>
      <c r="C64">
        <f>IF($B64="","",INDEX(Customers!$C$2:$C$301,MATCH($B64,Customers!$A$2:$A$301,0)))</f>
        <v/>
      </c>
      <c r="D64">
        <f>IF($B64="","",INDEX(Customers!$D$2:$D$301,MATCH($B64,Customers!$A$2:$A$301,0)))</f>
        <v/>
      </c>
      <c r="E64" s="8">
        <f>IF($B64="","",INDEX(Customers!$E$2:$E$301,MATCH($B64,Customers!$A$2:$A$301,0)))</f>
        <v/>
      </c>
      <c r="F64" s="20">
        <f>IF($B64="","",INDEX(Customers!$F$2:$F$301,MATCH($B64,Customers!$A$2:$A$301,0)))</f>
        <v/>
      </c>
    </row>
    <row r="65">
      <c r="A65" t="n">
        <v>54</v>
      </c>
      <c r="B65">
        <f>IF($A65&lt;=$C$5,IFERROR(INDEX(Customers!$A$2:$A$301,MATCH($A65,Customers!$G$2:$G$301,0)),""),"")</f>
        <v/>
      </c>
      <c r="C65">
        <f>IF($B65="","",INDEX(Customers!$C$2:$C$301,MATCH($B65,Customers!$A$2:$A$301,0)))</f>
        <v/>
      </c>
      <c r="D65">
        <f>IF($B65="","",INDEX(Customers!$D$2:$D$301,MATCH($B65,Customers!$A$2:$A$301,0)))</f>
        <v/>
      </c>
      <c r="E65" s="8">
        <f>IF($B65="","",INDEX(Customers!$E$2:$E$301,MATCH($B65,Customers!$A$2:$A$301,0)))</f>
        <v/>
      </c>
      <c r="F65" s="20">
        <f>IF($B65="","",INDEX(Customers!$F$2:$F$301,MATCH($B65,Customers!$A$2:$A$301,0)))</f>
        <v/>
      </c>
    </row>
    <row r="66">
      <c r="A66" t="n">
        <v>55</v>
      </c>
      <c r="B66">
        <f>IF($A66&lt;=$C$5,IFERROR(INDEX(Customers!$A$2:$A$301,MATCH($A66,Customers!$G$2:$G$301,0)),""),"")</f>
        <v/>
      </c>
      <c r="C66">
        <f>IF($B66="","",INDEX(Customers!$C$2:$C$301,MATCH($B66,Customers!$A$2:$A$301,0)))</f>
        <v/>
      </c>
      <c r="D66">
        <f>IF($B66="","",INDEX(Customers!$D$2:$D$301,MATCH($B66,Customers!$A$2:$A$301,0)))</f>
        <v/>
      </c>
      <c r="E66" s="8">
        <f>IF($B66="","",INDEX(Customers!$E$2:$E$301,MATCH($B66,Customers!$A$2:$A$301,0)))</f>
        <v/>
      </c>
      <c r="F66" s="20">
        <f>IF($B66="","",INDEX(Customers!$F$2:$F$301,MATCH($B66,Customers!$A$2:$A$301,0)))</f>
        <v/>
      </c>
    </row>
    <row r="67">
      <c r="A67" t="n">
        <v>56</v>
      </c>
      <c r="B67">
        <f>IF($A67&lt;=$C$5,IFERROR(INDEX(Customers!$A$2:$A$301,MATCH($A67,Customers!$G$2:$G$301,0)),""),"")</f>
        <v/>
      </c>
      <c r="C67">
        <f>IF($B67="","",INDEX(Customers!$C$2:$C$301,MATCH($B67,Customers!$A$2:$A$301,0)))</f>
        <v/>
      </c>
      <c r="D67">
        <f>IF($B67="","",INDEX(Customers!$D$2:$D$301,MATCH($B67,Customers!$A$2:$A$301,0)))</f>
        <v/>
      </c>
      <c r="E67" s="8">
        <f>IF($B67="","",INDEX(Customers!$E$2:$E$301,MATCH($B67,Customers!$A$2:$A$301,0)))</f>
        <v/>
      </c>
      <c r="F67" s="20">
        <f>IF($B67="","",INDEX(Customers!$F$2:$F$301,MATCH($B67,Customers!$A$2:$A$301,0)))</f>
        <v/>
      </c>
    </row>
    <row r="68">
      <c r="A68" t="n">
        <v>57</v>
      </c>
      <c r="B68">
        <f>IF($A68&lt;=$C$5,IFERROR(INDEX(Customers!$A$2:$A$301,MATCH($A68,Customers!$G$2:$G$301,0)),""),"")</f>
        <v/>
      </c>
      <c r="C68">
        <f>IF($B68="","",INDEX(Customers!$C$2:$C$301,MATCH($B68,Customers!$A$2:$A$301,0)))</f>
        <v/>
      </c>
      <c r="D68">
        <f>IF($B68="","",INDEX(Customers!$D$2:$D$301,MATCH($B68,Customers!$A$2:$A$301,0)))</f>
        <v/>
      </c>
      <c r="E68" s="8">
        <f>IF($B68="","",INDEX(Customers!$E$2:$E$301,MATCH($B68,Customers!$A$2:$A$301,0)))</f>
        <v/>
      </c>
      <c r="F68" s="20">
        <f>IF($B68="","",INDEX(Customers!$F$2:$F$301,MATCH($B68,Customers!$A$2:$A$301,0)))</f>
        <v/>
      </c>
    </row>
    <row r="69">
      <c r="A69" t="n">
        <v>58</v>
      </c>
      <c r="B69">
        <f>IF($A69&lt;=$C$5,IFERROR(INDEX(Customers!$A$2:$A$301,MATCH($A69,Customers!$G$2:$G$301,0)),""),"")</f>
        <v/>
      </c>
      <c r="C69">
        <f>IF($B69="","",INDEX(Customers!$C$2:$C$301,MATCH($B69,Customers!$A$2:$A$301,0)))</f>
        <v/>
      </c>
      <c r="D69">
        <f>IF($B69="","",INDEX(Customers!$D$2:$D$301,MATCH($B69,Customers!$A$2:$A$301,0)))</f>
        <v/>
      </c>
      <c r="E69" s="8">
        <f>IF($B69="","",INDEX(Customers!$E$2:$E$301,MATCH($B69,Customers!$A$2:$A$301,0)))</f>
        <v/>
      </c>
      <c r="F69" s="20">
        <f>IF($B69="","",INDEX(Customers!$F$2:$F$301,MATCH($B69,Customers!$A$2:$A$301,0)))</f>
        <v/>
      </c>
    </row>
    <row r="70">
      <c r="A70" t="n">
        <v>59</v>
      </c>
      <c r="B70">
        <f>IF($A70&lt;=$C$5,IFERROR(INDEX(Customers!$A$2:$A$301,MATCH($A70,Customers!$G$2:$G$301,0)),""),"")</f>
        <v/>
      </c>
      <c r="C70">
        <f>IF($B70="","",INDEX(Customers!$C$2:$C$301,MATCH($B70,Customers!$A$2:$A$301,0)))</f>
        <v/>
      </c>
      <c r="D70">
        <f>IF($B70="","",INDEX(Customers!$D$2:$D$301,MATCH($B70,Customers!$A$2:$A$301,0)))</f>
        <v/>
      </c>
      <c r="E70" s="8">
        <f>IF($B70="","",INDEX(Customers!$E$2:$E$301,MATCH($B70,Customers!$A$2:$A$301,0)))</f>
        <v/>
      </c>
      <c r="F70" s="20">
        <f>IF($B70="","",INDEX(Customers!$F$2:$F$301,MATCH($B70,Customers!$A$2:$A$301,0)))</f>
        <v/>
      </c>
    </row>
    <row r="71">
      <c r="A71" t="n">
        <v>60</v>
      </c>
      <c r="B71">
        <f>IF($A71&lt;=$C$5,IFERROR(INDEX(Customers!$A$2:$A$301,MATCH($A71,Customers!$G$2:$G$301,0)),""),"")</f>
        <v/>
      </c>
      <c r="C71">
        <f>IF($B71="","",INDEX(Customers!$C$2:$C$301,MATCH($B71,Customers!$A$2:$A$301,0)))</f>
        <v/>
      </c>
      <c r="D71">
        <f>IF($B71="","",INDEX(Customers!$D$2:$D$301,MATCH($B71,Customers!$A$2:$A$301,0)))</f>
        <v/>
      </c>
      <c r="E71" s="8">
        <f>IF($B71="","",INDEX(Customers!$E$2:$E$301,MATCH($B71,Customers!$A$2:$A$301,0)))</f>
        <v/>
      </c>
      <c r="F71" s="20">
        <f>IF($B71="","",INDEX(Customers!$F$2:$F$301,MATCH($B71,Customers!$A$2:$A$301,0)))</f>
        <v/>
      </c>
    </row>
    <row r="73">
      <c r="A73" s="9" t="inlineStr">
        <is>
          <t>Members you can see</t>
        </is>
      </c>
      <c r="E73">
        <f>SUBTOTAL(102,E12:E71)</f>
        <v/>
      </c>
    </row>
    <row r="74">
      <c r="A74" s="9" t="inlineStr">
        <is>
          <t>Total of the rows you can see (Rs)</t>
        </is>
      </c>
      <c r="E74" s="8">
        <f>SUBTOTAL(109,E12:E71)</f>
        <v/>
      </c>
    </row>
    <row r="75">
      <c r="A75" t="inlineStr">
        <is>
          <t>Total of the whole list (Rs)</t>
        </is>
      </c>
      <c r="E75" s="8">
        <f>SUM(E12:E71)</f>
        <v/>
      </c>
    </row>
    <row r="76" ht="30" customHeight="1">
      <c r="A76" s="16" t="inlineStr">
        <is>
          <t>List verdict</t>
        </is>
      </c>
      <c r="B76" s="6">
        <f>IF(E73&lt;COUNT(E12:E71),"Filtered: the foot totals the "&amp;E73&amp;" members you can see, "&amp;"Rs "&amp;IF(ROUND(E74,0)&gt;=100000,INT(ROUND(E74,0)/100000)&amp;","&amp;TEXT(INT(MOD(ROUND(E74,0),100000)/1000),"00")&amp;","&amp;TEXT(MOD(ROUND(E74,0),1000),"000"),IF(ROUND(E74,0)&gt;=1000,INT(ROUND(E74,0)/1000)&amp;","&amp;TEXT(MOD(ROUND(E74,0),1000),"000"),ROUND(E74,0)&amp;""))&amp;"; the whole list is "&amp;IF(ABS((E75))&gt;=10000000,"Rs "&amp;TEXT((E75)/10000000,"0.00")&amp;" crore",IF(ABS((E75))&gt;=100000,"Rs "&amp;TEXT((E75)/100000,"0.00")&amp;" lakh","Rs "&amp;IF(ROUND((E75),0)&gt;=100000,INT(ROUND((E75),0)/100000)&amp;","&amp;TEXT(INT(MOD(ROUND((E75),0),100000)/1000),"00")&amp;","&amp;TEXT(MOD(ROUND((E75),0),1000),"000"),IF(ROUND((E75),0)&gt;=1000,INT(ROUND((E75),0)/1000)&amp;","&amp;TEXT(MOD(ROUND((E75),0),1000),"000"),ROUND((E75),0)&amp;""))))&amp;".","The top "&amp;E73&amp;" "&amp;C4&amp;" members spent "&amp;IF(ABS((E74))&gt;=10000000,"Rs "&amp;TEXT((E74)/10000000,"0.00")&amp;" crore",IF(ABS((E74))&gt;=100000,"Rs "&amp;TEXT((E74)/100000,"0.00")&amp;" lakh","Rs "&amp;IF(ROUND((E74),0)&gt;=100000,INT(ROUND((E74),0)/100000)&amp;","&amp;TEXT(INT(MOD(ROUND((E74),0),100000)/1000),"00")&amp;","&amp;TEXT(MOD(ROUND((E74),0),1000),"000"),IF(ROUND((E74),0)&gt;=1000,INT(ROUND((E74),0)/1000)&amp;","&amp;TEXT(MOD(ROUND((E74),0),1000),"000"),ROUND((E74),0)&amp;""))))&amp;" across both quarters.")</f>
        <v/>
      </c>
      <c r="C76" s="17" t="n"/>
      <c r="D76" s="17" t="n"/>
      <c r="E76" s="17" t="n"/>
      <c r="F76" s="18" t="n"/>
    </row>
  </sheetData>
  <autoFilter ref="A11:F71"/>
  <mergeCells count="1">
    <mergeCell ref="B76:F76"/>
  </mergeCells>
  <dataValidations count="2">
    <dataValidation sqref="C4" showDropDown="0" showInputMessage="0" showErrorMessage="0" allowBlank="0" type="list">
      <formula1>"Business,Retail-Core,Retail-Plus,Student"</formula1>
    </dataValidation>
    <dataValidation sqref="C7" showDropDown="0" showInputMessage="0" showErrorMessage="0" allowBlank="0" type="list">
      <formula1>"exact,approximate"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  <col width="16" customWidth="1" min="9" max="9"/>
  </cols>
  <sheetData>
    <row r="1">
      <c r="A1" s="1" t="inlineStr">
        <is>
          <t>One number, with its period, comparison, denominator and trend</t>
        </is>
      </c>
    </row>
    <row r="2">
      <c r="A2" s="3" t="inlineStr">
        <is>
          <t>The card a director reads in two minutes. Change the scope and the number, the sentence and the trend move together.</t>
        </is>
      </c>
    </row>
    <row r="4">
      <c r="A4" s="9" t="inlineStr">
        <is>
          <t>What the card covers</t>
        </is>
      </c>
      <c r="B4" s="10" t="inlineStr">
        <is>
          <t>All segments</t>
        </is>
      </c>
    </row>
    <row r="6">
      <c r="A6" s="4" t="inlineStr">
        <is>
          <t>Revenue by month (Rs)</t>
        </is>
      </c>
      <c r="B6" s="4" t="inlineStr">
        <is>
          <t>Apr</t>
        </is>
      </c>
      <c r="C6" s="4" t="inlineStr">
        <is>
          <t>May</t>
        </is>
      </c>
      <c r="D6" s="4" t="inlineStr">
        <is>
          <t>Jun</t>
        </is>
      </c>
      <c r="E6" s="4" t="inlineStr">
        <is>
          <t>Jul</t>
        </is>
      </c>
      <c r="F6" s="4" t="inlineStr">
        <is>
          <t>Aug</t>
        </is>
      </c>
      <c r="G6" s="4" t="inlineStr">
        <is>
          <t>Sep</t>
        </is>
      </c>
      <c r="H6" s="4" t="inlineStr">
        <is>
          <t>Q1 total</t>
        </is>
      </c>
      <c r="I6" s="21" t="inlineStr">
        <is>
          <t>Q2 total</t>
        </is>
      </c>
    </row>
    <row r="7">
      <c r="A7" t="inlineStr">
        <is>
          <t>Business</t>
        </is>
      </c>
      <c r="B7" s="8">
        <f>SUMIFS(Raw!$M$2:$M$1451,Raw!$C$2:$C$1451,$A7,Raw!$J$2:$J$1451,202604)</f>
        <v/>
      </c>
      <c r="C7" s="8">
        <f>SUMIFS(Raw!$M$2:$M$1451,Raw!$C$2:$C$1451,$A7,Raw!$J$2:$J$1451,202605)</f>
        <v/>
      </c>
      <c r="D7" s="8">
        <f>SUMIFS(Raw!$M$2:$M$1451,Raw!$C$2:$C$1451,$A7,Raw!$J$2:$J$1451,202606)</f>
        <v/>
      </c>
      <c r="E7" s="8">
        <f>SUMIFS(Raw!$M$2:$M$1451,Raw!$C$2:$C$1451,$A7,Raw!$J$2:$J$1451,202607)</f>
        <v/>
      </c>
      <c r="F7" s="8">
        <f>SUMIFS(Raw!$M$2:$M$1451,Raw!$C$2:$C$1451,$A7,Raw!$J$2:$J$1451,202608)</f>
        <v/>
      </c>
      <c r="G7" s="8">
        <f>SUMIFS(Raw!$M$2:$M$1451,Raw!$C$2:$C$1451,$A7,Raw!$J$2:$J$1451,202609)</f>
        <v/>
      </c>
      <c r="H7" s="8">
        <f>SUM(B7:D7)</f>
        <v/>
      </c>
      <c r="I7" s="8">
        <f>SUM(E7:G7)</f>
        <v/>
      </c>
    </row>
    <row r="8">
      <c r="A8" t="inlineStr">
        <is>
          <t>Retail-Core</t>
        </is>
      </c>
      <c r="B8" s="8">
        <f>SUMIFS(Raw!$M$2:$M$1451,Raw!$C$2:$C$1451,$A8,Raw!$J$2:$J$1451,202604)</f>
        <v/>
      </c>
      <c r="C8" s="8">
        <f>SUMIFS(Raw!$M$2:$M$1451,Raw!$C$2:$C$1451,$A8,Raw!$J$2:$J$1451,202605)</f>
        <v/>
      </c>
      <c r="D8" s="8">
        <f>SUMIFS(Raw!$M$2:$M$1451,Raw!$C$2:$C$1451,$A8,Raw!$J$2:$J$1451,202606)</f>
        <v/>
      </c>
      <c r="E8" s="8">
        <f>SUMIFS(Raw!$M$2:$M$1451,Raw!$C$2:$C$1451,$A8,Raw!$J$2:$J$1451,202607)</f>
        <v/>
      </c>
      <c r="F8" s="8">
        <f>SUMIFS(Raw!$M$2:$M$1451,Raw!$C$2:$C$1451,$A8,Raw!$J$2:$J$1451,202608)</f>
        <v/>
      </c>
      <c r="G8" s="8">
        <f>SUMIFS(Raw!$M$2:$M$1451,Raw!$C$2:$C$1451,$A8,Raw!$J$2:$J$1451,202609)</f>
        <v/>
      </c>
      <c r="H8" s="8">
        <f>SUM(B8:D8)</f>
        <v/>
      </c>
      <c r="I8" s="8">
        <f>SUM(E8:G8)</f>
        <v/>
      </c>
    </row>
    <row r="9">
      <c r="A9" t="inlineStr">
        <is>
          <t>Retail-Plus</t>
        </is>
      </c>
      <c r="B9" s="8">
        <f>SUMIFS(Raw!$M$2:$M$1451,Raw!$C$2:$C$1451,$A9,Raw!$J$2:$J$1451,202604)</f>
        <v/>
      </c>
      <c r="C9" s="8">
        <f>SUMIFS(Raw!$M$2:$M$1451,Raw!$C$2:$C$1451,$A9,Raw!$J$2:$J$1451,202605)</f>
        <v/>
      </c>
      <c r="D9" s="8">
        <f>SUMIFS(Raw!$M$2:$M$1451,Raw!$C$2:$C$1451,$A9,Raw!$J$2:$J$1451,202606)</f>
        <v/>
      </c>
      <c r="E9" s="8">
        <f>SUMIFS(Raw!$M$2:$M$1451,Raw!$C$2:$C$1451,$A9,Raw!$J$2:$J$1451,202607)</f>
        <v/>
      </c>
      <c r="F9" s="8">
        <f>SUMIFS(Raw!$M$2:$M$1451,Raw!$C$2:$C$1451,$A9,Raw!$J$2:$J$1451,202608)</f>
        <v/>
      </c>
      <c r="G9" s="8">
        <f>SUMIFS(Raw!$M$2:$M$1451,Raw!$C$2:$C$1451,$A9,Raw!$J$2:$J$1451,202609)</f>
        <v/>
      </c>
      <c r="H9" s="8">
        <f>SUM(B9:D9)</f>
        <v/>
      </c>
      <c r="I9" s="8">
        <f>SUM(E9:G9)</f>
        <v/>
      </c>
    </row>
    <row r="10">
      <c r="A10" t="inlineStr">
        <is>
          <t>Student</t>
        </is>
      </c>
      <c r="B10" s="8">
        <f>SUMIFS(Raw!$M$2:$M$1451,Raw!$C$2:$C$1451,$A10,Raw!$J$2:$J$1451,202604)</f>
        <v/>
      </c>
      <c r="C10" s="8">
        <f>SUMIFS(Raw!$M$2:$M$1451,Raw!$C$2:$C$1451,$A10,Raw!$J$2:$J$1451,202605)</f>
        <v/>
      </c>
      <c r="D10" s="8">
        <f>SUMIFS(Raw!$M$2:$M$1451,Raw!$C$2:$C$1451,$A10,Raw!$J$2:$J$1451,202606)</f>
        <v/>
      </c>
      <c r="E10" s="8">
        <f>SUMIFS(Raw!$M$2:$M$1451,Raw!$C$2:$C$1451,$A10,Raw!$J$2:$J$1451,202607)</f>
        <v/>
      </c>
      <c r="F10" s="8">
        <f>SUMIFS(Raw!$M$2:$M$1451,Raw!$C$2:$C$1451,$A10,Raw!$J$2:$J$1451,202608)</f>
        <v/>
      </c>
      <c r="G10" s="8">
        <f>SUMIFS(Raw!$M$2:$M$1451,Raw!$C$2:$C$1451,$A10,Raw!$J$2:$J$1451,202609)</f>
        <v/>
      </c>
      <c r="H10" s="8">
        <f>SUM(B10:D10)</f>
        <v/>
      </c>
      <c r="I10" s="8">
        <f>SUM(E10:G10)</f>
        <v/>
      </c>
    </row>
    <row r="11">
      <c r="A11" s="9" t="inlineStr">
        <is>
          <t>All segments</t>
        </is>
      </c>
      <c r="B11" s="8">
        <f>SUM(B7:B10)</f>
        <v/>
      </c>
      <c r="C11" s="8">
        <f>SUM(C7:C10)</f>
        <v/>
      </c>
      <c r="D11" s="8">
        <f>SUM(D7:D10)</f>
        <v/>
      </c>
      <c r="E11" s="8">
        <f>SUM(E7:E10)</f>
        <v/>
      </c>
      <c r="F11" s="8">
        <f>SUM(F7:F10)</f>
        <v/>
      </c>
      <c r="G11" s="8">
        <f>SUM(G7:G10)</f>
        <v/>
      </c>
      <c r="H11" s="8">
        <f>SUM(B11:D11)</f>
        <v/>
      </c>
      <c r="I11" s="8">
        <f>SUM(E11:G11)</f>
        <v/>
      </c>
    </row>
    <row r="12">
      <c r="A12" s="9" t="inlineStr">
        <is>
          <t>The card's scope</t>
        </is>
      </c>
      <c r="B12" s="22">
        <f>IF($B$4="All segments",B11,IF($B$4="All except Business",B11-B7,INDEX(B7:B10,MATCH($B$4,$A$7:$A$10,0))))</f>
        <v/>
      </c>
      <c r="C12" s="22">
        <f>IF($B$4="All segments",C11,IF($B$4="All except Business",C11-C7,INDEX(C7:C10,MATCH($B$4,$A$7:$A$10,0))))</f>
        <v/>
      </c>
      <c r="D12" s="22">
        <f>IF($B$4="All segments",D11,IF($B$4="All except Business",D11-D7,INDEX(D7:D10,MATCH($B$4,$A$7:$A$10,0))))</f>
        <v/>
      </c>
      <c r="E12" s="22">
        <f>IF($B$4="All segments",E11,IF($B$4="All except Business",E11-E7,INDEX(E7:E10,MATCH($B$4,$A$7:$A$10,0))))</f>
        <v/>
      </c>
      <c r="F12" s="22">
        <f>IF($B$4="All segments",F11,IF($B$4="All except Business",F11-F7,INDEX(F7:F10,MATCH($B$4,$A$7:$A$10,0))))</f>
        <v/>
      </c>
      <c r="G12" s="22">
        <f>IF($B$4="All segments",G11,IF($B$4="All except Business",G11-G7,INDEX(G7:G10,MATCH($B$4,$A$7:$A$10,0))))</f>
        <v/>
      </c>
      <c r="H12" s="8">
        <f>SUM(B12:D12)</f>
        <v/>
      </c>
      <c r="I12" s="8">
        <f>SUM(E12:G12)</f>
        <v/>
      </c>
    </row>
    <row r="14">
      <c r="A14" s="9" t="inlineStr">
        <is>
          <t>The number</t>
        </is>
      </c>
      <c r="B14">
        <f>IF(ABS((I12))&gt;=10000000,"Rs "&amp;TEXT((I12)/10000000,"0.00")&amp;" crore",IF(ABS((I12))&gt;=100000,"Rs "&amp;TEXT((I12)/100000,"0.00")&amp;" lakh","Rs "&amp;IF(ROUND((I12),0)&gt;=100000,INT(ROUND((I12),0)/100000)&amp;","&amp;TEXT(INT(MOD(ROUND((I12),0),100000)/1000),"00")&amp;","&amp;TEXT(MOD(ROUND((I12),0),1000),"000"),IF(ROUND((I12),0)&gt;=1000,INT(ROUND((I12),0)/1000)&amp;","&amp;TEXT(MOD(ROUND((I12),0),1000),"000"),ROUND((I12),0)&amp;""))))</f>
        <v/>
      </c>
    </row>
    <row r="15">
      <c r="A15" s="9" t="inlineStr">
        <is>
          <t>The period</t>
        </is>
      </c>
      <c r="B15" t="inlineStr">
        <is>
          <t>Q2, July to September 2026</t>
        </is>
      </c>
    </row>
    <row r="16">
      <c r="A16" s="9" t="inlineStr">
        <is>
          <t>The comparison</t>
        </is>
      </c>
      <c r="B16">
        <f>IF(H12=0,"no Q1 figure to compare",IF(I12&lt;H12,"down ","up ")&amp;TEXT(ABS(I12-H12)/H12*100,"0.0")&amp;" percent on Q1, April to June 2026 ("&amp;IF(ABS((H12))&gt;=10000000,"Rs "&amp;TEXT((H12)/10000000,"0.00")&amp;" crore",IF(ABS((H12))&gt;=100000,"Rs "&amp;TEXT((H12)/100000,"0.00")&amp;" lakh","Rs "&amp;IF(ROUND((H12),0)&gt;=100000,INT(ROUND((H12),0)/100000)&amp;","&amp;TEXT(INT(MOD(ROUND((H12),0),100000)/1000),"00")&amp;","&amp;TEXT(MOD(ROUND((H12),0),1000),"000"),IF(ROUND((H12),0)&gt;=1000,INT(ROUND((H12),0)/1000)&amp;","&amp;TEXT(MOD(ROUND((H12),0),1000),"000"),ROUND((H12),0)&amp;""))))&amp;")")</f>
        <v/>
      </c>
    </row>
    <row r="17">
      <c r="A17" s="9" t="inlineStr">
        <is>
          <t>The denominator</t>
        </is>
      </c>
      <c r="B17">
        <f>TEXT(I12/I11*100,"0.0")&amp;" percent of company revenue in Q2"</f>
        <v/>
      </c>
    </row>
    <row r="18" ht="30" customHeight="1">
      <c r="A18" s="15" t="inlineStr">
        <is>
          <t>The check</t>
        </is>
      </c>
      <c r="B18" s="2">
        <f>IF(ABS(H11+I11-Tree!C5)&lt;1,"The card reconciles to the warehouse.","The card does not reconcile: its two quarters sum to "&amp;IF(ABS((H11+I11))&gt;=10000000,"Rs "&amp;TEXT((H11+I11)/10000000,"0.00")&amp;" crore",IF(ABS((H11+I11))&gt;=100000,"Rs "&amp;TEXT((H11+I11)/100000,"0.00")&amp;" lakh","Rs "&amp;IF(ROUND((H11+I11),0)&gt;=100000,INT(ROUND((H11+I11),0)/100000)&amp;","&amp;TEXT(INT(MOD(ROUND((H11+I11),0),100000)/1000),"00")&amp;","&amp;TEXT(MOD(ROUND((H11+I11),0),1000),"000"),IF(ROUND((H11+I11),0)&gt;=1000,INT(ROUND((H11+I11),0)/1000)&amp;","&amp;TEXT(MOD(ROUND((H11+I11),0),1000),"000"),ROUND((H11+I11),0)&amp;""))))&amp;" against the warehouse's "&amp;IF(ABS((Tree!C5))&gt;=10000000,"Rs "&amp;TEXT((Tree!C5)/10000000,"0.00")&amp;" crore",IF(ABS((Tree!C5))&gt;=100000,"Rs "&amp;TEXT((Tree!C5)/100000,"0.00")&amp;" lakh","Rs "&amp;IF(ROUND((Tree!C5),0)&gt;=100000,INT(ROUND((Tree!C5),0)/100000)&amp;","&amp;TEXT(INT(MOD(ROUND((Tree!C5),0),100000)/1000),"00")&amp;","&amp;TEXT(MOD(ROUND((Tree!C5),0),1000),"000"),IF(ROUND((Tree!C5),0)&gt;=1000,INT(ROUND((Tree!C5),0)/1000)&amp;","&amp;TEXT(MOD(ROUND((Tree!C5),0),1000),"000"),ROUND((Tree!C5),0)&amp;""))))&amp;".")</f>
        <v/>
      </c>
    </row>
    <row r="20" ht="40" customHeight="1">
      <c r="A20" s="16" t="inlineStr">
        <is>
          <t>The card</t>
        </is>
      </c>
      <c r="B20" s="6">
        <f>IF(ABS(H11+I11-Tree!C5)&gt;=1,"Hold the card: it is built on a count that does not reconcile to the warehouse.",B4&amp;", "&amp;B15&amp;": "&amp;B14&amp;", "&amp;B16&amp;"; "&amp;B17&amp;".")</f>
        <v/>
      </c>
      <c r="C20" s="17" t="n"/>
      <c r="D20" s="17" t="n"/>
      <c r="E20" s="17" t="n"/>
      <c r="F20" s="17" t="n"/>
      <c r="G20" s="17" t="n"/>
      <c r="H20" s="17" t="n"/>
      <c r="I20" s="18" t="n"/>
    </row>
  </sheetData>
  <mergeCells count="2">
    <mergeCell ref="B18:I18"/>
    <mergeCell ref="B20:I20"/>
  </mergeCells>
  <dataValidations count="1">
    <dataValidation sqref="B4" showDropDown="0" showInputMessage="0" showErrorMessage="0" allowBlank="0" type="list">
      <formula1>"All segments,All except Business,Business,Retail-Core,Retail-Plus,Student"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2026-09-29T18:40:30Z</dcterms:created>
  <dcterms:modified xmlns:dcterms="http://purl.org/dc/terms/" xmlns:xsi="http://www.w3.org/2001/XMLSchema-instance" xsi:type="dcterms:W3CDTF">2026-09-29T18:40:30Z</dcterms:modified>
</cp:coreProperties>
</file>