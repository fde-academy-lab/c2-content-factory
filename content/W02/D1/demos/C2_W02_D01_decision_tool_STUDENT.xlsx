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Customers" sheetId="2" state="visible" r:id="rId2"/>
    <sheet xmlns:r="http://schemas.openxmlformats.org/officeDocument/2006/relationships" name="Division" sheetId="3" state="visible" r:id="rId3"/>
    <sheet xmlns:r="http://schemas.openxmlformats.org/officeDocument/2006/relationships" name="Average" sheetId="4" state="visible" r:id="rId4"/>
    <sheet xmlns:r="http://schemas.openxmlformats.org/officeDocument/2006/relationships" name="Sample" sheetId="5" state="visible" r:id="rId5"/>
    <sheet xmlns:r="http://schemas.openxmlformats.org/officeDocument/2006/relationships" name="Expor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Georgia"/>
      <color rgb="001A0F5C"/>
      <sz val="16"/>
    </font>
    <font>
      <i val="1"/>
      <color rgb="006B6690"/>
    </font>
    <font>
      <b val="1"/>
      <color rgb="00FFFFFF"/>
    </font>
    <font>
      <b val="1"/>
      <color rgb="001A0F5C"/>
    </font>
    <font>
      <b val="1"/>
      <color rgb="001A0F5C"/>
      <sz val="12"/>
    </font>
  </fonts>
  <fills count="5">
    <fill>
      <patternFill/>
    </fill>
    <fill>
      <patternFill patternType="gray125"/>
    </fill>
    <fill>
      <patternFill patternType="solid">
        <fgColor rgb="001A0F5C"/>
      </patternFill>
    </fill>
    <fill>
      <patternFill patternType="solid">
        <fgColor rgb="00FFF4C2"/>
      </patternFill>
    </fill>
    <fill>
      <patternFill patternType="solid">
        <fgColor rgb="00EEEAFB"/>
      </patternFill>
    </fill>
  </fills>
  <borders count="2">
    <border>
      <left/>
      <right/>
      <top/>
      <bottom/>
      <diagonal/>
    </border>
    <border>
      <left style="thin">
        <color rgb="00CFC9EE"/>
      </left>
      <right style="thin">
        <color rgb="00CFC9EE"/>
      </right>
      <top style="thin">
        <color rgb="00CFC9EE"/>
      </top>
      <bottom style="thin">
        <color rgb="00CFC9EE"/>
      </bottom>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pivotButton="0" quotePrefix="0" xfId="0"/>
    <xf numFmtId="0" fontId="4" fillId="0" borderId="0" pivotButton="0" quotePrefix="0" xfId="0"/>
    <xf numFmtId="0" fontId="0" fillId="3" borderId="1" pivotButton="0" quotePrefix="0" xfId="0"/>
    <xf numFmtId="0" fontId="5" fillId="0" borderId="0" pivotButton="0" quotePrefix="0" xfId="0"/>
    <xf numFmtId="0"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1" t="inlineStr">
        <is>
          <t>Which four decisions stand behind the Retail-Plus line of Anand's sheet?</t>
        </is>
      </c>
    </row>
    <row r="3">
      <c r="A3" s="2" t="inlineStr">
        <is>
          <t>Kalpa Retail, Week 2, Monday. Four decisions behind the Retail-Plus line of Anand's sheet, one tab each, and an Export tab that assembles the line.</t>
        </is>
      </c>
    </row>
    <row r="4">
      <c r="A4" s="2" t="inlineStr">
        <is>
          <t>Yellow cells are inputs; every other number and sentence is a live formula. The figures are the warehouse's own results from the day's queries.</t>
        </is>
      </c>
    </row>
    <row r="5">
      <c r="A5" s="2" t="inlineStr">
        <is>
          <t>Each tab carries one planted defect in one formula. Read the tab's check line first, find the cell, fix it, and watch the verdict change.</t>
        </is>
      </c>
    </row>
    <row r="6">
      <c r="A6" s="2" t="inlineStr">
        <is>
          <t>The Export tab releases the line for Anand only when all four tabs pass their checks, so fixing one tab does not clear it.</t>
        </is>
      </c>
    </row>
    <row r="7">
      <c r="A7" s="2" t="inlineStr">
        <is>
          <t>Customers asks which count is a customer. Division asks how often each segment's customers ordered, with the fraction kept. Average asks who is inside the average spend per member. Sample asks whether the analyst can rerun your five orders.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22" customWidth="1" min="2" max="2"/>
    <col width="18" customWidth="1" min="3" max="3"/>
    <col width="22" customWidth="1" min="4" max="4"/>
    <col width="22" customWidth="1" min="5" max="5"/>
    <col width="60" customWidth="1" min="6" max="6"/>
  </cols>
  <sheetData>
    <row r="1">
      <c r="A1" s="1" t="inlineStr">
        <is>
          <t>Which count is a customer?</t>
        </is>
      </c>
    </row>
    <row r="2">
      <c r="A2" s="3" t="inlineStr">
        <is>
          <t>Retail-Plus in Q2, counted three ways. Orders per customer is only as honest as the count under it.</t>
        </is>
      </c>
    </row>
    <row r="4">
      <c r="A4" s="4" t="inlineStr">
        <is>
          <t>Count</t>
        </is>
      </c>
      <c r="B4" s="4" t="inlineStr">
        <is>
          <t>Value</t>
        </is>
      </c>
      <c r="C4" s="4" t="inlineStr">
        <is>
          <t>What it counts</t>
        </is>
      </c>
    </row>
    <row r="5">
      <c r="A5" t="inlineStr">
        <is>
          <t>count(*) over the orders</t>
        </is>
      </c>
      <c r="B5" t="n">
        <v>140</v>
      </c>
      <c r="C5" t="inlineStr">
        <is>
          <t>order rows</t>
        </is>
      </c>
    </row>
    <row r="6">
      <c r="A6" t="inlineStr">
        <is>
          <t>count(DISTINCT customer_id)</t>
        </is>
      </c>
      <c r="B6" t="n">
        <v>76</v>
      </c>
      <c r="C6" t="inlineStr">
        <is>
          <t>members who bought</t>
        </is>
      </c>
    </row>
    <row r="7">
      <c r="A7" t="inlineStr">
        <is>
          <t>the customers table</t>
        </is>
      </c>
      <c r="B7" t="n">
        <v>120</v>
      </c>
      <c r="C7" t="inlineStr">
        <is>
          <t>members on the book</t>
        </is>
      </c>
    </row>
    <row r="9">
      <c r="A9" t="inlineStr">
        <is>
          <t>Orders in Q2</t>
        </is>
      </c>
      <c r="B9">
        <f>B5</f>
        <v/>
      </c>
    </row>
    <row r="10">
      <c r="A10" s="5" t="inlineStr">
        <is>
          <t>Your definition of a customer</t>
        </is>
      </c>
      <c r="B10" s="6" t="inlineStr">
        <is>
          <t>members who bought</t>
        </is>
      </c>
    </row>
    <row r="11">
      <c r="A11" t="inlineStr">
        <is>
          <t>Customers under the ratio</t>
        </is>
      </c>
      <c r="B11">
        <f>INDEX(B5:B7,MATCH(B10,C5:C7,0))</f>
        <v/>
      </c>
    </row>
    <row r="12">
      <c r="A12" t="inlineStr">
        <is>
          <t>Orders per customer</t>
        </is>
      </c>
      <c r="B12">
        <f>ROUND(B9/B5,2)</f>
        <v/>
      </c>
    </row>
    <row r="13">
      <c r="A13" s="5" t="inlineStr">
        <is>
          <t>The check</t>
        </is>
      </c>
      <c r="B13" s="2">
        <f>IF(ABS(ROUND(B12*B11,0)-B9)&lt;=1,"Orders per customer times the customers gives the orders.","Orders per customer times the chosen customers does not give the orders: the ratio divides by the wrong count. Fix it first.")</f>
        <v/>
      </c>
    </row>
    <row r="15">
      <c r="A15" s="7" t="inlineStr">
        <is>
          <t>Verdict</t>
        </is>
      </c>
      <c r="B15" s="8">
        <f>IF(ABS(ROUND(B12*B11,0)-B9)&gt;1,"Fix the ratio that divides by the wrong count before any number leaves the team.",IF(B10="order rows","Every member ordered exactly once: counting rows as customers erases the frequency branch.",IF(B10="members who bought","Retail-Plus, Q2: "&amp;B11&amp;" members bought, "&amp;TEXT(B12,"0.00")&amp;" orders each.","Retail-Plus, Q2: "&amp;TEXT(B12,"0.00")&amp;" orders per member on the book, which answers how often Kalpa's members order, whether or not they bought.")))</f>
        <v/>
      </c>
    </row>
    <row r="16">
      <c r="A16" s="3" t="inlineStr">
        <is>
          <t>Fixed, for the Export tab</t>
        </is>
      </c>
      <c r="B16">
        <f>IF(AND(B12=ROUND(B9/B11,2),B10&lt;&gt;"order rows"),1,0)</f>
        <v/>
      </c>
    </row>
  </sheetData>
  <dataValidations count="1">
    <dataValidation sqref="B10" showDropDown="0" showInputMessage="0" showErrorMessage="0" allowBlank="0" type="list">
      <formula1>"order rows,members who bought,members on the book"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22" customWidth="1" min="2" max="2"/>
    <col width="18" customWidth="1" min="3" max="3"/>
    <col width="22" customWidth="1" min="4" max="4"/>
    <col width="22" customWidth="1" min="5" max="5"/>
    <col width="60" customWidth="1" min="6" max="6"/>
  </cols>
  <sheetData>
    <row r="1">
      <c r="A1" s="1" t="inlineStr">
        <is>
          <t>How often did each segment's customers order, with the fraction kept?</t>
        </is>
      </c>
    </row>
    <row r="2">
      <c r="A2" s="3" t="inlineStr">
        <is>
          <t>Orders per customer for every segment and quarter, as Postgres prints it in integers and as it really is.</t>
        </is>
      </c>
    </row>
    <row r="4">
      <c r="A4" s="4" t="inlineStr">
        <is>
          <t>Segment</t>
        </is>
      </c>
      <c r="B4" s="4" t="inlineStr">
        <is>
          <t>Quarter</t>
        </is>
      </c>
      <c r="C4" s="4" t="inlineStr">
        <is>
          <t>Orders</t>
        </is>
      </c>
      <c r="D4" s="4" t="inlineStr">
        <is>
          <t>Customers</t>
        </is>
      </c>
      <c r="E4" s="4" t="inlineStr">
        <is>
          <t>Integers</t>
        </is>
      </c>
      <c r="F4" s="4" t="inlineStr">
        <is>
          <t>Honest, 2 places</t>
        </is>
      </c>
    </row>
    <row r="5">
      <c r="A5" t="inlineStr">
        <is>
          <t>Business</t>
        </is>
      </c>
      <c r="B5" t="inlineStr">
        <is>
          <t>Q1</t>
        </is>
      </c>
      <c r="C5" t="n">
        <v>97</v>
      </c>
      <c r="D5" t="n">
        <v>36</v>
      </c>
      <c r="E5">
        <f>INT(C5/D5)</f>
        <v/>
      </c>
      <c r="F5">
        <f>INT(C5/D5)</f>
        <v/>
      </c>
    </row>
    <row r="6">
      <c r="A6" t="inlineStr">
        <is>
          <t>Business</t>
        </is>
      </c>
      <c r="B6" t="inlineStr">
        <is>
          <t>Q2</t>
        </is>
      </c>
      <c r="C6" t="n">
        <v>91</v>
      </c>
      <c r="D6" t="n">
        <v>35</v>
      </c>
      <c r="E6">
        <f>INT(C6/D6)</f>
        <v/>
      </c>
      <c r="F6">
        <f>INT(C6/D6)</f>
        <v/>
      </c>
    </row>
    <row r="7">
      <c r="A7" t="inlineStr">
        <is>
          <t>Retail-Core</t>
        </is>
      </c>
      <c r="B7" t="inlineStr">
        <is>
          <t>Q1</t>
        </is>
      </c>
      <c r="C7" t="n">
        <v>199</v>
      </c>
      <c r="D7" t="n">
        <v>102</v>
      </c>
      <c r="E7">
        <f>INT(C7/D7)</f>
        <v/>
      </c>
      <c r="F7">
        <f>INT(C7/D7)</f>
        <v/>
      </c>
    </row>
    <row r="8">
      <c r="A8" t="inlineStr">
        <is>
          <t>Retail-Core</t>
        </is>
      </c>
      <c r="B8" t="inlineStr">
        <is>
          <t>Q2</t>
        </is>
      </c>
      <c r="C8" t="n">
        <v>193</v>
      </c>
      <c r="D8" t="n">
        <v>96</v>
      </c>
      <c r="E8">
        <f>INT(C8/D8)</f>
        <v/>
      </c>
      <c r="F8">
        <f>INT(C8/D8)</f>
        <v/>
      </c>
    </row>
    <row r="9">
      <c r="A9" t="inlineStr">
        <is>
          <t>Retail-Plus</t>
        </is>
      </c>
      <c r="B9" t="inlineStr">
        <is>
          <t>Q1</t>
        </is>
      </c>
      <c r="C9" t="n">
        <v>215</v>
      </c>
      <c r="D9" t="n">
        <v>91</v>
      </c>
      <c r="E9">
        <f>INT(C9/D9)</f>
        <v/>
      </c>
      <c r="F9">
        <f>INT(C9/D9)</f>
        <v/>
      </c>
    </row>
    <row r="10">
      <c r="A10" t="inlineStr">
        <is>
          <t>Retail-Plus</t>
        </is>
      </c>
      <c r="B10" t="inlineStr">
        <is>
          <t>Q2</t>
        </is>
      </c>
      <c r="C10" t="n">
        <v>140</v>
      </c>
      <c r="D10" t="n">
        <v>76</v>
      </c>
      <c r="E10">
        <f>INT(C10/D10)</f>
        <v/>
      </c>
      <c r="F10">
        <f>INT(C10/D10)</f>
        <v/>
      </c>
    </row>
    <row r="11">
      <c r="A11" t="inlineStr">
        <is>
          <t>Student</t>
        </is>
      </c>
      <c r="B11" t="inlineStr">
        <is>
          <t>Q1</t>
        </is>
      </c>
      <c r="C11" t="n">
        <v>27</v>
      </c>
      <c r="D11" t="n">
        <v>15</v>
      </c>
      <c r="E11">
        <f>INT(C11/D11)</f>
        <v/>
      </c>
      <c r="F11">
        <f>INT(C11/D11)</f>
        <v/>
      </c>
    </row>
    <row r="12">
      <c r="A12" t="inlineStr">
        <is>
          <t>Student</t>
        </is>
      </c>
      <c r="B12" t="inlineStr">
        <is>
          <t>Q2</t>
        </is>
      </c>
      <c r="C12" t="n">
        <v>38</v>
      </c>
      <c r="D12" t="n">
        <v>20</v>
      </c>
      <c r="E12">
        <f>INT(C12/D12)</f>
        <v/>
      </c>
      <c r="F12">
        <f>INT(C12/D12)</f>
        <v/>
      </c>
    </row>
    <row r="14">
      <c r="A14" t="inlineStr">
        <is>
          <t>Rows where the honest ratio does not multiply back</t>
        </is>
      </c>
      <c r="C14">
        <f>SUMPRODUCT((ABS(ROUND(F5:F12*D5:D12,0)-C5:C12)&gt;1)*1)</f>
        <v/>
      </c>
    </row>
    <row r="15">
      <c r="A15" s="5" t="inlineStr">
        <is>
          <t>The check</t>
        </is>
      </c>
      <c r="C15" s="2">
        <f>IF(C14=0,"Every honest ratio times its customers gives its orders.",C14&amp;" of 8 honest ratios do not multiply back: the honest column still divides in integers. Fix it first.")</f>
        <v/>
      </c>
    </row>
    <row r="17">
      <c r="A17" s="5" t="inlineStr">
        <is>
          <t>The segment on Anand's line</t>
        </is>
      </c>
      <c r="C17" s="6" t="inlineStr">
        <is>
          <t>Retail-Plus</t>
        </is>
      </c>
    </row>
    <row r="18">
      <c r="A18" t="inlineStr">
        <is>
          <t>Q1 honest ratio</t>
        </is>
      </c>
      <c r="C18">
        <f>SUMPRODUCT((A5:A12=C17)*(B5:B12="Q1")*F5:F12)</f>
        <v/>
      </c>
    </row>
    <row r="19">
      <c r="A19" t="inlineStr">
        <is>
          <t>Q2 honest ratio</t>
        </is>
      </c>
      <c r="C19">
        <f>SUMPRODUCT((A5:A12=C17)*(B5:B12="Q2")*F5:F12)</f>
        <v/>
      </c>
    </row>
    <row r="20">
      <c r="A20" s="7" t="inlineStr">
        <is>
          <t>Verdict</t>
        </is>
      </c>
      <c r="C20" s="8">
        <f>IF(C14&gt;0,"Fix the honest column, which still drops the fraction, before reading any ratio.",C17&amp;" frequency moved from "&amp;TEXT(C18,"0.00")&amp;" to "&amp;TEXT(C19,"0.00")&amp;", "&amp;TEXT(ABS(C19/C18-1)*100,"0.0")&amp;" percent "&amp;IF(C19&lt;C18,"down","up")&amp;".")</f>
        <v/>
      </c>
    </row>
    <row r="21">
      <c r="A21" s="3" t="inlineStr">
        <is>
          <t>Fixed, for the Export tab</t>
        </is>
      </c>
      <c r="C21">
        <f>IF(C14=0,1,0)</f>
        <v/>
      </c>
    </row>
  </sheetData>
  <dataValidations count="1">
    <dataValidation sqref="C17" showDropDown="0" showInputMessage="0" showErrorMessage="0" allowBlank="0" type="list">
      <formula1>"Business,Retail-Core,Retail-Plus,Student"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22" customWidth="1" min="2" max="2"/>
    <col width="18" customWidth="1" min="3" max="3"/>
    <col width="22" customWidth="1" min="4" max="4"/>
    <col width="22" customWidth="1" min="5" max="5"/>
    <col width="60" customWidth="1" min="6" max="6"/>
  </cols>
  <sheetData>
    <row r="1">
      <c r="A1" s="1" t="inlineStr">
        <is>
          <t>Who is inside the average spend per Retail-Plus member?</t>
        </is>
      </c>
    </row>
    <row r="2">
      <c r="A2" s="3" t="inlineStr">
        <is>
          <t>Spend per Retail-Plus member. avg skips NULLs, so a member with no Q2 order leaves the denominator unless you decide otherwise.</t>
        </is>
      </c>
    </row>
    <row r="4">
      <c r="A4" s="4" t="inlineStr">
        <is>
          <t>Measure</t>
        </is>
      </c>
      <c r="B4" s="4" t="inlineStr">
        <is>
          <t>Q1</t>
        </is>
      </c>
      <c r="C4" s="4" t="inlineStr">
        <is>
          <t>Q2</t>
        </is>
      </c>
    </row>
    <row r="5">
      <c r="A5" t="inlineStr">
        <is>
          <t>Spend, Rs</t>
        </is>
      </c>
      <c r="B5" t="n">
        <v>585770</v>
      </c>
      <c r="C5" t="n">
        <v>413380</v>
      </c>
    </row>
    <row r="6">
      <c r="A6" t="inlineStr">
        <is>
          <t>Members with a value</t>
        </is>
      </c>
      <c r="B6" t="n">
        <v>91</v>
      </c>
      <c r="C6" t="n">
        <v>76</v>
      </c>
    </row>
    <row r="7">
      <c r="A7" t="inlineStr">
        <is>
          <t>Members who bought in either quarter</t>
        </is>
      </c>
      <c r="B7" t="n">
        <v>107</v>
      </c>
      <c r="C7">
        <f>B7</f>
        <v/>
      </c>
    </row>
    <row r="9">
      <c r="A9" s="5" t="inlineStr">
        <is>
          <t>A member with no order in a quarter</t>
        </is>
      </c>
      <c r="B9" s="6" t="inlineStr">
        <is>
          <t>spent Rs 0</t>
        </is>
      </c>
    </row>
    <row r="10">
      <c r="A10" t="inlineStr">
        <is>
          <t>Denominator, Q1</t>
        </is>
      </c>
      <c r="B10">
        <f>IF(B9="spent Rs 0",B7,B6)</f>
        <v/>
      </c>
    </row>
    <row r="11">
      <c r="A11" t="inlineStr">
        <is>
          <t>Denominator, Q2</t>
        </is>
      </c>
      <c r="B11">
        <f>IF(B9="spent Rs 0",B6,C6)</f>
        <v/>
      </c>
    </row>
    <row r="12">
      <c r="A12" t="inlineStr">
        <is>
          <t>Spend per member, Q1</t>
        </is>
      </c>
      <c r="B12">
        <f>B5/B10</f>
        <v/>
      </c>
    </row>
    <row r="13">
      <c r="A13" t="inlineStr">
        <is>
          <t>Spend per member, Q2</t>
        </is>
      </c>
      <c r="B13">
        <f>C5/B11</f>
        <v/>
      </c>
    </row>
    <row r="14">
      <c r="A14" t="inlineStr">
        <is>
          <t>Change, percent</t>
        </is>
      </c>
      <c r="B14">
        <f>(B13/B12-1)*100</f>
        <v/>
      </c>
    </row>
    <row r="15">
      <c r="A15" s="5" t="inlineStr">
        <is>
          <t>The check</t>
        </is>
      </c>
      <c r="B15" s="2">
        <f>IF(OR(B9&lt;&gt;"spent Rs 0",ABS(B14-(C5/B5-1)*100)&lt;0.05),"With every member counted, spend per member moves exactly as revenue does.","The Q2 denominator is not the members who bought in either quarter, so the change and the revenue change disagree. Fix it first.")</f>
        <v/>
      </c>
    </row>
    <row r="17">
      <c r="A17" s="7" t="inlineStr">
        <is>
          <t>Verdict</t>
        </is>
      </c>
      <c r="B17" s="8">
        <f>IF(AND(B9="spent Rs 0",ABS(B14-(C5/B5-1)*100)&gt;=0.05),"Fix the Q2 denominator before quoting the average.",IF(B9="spent Rs 0","Spend per Retail-Plus member fell "&amp;TEXT(-B14,"0.0")&amp;" percent, from "&amp;"Rs "&amp;IF(ROUND(B12,0)&gt;=100000,INT(ROUND(B12,0)/100000)&amp;","&amp;TEXT(INT(MOD(ROUND(B12,0),100000)/1000),"00")&amp;","&amp;TEXT(MOD(ROUND(B12,0),1000),"000"),IF(ROUND(B12,0)&gt;=1000,INT(ROUND(B12,0)/1000)&amp;","&amp;TEXT(MOD(ROUND(B12,0),1000),"000"),ROUND(B12,0)&amp;""))&amp;" to "&amp;"Rs "&amp;IF(ROUND(B13,0)&gt;=100000,INT(ROUND(B13,0)/100000)&amp;","&amp;TEXT(INT(MOD(ROUND(B13,0),100000)/1000),"00")&amp;","&amp;TEXT(MOD(ROUND(B13,0),1000),"000"),IF(ROUND(B13,0)&gt;=1000,INT(ROUND(B13,0)/1000)&amp;","&amp;TEXT(MOD(ROUND(B13,0),1000),"000"),ROUND(B13,0)&amp;""))&amp;", with all "&amp;B7&amp;" members counted.","Spend per buying member fell "&amp;TEXT(-B14,"0.0")&amp;" percent; say it leaves out the "&amp;(B7-C6)&amp;" members with no Q2 order."))</f>
        <v/>
      </c>
    </row>
    <row r="18">
      <c r="A18" s="3" t="inlineStr">
        <is>
          <t>Fixed, for the Export tab</t>
        </is>
      </c>
      <c r="B18">
        <f>IF(AND(B9="spent Rs 0",ABS(B14-(C5/B5-1)*100)&lt;0.05),1,0)</f>
        <v/>
      </c>
    </row>
  </sheetData>
  <dataValidations count="1">
    <dataValidation sqref="B9" showDropDown="0" showInputMessage="0" showErrorMessage="0" allowBlank="0" type="list">
      <formula1>"spent Rs 0,is left out"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22" customWidth="1" min="2" max="2"/>
    <col width="18" customWidth="1" min="3" max="3"/>
    <col width="22" customWidth="1" min="4" max="4"/>
    <col width="22" customWidth="1" min="5" max="5"/>
    <col width="60" customWidth="1" min="6" max="6"/>
  </cols>
  <sheetData>
    <row r="1">
      <c r="A1" s="1" t="inlineStr">
        <is>
          <t>Can the analyst rerun your five orders?</t>
        </is>
      </c>
    </row>
    <row r="2">
      <c r="A2" s="3" t="inlineStr">
        <is>
          <t>The first eight delivered Q2 app orders by order id. A sample is reproducible only when its order is unique.</t>
        </is>
      </c>
    </row>
    <row r="4">
      <c r="A4" s="4" t="inlineStr">
        <is>
          <t>order_id</t>
        </is>
      </c>
      <c r="B4" s="4" t="inlineStr">
        <is>
          <t>amount (Rs)</t>
        </is>
      </c>
      <c r="D4" s="4" t="inlineStr">
        <is>
          <t>Order by</t>
        </is>
      </c>
      <c r="E4" s="4" t="inlineStr">
        <is>
          <t>Unique in this table?</t>
        </is>
      </c>
    </row>
    <row r="5">
      <c r="A5" t="inlineStr">
        <is>
          <t>KR-00542</t>
        </is>
      </c>
      <c r="B5" t="n">
        <v>790</v>
      </c>
      <c r="D5" t="inlineStr">
        <is>
          <t>nothing</t>
        </is>
      </c>
      <c r="E5" t="inlineStr">
        <is>
          <t>no</t>
        </is>
      </c>
    </row>
    <row r="6">
      <c r="A6" t="inlineStr">
        <is>
          <t>KR-00544</t>
        </is>
      </c>
      <c r="B6" t="n">
        <v>960</v>
      </c>
      <c r="D6" t="inlineStr">
        <is>
          <t>amount</t>
        </is>
      </c>
      <c r="E6" t="inlineStr">
        <is>
          <t>yes</t>
        </is>
      </c>
    </row>
    <row r="7">
      <c r="A7" t="inlineStr">
        <is>
          <t>KR-00545</t>
        </is>
      </c>
      <c r="B7" t="n">
        <v>680</v>
      </c>
      <c r="D7" t="inlineStr">
        <is>
          <t>order_id</t>
        </is>
      </c>
      <c r="E7" t="inlineStr">
        <is>
          <t>yes</t>
        </is>
      </c>
    </row>
    <row r="8">
      <c r="A8" t="inlineStr">
        <is>
          <t>KR-00546</t>
        </is>
      </c>
      <c r="B8" t="n">
        <v>500</v>
      </c>
    </row>
    <row r="9">
      <c r="A9" t="inlineStr">
        <is>
          <t>KR-00547</t>
        </is>
      </c>
      <c r="B9" t="n">
        <v>970</v>
      </c>
    </row>
    <row r="10">
      <c r="A10" t="inlineStr">
        <is>
          <t>KR-00549</t>
        </is>
      </c>
      <c r="B10" t="n">
        <v>970</v>
      </c>
    </row>
    <row r="11">
      <c r="A11" t="inlineStr">
        <is>
          <t>KR-00553</t>
        </is>
      </c>
      <c r="B11" t="n">
        <v>1470</v>
      </c>
    </row>
    <row r="12">
      <c r="A12" t="inlineStr">
        <is>
          <t>KR-00555</t>
        </is>
      </c>
      <c r="B12" t="n">
        <v>770</v>
      </c>
    </row>
    <row r="14">
      <c r="A14" s="5" t="inlineStr">
        <is>
          <t>Your ORDER BY</t>
        </is>
      </c>
      <c r="B14" s="6" t="inlineStr">
        <is>
          <t>order_id</t>
        </is>
      </c>
    </row>
    <row r="15">
      <c r="A15" t="inlineStr">
        <is>
          <t>Amounts shared by two orders</t>
        </is>
      </c>
      <c r="B15">
        <f>SUMPRODUCT((COUNTIF(B5:B12,B5:B12)&gt;1)*1)</f>
        <v/>
      </c>
    </row>
    <row r="16">
      <c r="A16" s="5" t="inlineStr">
        <is>
          <t>The check</t>
        </is>
      </c>
      <c r="B16" s="2">
        <f>IF(AND(E6="yes",B15&gt;0),"The table calls amount unique, and "&amp;B15&amp;" orders share an amount. Fix it first.","The uniqueness column matches the data.")</f>
        <v/>
      </c>
    </row>
    <row r="18">
      <c r="A18" s="7" t="inlineStr">
        <is>
          <t>Verdict</t>
        </is>
      </c>
      <c r="B18" s="8">
        <f>IF(AND(E6="yes",B15&gt;0),"Fix the uniqueness column before choosing an order.",IF(INDEX(E5:E7,MATCH(B14,D5:D7,0))="yes","Order by "&amp;B14&amp;", then LIMIT 5: the analyst gets the same five orders on every run.","Ordering by "&amp;B14&amp;" leaves the five free to change between runs, so the audit cannot be repeated."))</f>
        <v/>
      </c>
    </row>
    <row r="19">
      <c r="A19" s="3" t="inlineStr">
        <is>
          <t>Fixed, for the Export tab</t>
        </is>
      </c>
      <c r="B19">
        <f>IF(AND(E6="yes",B15&gt;0),0,IF(INDEX(E5:E7,MATCH(B14,D5:D7,0))="yes",1,0))</f>
        <v/>
      </c>
    </row>
  </sheetData>
  <dataValidations count="1">
    <dataValidation sqref="B14" showDropDown="0" showInputMessage="0" showErrorMessage="0" allowBlank="0" type="list">
      <formula1>"nothing,amount,order_id"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10" customWidth="1" min="2" max="2"/>
    <col width="18" customWidth="1" min="3" max="3"/>
    <col width="22" customWidth="1" min="4" max="4"/>
    <col width="22" customWidth="1" min="5" max="5"/>
    <col width="60" customWidth="1" min="6" max="6"/>
  </cols>
  <sheetData>
    <row r="1">
      <c r="A1" s="1" t="inlineStr">
        <is>
          <t>Is the Retail-Plus line ready for Anand's sheet?</t>
        </is>
      </c>
    </row>
    <row r="2">
      <c r="A2" s="3" t="inlineStr">
        <is>
          <t>Released only when every tab's check passes. Paste the line under the Retail-Plus row of the Monday sheet.</t>
        </is>
      </c>
    </row>
    <row r="4">
      <c r="A4" s="5" t="inlineStr">
        <is>
          <t>Tabs fixed</t>
        </is>
      </c>
      <c r="B4">
        <f>Customers!B16+Division!C21+Average!B18+Sample!B19</f>
        <v/>
      </c>
    </row>
    <row r="5">
      <c r="A5" s="7" t="inlineStr">
        <is>
          <t>Release</t>
        </is>
      </c>
      <c r="B5" s="8">
        <f>IF(B4=4,"Ready for Anand's sheet.","Not ready: "&amp;(4-B4)&amp;" of the four tabs still carry a defect to fix first.")</f>
        <v/>
      </c>
    </row>
    <row r="7" ht="90" customHeight="1">
      <c r="A7" s="5" t="inlineStr">
        <is>
          <t>The line for Anand</t>
        </is>
      </c>
      <c r="B7" s="2">
        <f>IF(B4=4,"Customers: "&amp;Customers!B15&amp;CHAR(10)&amp;"Frequency: "&amp;Division!C20&amp;CHAR(10)&amp;"Spend: "&amp;Average!B17&amp;CHAR(10)&amp;"Audit: "&amp;Sample!B18,"The line assembles once every tab passes its check.")</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2026-10-01T01:11:10Z</dcterms:created>
  <dcterms:modified xmlns:dcterms="http://purl.org/dc/terms/" xmlns:xsi="http://www.w3.org/2001/XMLSchema-instance" xsi:type="dcterms:W3CDTF">2026-10-01T01:11:10Z</dcterms:modified>
</cp:coreProperties>
</file>