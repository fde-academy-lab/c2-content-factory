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4</v>
      </c>
      <c r="W2" t="n">
        <v>4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5</v>
      </c>
      <c r="AD2" t="n">
        <v>5</v>
      </c>
      <c r="AE2" t="n">
        <v>6</v>
      </c>
      <c r="AF2" t="n">
        <v>6</v>
      </c>
      <c r="AG2" t="n">
        <v>6</v>
      </c>
      <c r="AH2" t="n">
        <v>6</v>
      </c>
      <c r="AI2" t="n">
        <v>6</v>
      </c>
      <c r="AJ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[S]</t>
        </is>
      </c>
      <c r="N3" t="inlineStr">
        <is>
          <t>[D]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[F]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[D]</t>
        </is>
      </c>
      <c r="X3" t="inlineStr">
        <is>
          <t>[F]</t>
        </is>
      </c>
      <c r="Y3" t="inlineStr">
        <is>
          <t>[F]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[S]</t>
        </is>
      </c>
      <c r="AG3" t="inlineStr">
        <is>
          <t>[S]</t>
        </is>
      </c>
      <c r="AH3" t="inlineStr">
        <is>
          <t>[F]</t>
        </is>
      </c>
      <c r="AI3" t="inlineStr">
        <is>
          <t>[F]</t>
        </is>
      </c>
      <c r="AJ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Hard</t>
        </is>
      </c>
      <c r="E5" t="inlineStr">
        <is>
          <t>[F]</t>
        </is>
      </c>
      <c r="F5" t="inlineStr">
        <is>
          <t>It prints 2 and 1. The true figures are 2.36 and 1.84, a fall of about 22 percent.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Order the steps</t>
        </is>
      </c>
      <c r="D6" t="inlineStr">
        <is>
          <t>Medium</t>
        </is>
      </c>
      <c r="E6" t="inlineStr">
        <is>
          <t>[S]</t>
        </is>
      </c>
      <c r="F6" t="inlineStr">
        <is>
          <t>c, b, e, f, a, 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[F]</t>
        </is>
      </c>
      <c r="F7" t="inlineStr">
        <is>
          <t>d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Fill in the blank</t>
        </is>
      </c>
      <c r="D8" t="inlineStr">
        <is>
          <t>Easy</t>
        </is>
      </c>
      <c r="E8" t="inlineStr">
        <is>
          <t>[S]</t>
        </is>
      </c>
      <c r="F8" t="inlineStr">
        <is>
          <t>b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Medium</t>
        </is>
      </c>
      <c r="E9" t="inlineStr">
        <is>
          <t>[D]</t>
        </is>
      </c>
      <c r="F9" t="inlineStr">
        <is>
          <t>b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b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e, f, b, c,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Scenario set</t>
        </is>
      </c>
      <c r="D16" t="inlineStr">
        <is>
          <t>Hard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Scenario set</t>
        </is>
      </c>
      <c r="D17" t="inlineStr">
        <is>
          <t>Medium</t>
        </is>
      </c>
      <c r="E17" t="inlineStr">
        <is>
          <t>[D]</t>
        </is>
      </c>
      <c r="F17" t="inlineStr">
        <is>
          <t>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b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c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a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Medium</t>
        </is>
      </c>
      <c r="E21" t="inlineStr">
        <is>
          <t>[F]</t>
        </is>
      </c>
      <c r="F21" t="inlineStr">
        <is>
          <t>346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Medium</t>
        </is>
      </c>
      <c r="E22" t="inlineStr">
        <is>
          <t>[F]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a, 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One correct option</t>
        </is>
      </c>
      <c r="D25" t="inlineStr">
        <is>
          <t>Hard</t>
        </is>
      </c>
      <c r="E25" t="inlineStr">
        <is>
          <t>[S]</t>
        </is>
      </c>
      <c r="F25" t="inlineStr">
        <is>
          <t>b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One correct option</t>
        </is>
      </c>
      <c r="D26" t="inlineStr">
        <is>
          <t>Hard</t>
        </is>
      </c>
      <c r="E26" t="inlineStr">
        <is>
          <t>[D]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Match the following</t>
        </is>
      </c>
      <c r="D29" t="inlineStr">
        <is>
          <t>Medium</t>
        </is>
      </c>
      <c r="E29" t="inlineStr">
        <is>
          <t>[F]</t>
        </is>
      </c>
      <c r="F29" t="inlineStr">
        <is>
          <t>f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Match the following</t>
        </is>
      </c>
      <c r="D30" t="inlineStr">
        <is>
          <t>Medium</t>
        </is>
      </c>
      <c r="E30" t="inlineStr">
        <is>
          <t>[D]</t>
        </is>
      </c>
      <c r="F30" t="inlineStr">
        <is>
          <t>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Applied maths</t>
        </is>
      </c>
      <c r="D31" t="inlineStr">
        <is>
          <t>Hard</t>
        </is>
      </c>
      <c r="E31" t="inlineStr">
        <is>
          <t>[F]</t>
        </is>
      </c>
      <c r="F31" t="inlineStr">
        <is>
          <t>B8 returns -0.5; the six rows average 1.0; the formula understates growth by 1.5 points and turns growth into a fall.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Hard</t>
        </is>
      </c>
      <c r="E33" t="inlineStr">
        <is>
          <t>[F]</t>
        </is>
      </c>
      <c r="F33" t="inlineStr">
        <is>
          <t>2.00 dollars, about 8.5 percent of the 23.50 dollars charged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[F]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d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Hard</t>
        </is>
      </c>
      <c r="E37" t="inlineStr">
        <is>
          <t>[F]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One correct option</t>
        </is>
      </c>
      <c r="D38" t="inlineStr">
        <is>
          <t>Hard</t>
        </is>
      </c>
      <c r="E38" t="inlineStr">
        <is>
          <t>[F]</t>
        </is>
      </c>
      <c r="F38" t="inlineStr">
        <is>
          <t>a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One correct option</t>
        </is>
      </c>
      <c r="D39" t="inlineStr">
        <is>
          <t>Medium</t>
        </is>
      </c>
      <c r="E39" t="inlineStr">
        <is>
          <t>[F]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n">
        <v>1</v>
      </c>
      <c r="B8" t="inlineStr">
        <is>
          <t>Part 1. Anand's Monday numbers</t>
        </is>
      </c>
      <c r="C8">
        <f>COUNTIF(Items!$B$5:$B$39,A8)</f>
        <v/>
      </c>
      <c r="D8" s="6">
        <f>IF(SUMPRODUCT((Items!$B$5:$B$39=A8)*Items!$H$5:$H$39)=0,"",SUMPRODUCT((Items!$B$5:$B$39=A8)*Items!$G$5:$G$39)/SUMPRODUCT((Items!$B$5:$B$39=A8)*Items!$H$5:$H$39))</f>
        <v/>
      </c>
    </row>
    <row r="9">
      <c r="A9" t="n">
        <v>2</v>
      </c>
      <c r="B9" t="inlineStr">
        <is>
          <t>Part 2. Booked against collected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3</v>
      </c>
      <c r="B10" t="inlineStr">
        <is>
          <t>Part 3. The protect list and the plan line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4</v>
      </c>
      <c r="B11" t="inlineStr">
        <is>
          <t>Part 4. One row per customer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5</v>
      </c>
      <c r="B12" t="inlineStr">
        <is>
          <t>Part 5. The last mile, and spreadsheets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6</v>
      </c>
      <c r="B13" t="inlineStr">
        <is>
          <t>Part 6. Read the code, read the data: an AI team's tables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  <c r="M5" s="6">
        <f>IF(SUMPRODUCT((Marks!$B$2:$AJ$2=M$3)*ISNUMBER(Marks!$B$5:$AJ$5))=0,"",SUMPRODUCT((Marks!$B$2:$AJ$2=M$3)*(Marks!$B$5:$AJ$5=1))/SUMPRODUCT((Marks!$B$2:$AJ$2=M$3)*ISNUMBER(Marks!$B$5:$AJ$5)))</f>
        <v/>
      </c>
      <c r="N5" s="6">
        <f>IF(SUMPRODUCT((Marks!$B$2:$AJ$2=N$3)*ISNUMBER(Marks!$B$5:$AJ$5))=0,"",SUMPRODUCT((Marks!$B$2:$AJ$2=N$3)*(Marks!$B$5:$AJ$5=1))/SUMPRODUCT((Marks!$B$2:$AJ$2=N$3)*ISNUMBER(Marks!$B$5:$AJ$5)))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  <c r="M6" s="6">
        <f>IF(SUMPRODUCT((Marks!$B$2:$AJ$2=M$3)*ISNUMBER(Marks!$B$6:$AJ$6))=0,"",SUMPRODUCT((Marks!$B$2:$AJ$2=M$3)*(Marks!$B$6:$AJ$6=1))/SUMPRODUCT((Marks!$B$2:$AJ$2=M$3)*ISNUMBER(Marks!$B$6:$AJ$6)))</f>
        <v/>
      </c>
      <c r="N6" s="6">
        <f>IF(SUMPRODUCT((Marks!$B$2:$AJ$2=N$3)*ISNUMBER(Marks!$B$6:$AJ$6))=0,"",SUMPRODUCT((Marks!$B$2:$AJ$2=N$3)*(Marks!$B$6:$AJ$6=1))/SUMPRODUCT((Marks!$B$2:$AJ$2=N$3)*ISNUMBER(Marks!$B$6:$AJ$6)))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  <c r="M7" s="6">
        <f>IF(SUMPRODUCT((Marks!$B$2:$AJ$2=M$3)*ISNUMBER(Marks!$B$7:$AJ$7))=0,"",SUMPRODUCT((Marks!$B$2:$AJ$2=M$3)*(Marks!$B$7:$AJ$7=1))/SUMPRODUCT((Marks!$B$2:$AJ$2=M$3)*ISNUMBER(Marks!$B$7:$AJ$7)))</f>
        <v/>
      </c>
      <c r="N7" s="6">
        <f>IF(SUMPRODUCT((Marks!$B$2:$AJ$2=N$3)*ISNUMBER(Marks!$B$7:$AJ$7))=0,"",SUMPRODUCT((Marks!$B$2:$AJ$2=N$3)*(Marks!$B$7:$AJ$7=1))/SUMPRODUCT((Marks!$B$2:$AJ$2=N$3)*ISNUMBER(Marks!$B$7:$AJ$7)))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  <c r="M8" s="6">
        <f>IF(SUMPRODUCT((Marks!$B$2:$AJ$2=M$3)*ISNUMBER(Marks!$B$8:$AJ$8))=0,"",SUMPRODUCT((Marks!$B$2:$AJ$2=M$3)*(Marks!$B$8:$AJ$8=1))/SUMPRODUCT((Marks!$B$2:$AJ$2=M$3)*ISNUMBER(Marks!$B$8:$AJ$8)))</f>
        <v/>
      </c>
      <c r="N8" s="6">
        <f>IF(SUMPRODUCT((Marks!$B$2:$AJ$2=N$3)*ISNUMBER(Marks!$B$8:$AJ$8))=0,"",SUMPRODUCT((Marks!$B$2:$AJ$2=N$3)*(Marks!$B$8:$AJ$8=1))/SUMPRODUCT((Marks!$B$2:$AJ$2=N$3)*ISNUMBER(Marks!$B$8:$AJ$8)))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  <c r="M9" s="6">
        <f>IF(SUMPRODUCT((Marks!$B$2:$AJ$2=M$3)*ISNUMBER(Marks!$B$9:$AJ$9))=0,"",SUMPRODUCT((Marks!$B$2:$AJ$2=M$3)*(Marks!$B$9:$AJ$9=1))/SUMPRODUCT((Marks!$B$2:$AJ$2=M$3)*ISNUMBER(Marks!$B$9:$AJ$9)))</f>
        <v/>
      </c>
      <c r="N9" s="6">
        <f>IF(SUMPRODUCT((Marks!$B$2:$AJ$2=N$3)*ISNUMBER(Marks!$B$9:$AJ$9))=0,"",SUMPRODUCT((Marks!$B$2:$AJ$2=N$3)*(Marks!$B$9:$AJ$9=1))/SUMPRODUCT((Marks!$B$2:$AJ$2=N$3)*ISNUMBER(Marks!$B$9:$AJ$9)))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  <c r="M10" s="6">
        <f>IF(SUMPRODUCT((Marks!$B$2:$AJ$2=M$3)*ISNUMBER(Marks!$B$10:$AJ$10))=0,"",SUMPRODUCT((Marks!$B$2:$AJ$2=M$3)*(Marks!$B$10:$AJ$10=1))/SUMPRODUCT((Marks!$B$2:$AJ$2=M$3)*ISNUMBER(Marks!$B$10:$AJ$10)))</f>
        <v/>
      </c>
      <c r="N10" s="6">
        <f>IF(SUMPRODUCT((Marks!$B$2:$AJ$2=N$3)*ISNUMBER(Marks!$B$10:$AJ$10))=0,"",SUMPRODUCT((Marks!$B$2:$AJ$2=N$3)*(Marks!$B$10:$AJ$10=1))/SUMPRODUCT((Marks!$B$2:$AJ$2=N$3)*ISNUMBER(Marks!$B$10:$AJ$10)))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  <c r="M11" s="6">
        <f>IF(SUMPRODUCT((Marks!$B$2:$AJ$2=M$3)*ISNUMBER(Marks!$B$11:$AJ$11))=0,"",SUMPRODUCT((Marks!$B$2:$AJ$2=M$3)*(Marks!$B$11:$AJ$11=1))/SUMPRODUCT((Marks!$B$2:$AJ$2=M$3)*ISNUMBER(Marks!$B$11:$AJ$11)))</f>
        <v/>
      </c>
      <c r="N11" s="6">
        <f>IF(SUMPRODUCT((Marks!$B$2:$AJ$2=N$3)*ISNUMBER(Marks!$B$11:$AJ$11))=0,"",SUMPRODUCT((Marks!$B$2:$AJ$2=N$3)*(Marks!$B$11:$AJ$11=1))/SUMPRODUCT((Marks!$B$2:$AJ$2=N$3)*ISNUMBER(Marks!$B$11:$AJ$11)))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  <c r="M12" s="6">
        <f>IF(SUMPRODUCT((Marks!$B$2:$AJ$2=M$3)*ISNUMBER(Marks!$B$12:$AJ$12))=0,"",SUMPRODUCT((Marks!$B$2:$AJ$2=M$3)*(Marks!$B$12:$AJ$12=1))/SUMPRODUCT((Marks!$B$2:$AJ$2=M$3)*ISNUMBER(Marks!$B$12:$AJ$12)))</f>
        <v/>
      </c>
      <c r="N12" s="6">
        <f>IF(SUMPRODUCT((Marks!$B$2:$AJ$2=N$3)*ISNUMBER(Marks!$B$12:$AJ$12))=0,"",SUMPRODUCT((Marks!$B$2:$AJ$2=N$3)*(Marks!$B$12:$AJ$12=1))/SUMPRODUCT((Marks!$B$2:$AJ$2=N$3)*ISNUMBER(Marks!$B$12:$AJ$12)))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  <c r="M13" s="6">
        <f>IF(SUMPRODUCT((Marks!$B$2:$AJ$2=M$3)*ISNUMBER(Marks!$B$13:$AJ$13))=0,"",SUMPRODUCT((Marks!$B$2:$AJ$2=M$3)*(Marks!$B$13:$AJ$13=1))/SUMPRODUCT((Marks!$B$2:$AJ$2=M$3)*ISNUMBER(Marks!$B$13:$AJ$13)))</f>
        <v/>
      </c>
      <c r="N13" s="6">
        <f>IF(SUMPRODUCT((Marks!$B$2:$AJ$2=N$3)*ISNUMBER(Marks!$B$13:$AJ$13))=0,"",SUMPRODUCT((Marks!$B$2:$AJ$2=N$3)*(Marks!$B$13:$AJ$13=1))/SUMPRODUCT((Marks!$B$2:$AJ$2=N$3)*ISNUMBER(Marks!$B$13:$AJ$13)))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  <c r="M14" s="6">
        <f>IF(SUMPRODUCT((Marks!$B$2:$AJ$2=M$3)*ISNUMBER(Marks!$B$14:$AJ$14))=0,"",SUMPRODUCT((Marks!$B$2:$AJ$2=M$3)*(Marks!$B$14:$AJ$14=1))/SUMPRODUCT((Marks!$B$2:$AJ$2=M$3)*ISNUMBER(Marks!$B$14:$AJ$14)))</f>
        <v/>
      </c>
      <c r="N14" s="6">
        <f>IF(SUMPRODUCT((Marks!$B$2:$AJ$2=N$3)*ISNUMBER(Marks!$B$14:$AJ$14))=0,"",SUMPRODUCT((Marks!$B$2:$AJ$2=N$3)*(Marks!$B$14:$AJ$14=1))/SUMPRODUCT((Marks!$B$2:$AJ$2=N$3)*ISNUMBER(Marks!$B$14:$AJ$14)))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  <c r="M15" s="6">
        <f>IF(SUMPRODUCT((Marks!$B$2:$AJ$2=M$3)*ISNUMBER(Marks!$B$15:$AJ$15))=0,"",SUMPRODUCT((Marks!$B$2:$AJ$2=M$3)*(Marks!$B$15:$AJ$15=1))/SUMPRODUCT((Marks!$B$2:$AJ$2=M$3)*ISNUMBER(Marks!$B$15:$AJ$15)))</f>
        <v/>
      </c>
      <c r="N15" s="6">
        <f>IF(SUMPRODUCT((Marks!$B$2:$AJ$2=N$3)*ISNUMBER(Marks!$B$15:$AJ$15))=0,"",SUMPRODUCT((Marks!$B$2:$AJ$2=N$3)*(Marks!$B$15:$AJ$15=1))/SUMPRODUCT((Marks!$B$2:$AJ$2=N$3)*ISNUMBER(Marks!$B$15:$AJ$15)))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  <c r="M16" s="6">
        <f>IF(SUMPRODUCT((Marks!$B$2:$AJ$2=M$3)*ISNUMBER(Marks!$B$16:$AJ$16))=0,"",SUMPRODUCT((Marks!$B$2:$AJ$2=M$3)*(Marks!$B$16:$AJ$16=1))/SUMPRODUCT((Marks!$B$2:$AJ$2=M$3)*ISNUMBER(Marks!$B$16:$AJ$16)))</f>
        <v/>
      </c>
      <c r="N16" s="6">
        <f>IF(SUMPRODUCT((Marks!$B$2:$AJ$2=N$3)*ISNUMBER(Marks!$B$16:$AJ$16))=0,"",SUMPRODUCT((Marks!$B$2:$AJ$2=N$3)*(Marks!$B$16:$AJ$16=1))/SUMPRODUCT((Marks!$B$2:$AJ$2=N$3)*ISNUMBER(Marks!$B$16:$AJ$16)))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  <c r="M17" s="6">
        <f>IF(SUMPRODUCT((Marks!$B$2:$AJ$2=M$3)*ISNUMBER(Marks!$B$17:$AJ$17))=0,"",SUMPRODUCT((Marks!$B$2:$AJ$2=M$3)*(Marks!$B$17:$AJ$17=1))/SUMPRODUCT((Marks!$B$2:$AJ$2=M$3)*ISNUMBER(Marks!$B$17:$AJ$17)))</f>
        <v/>
      </c>
      <c r="N17" s="6">
        <f>IF(SUMPRODUCT((Marks!$B$2:$AJ$2=N$3)*ISNUMBER(Marks!$B$17:$AJ$17))=0,"",SUMPRODUCT((Marks!$B$2:$AJ$2=N$3)*(Marks!$B$17:$AJ$17=1))/SUMPRODUCT((Marks!$B$2:$AJ$2=N$3)*ISNUMBER(Marks!$B$17:$AJ$17)))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  <c r="M18" s="6">
        <f>IF(SUMPRODUCT((Marks!$B$2:$AJ$2=M$3)*ISNUMBER(Marks!$B$18:$AJ$18))=0,"",SUMPRODUCT((Marks!$B$2:$AJ$2=M$3)*(Marks!$B$18:$AJ$18=1))/SUMPRODUCT((Marks!$B$2:$AJ$2=M$3)*ISNUMBER(Marks!$B$18:$AJ$18)))</f>
        <v/>
      </c>
      <c r="N18" s="6">
        <f>IF(SUMPRODUCT((Marks!$B$2:$AJ$2=N$3)*ISNUMBER(Marks!$B$18:$AJ$18))=0,"",SUMPRODUCT((Marks!$B$2:$AJ$2=N$3)*(Marks!$B$18:$AJ$18=1))/SUMPRODUCT((Marks!$B$2:$AJ$2=N$3)*ISNUMBER(Marks!$B$18:$AJ$18)))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  <c r="M19" s="6">
        <f>IF(SUMPRODUCT((Marks!$B$2:$AJ$2=M$3)*ISNUMBER(Marks!$B$19:$AJ$19))=0,"",SUMPRODUCT((Marks!$B$2:$AJ$2=M$3)*(Marks!$B$19:$AJ$19=1))/SUMPRODUCT((Marks!$B$2:$AJ$2=M$3)*ISNUMBER(Marks!$B$19:$AJ$19)))</f>
        <v/>
      </c>
      <c r="N19" s="6">
        <f>IF(SUMPRODUCT((Marks!$B$2:$AJ$2=N$3)*ISNUMBER(Marks!$B$19:$AJ$19))=0,"",SUMPRODUCT((Marks!$B$2:$AJ$2=N$3)*(Marks!$B$19:$AJ$19=1))/SUMPRODUCT((Marks!$B$2:$AJ$2=N$3)*ISNUMBER(Marks!$B$19:$AJ$19)))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  <c r="M20" s="6">
        <f>IF(SUMPRODUCT((Marks!$B$2:$AJ$2=M$3)*ISNUMBER(Marks!$B$20:$AJ$20))=0,"",SUMPRODUCT((Marks!$B$2:$AJ$2=M$3)*(Marks!$B$20:$AJ$20=1))/SUMPRODUCT((Marks!$B$2:$AJ$2=M$3)*ISNUMBER(Marks!$B$20:$AJ$20)))</f>
        <v/>
      </c>
      <c r="N20" s="6">
        <f>IF(SUMPRODUCT((Marks!$B$2:$AJ$2=N$3)*ISNUMBER(Marks!$B$20:$AJ$20))=0,"",SUMPRODUCT((Marks!$B$2:$AJ$2=N$3)*(Marks!$B$20:$AJ$20=1))/SUMPRODUCT((Marks!$B$2:$AJ$2=N$3)*ISNUMBER(Marks!$B$20:$AJ$20)))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  <c r="M21" s="6">
        <f>IF(SUMPRODUCT((Marks!$B$2:$AJ$2=M$3)*ISNUMBER(Marks!$B$21:$AJ$21))=0,"",SUMPRODUCT((Marks!$B$2:$AJ$2=M$3)*(Marks!$B$21:$AJ$21=1))/SUMPRODUCT((Marks!$B$2:$AJ$2=M$3)*ISNUMBER(Marks!$B$21:$AJ$21)))</f>
        <v/>
      </c>
      <c r="N21" s="6">
        <f>IF(SUMPRODUCT((Marks!$B$2:$AJ$2=N$3)*ISNUMBER(Marks!$B$21:$AJ$21))=0,"",SUMPRODUCT((Marks!$B$2:$AJ$2=N$3)*(Marks!$B$21:$AJ$21=1))/SUMPRODUCT((Marks!$B$2:$AJ$2=N$3)*ISNUMBER(Marks!$B$21:$AJ$21)))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  <c r="M22" s="6">
        <f>IF(SUMPRODUCT((Marks!$B$2:$AJ$2=M$3)*ISNUMBER(Marks!$B$22:$AJ$22))=0,"",SUMPRODUCT((Marks!$B$2:$AJ$2=M$3)*(Marks!$B$22:$AJ$22=1))/SUMPRODUCT((Marks!$B$2:$AJ$2=M$3)*ISNUMBER(Marks!$B$22:$AJ$22)))</f>
        <v/>
      </c>
      <c r="N22" s="6">
        <f>IF(SUMPRODUCT((Marks!$B$2:$AJ$2=N$3)*ISNUMBER(Marks!$B$22:$AJ$22))=0,"",SUMPRODUCT((Marks!$B$2:$AJ$2=N$3)*(Marks!$B$22:$AJ$22=1))/SUMPRODUCT((Marks!$B$2:$AJ$2=N$3)*ISNUMBER(Marks!$B$22:$AJ$22)))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  <c r="M23" s="6">
        <f>IF(SUMPRODUCT((Marks!$B$2:$AJ$2=M$3)*ISNUMBER(Marks!$B$23:$AJ$23))=0,"",SUMPRODUCT((Marks!$B$2:$AJ$2=M$3)*(Marks!$B$23:$AJ$23=1))/SUMPRODUCT((Marks!$B$2:$AJ$2=M$3)*ISNUMBER(Marks!$B$23:$AJ$23)))</f>
        <v/>
      </c>
      <c r="N23" s="6">
        <f>IF(SUMPRODUCT((Marks!$B$2:$AJ$2=N$3)*ISNUMBER(Marks!$B$23:$AJ$23))=0,"",SUMPRODUCT((Marks!$B$2:$AJ$2=N$3)*(Marks!$B$23:$AJ$23=1))/SUMPRODUCT((Marks!$B$2:$AJ$2=N$3)*ISNUMBER(Marks!$B$23:$AJ$23)))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  <c r="M24" s="6">
        <f>IF(SUMPRODUCT((Marks!$B$2:$AJ$2=M$3)*ISNUMBER(Marks!$B$24:$AJ$24))=0,"",SUMPRODUCT((Marks!$B$2:$AJ$2=M$3)*(Marks!$B$24:$AJ$24=1))/SUMPRODUCT((Marks!$B$2:$AJ$2=M$3)*ISNUMBER(Marks!$B$24:$AJ$24)))</f>
        <v/>
      </c>
      <c r="N24" s="6">
        <f>IF(SUMPRODUCT((Marks!$B$2:$AJ$2=N$3)*ISNUMBER(Marks!$B$24:$AJ$24))=0,"",SUMPRODUCT((Marks!$B$2:$AJ$2=N$3)*(Marks!$B$24:$AJ$24=1))/SUMPRODUCT((Marks!$B$2:$AJ$2=N$3)*ISNUMBER(Marks!$B$24:$AJ$24)))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  <c r="M25" s="6">
        <f>IF(SUMPRODUCT((Marks!$B$2:$AJ$2=M$3)*ISNUMBER(Marks!$B$25:$AJ$25))=0,"",SUMPRODUCT((Marks!$B$2:$AJ$2=M$3)*(Marks!$B$25:$AJ$25=1))/SUMPRODUCT((Marks!$B$2:$AJ$2=M$3)*ISNUMBER(Marks!$B$25:$AJ$25)))</f>
        <v/>
      </c>
      <c r="N25" s="6">
        <f>IF(SUMPRODUCT((Marks!$B$2:$AJ$2=N$3)*ISNUMBER(Marks!$B$25:$AJ$25))=0,"",SUMPRODUCT((Marks!$B$2:$AJ$2=N$3)*(Marks!$B$25:$AJ$25=1))/SUMPRODUCT((Marks!$B$2:$AJ$2=N$3)*ISNUMBER(Marks!$B$25:$AJ$25)))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  <c r="M26" s="6">
        <f>IF(SUMPRODUCT((Marks!$B$2:$AJ$2=M$3)*ISNUMBER(Marks!$B$26:$AJ$26))=0,"",SUMPRODUCT((Marks!$B$2:$AJ$2=M$3)*(Marks!$B$26:$AJ$26=1))/SUMPRODUCT((Marks!$B$2:$AJ$2=M$3)*ISNUMBER(Marks!$B$26:$AJ$26)))</f>
        <v/>
      </c>
      <c r="N26" s="6">
        <f>IF(SUMPRODUCT((Marks!$B$2:$AJ$2=N$3)*ISNUMBER(Marks!$B$26:$AJ$26))=0,"",SUMPRODUCT((Marks!$B$2:$AJ$2=N$3)*(Marks!$B$26:$AJ$26=1))/SUMPRODUCT((Marks!$B$2:$AJ$2=N$3)*ISNUMBER(Marks!$B$26:$AJ$26)))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  <c r="M27" s="6">
        <f>IF(SUMPRODUCT((Marks!$B$2:$AJ$2=M$3)*ISNUMBER(Marks!$B$27:$AJ$27))=0,"",SUMPRODUCT((Marks!$B$2:$AJ$2=M$3)*(Marks!$B$27:$AJ$27=1))/SUMPRODUCT((Marks!$B$2:$AJ$2=M$3)*ISNUMBER(Marks!$B$27:$AJ$27)))</f>
        <v/>
      </c>
      <c r="N27" s="6">
        <f>IF(SUMPRODUCT((Marks!$B$2:$AJ$2=N$3)*ISNUMBER(Marks!$B$27:$AJ$27))=0,"",SUMPRODUCT((Marks!$B$2:$AJ$2=N$3)*(Marks!$B$27:$AJ$27=1))/SUMPRODUCT((Marks!$B$2:$AJ$2=N$3)*ISNUMBER(Marks!$B$27:$AJ$27)))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  <c r="M28" s="6">
        <f>IF(SUMPRODUCT((Marks!$B$2:$AJ$2=M$3)*ISNUMBER(Marks!$B$28:$AJ$28))=0,"",SUMPRODUCT((Marks!$B$2:$AJ$2=M$3)*(Marks!$B$28:$AJ$28=1))/SUMPRODUCT((Marks!$B$2:$AJ$2=M$3)*ISNUMBER(Marks!$B$28:$AJ$28)))</f>
        <v/>
      </c>
      <c r="N28" s="6">
        <f>IF(SUMPRODUCT((Marks!$B$2:$AJ$2=N$3)*ISNUMBER(Marks!$B$28:$AJ$28))=0,"",SUMPRODUCT((Marks!$B$2:$AJ$2=N$3)*(Marks!$B$28:$AJ$28=1))/SUMPRODUCT((Marks!$B$2:$AJ$2=N$3)*ISNUMBER(Marks!$B$28:$AJ$28)))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  <c r="M29" s="6">
        <f>IF(SUMPRODUCT((Marks!$B$2:$AJ$2=M$3)*ISNUMBER(Marks!$B$29:$AJ$29))=0,"",SUMPRODUCT((Marks!$B$2:$AJ$2=M$3)*(Marks!$B$29:$AJ$29=1))/SUMPRODUCT((Marks!$B$2:$AJ$2=M$3)*ISNUMBER(Marks!$B$29:$AJ$29)))</f>
        <v/>
      </c>
      <c r="N29" s="6">
        <f>IF(SUMPRODUCT((Marks!$B$2:$AJ$2=N$3)*ISNUMBER(Marks!$B$29:$AJ$29))=0,"",SUMPRODUCT((Marks!$B$2:$AJ$2=N$3)*(Marks!$B$29:$AJ$29=1))/SUMPRODUCT((Marks!$B$2:$AJ$2=N$3)*ISNUMBER(Marks!$B$29:$AJ$29)))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  <c r="M30" s="6">
        <f>IF(SUMPRODUCT((Marks!$B$2:$AJ$2=M$3)*ISNUMBER(Marks!$B$30:$AJ$30))=0,"",SUMPRODUCT((Marks!$B$2:$AJ$2=M$3)*(Marks!$B$30:$AJ$30=1))/SUMPRODUCT((Marks!$B$2:$AJ$2=M$3)*ISNUMBER(Marks!$B$30:$AJ$30)))</f>
        <v/>
      </c>
      <c r="N30" s="6">
        <f>IF(SUMPRODUCT((Marks!$B$2:$AJ$2=N$3)*ISNUMBER(Marks!$B$30:$AJ$30))=0,"",SUMPRODUCT((Marks!$B$2:$AJ$2=N$3)*(Marks!$B$30:$AJ$30=1))/SUMPRODUCT((Marks!$B$2:$AJ$2=N$3)*ISNUMBER(Marks!$B$30:$AJ$30)))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  <c r="M31" s="6">
        <f>IF(SUMPRODUCT((Marks!$B$2:$AJ$2=M$3)*ISNUMBER(Marks!$B$31:$AJ$31))=0,"",SUMPRODUCT((Marks!$B$2:$AJ$2=M$3)*(Marks!$B$31:$AJ$31=1))/SUMPRODUCT((Marks!$B$2:$AJ$2=M$3)*ISNUMBER(Marks!$B$31:$AJ$31)))</f>
        <v/>
      </c>
      <c r="N31" s="6">
        <f>IF(SUMPRODUCT((Marks!$B$2:$AJ$2=N$3)*ISNUMBER(Marks!$B$31:$AJ$31))=0,"",SUMPRODUCT((Marks!$B$2:$AJ$2=N$3)*(Marks!$B$31:$AJ$31=1))/SUMPRODUCT((Marks!$B$2:$AJ$2=N$3)*ISNUMBER(Marks!$B$31:$AJ$31)))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  <c r="M32" s="6">
        <f>IF(SUMPRODUCT((Marks!$B$2:$AJ$2=M$3)*ISNUMBER(Marks!$B$32:$AJ$32))=0,"",SUMPRODUCT((Marks!$B$2:$AJ$2=M$3)*(Marks!$B$32:$AJ$32=1))/SUMPRODUCT((Marks!$B$2:$AJ$2=M$3)*ISNUMBER(Marks!$B$32:$AJ$32)))</f>
        <v/>
      </c>
      <c r="N32" s="6">
        <f>IF(SUMPRODUCT((Marks!$B$2:$AJ$2=N$3)*ISNUMBER(Marks!$B$32:$AJ$32))=0,"",SUMPRODUCT((Marks!$B$2:$AJ$2=N$3)*(Marks!$B$32:$AJ$32=1))/SUMPRODUCT((Marks!$B$2:$AJ$2=N$3)*ISNUMBER(Marks!$B$32:$AJ$32)))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  <c r="M33" s="6">
        <f>IF(SUMPRODUCT((Marks!$B$2:$AJ$2=M$3)*ISNUMBER(Marks!$B$33:$AJ$33))=0,"",SUMPRODUCT((Marks!$B$2:$AJ$2=M$3)*(Marks!$B$33:$AJ$33=1))/SUMPRODUCT((Marks!$B$2:$AJ$2=M$3)*ISNUMBER(Marks!$B$33:$AJ$33)))</f>
        <v/>
      </c>
      <c r="N33" s="6">
        <f>IF(SUMPRODUCT((Marks!$B$2:$AJ$2=N$3)*ISNUMBER(Marks!$B$33:$AJ$33))=0,"",SUMPRODUCT((Marks!$B$2:$AJ$2=N$3)*(Marks!$B$33:$AJ$33=1))/SUMPRODUCT((Marks!$B$2:$AJ$2=N$3)*ISNUMBER(Marks!$B$33:$AJ$33)))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  <c r="M34" s="6">
        <f>IF(SUMPRODUCT((Marks!$B$2:$AJ$2=M$3)*ISNUMBER(Marks!$B$34:$AJ$34))=0,"",SUMPRODUCT((Marks!$B$2:$AJ$2=M$3)*(Marks!$B$34:$AJ$34=1))/SUMPRODUCT((Marks!$B$2:$AJ$2=M$3)*ISNUMBER(Marks!$B$34:$AJ$34)))</f>
        <v/>
      </c>
      <c r="N34" s="6">
        <f>IF(SUMPRODUCT((Marks!$B$2:$AJ$2=N$3)*ISNUMBER(Marks!$B$34:$AJ$34))=0,"",SUMPRODUCT((Marks!$B$2:$AJ$2=N$3)*(Marks!$B$34:$AJ$34=1))/SUMPRODUCT((Marks!$B$2:$AJ$2=N$3)*ISNUMBER(Marks!$B$34:$AJ$34)))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  <c r="M35" s="6">
        <f>IF(SUMPRODUCT((Marks!$B$2:$AJ$2=M$3)*ISNUMBER(Marks!$B$35:$AJ$35))=0,"",SUMPRODUCT((Marks!$B$2:$AJ$2=M$3)*(Marks!$B$35:$AJ$35=1))/SUMPRODUCT((Marks!$B$2:$AJ$2=M$3)*ISNUMBER(Marks!$B$35:$AJ$35)))</f>
        <v/>
      </c>
      <c r="N35" s="6">
        <f>IF(SUMPRODUCT((Marks!$B$2:$AJ$2=N$3)*ISNUMBER(Marks!$B$35:$AJ$35))=0,"",SUMPRODUCT((Marks!$B$2:$AJ$2=N$3)*(Marks!$B$35:$AJ$35=1))/SUMPRODUCT((Marks!$B$2:$AJ$2=N$3)*ISNUMBER(Marks!$B$35:$AJ$35)))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  <c r="M36" s="6">
        <f>IF(SUMPRODUCT((Marks!$B$2:$AJ$2=M$3)*ISNUMBER(Marks!$B$36:$AJ$36))=0,"",SUMPRODUCT((Marks!$B$2:$AJ$2=M$3)*(Marks!$B$36:$AJ$36=1))/SUMPRODUCT((Marks!$B$2:$AJ$2=M$3)*ISNUMBER(Marks!$B$36:$AJ$36)))</f>
        <v/>
      </c>
      <c r="N36" s="6">
        <f>IF(SUMPRODUCT((Marks!$B$2:$AJ$2=N$3)*ISNUMBER(Marks!$B$36:$AJ$36))=0,"",SUMPRODUCT((Marks!$B$2:$AJ$2=N$3)*(Marks!$B$36:$AJ$36=1))/SUMPRODUCT((Marks!$B$2:$AJ$2=N$3)*ISNUMBER(Marks!$B$36:$AJ$36)))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  <c r="M37" s="6">
        <f>IF(SUMPRODUCT((Marks!$B$2:$AJ$2=M$3)*ISNUMBER(Marks!$B$37:$AJ$37))=0,"",SUMPRODUCT((Marks!$B$2:$AJ$2=M$3)*(Marks!$B$37:$AJ$37=1))/SUMPRODUCT((Marks!$B$2:$AJ$2=M$3)*ISNUMBER(Marks!$B$37:$AJ$37)))</f>
        <v/>
      </c>
      <c r="N37" s="6">
        <f>IF(SUMPRODUCT((Marks!$B$2:$AJ$2=N$3)*ISNUMBER(Marks!$B$37:$AJ$37))=0,"",SUMPRODUCT((Marks!$B$2:$AJ$2=N$3)*(Marks!$B$37:$AJ$37=1))/SUMPRODUCT((Marks!$B$2:$AJ$2=N$3)*ISNUMBER(Marks!$B$37:$AJ$37)))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  <c r="M38" s="6">
        <f>IF(SUMPRODUCT((Marks!$B$2:$AJ$2=M$3)*ISNUMBER(Marks!$B$38:$AJ$38))=0,"",SUMPRODUCT((Marks!$B$2:$AJ$2=M$3)*(Marks!$B$38:$AJ$38=1))/SUMPRODUCT((Marks!$B$2:$AJ$2=M$3)*ISNUMBER(Marks!$B$38:$AJ$38)))</f>
        <v/>
      </c>
      <c r="N38" s="6">
        <f>IF(SUMPRODUCT((Marks!$B$2:$AJ$2=N$3)*ISNUMBER(Marks!$B$38:$AJ$38))=0,"",SUMPRODUCT((Marks!$B$2:$AJ$2=N$3)*(Marks!$B$38:$AJ$38=1))/SUMPRODUCT((Marks!$B$2:$AJ$2=N$3)*ISNUMBER(Marks!$B$38:$AJ$38)))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  <c r="M39" s="6">
        <f>IF(SUMPRODUCT((Marks!$B$2:$AJ$2=M$3)*ISNUMBER(Marks!$B$39:$AJ$39))=0,"",SUMPRODUCT((Marks!$B$2:$AJ$2=M$3)*(Marks!$B$39:$AJ$39=1))/SUMPRODUCT((Marks!$B$2:$AJ$2=M$3)*ISNUMBER(Marks!$B$39:$AJ$39)))</f>
        <v/>
      </c>
      <c r="N39" s="6">
        <f>IF(SUMPRODUCT((Marks!$B$2:$AJ$2=N$3)*ISNUMBER(Marks!$B$39:$AJ$39))=0,"",SUMPRODUCT((Marks!$B$2:$AJ$2=N$3)*(Marks!$B$39:$AJ$39=1))/SUMPRODUCT((Marks!$B$2:$AJ$2=N$3)*ISNUMBER(Marks!$B$39:$AJ$39)))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Anand's Monday numbers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Booked against collected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The protect list and the plan line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One row per customer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The last mile, and spreadsheets in public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data: an AI team's tables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2026-09-30T13:00:13Z</dcterms:created>
  <dcterms:modified xmlns:dcterms="http://purl.org/dc/terms/" xmlns:xsi="http://www.w3.org/2001/XMLSchema-instance" xsi:type="dcterms:W3CDTF">2026-09-30T13:00:13Z</dcterms:modified>
</cp:coreProperties>
</file>