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5</v>
      </c>
      <c r="W2" t="n">
        <v>5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6</v>
      </c>
      <c r="AD2" t="n">
        <v>6</v>
      </c>
      <c r="AE2" t="n">
        <v>6</v>
      </c>
      <c r="AF2" t="n">
        <v>6</v>
      </c>
      <c r="AG2" t="n">
        <v>6</v>
      </c>
      <c r="AH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[D]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[D]</t>
        </is>
      </c>
      <c r="T3" t="inlineStr">
        <is>
          <t>[S]</t>
        </is>
      </c>
      <c r="U3" t="inlineStr">
        <is>
          <t>[D]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[F]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[F]</t>
        </is>
      </c>
      <c r="AH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Total</t>
        </is>
      </c>
      <c r="AJ4" s="4" t="inlineStr">
        <is>
          <t>Answered</t>
        </is>
      </c>
      <c r="AK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>
        <f>IF(COUNT(B5:AH5)=0,"",SUM(B5:AH5))</f>
        <v/>
      </c>
      <c r="AJ5">
        <f>COUNT(B5:AH5)</f>
        <v/>
      </c>
      <c r="AK5">
        <f>IF(OR(AI5="",COUNT($AI$5:$AI$39)&lt;3),"",IF(RANK(AI5,$AI$5:$AI$39,0)&lt;=ROUND(COUNT($AI$5:$AI$39)/3,0),"top",IF(RANK(AI5,$AI$5:$AI$39,1)&lt;=ROUND(COUNT($AI$5:$AI$39)/3,0),"bottom","middle")))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>
        <f>IF(COUNT(B6:AH6)=0,"",SUM(B6:AH6))</f>
        <v/>
      </c>
      <c r="AJ6">
        <f>COUNT(B6:AH6)</f>
        <v/>
      </c>
      <c r="AK6">
        <f>IF(OR(AI6="",COUNT($AI$5:$AI$39)&lt;3),"",IF(RANK(AI6,$AI$5:$AI$39,0)&lt;=ROUND(COUNT($AI$5:$AI$39)/3,0),"top",IF(RANK(AI6,$AI$5:$AI$39,1)&lt;=ROUND(COUNT($AI$5:$AI$39)/3,0),"bottom","middle")))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>
        <f>IF(COUNT(B7:AH7)=0,"",SUM(B7:AH7))</f>
        <v/>
      </c>
      <c r="AJ7">
        <f>COUNT(B7:AH7)</f>
        <v/>
      </c>
      <c r="AK7">
        <f>IF(OR(AI7="",COUNT($AI$5:$AI$39)&lt;3),"",IF(RANK(AI7,$AI$5:$AI$39,0)&lt;=ROUND(COUNT($AI$5:$AI$39)/3,0),"top",IF(RANK(AI7,$AI$5:$AI$39,1)&lt;=ROUND(COUNT($AI$5:$AI$39)/3,0),"bottom","middle")))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>
        <f>IF(COUNT(B8:AH8)=0,"",SUM(B8:AH8))</f>
        <v/>
      </c>
      <c r="AJ8">
        <f>COUNT(B8:AH8)</f>
        <v/>
      </c>
      <c r="AK8">
        <f>IF(OR(AI8="",COUNT($AI$5:$AI$39)&lt;3),"",IF(RANK(AI8,$AI$5:$AI$39,0)&lt;=ROUND(COUNT($AI$5:$AI$39)/3,0),"top",IF(RANK(AI8,$AI$5:$AI$39,1)&lt;=ROUND(COUNT($AI$5:$AI$39)/3,0),"bottom","middle")))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>
        <f>IF(COUNT(B9:AH9)=0,"",SUM(B9:AH9))</f>
        <v/>
      </c>
      <c r="AJ9">
        <f>COUNT(B9:AH9)</f>
        <v/>
      </c>
      <c r="AK9">
        <f>IF(OR(AI9="",COUNT($AI$5:$AI$39)&lt;3),"",IF(RANK(AI9,$AI$5:$AI$39,0)&lt;=ROUND(COUNT($AI$5:$AI$39)/3,0),"top",IF(RANK(AI9,$AI$5:$AI$39,1)&lt;=ROUND(COUNT($AI$5:$AI$39)/3,0),"bottom","middle")))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>
        <f>IF(COUNT(B10:AH10)=0,"",SUM(B10:AH10))</f>
        <v/>
      </c>
      <c r="AJ10">
        <f>COUNT(B10:AH10)</f>
        <v/>
      </c>
      <c r="AK10">
        <f>IF(OR(AI10="",COUNT($AI$5:$AI$39)&lt;3),"",IF(RANK(AI10,$AI$5:$AI$39,0)&lt;=ROUND(COUNT($AI$5:$AI$39)/3,0),"top",IF(RANK(AI10,$AI$5:$AI$39,1)&lt;=ROUND(COUNT($AI$5:$AI$39)/3,0),"bottom","middle")))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>
        <f>IF(COUNT(B11:AH11)=0,"",SUM(B11:AH11))</f>
        <v/>
      </c>
      <c r="AJ11">
        <f>COUNT(B11:AH11)</f>
        <v/>
      </c>
      <c r="AK11">
        <f>IF(OR(AI11="",COUNT($AI$5:$AI$39)&lt;3),"",IF(RANK(AI11,$AI$5:$AI$39,0)&lt;=ROUND(COUNT($AI$5:$AI$39)/3,0),"top",IF(RANK(AI11,$AI$5:$AI$39,1)&lt;=ROUND(COUNT($AI$5:$AI$39)/3,0),"bottom","middle")))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>
        <f>IF(COUNT(B12:AH12)=0,"",SUM(B12:AH12))</f>
        <v/>
      </c>
      <c r="AJ12">
        <f>COUNT(B12:AH12)</f>
        <v/>
      </c>
      <c r="AK12">
        <f>IF(OR(AI12="",COUNT($AI$5:$AI$39)&lt;3),"",IF(RANK(AI12,$AI$5:$AI$39,0)&lt;=ROUND(COUNT($AI$5:$AI$39)/3,0),"top",IF(RANK(AI12,$AI$5:$AI$39,1)&lt;=ROUND(COUNT($AI$5:$AI$39)/3,0),"bottom","middle")))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>
        <f>IF(COUNT(B13:AH13)=0,"",SUM(B13:AH13))</f>
        <v/>
      </c>
      <c r="AJ13">
        <f>COUNT(B13:AH13)</f>
        <v/>
      </c>
      <c r="AK13">
        <f>IF(OR(AI13="",COUNT($AI$5:$AI$39)&lt;3),"",IF(RANK(AI13,$AI$5:$AI$39,0)&lt;=ROUND(COUNT($AI$5:$AI$39)/3,0),"top",IF(RANK(AI13,$AI$5:$AI$39,1)&lt;=ROUND(COUNT($AI$5:$AI$39)/3,0),"bottom","middle")))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>
        <f>IF(COUNT(B14:AH14)=0,"",SUM(B14:AH14))</f>
        <v/>
      </c>
      <c r="AJ14">
        <f>COUNT(B14:AH14)</f>
        <v/>
      </c>
      <c r="AK14">
        <f>IF(OR(AI14="",COUNT($AI$5:$AI$39)&lt;3),"",IF(RANK(AI14,$AI$5:$AI$39,0)&lt;=ROUND(COUNT($AI$5:$AI$39)/3,0),"top",IF(RANK(AI14,$AI$5:$AI$39,1)&lt;=ROUND(COUNT($AI$5:$AI$39)/3,0),"bottom","middle")))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>
        <f>IF(COUNT(B15:AH15)=0,"",SUM(B15:AH15))</f>
        <v/>
      </c>
      <c r="AJ15">
        <f>COUNT(B15:AH15)</f>
        <v/>
      </c>
      <c r="AK15">
        <f>IF(OR(AI15="",COUNT($AI$5:$AI$39)&lt;3),"",IF(RANK(AI15,$AI$5:$AI$39,0)&lt;=ROUND(COUNT($AI$5:$AI$39)/3,0),"top",IF(RANK(AI15,$AI$5:$AI$39,1)&lt;=ROUND(COUNT($AI$5:$AI$39)/3,0),"bottom","middle")))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>
        <f>IF(COUNT(B16:AH16)=0,"",SUM(B16:AH16))</f>
        <v/>
      </c>
      <c r="AJ16">
        <f>COUNT(B16:AH16)</f>
        <v/>
      </c>
      <c r="AK16">
        <f>IF(OR(AI16="",COUNT($AI$5:$AI$39)&lt;3),"",IF(RANK(AI16,$AI$5:$AI$39,0)&lt;=ROUND(COUNT($AI$5:$AI$39)/3,0),"top",IF(RANK(AI16,$AI$5:$AI$39,1)&lt;=ROUND(COUNT($AI$5:$AI$39)/3,0),"bottom","middle")))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>
        <f>IF(COUNT(B17:AH17)=0,"",SUM(B17:AH17))</f>
        <v/>
      </c>
      <c r="AJ17">
        <f>COUNT(B17:AH17)</f>
        <v/>
      </c>
      <c r="AK17">
        <f>IF(OR(AI17="",COUNT($AI$5:$AI$39)&lt;3),"",IF(RANK(AI17,$AI$5:$AI$39,0)&lt;=ROUND(COUNT($AI$5:$AI$39)/3,0),"top",IF(RANK(AI17,$AI$5:$AI$39,1)&lt;=ROUND(COUNT($AI$5:$AI$39)/3,0),"bottom","middle")))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>
        <f>IF(COUNT(B18:AH18)=0,"",SUM(B18:AH18))</f>
        <v/>
      </c>
      <c r="AJ18">
        <f>COUNT(B18:AH18)</f>
        <v/>
      </c>
      <c r="AK18">
        <f>IF(OR(AI18="",COUNT($AI$5:$AI$39)&lt;3),"",IF(RANK(AI18,$AI$5:$AI$39,0)&lt;=ROUND(COUNT($AI$5:$AI$39)/3,0),"top",IF(RANK(AI18,$AI$5:$AI$39,1)&lt;=ROUND(COUNT($AI$5:$AI$39)/3,0),"bottom","middle")))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>
        <f>IF(COUNT(B19:AH19)=0,"",SUM(B19:AH19))</f>
        <v/>
      </c>
      <c r="AJ19">
        <f>COUNT(B19:AH19)</f>
        <v/>
      </c>
      <c r="AK19">
        <f>IF(OR(AI19="",COUNT($AI$5:$AI$39)&lt;3),"",IF(RANK(AI19,$AI$5:$AI$39,0)&lt;=ROUND(COUNT($AI$5:$AI$39)/3,0),"top",IF(RANK(AI19,$AI$5:$AI$39,1)&lt;=ROUND(COUNT($AI$5:$AI$39)/3,0),"bottom","middle")))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>
        <f>IF(COUNT(B20:AH20)=0,"",SUM(B20:AH20))</f>
        <v/>
      </c>
      <c r="AJ20">
        <f>COUNT(B20:AH20)</f>
        <v/>
      </c>
      <c r="AK20">
        <f>IF(OR(AI20="",COUNT($AI$5:$AI$39)&lt;3),"",IF(RANK(AI20,$AI$5:$AI$39,0)&lt;=ROUND(COUNT($AI$5:$AI$39)/3,0),"top",IF(RANK(AI20,$AI$5:$AI$39,1)&lt;=ROUND(COUNT($AI$5:$AI$39)/3,0),"bottom","middle")))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>
        <f>IF(COUNT(B21:AH21)=0,"",SUM(B21:AH21))</f>
        <v/>
      </c>
      <c r="AJ21">
        <f>COUNT(B21:AH21)</f>
        <v/>
      </c>
      <c r="AK21">
        <f>IF(OR(AI21="",COUNT($AI$5:$AI$39)&lt;3),"",IF(RANK(AI21,$AI$5:$AI$39,0)&lt;=ROUND(COUNT($AI$5:$AI$39)/3,0),"top",IF(RANK(AI21,$AI$5:$AI$39,1)&lt;=ROUND(COUNT($AI$5:$AI$39)/3,0),"bottom","middle")))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>
        <f>IF(COUNT(B22:AH22)=0,"",SUM(B22:AH22))</f>
        <v/>
      </c>
      <c r="AJ22">
        <f>COUNT(B22:AH22)</f>
        <v/>
      </c>
      <c r="AK22">
        <f>IF(OR(AI22="",COUNT($AI$5:$AI$39)&lt;3),"",IF(RANK(AI22,$AI$5:$AI$39,0)&lt;=ROUND(COUNT($AI$5:$AI$39)/3,0),"top",IF(RANK(AI22,$AI$5:$AI$39,1)&lt;=ROUND(COUNT($AI$5:$AI$39)/3,0),"bottom","middle")))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>
        <f>IF(COUNT(B23:AH23)=0,"",SUM(B23:AH23))</f>
        <v/>
      </c>
      <c r="AJ23">
        <f>COUNT(B23:AH23)</f>
        <v/>
      </c>
      <c r="AK23">
        <f>IF(OR(AI23="",COUNT($AI$5:$AI$39)&lt;3),"",IF(RANK(AI23,$AI$5:$AI$39,0)&lt;=ROUND(COUNT($AI$5:$AI$39)/3,0),"top",IF(RANK(AI23,$AI$5:$AI$39,1)&lt;=ROUND(COUNT($AI$5:$AI$39)/3,0),"bottom","middle")))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>
        <f>IF(COUNT(B24:AH24)=0,"",SUM(B24:AH24))</f>
        <v/>
      </c>
      <c r="AJ24">
        <f>COUNT(B24:AH24)</f>
        <v/>
      </c>
      <c r="AK24">
        <f>IF(OR(AI24="",COUNT($AI$5:$AI$39)&lt;3),"",IF(RANK(AI24,$AI$5:$AI$39,0)&lt;=ROUND(COUNT($AI$5:$AI$39)/3,0),"top",IF(RANK(AI24,$AI$5:$AI$39,1)&lt;=ROUND(COUNT($AI$5:$AI$39)/3,0),"bottom","middle")))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>
        <f>IF(COUNT(B25:AH25)=0,"",SUM(B25:AH25))</f>
        <v/>
      </c>
      <c r="AJ25">
        <f>COUNT(B25:AH25)</f>
        <v/>
      </c>
      <c r="AK25">
        <f>IF(OR(AI25="",COUNT($AI$5:$AI$39)&lt;3),"",IF(RANK(AI25,$AI$5:$AI$39,0)&lt;=ROUND(COUNT($AI$5:$AI$39)/3,0),"top",IF(RANK(AI25,$AI$5:$AI$39,1)&lt;=ROUND(COUNT($AI$5:$AI$39)/3,0),"bottom","middle")))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>
        <f>IF(COUNT(B26:AH26)=0,"",SUM(B26:AH26))</f>
        <v/>
      </c>
      <c r="AJ26">
        <f>COUNT(B26:AH26)</f>
        <v/>
      </c>
      <c r="AK26">
        <f>IF(OR(AI26="",COUNT($AI$5:$AI$39)&lt;3),"",IF(RANK(AI26,$AI$5:$AI$39,0)&lt;=ROUND(COUNT($AI$5:$AI$39)/3,0),"top",IF(RANK(AI26,$AI$5:$AI$39,1)&lt;=ROUND(COUNT($AI$5:$AI$39)/3,0),"bottom","middle")))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>
        <f>IF(COUNT(B27:AH27)=0,"",SUM(B27:AH27))</f>
        <v/>
      </c>
      <c r="AJ27">
        <f>COUNT(B27:AH27)</f>
        <v/>
      </c>
      <c r="AK27">
        <f>IF(OR(AI27="",COUNT($AI$5:$AI$39)&lt;3),"",IF(RANK(AI27,$AI$5:$AI$39,0)&lt;=ROUND(COUNT($AI$5:$AI$39)/3,0),"top",IF(RANK(AI27,$AI$5:$AI$39,1)&lt;=ROUND(COUNT($AI$5:$AI$39)/3,0),"bottom","middle")))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>
        <f>IF(COUNT(B28:AH28)=0,"",SUM(B28:AH28))</f>
        <v/>
      </c>
      <c r="AJ28">
        <f>COUNT(B28:AH28)</f>
        <v/>
      </c>
      <c r="AK28">
        <f>IF(OR(AI28="",COUNT($AI$5:$AI$39)&lt;3),"",IF(RANK(AI28,$AI$5:$AI$39,0)&lt;=ROUND(COUNT($AI$5:$AI$39)/3,0),"top",IF(RANK(AI28,$AI$5:$AI$39,1)&lt;=ROUND(COUNT($AI$5:$AI$39)/3,0),"bottom","middle")))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>
        <f>IF(COUNT(B29:AH29)=0,"",SUM(B29:AH29))</f>
        <v/>
      </c>
      <c r="AJ29">
        <f>COUNT(B29:AH29)</f>
        <v/>
      </c>
      <c r="AK29">
        <f>IF(OR(AI29="",COUNT($AI$5:$AI$39)&lt;3),"",IF(RANK(AI29,$AI$5:$AI$39,0)&lt;=ROUND(COUNT($AI$5:$AI$39)/3,0),"top",IF(RANK(AI29,$AI$5:$AI$39,1)&lt;=ROUND(COUNT($AI$5:$AI$39)/3,0),"bottom","middle")))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>
        <f>IF(COUNT(B30:AH30)=0,"",SUM(B30:AH30))</f>
        <v/>
      </c>
      <c r="AJ30">
        <f>COUNT(B30:AH30)</f>
        <v/>
      </c>
      <c r="AK30">
        <f>IF(OR(AI30="",COUNT($AI$5:$AI$39)&lt;3),"",IF(RANK(AI30,$AI$5:$AI$39,0)&lt;=ROUND(COUNT($AI$5:$AI$39)/3,0),"top",IF(RANK(AI30,$AI$5:$AI$39,1)&lt;=ROUND(COUNT($AI$5:$AI$39)/3,0),"bottom","middle")))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>
        <f>IF(COUNT(B31:AH31)=0,"",SUM(B31:AH31))</f>
        <v/>
      </c>
      <c r="AJ31">
        <f>COUNT(B31:AH31)</f>
        <v/>
      </c>
      <c r="AK31">
        <f>IF(OR(AI31="",COUNT($AI$5:$AI$39)&lt;3),"",IF(RANK(AI31,$AI$5:$AI$39,0)&lt;=ROUND(COUNT($AI$5:$AI$39)/3,0),"top",IF(RANK(AI31,$AI$5:$AI$39,1)&lt;=ROUND(COUNT($AI$5:$AI$39)/3,0),"bottom","middle")))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>
        <f>IF(COUNT(B32:AH32)=0,"",SUM(B32:AH32))</f>
        <v/>
      </c>
      <c r="AJ32">
        <f>COUNT(B32:AH32)</f>
        <v/>
      </c>
      <c r="AK32">
        <f>IF(OR(AI32="",COUNT($AI$5:$AI$39)&lt;3),"",IF(RANK(AI32,$AI$5:$AI$39,0)&lt;=ROUND(COUNT($AI$5:$AI$39)/3,0),"top",IF(RANK(AI32,$AI$5:$AI$39,1)&lt;=ROUND(COUNT($AI$5:$AI$39)/3,0),"bottom","middle")))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>
        <f>IF(COUNT(B33:AH33)=0,"",SUM(B33:AH33))</f>
        <v/>
      </c>
      <c r="AJ33">
        <f>COUNT(B33:AH33)</f>
        <v/>
      </c>
      <c r="AK33">
        <f>IF(OR(AI33="",COUNT($AI$5:$AI$39)&lt;3),"",IF(RANK(AI33,$AI$5:$AI$39,0)&lt;=ROUND(COUNT($AI$5:$AI$39)/3,0),"top",IF(RANK(AI33,$AI$5:$AI$39,1)&lt;=ROUND(COUNT($AI$5:$AI$39)/3,0),"bottom","middle")))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>
        <f>IF(COUNT(B34:AH34)=0,"",SUM(B34:AH34))</f>
        <v/>
      </c>
      <c r="AJ34">
        <f>COUNT(B34:AH34)</f>
        <v/>
      </c>
      <c r="AK34">
        <f>IF(OR(AI34="",COUNT($AI$5:$AI$39)&lt;3),"",IF(RANK(AI34,$AI$5:$AI$39,0)&lt;=ROUND(COUNT($AI$5:$AI$39)/3,0),"top",IF(RANK(AI34,$AI$5:$AI$39,1)&lt;=ROUND(COUNT($AI$5:$AI$39)/3,0),"bottom","middle")))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>
        <f>IF(COUNT(B35:AH35)=0,"",SUM(B35:AH35))</f>
        <v/>
      </c>
      <c r="AJ35">
        <f>COUNT(B35:AH35)</f>
        <v/>
      </c>
      <c r="AK35">
        <f>IF(OR(AI35="",COUNT($AI$5:$AI$39)&lt;3),"",IF(RANK(AI35,$AI$5:$AI$39,0)&lt;=ROUND(COUNT($AI$5:$AI$39)/3,0),"top",IF(RANK(AI35,$AI$5:$AI$39,1)&lt;=ROUND(COUNT($AI$5:$AI$39)/3,0),"bottom","middle")))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>
        <f>IF(COUNT(B36:AH36)=0,"",SUM(B36:AH36))</f>
        <v/>
      </c>
      <c r="AJ36">
        <f>COUNT(B36:AH36)</f>
        <v/>
      </c>
      <c r="AK36">
        <f>IF(OR(AI36="",COUNT($AI$5:$AI$39)&lt;3),"",IF(RANK(AI36,$AI$5:$AI$39,0)&lt;=ROUND(COUNT($AI$5:$AI$39)/3,0),"top",IF(RANK(AI36,$AI$5:$AI$39,1)&lt;=ROUND(COUNT($AI$5:$AI$39)/3,0),"bottom","middle")))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>
        <f>IF(COUNT(B37:AH37)=0,"",SUM(B37:AH37))</f>
        <v/>
      </c>
      <c r="AJ37">
        <f>COUNT(B37:AH37)</f>
        <v/>
      </c>
      <c r="AK37">
        <f>IF(OR(AI37="",COUNT($AI$5:$AI$39)&lt;3),"",IF(RANK(AI37,$AI$5:$AI$39,0)&lt;=ROUND(COUNT($AI$5:$AI$39)/3,0),"top",IF(RANK(AI37,$AI$5:$AI$39,1)&lt;=ROUND(COUNT($AI$5:$AI$39)/3,0),"bottom","middle")))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>
        <f>IF(COUNT(B38:AH38)=0,"",SUM(B38:AH38))</f>
        <v/>
      </c>
      <c r="AJ38">
        <f>COUNT(B38:AH38)</f>
        <v/>
      </c>
      <c r="AK38">
        <f>IF(OR(AI38="",COUNT($AI$5:$AI$39)&lt;3),"",IF(RANK(AI38,$AI$5:$AI$39,0)&lt;=ROUND(COUNT($AI$5:$AI$39)/3,0),"top",IF(RANK(AI38,$AI$5:$AI$39,1)&lt;=ROUND(COUNT($AI$5:$AI$39)/3,0),"bottom","middle")))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>
        <f>IF(COUNT(B39:AH39)=0,"",SUM(B39:AH39))</f>
        <v/>
      </c>
      <c r="AJ39">
        <f>COUNT(B39:AH39)</f>
        <v/>
      </c>
      <c r="AK39">
        <f>IF(OR(AI39="",COUNT($AI$5:$AI$39)&lt;3),"",IF(RANK(AI39,$AI$5:$AI$39,0)&lt;=ROUND(COUNT($AI$5:$AI$39)/3,0),"top",IF(RANK(AI39,$AI$5:$AI$39,1)&lt;=ROUND(COUNT($AI$5:$AI$39)/3,0),"bottom","middle")))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note should say orders per member fell about 22 percent, from 2.36 to 1.84.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IF(SUMPRODUCT((Marks!$AK$5:$AK$39="top")*ISNUMBER(Marks!B$5:B$39))=0,"",SUMPRODUCT((Marks!$AK$5:$AK$39="top")*(Marks!B$5:B$39=1))/SUMPRODUCT((Marks!$AK$5:$AK$39="top")*ISNUMBER(Marks!B$5:B$39)))</f>
        <v/>
      </c>
      <c r="K5" s="6">
        <f>IF(SUMPRODUCT((Marks!$AK$5:$AK$39="bottom")*ISNUMBER(Marks!B$5:B$39))=0,"",SUMPRODUCT((Marks!$AK$5:$AK$39="bottom")*(Marks!B$5:B$39=1))/SUMPRODUCT((Marks!$AK$5:$AK$39="bottom")*ISNUMBER(Marks!B$5:B$39)))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Easy</t>
        </is>
      </c>
      <c r="E6" t="inlineStr">
        <is>
          <t>[F]</t>
        </is>
      </c>
      <c r="F6" t="inlineStr">
        <is>
          <t>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IF(SUMPRODUCT((Marks!$AK$5:$AK$39="top")*ISNUMBER(Marks!C$5:C$39))=0,"",SUMPRODUCT((Marks!$AK$5:$AK$39="top")*(Marks!C$5:C$39=1))/SUMPRODUCT((Marks!$AK$5:$AK$39="top")*ISNUMBER(Marks!C$5:C$39)))</f>
        <v/>
      </c>
      <c r="K6" s="6">
        <f>IF(SUMPRODUCT((Marks!$AK$5:$AK$39="bottom")*ISNUMBER(Marks!C$5:C$39))=0,"",SUMPRODUCT((Marks!$AK$5:$AK$39="bottom")*(Marks!C$5:C$39=1))/SUMPRODUCT((Marks!$AK$5:$AK$39="bottom")*ISNUMBER(Marks!C$5:C$39)))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IF(SUMPRODUCT((Marks!$AK$5:$AK$39="top")*ISNUMBER(Marks!D$5:D$39))=0,"",SUMPRODUCT((Marks!$AK$5:$AK$39="top")*(Marks!D$5:D$39=1))/SUMPRODUCT((Marks!$AK$5:$AK$39="top")*ISNUMBER(Marks!D$5:D$39)))</f>
        <v/>
      </c>
      <c r="K7" s="6">
        <f>IF(SUMPRODUCT((Marks!$AK$5:$AK$39="bottom")*ISNUMBER(Marks!D$5:D$39))=0,"",SUMPRODUCT((Marks!$AK$5:$AK$39="bottom")*(Marks!D$5:D$39=1))/SUMPRODUCT((Marks!$AK$5:$AK$39="bottom")*ISNUMBER(Marks!D$5:D$39)))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c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IF(SUMPRODUCT((Marks!$AK$5:$AK$39="top")*ISNUMBER(Marks!E$5:E$39))=0,"",SUMPRODUCT((Marks!$AK$5:$AK$39="top")*(Marks!E$5:E$39=1))/SUMPRODUCT((Marks!$AK$5:$AK$39="top")*ISNUMBER(Marks!E$5:E$39)))</f>
        <v/>
      </c>
      <c r="K8" s="6">
        <f>IF(SUMPRODUCT((Marks!$AK$5:$AK$39="bottom")*ISNUMBER(Marks!E$5:E$39))=0,"",SUMPRODUCT((Marks!$AK$5:$AK$39="bottom")*(Marks!E$5:E$39=1))/SUMPRODUCT((Marks!$AK$5:$AK$39="bottom")*ISNUMBER(Marks!E$5:E$39)))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IF(SUMPRODUCT((Marks!$AK$5:$AK$39="top")*ISNUMBER(Marks!F$5:F$39))=0,"",SUMPRODUCT((Marks!$AK$5:$AK$39="top")*(Marks!F$5:F$39=1))/SUMPRODUCT((Marks!$AK$5:$AK$39="top")*ISNUMBER(Marks!F$5:F$39)))</f>
        <v/>
      </c>
      <c r="K9" s="6">
        <f>IF(SUMPRODUCT((Marks!$AK$5:$AK$39="bottom")*ISNUMBER(Marks!F$5:F$39))=0,"",SUMPRODUCT((Marks!$AK$5:$AK$39="bottom")*(Marks!F$5:F$39=1))/SUMPRODUCT((Marks!$AK$5:$AK$39="bottom")*ISNUMBER(Marks!F$5:F$39)))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IF(SUMPRODUCT((Marks!$AK$5:$AK$39="top")*ISNUMBER(Marks!G$5:G$39))=0,"",SUMPRODUCT((Marks!$AK$5:$AK$39="top")*(Marks!G$5:G$39=1))/SUMPRODUCT((Marks!$AK$5:$AK$39="top")*ISNUMBER(Marks!G$5:G$39)))</f>
        <v/>
      </c>
      <c r="K10" s="6">
        <f>IF(SUMPRODUCT((Marks!$AK$5:$AK$39="bottom")*ISNUMBER(Marks!G$5:G$39))=0,"",SUMPRODUCT((Marks!$AK$5:$AK$39="bottom")*(Marks!G$5:G$39=1))/SUMPRODUCT((Marks!$AK$5:$AK$39="bottom")*ISNUMBER(Marks!G$5:G$39)))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a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IF(SUMPRODUCT((Marks!$AK$5:$AK$39="top")*ISNUMBER(Marks!H$5:H$39))=0,"",SUMPRODUCT((Marks!$AK$5:$AK$39="top")*(Marks!H$5:H$39=1))/SUMPRODUCT((Marks!$AK$5:$AK$39="top")*ISNUMBER(Marks!H$5:H$39)))</f>
        <v/>
      </c>
      <c r="K11" s="6">
        <f>IF(SUMPRODUCT((Marks!$AK$5:$AK$39="bottom")*ISNUMBER(Marks!H$5:H$39))=0,"",SUMPRODUCT((Marks!$AK$5:$AK$39="bottom")*(Marks!H$5:H$39=1))/SUMPRODUCT((Marks!$AK$5:$AK$39="bottom")*ISNUMBER(Marks!H$5:H$39)))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IF(SUMPRODUCT((Marks!$AK$5:$AK$39="top")*ISNUMBER(Marks!I$5:I$39))=0,"",SUMPRODUCT((Marks!$AK$5:$AK$39="top")*(Marks!I$5:I$39=1))/SUMPRODUCT((Marks!$AK$5:$AK$39="top")*ISNUMBER(Marks!I$5:I$39)))</f>
        <v/>
      </c>
      <c r="K12" s="6">
        <f>IF(SUMPRODUCT((Marks!$AK$5:$AK$39="bottom")*ISNUMBER(Marks!I$5:I$39))=0,"",SUMPRODUCT((Marks!$AK$5:$AK$39="bottom")*(Marks!I$5:I$39=1))/SUMPRODUCT((Marks!$AK$5:$AK$39="bottom")*ISNUMBER(Marks!I$5:I$39)))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IF(SUMPRODUCT((Marks!$AK$5:$AK$39="top")*ISNUMBER(Marks!J$5:J$39))=0,"",SUMPRODUCT((Marks!$AK$5:$AK$39="top")*(Marks!J$5:J$39=1))/SUMPRODUCT((Marks!$AK$5:$AK$39="top")*ISNUMBER(Marks!J$5:J$39)))</f>
        <v/>
      </c>
      <c r="K13" s="6">
        <f>IF(SUMPRODUCT((Marks!$AK$5:$AK$39="bottom")*ISNUMBER(Marks!J$5:J$39))=0,"",SUMPRODUCT((Marks!$AK$5:$AK$39="bottom")*(Marks!J$5:J$39=1))/SUMPRODUCT((Marks!$AK$5:$AK$39="bottom")*ISNUMBER(Marks!J$5:J$39)))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Medium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IF(SUMPRODUCT((Marks!$AK$5:$AK$39="top")*ISNUMBER(Marks!K$5:K$39))=0,"",SUMPRODUCT((Marks!$AK$5:$AK$39="top")*(Marks!K$5:K$39=1))/SUMPRODUCT((Marks!$AK$5:$AK$39="top")*ISNUMBER(Marks!K$5:K$39)))</f>
        <v/>
      </c>
      <c r="K14" s="6">
        <f>IF(SUMPRODUCT((Marks!$AK$5:$AK$39="bottom")*ISNUMBER(Marks!K$5:K$39))=0,"",SUMPRODUCT((Marks!$AK$5:$AK$39="bottom")*(Marks!K$5:K$39=1))/SUMPRODUCT((Marks!$AK$5:$AK$39="bottom")*ISNUMBER(Marks!K$5:K$39)))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c, 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IF(SUMPRODUCT((Marks!$AK$5:$AK$39="top")*ISNUMBER(Marks!L$5:L$39))=0,"",SUMPRODUCT((Marks!$AK$5:$AK$39="top")*(Marks!L$5:L$39=1))/SUMPRODUCT((Marks!$AK$5:$AK$39="top")*ISNUMBER(Marks!L$5:L$39)))</f>
        <v/>
      </c>
      <c r="K15" s="6">
        <f>IF(SUMPRODUCT((Marks!$AK$5:$AK$39="bottom")*ISNUMBER(Marks!L$5:L$39))=0,"",SUMPRODUCT((Marks!$AK$5:$AK$39="bottom")*(Marks!L$5:L$39=1))/SUMPRODUCT((Marks!$AK$5:$AK$39="bottom")*ISNUMBER(Marks!L$5:L$39)))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[D]</t>
        </is>
      </c>
      <c r="F16" t="inlineStr">
        <is>
          <t>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IF(SUMPRODUCT((Marks!$AK$5:$AK$39="top")*ISNUMBER(Marks!M$5:M$39))=0,"",SUMPRODUCT((Marks!$AK$5:$AK$39="top")*(Marks!M$5:M$39=1))/SUMPRODUCT((Marks!$AK$5:$AK$39="top")*ISNUMBER(Marks!M$5:M$39)))</f>
        <v/>
      </c>
      <c r="K16" s="6">
        <f>IF(SUMPRODUCT((Marks!$AK$5:$AK$39="bottom")*ISNUMBER(Marks!M$5:M$39))=0,"",SUMPRODUCT((Marks!$AK$5:$AK$39="bottom")*(Marks!M$5:M$39=1))/SUMPRODUCT((Marks!$AK$5:$AK$39="bottom")*ISNUMBER(Marks!M$5:M$39)))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Medium</t>
        </is>
      </c>
      <c r="E17" t="inlineStr">
        <is>
          <t>[S]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IF(SUMPRODUCT((Marks!$AK$5:$AK$39="top")*ISNUMBER(Marks!N$5:N$39))=0,"",SUMPRODUCT((Marks!$AK$5:$AK$39="top")*(Marks!N$5:N$39=1))/SUMPRODUCT((Marks!$AK$5:$AK$39="top")*ISNUMBER(Marks!N$5:N$39)))</f>
        <v/>
      </c>
      <c r="K17" s="6">
        <f>IF(SUMPRODUCT((Marks!$AK$5:$AK$39="bottom")*ISNUMBER(Marks!N$5:N$39))=0,"",SUMPRODUCT((Marks!$AK$5:$AK$39="bottom")*(Marks!N$5:N$39=1))/SUMPRODUCT((Marks!$AK$5:$AK$39="bottom")*ISNUMBER(Marks!N$5:N$39)))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IF(SUMPRODUCT((Marks!$AK$5:$AK$39="top")*ISNUMBER(Marks!O$5:O$39))=0,"",SUMPRODUCT((Marks!$AK$5:$AK$39="top")*(Marks!O$5:O$39=1))/SUMPRODUCT((Marks!$AK$5:$AK$39="top")*ISNUMBER(Marks!O$5:O$39)))</f>
        <v/>
      </c>
      <c r="K18" s="6">
        <f>IF(SUMPRODUCT((Marks!$AK$5:$AK$39="bottom")*ISNUMBER(Marks!O$5:O$39))=0,"",SUMPRODUCT((Marks!$AK$5:$AK$39="bottom")*(Marks!O$5:O$39=1))/SUMPRODUCT((Marks!$AK$5:$AK$39="bottom")*ISNUMBER(Marks!O$5:O$39)))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IF(SUMPRODUCT((Marks!$AK$5:$AK$39="top")*ISNUMBER(Marks!P$5:P$39))=0,"",SUMPRODUCT((Marks!$AK$5:$AK$39="top")*(Marks!P$5:P$39=1))/SUMPRODUCT((Marks!$AK$5:$AK$39="top")*ISNUMBER(Marks!P$5:P$39)))</f>
        <v/>
      </c>
      <c r="K19" s="6">
        <f>IF(SUMPRODUCT((Marks!$AK$5:$AK$39="bottom")*ISNUMBER(Marks!P$5:P$39))=0,"",SUMPRODUCT((Marks!$AK$5:$AK$39="bottom")*(Marks!P$5:P$39=1))/SUMPRODUCT((Marks!$AK$5:$AK$39="bottom")*ISNUMBER(Marks!P$5:P$39)))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IF(SUMPRODUCT((Marks!$AK$5:$AK$39="top")*ISNUMBER(Marks!Q$5:Q$39))=0,"",SUMPRODUCT((Marks!$AK$5:$AK$39="top")*(Marks!Q$5:Q$39=1))/SUMPRODUCT((Marks!$AK$5:$AK$39="top")*ISNUMBER(Marks!Q$5:Q$39)))</f>
        <v/>
      </c>
      <c r="K20" s="6">
        <f>IF(SUMPRODUCT((Marks!$AK$5:$AK$39="bottom")*ISNUMBER(Marks!Q$5:Q$39))=0,"",SUMPRODUCT((Marks!$AK$5:$AK$39="bottom")*(Marks!Q$5:Q$39=1))/SUMPRODUCT((Marks!$AK$5:$AK$39="bottom")*ISNUMBER(Marks!Q$5:Q$39)))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Hard</t>
        </is>
      </c>
      <c r="E21" t="inlineStr">
        <is>
          <t>[F]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IF(SUMPRODUCT((Marks!$AK$5:$AK$39="top")*ISNUMBER(Marks!R$5:R$39))=0,"",SUMPRODUCT((Marks!$AK$5:$AK$39="top")*(Marks!R$5:R$39=1))/SUMPRODUCT((Marks!$AK$5:$AK$39="top")*ISNUMBER(Marks!R$5:R$39)))</f>
        <v/>
      </c>
      <c r="K21" s="6">
        <f>IF(SUMPRODUCT((Marks!$AK$5:$AK$39="bottom")*ISNUMBER(Marks!R$5:R$39))=0,"",SUMPRODUCT((Marks!$AK$5:$AK$39="bottom")*(Marks!R$5:R$39=1))/SUMPRODUCT((Marks!$AK$5:$AK$39="bottom")*ISNUMBER(Marks!R$5:R$39)))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Hard</t>
        </is>
      </c>
      <c r="E22" t="inlineStr">
        <is>
          <t>[D]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IF(SUMPRODUCT((Marks!$AK$5:$AK$39="top")*ISNUMBER(Marks!S$5:S$39))=0,"",SUMPRODUCT((Marks!$AK$5:$AK$39="top")*(Marks!S$5:S$39=1))/SUMPRODUCT((Marks!$AK$5:$AK$39="top")*ISNUMBER(Marks!S$5:S$39)))</f>
        <v/>
      </c>
      <c r="K22" s="6">
        <f>IF(SUMPRODUCT((Marks!$AK$5:$AK$39="bottom")*ISNUMBER(Marks!S$5:S$39))=0,"",SUMPRODUCT((Marks!$AK$5:$AK$39="bottom")*(Marks!S$5:S$39=1))/SUMPRODUCT((Marks!$AK$5:$AK$39="bottom")*ISNUMBER(Marks!S$5:S$39)))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IF(SUMPRODUCT((Marks!$AK$5:$AK$39="top")*ISNUMBER(Marks!T$5:T$39))=0,"",SUMPRODUCT((Marks!$AK$5:$AK$39="top")*(Marks!T$5:T$39=1))/SUMPRODUCT((Marks!$AK$5:$AK$39="top")*ISNUMBER(Marks!T$5:T$39)))</f>
        <v/>
      </c>
      <c r="K23" s="6">
        <f>IF(SUMPRODUCT((Marks!$AK$5:$AK$39="bottom")*ISNUMBER(Marks!T$5:T$39))=0,"",SUMPRODUCT((Marks!$AK$5:$AK$39="bottom")*(Marks!T$5:T$39=1))/SUMPRODUCT((Marks!$AK$5:$AK$39="bottom")*ISNUMBER(Marks!T$5:T$39)))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IF(SUMPRODUCT((Marks!$AK$5:$AK$39="top")*ISNUMBER(Marks!U$5:U$39))=0,"",SUMPRODUCT((Marks!$AK$5:$AK$39="top")*(Marks!U$5:U$39=1))/SUMPRODUCT((Marks!$AK$5:$AK$39="top")*ISNUMBER(Marks!U$5:U$39)))</f>
        <v/>
      </c>
      <c r="K24" s="6">
        <f>IF(SUMPRODUCT((Marks!$AK$5:$AK$39="bottom")*ISNUMBER(Marks!U$5:U$39))=0,"",SUMPRODUCT((Marks!$AK$5:$AK$39="bottom")*(Marks!U$5:U$39=1))/SUMPRODUCT((Marks!$AK$5:$AK$39="bottom")*ISNUMBER(Marks!U$5:U$39)))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Match the following</t>
        </is>
      </c>
      <c r="D25" t="inlineStr">
        <is>
          <t>Medium</t>
        </is>
      </c>
      <c r="E25" t="inlineStr">
        <is>
          <t>[F]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IF(SUMPRODUCT((Marks!$AK$5:$AK$39="top")*ISNUMBER(Marks!V$5:V$39))=0,"",SUMPRODUCT((Marks!$AK$5:$AK$39="top")*(Marks!V$5:V$39=1))/SUMPRODUCT((Marks!$AK$5:$AK$39="top")*ISNUMBER(Marks!V$5:V$39)))</f>
        <v/>
      </c>
      <c r="K25" s="6">
        <f>IF(SUMPRODUCT((Marks!$AK$5:$AK$39="bottom")*ISNUMBER(Marks!V$5:V$39))=0,"",SUMPRODUCT((Marks!$AK$5:$AK$39="bottom")*(Marks!V$5:V$39=1))/SUMPRODUCT((Marks!$AK$5:$AK$39="bottom")*ISNUMBER(Marks!V$5:V$39)))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Match the following</t>
        </is>
      </c>
      <c r="D26" t="inlineStr">
        <is>
          <t>Medium</t>
        </is>
      </c>
      <c r="E26" t="inlineStr">
        <is>
          <t>[F]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IF(SUMPRODUCT((Marks!$AK$5:$AK$39="top")*ISNUMBER(Marks!W$5:W$39))=0,"",SUMPRODUCT((Marks!$AK$5:$AK$39="top")*(Marks!W$5:W$39=1))/SUMPRODUCT((Marks!$AK$5:$AK$39="top")*ISNUMBER(Marks!W$5:W$39)))</f>
        <v/>
      </c>
      <c r="K26" s="6">
        <f>IF(SUMPRODUCT((Marks!$AK$5:$AK$39="bottom")*ISNUMBER(Marks!W$5:W$39))=0,"",SUMPRODUCT((Marks!$AK$5:$AK$39="bottom")*(Marks!W$5:W$39=1))/SUMPRODUCT((Marks!$AK$5:$AK$39="bottom")*ISNUMBER(Marks!W$5:W$39)))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f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IF(SUMPRODUCT((Marks!$AK$5:$AK$39="top")*ISNUMBER(Marks!X$5:X$39))=0,"",SUMPRODUCT((Marks!$AK$5:$AK$39="top")*(Marks!X$5:X$39=1))/SUMPRODUCT((Marks!$AK$5:$AK$39="top")*ISNUMBER(Marks!X$5:X$39)))</f>
        <v/>
      </c>
      <c r="K27" s="6">
        <f>IF(SUMPRODUCT((Marks!$AK$5:$AK$39="bottom")*ISNUMBER(Marks!X$5:X$39))=0,"",SUMPRODUCT((Marks!$AK$5:$AK$39="bottom")*(Marks!X$5:X$39=1))/SUMPRODUCT((Marks!$AK$5:$AK$39="bottom")*ISNUMBER(Marks!X$5:X$39)))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[D]</t>
        </is>
      </c>
      <c r="F28" t="inlineStr">
        <is>
          <t>c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IF(SUMPRODUCT((Marks!$AK$5:$AK$39="top")*ISNUMBER(Marks!Y$5:Y$39))=0,"",SUMPRODUCT((Marks!$AK$5:$AK$39="top")*(Marks!Y$5:Y$39=1))/SUMPRODUCT((Marks!$AK$5:$AK$39="top")*ISNUMBER(Marks!Y$5:Y$39)))</f>
        <v/>
      </c>
      <c r="K28" s="6">
        <f>IF(SUMPRODUCT((Marks!$AK$5:$AK$39="bottom")*ISNUMBER(Marks!Y$5:Y$39))=0,"",SUMPRODUCT((Marks!$AK$5:$AK$39="bottom")*(Marks!Y$5:Y$39=1))/SUMPRODUCT((Marks!$AK$5:$AK$39="bottom")*ISNUMBER(Marks!Y$5:Y$39)))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Applied maths</t>
        </is>
      </c>
      <c r="D29" t="inlineStr">
        <is>
          <t>Hard</t>
        </is>
      </c>
      <c r="E29" t="inlineStr">
        <is>
          <t>[F]</t>
        </is>
      </c>
      <c r="F29" t="inlineStr">
        <is>
          <t>The sheet reports -0.5 against 1.5, a gap of 2 points; B8 stops at row 5, and over all six countries both columns average 1.5, so the gap disappears.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IF(SUMPRODUCT((Marks!$AK$5:$AK$39="top")*ISNUMBER(Marks!Z$5:Z$39))=0,"",SUMPRODUCT((Marks!$AK$5:$AK$39="top")*(Marks!Z$5:Z$39=1))/SUMPRODUCT((Marks!$AK$5:$AK$39="top")*ISNUMBER(Marks!Z$5:Z$39)))</f>
        <v/>
      </c>
      <c r="K29" s="6">
        <f>IF(SUMPRODUCT((Marks!$AK$5:$AK$39="bottom")*ISNUMBER(Marks!Z$5:Z$39))=0,"",SUMPRODUCT((Marks!$AK$5:$AK$39="bottom")*(Marks!Z$5:Z$39=1))/SUMPRODUCT((Marks!$AK$5:$AK$39="bottom")*ISNUMBER(Marks!Z$5:Z$39)))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Applied maths</t>
        </is>
      </c>
      <c r="D30" t="inlineStr">
        <is>
          <t>Hard</t>
        </is>
      </c>
      <c r="E30" t="inlineStr">
        <is>
          <t>[D]</t>
        </is>
      </c>
      <c r="F30" t="inlineStr">
        <is>
          <t>Column D halves every change, 0.130 against 0.261, so the value at risk should read 140 million dollars, 20 million over the limit.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IF(SUMPRODUCT((Marks!$AK$5:$AK$39="top")*ISNUMBER(Marks!AA$5:AA$39))=0,"",SUMPRODUCT((Marks!$AK$5:$AK$39="top")*(Marks!AA$5:AA$39=1))/SUMPRODUCT((Marks!$AK$5:$AK$39="top")*ISNUMBER(Marks!AA$5:AA$39)))</f>
        <v/>
      </c>
      <c r="K30" s="6">
        <f>IF(SUMPRODUCT((Marks!$AK$5:$AK$39="bottom")*ISNUMBER(Marks!AA$5:AA$39))=0,"",SUMPRODUCT((Marks!$AK$5:$AK$39="bottom")*(Marks!AA$5:AA$39=1))/SUMPRODUCT((Marks!$AK$5:$AK$39="bottom")*ISNUMBER(Marks!AA$5:AA$39)))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2.00 dollars, about 8.5 percent of the 23.50 dollars charged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IF(SUMPRODUCT((Marks!$AK$5:$AK$39="top")*ISNUMBER(Marks!AB$5:AB$39))=0,"",SUMPRODUCT((Marks!$AK$5:$AK$39="top")*(Marks!AB$5:AB$39=1))/SUMPRODUCT((Marks!$AK$5:$AK$39="top")*ISNUMBER(Marks!AB$5:AB$39)))</f>
        <v/>
      </c>
      <c r="K31" s="6">
        <f>IF(SUMPRODUCT((Marks!$AK$5:$AK$39="bottom")*ISNUMBER(Marks!AB$5:AB$39))=0,"",SUMPRODUCT((Marks!$AK$5:$AK$39="bottom")*(Marks!AB$5:AB$39=1))/SUMPRODUCT((Marks!$AK$5:$AK$39="bottom")*ISNUMBER(Marks!AB$5:AB$39)))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6</v>
      </c>
      <c r="C32" t="inlineStr">
        <is>
          <t>One correct option</t>
        </is>
      </c>
      <c r="D32" t="inlineStr">
        <is>
          <t>Hard</t>
        </is>
      </c>
      <c r="E32" t="inlineStr">
        <is>
          <t>[F]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IF(SUMPRODUCT((Marks!$AK$5:$AK$39="top")*ISNUMBER(Marks!AC$5:AC$39))=0,"",SUMPRODUCT((Marks!$AK$5:$AK$39="top")*(Marks!AC$5:AC$39=1))/SUMPRODUCT((Marks!$AK$5:$AK$39="top")*ISNUMBER(Marks!AC$5:AC$39)))</f>
        <v/>
      </c>
      <c r="K32" s="6">
        <f>IF(SUMPRODUCT((Marks!$AK$5:$AK$39="bottom")*ISNUMBER(Marks!AC$5:AC$39))=0,"",SUMPRODUCT((Marks!$AK$5:$AK$39="bottom")*(Marks!AC$5:AC$39=1))/SUMPRODUCT((Marks!$AK$5:$AK$39="bottom")*ISNUMBER(Marks!AC$5:AC$39)))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6</v>
      </c>
      <c r="C33" t="inlineStr">
        <is>
          <t>One correct option</t>
        </is>
      </c>
      <c r="D33" t="inlineStr">
        <is>
          <t>Hard</t>
        </is>
      </c>
      <c r="E33" t="inlineStr">
        <is>
          <t>[S]</t>
        </is>
      </c>
      <c r="F33" t="inlineStr">
        <is>
          <t>a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IF(SUMPRODUCT((Marks!$AK$5:$AK$39="top")*ISNUMBER(Marks!AD$5:AD$39))=0,"",SUMPRODUCT((Marks!$AK$5:$AK$39="top")*(Marks!AD$5:AD$39=1))/SUMPRODUCT((Marks!$AK$5:$AK$39="top")*ISNUMBER(Marks!AD$5:AD$39)))</f>
        <v/>
      </c>
      <c r="K33" s="6">
        <f>IF(SUMPRODUCT((Marks!$AK$5:$AK$39="bottom")*ISNUMBER(Marks!AD$5:AD$39))=0,"",SUMPRODUCT((Marks!$AK$5:$AK$39="bottom")*(Marks!AD$5:AD$39=1))/SUMPRODUCT((Marks!$AK$5:$AK$39="bottom")*ISNUMBER(Marks!AD$5:AD$39)))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[S]</t>
        </is>
      </c>
      <c r="F34" t="inlineStr">
        <is>
          <t>d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IF(SUMPRODUCT((Marks!$AK$5:$AK$39="top")*ISNUMBER(Marks!AE$5:AE$39))=0,"",SUMPRODUCT((Marks!$AK$5:$AK$39="top")*(Marks!AE$5:AE$39=1))/SUMPRODUCT((Marks!$AK$5:$AK$39="top")*ISNUMBER(Marks!AE$5:AE$39)))</f>
        <v/>
      </c>
      <c r="K34" s="6">
        <f>IF(SUMPRODUCT((Marks!$AK$5:$AK$39="bottom")*ISNUMBER(Marks!AE$5:AE$39))=0,"",SUMPRODUCT((Marks!$AK$5:$AK$39="bottom")*(Marks!AE$5:AE$39=1))/SUMPRODUCT((Marks!$AK$5:$AK$39="bottom")*ISNUMBER(Marks!AE$5:AE$39)))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IF(SUMPRODUCT((Marks!$AK$5:$AK$39="top")*ISNUMBER(Marks!AF$5:AF$39))=0,"",SUMPRODUCT((Marks!$AK$5:$AK$39="top")*(Marks!AF$5:AF$39=1))/SUMPRODUCT((Marks!$AK$5:$AK$39="top")*ISNUMBER(Marks!AF$5:AF$39)))</f>
        <v/>
      </c>
      <c r="K35" s="6">
        <f>IF(SUMPRODUCT((Marks!$AK$5:$AK$39="bottom")*ISNUMBER(Marks!AF$5:AF$39))=0,"",SUMPRODUCT((Marks!$AK$5:$AK$39="bottom")*(Marks!AF$5:AF$39=1))/SUMPRODUCT((Marks!$AK$5:$AK$39="bottom")*ISNUMBER(Marks!AF$5:AF$39)))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[F]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IF(SUMPRODUCT((Marks!$AK$5:$AK$39="top")*ISNUMBER(Marks!AG$5:AG$39))=0,"",SUMPRODUCT((Marks!$AK$5:$AK$39="top")*(Marks!AG$5:AG$39=1))/SUMPRODUCT((Marks!$AK$5:$AK$39="top")*ISNUMBER(Marks!AG$5:AG$39)))</f>
        <v/>
      </c>
      <c r="K36" s="6">
        <f>IF(SUMPRODUCT((Marks!$AK$5:$AK$39="bottom")*ISNUMBER(Marks!AG$5:AG$39))=0,"",SUMPRODUCT((Marks!$AK$5:$AK$39="bottom")*(Marks!AG$5:AG$39=1))/SUMPRODUCT((Marks!$AK$5:$AK$39="bottom")*ISNUMBER(Marks!AG$5:AG$39)))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IF(SUMPRODUCT((Marks!$AK$5:$AK$39="top")*ISNUMBER(Marks!AH$5:AH$39))=0,"",SUMPRODUCT((Marks!$AK$5:$AK$39="top")*(Marks!AH$5:AH$39=1))/SUMPRODUCT((Marks!$AK$5:$AK$39="top")*ISNUMBER(Marks!AH$5:AH$39)))</f>
        <v/>
      </c>
      <c r="K37" s="6">
        <f>IF(SUMPRODUCT((Marks!$AK$5:$AK$39="bottom")*ISNUMBER(Marks!AH$5:AH$39))=0,"",SUMPRODUCT((Marks!$AK$5:$AK$39="bottom")*(Marks!AH$5:AH$39=1))/SUMPRODUCT((Marks!$AK$5:$AK$39="bottom")*ISNUMBER(Marks!AH$5:AH$39)))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IF(SUM(Items!H5:H37)=0,"No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IF(COUNT(Items!$N$5:$N$37)&lt;A5,"",INDEX(Items!$A$5:$A$37,MATCH(SMALL(Items!$N$5:$N$37,A5),Items!$N$5:$N$37,0)))</f>
        <v/>
      </c>
      <c r="C5" s="6">
        <f>IF(B5="","",INDEX(Items!$I$5:$I$37,MATCH(B5,Items!$A$5:$A$37,0)))</f>
        <v/>
      </c>
      <c r="D5">
        <f>IF(B5="","",INDEX(Items!$B$5:$B$37,MATCH(B5,Items!$A$5:$A$37,0)))</f>
        <v/>
      </c>
      <c r="E5">
        <f>IF(B5="","",INDEX(Items!$E$5:$E$37,MATCH(B5,Items!$A$5:$A$37,0)))</f>
        <v/>
      </c>
      <c r="F5">
        <f>IF(B5="","",INDEX(Items!$M$5:$M$37,MATCH(B5,Items!$A$5:$A$37,0)))</f>
        <v/>
      </c>
    </row>
    <row r="6">
      <c r="A6" t="n">
        <v>2</v>
      </c>
      <c r="B6">
        <f>IF(COUNT(Items!$N$5:$N$37)&lt;A6,"",INDEX(Items!$A$5:$A$37,MATCH(SMALL(Items!$N$5:$N$37,A6),Items!$N$5:$N$37,0)))</f>
        <v/>
      </c>
      <c r="C6" s="6">
        <f>IF(B6="","",INDEX(Items!$I$5:$I$37,MATCH(B6,Items!$A$5:$A$37,0)))</f>
        <v/>
      </c>
      <c r="D6">
        <f>IF(B6="","",INDEX(Items!$B$5:$B$37,MATCH(B6,Items!$A$5:$A$37,0)))</f>
        <v/>
      </c>
      <c r="E6">
        <f>IF(B6="","",INDEX(Items!$E$5:$E$37,MATCH(B6,Items!$A$5:$A$37,0)))</f>
        <v/>
      </c>
      <c r="F6">
        <f>IF(B6="","",INDEX(Items!$M$5:$M$37,MATCH(B6,Items!$A$5:$A$37,0)))</f>
        <v/>
      </c>
    </row>
    <row r="7">
      <c r="A7" t="n">
        <v>3</v>
      </c>
      <c r="B7">
        <f>IF(COUNT(Items!$N$5:$N$37)&lt;A7,"",INDEX(Items!$A$5:$A$37,MATCH(SMALL(Items!$N$5:$N$37,A7),Items!$N$5:$N$37,0)))</f>
        <v/>
      </c>
      <c r="C7" s="6">
        <f>IF(B7="","",INDEX(Items!$I$5:$I$37,MATCH(B7,Items!$A$5:$A$37,0)))</f>
        <v/>
      </c>
      <c r="D7">
        <f>IF(B7="","",INDEX(Items!$B$5:$B$37,MATCH(B7,Items!$A$5:$A$37,0)))</f>
        <v/>
      </c>
      <c r="E7">
        <f>IF(B7="","",INDEX(Items!$E$5:$E$37,MATCH(B7,Items!$A$5:$A$37,0)))</f>
        <v/>
      </c>
      <c r="F7">
        <f>IF(B7="","",INDEX(Items!$M$5:$M$37,MATCH(B7,Items!$A$5:$A$37,0)))</f>
        <v/>
      </c>
    </row>
    <row r="8">
      <c r="A8" t="n">
        <v>4</v>
      </c>
      <c r="B8">
        <f>IF(COUNT(Items!$N$5:$N$37)&lt;A8,"",INDEX(Items!$A$5:$A$37,MATCH(SMALL(Items!$N$5:$N$37,A8),Items!$N$5:$N$37,0)))</f>
        <v/>
      </c>
      <c r="C8" s="6">
        <f>IF(B8="","",INDEX(Items!$I$5:$I$37,MATCH(B8,Items!$A$5:$A$37,0)))</f>
        <v/>
      </c>
      <c r="D8">
        <f>IF(B8="","",INDEX(Items!$B$5:$B$37,MATCH(B8,Items!$A$5:$A$37,0)))</f>
        <v/>
      </c>
      <c r="E8">
        <f>IF(B8="","",INDEX(Items!$E$5:$E$37,MATCH(B8,Items!$A$5:$A$37,0)))</f>
        <v/>
      </c>
      <c r="F8">
        <f>IF(B8="","",INDEX(Items!$M$5:$M$37,MATCH(B8,Items!$A$5:$A$37,0)))</f>
        <v/>
      </c>
    </row>
    <row r="9">
      <c r="A9" t="n">
        <v>5</v>
      </c>
      <c r="B9">
        <f>IF(COUNT(Items!$N$5:$N$37)&lt;A9,"",INDEX(Items!$A$5:$A$37,MATCH(SMALL(Items!$N$5:$N$37,A9),Items!$N$5:$N$37,0)))</f>
        <v/>
      </c>
      <c r="C9" s="6">
        <f>IF(B9="","",INDEX(Items!$I$5:$I$37,MATCH(B9,Items!$A$5:$A$37,0)))</f>
        <v/>
      </c>
      <c r="D9">
        <f>IF(B9="","",INDEX(Items!$B$5:$B$37,MATCH(B9,Items!$A$5:$A$37,0)))</f>
        <v/>
      </c>
      <c r="E9">
        <f>IF(B9="","",INDEX(Items!$E$5:$E$37,MATCH(B9,Items!$A$5:$A$37,0)))</f>
        <v/>
      </c>
      <c r="F9">
        <f>IF(B9="","",INDEX(Items!$M$5:$M$37,MATCH(B9,Items!$A$5:$A$37,0)))</f>
        <v/>
      </c>
    </row>
    <row r="10">
      <c r="A10" t="n">
        <v>6</v>
      </c>
      <c r="B10">
        <f>IF(COUNT(Items!$N$5:$N$37)&lt;A10,"",INDEX(Items!$A$5:$A$37,MATCH(SMALL(Items!$N$5:$N$37,A10),Items!$N$5:$N$37,0)))</f>
        <v/>
      </c>
      <c r="C10" s="6">
        <f>IF(B10="","",INDEX(Items!$I$5:$I$37,MATCH(B10,Items!$A$5:$A$37,0)))</f>
        <v/>
      </c>
      <c r="D10">
        <f>IF(B10="","",INDEX(Items!$B$5:$B$37,MATCH(B10,Items!$A$5:$A$37,0)))</f>
        <v/>
      </c>
      <c r="E10">
        <f>IF(B10="","",INDEX(Items!$E$5:$E$37,MATCH(B10,Items!$A$5:$A$37,0)))</f>
        <v/>
      </c>
      <c r="F10">
        <f>IF(B10="","",INDEX(Items!$M$5:$M$37,MATCH(B10,Items!$A$5:$A$37,0)))</f>
        <v/>
      </c>
    </row>
    <row r="11">
      <c r="A11" t="n">
        <v>7</v>
      </c>
      <c r="B11">
        <f>IF(COUNT(Items!$N$5:$N$37)&lt;A11,"",INDEX(Items!$A$5:$A$37,MATCH(SMALL(Items!$N$5:$N$37,A11),Items!$N$5:$N$37,0)))</f>
        <v/>
      </c>
      <c r="C11" s="6">
        <f>IF(B11="","",INDEX(Items!$I$5:$I$37,MATCH(B11,Items!$A$5:$A$37,0)))</f>
        <v/>
      </c>
      <c r="D11">
        <f>IF(B11="","",INDEX(Items!$B$5:$B$37,MATCH(B11,Items!$A$5:$A$37,0)))</f>
        <v/>
      </c>
      <c r="E11">
        <f>IF(B11="","",INDEX(Items!$E$5:$E$37,MATCH(B11,Items!$A$5:$A$37,0)))</f>
        <v/>
      </c>
      <c r="F11">
        <f>IF(B11="","",INDEX(Items!$M$5:$M$37,MATCH(B11,Items!$A$5:$A$37,0)))</f>
        <v/>
      </c>
    </row>
    <row r="12">
      <c r="A12" t="n">
        <v>8</v>
      </c>
      <c r="B12">
        <f>IF(COUNT(Items!$N$5:$N$37)&lt;A12,"",INDEX(Items!$A$5:$A$37,MATCH(SMALL(Items!$N$5:$N$37,A12),Items!$N$5:$N$37,0)))</f>
        <v/>
      </c>
      <c r="C12" s="6">
        <f>IF(B12="","",INDEX(Items!$I$5:$I$37,MATCH(B12,Items!$A$5:$A$37,0)))</f>
        <v/>
      </c>
      <c r="D12">
        <f>IF(B12="","",INDEX(Items!$B$5:$B$37,MATCH(B12,Items!$A$5:$A$37,0)))</f>
        <v/>
      </c>
      <c r="E12">
        <f>IF(B12="","",INDEX(Items!$E$5:$E$37,MATCH(B12,Items!$A$5:$A$37,0)))</f>
        <v/>
      </c>
      <c r="F12">
        <f>IF(B12="","",INDEX(Items!$M$5:$M$37,MATCH(B12,Items!$A$5:$A$37,0)))</f>
        <v/>
      </c>
    </row>
    <row r="13">
      <c r="A13" t="n">
        <v>9</v>
      </c>
      <c r="B13">
        <f>IF(COUNT(Items!$N$5:$N$37)&lt;A13,"",INDEX(Items!$A$5:$A$37,MATCH(SMALL(Items!$N$5:$N$37,A13),Items!$N$5:$N$37,0)))</f>
        <v/>
      </c>
      <c r="C13" s="6">
        <f>IF(B13="","",INDEX(Items!$I$5:$I$37,MATCH(B13,Items!$A$5:$A$37,0)))</f>
        <v/>
      </c>
      <c r="D13">
        <f>IF(B13="","",INDEX(Items!$B$5:$B$37,MATCH(B13,Items!$A$5:$A$37,0)))</f>
        <v/>
      </c>
      <c r="E13">
        <f>IF(B13="","",INDEX(Items!$E$5:$E$37,MATCH(B13,Items!$A$5:$A$37,0)))</f>
        <v/>
      </c>
      <c r="F13">
        <f>IF(B13="","",INDEX(Items!$M$5:$M$37,MATCH(B13,Items!$A$5:$A$37,0)))</f>
        <v/>
      </c>
    </row>
    <row r="14">
      <c r="A14" t="n">
        <v>10</v>
      </c>
      <c r="B14">
        <f>IF(COUNT(Items!$N$5:$N$37)&lt;A14,"",INDEX(Items!$A$5:$A$37,MATCH(SMALL(Items!$N$5:$N$37,A14),Items!$N$5:$N$37,0)))</f>
        <v/>
      </c>
      <c r="C14" s="6">
        <f>IF(B14="","",INDEX(Items!$I$5:$I$37,MATCH(B14,Items!$A$5:$A$37,0)))</f>
        <v/>
      </c>
      <c r="D14">
        <f>IF(B14="","",INDEX(Items!$B$5:$B$37,MATCH(B14,Items!$A$5:$A$37,0)))</f>
        <v/>
      </c>
      <c r="E14">
        <f>IF(B14="","",INDEX(Items!$E$5:$E$37,MATCH(B14,Items!$A$5:$A$37,0)))</f>
        <v/>
      </c>
      <c r="F14">
        <f>IF(B14="","",INDEX(Items!$M$5:$M$37,MATCH(B14,Items!$A$5:$A$37,0)))</f>
        <v/>
      </c>
    </row>
    <row r="15">
      <c r="A15" t="n">
        <v>11</v>
      </c>
      <c r="B15">
        <f>IF(COUNT(Items!$N$5:$N$37)&lt;A15,"",INDEX(Items!$A$5:$A$37,MATCH(SMALL(Items!$N$5:$N$37,A15),Items!$N$5:$N$37,0)))</f>
        <v/>
      </c>
      <c r="C15" s="6">
        <f>IF(B15="","",INDEX(Items!$I$5:$I$37,MATCH(B15,Items!$A$5:$A$37,0)))</f>
        <v/>
      </c>
      <c r="D15">
        <f>IF(B15="","",INDEX(Items!$B$5:$B$37,MATCH(B15,Items!$A$5:$A$37,0)))</f>
        <v/>
      </c>
      <c r="E15">
        <f>IF(B15="","",INDEX(Items!$E$5:$E$37,MATCH(B15,Items!$A$5:$A$37,0)))</f>
        <v/>
      </c>
      <c r="F15">
        <f>IF(B15="","",INDEX(Items!$M$5:$M$37,MATCH(B15,Items!$A$5:$A$37,0)))</f>
        <v/>
      </c>
    </row>
    <row r="16">
      <c r="A16" t="n">
        <v>12</v>
      </c>
      <c r="B16">
        <f>IF(COUNT(Items!$N$5:$N$37)&lt;A16,"",INDEX(Items!$A$5:$A$37,MATCH(SMALL(Items!$N$5:$N$37,A16),Items!$N$5:$N$37,0)))</f>
        <v/>
      </c>
      <c r="C16" s="6">
        <f>IF(B16="","",INDEX(Items!$I$5:$I$37,MATCH(B16,Items!$A$5:$A$37,0)))</f>
        <v/>
      </c>
      <c r="D16">
        <f>IF(B16="","",INDEX(Items!$B$5:$B$37,MATCH(B16,Items!$A$5:$A$37,0)))</f>
        <v/>
      </c>
      <c r="E16">
        <f>IF(B16="","",INDEX(Items!$E$5:$E$37,MATCH(B16,Items!$A$5:$A$37,0)))</f>
        <v/>
      </c>
      <c r="F16">
        <f>IF(B16="","",INDEX(Items!$M$5:$M$37,MATCH(B16,Items!$A$5:$A$37,0)))</f>
        <v/>
      </c>
    </row>
    <row r="17">
      <c r="A17" t="n">
        <v>13</v>
      </c>
      <c r="B17">
        <f>IF(COUNT(Items!$N$5:$N$37)&lt;A17,"",INDEX(Items!$A$5:$A$37,MATCH(SMALL(Items!$N$5:$N$37,A17),Items!$N$5:$N$37,0)))</f>
        <v/>
      </c>
      <c r="C17" s="6">
        <f>IF(B17="","",INDEX(Items!$I$5:$I$37,MATCH(B17,Items!$A$5:$A$37,0)))</f>
        <v/>
      </c>
      <c r="D17">
        <f>IF(B17="","",INDEX(Items!$B$5:$B$37,MATCH(B17,Items!$A$5:$A$37,0)))</f>
        <v/>
      </c>
      <c r="E17">
        <f>IF(B17="","",INDEX(Items!$E$5:$E$37,MATCH(B17,Items!$A$5:$A$37,0)))</f>
        <v/>
      </c>
      <c r="F17">
        <f>IF(B17="","",INDEX(Items!$M$5:$M$37,MATCH(B17,Items!$A$5:$A$37,0)))</f>
        <v/>
      </c>
    </row>
    <row r="18">
      <c r="A18" t="n">
        <v>14</v>
      </c>
      <c r="B18">
        <f>IF(COUNT(Items!$N$5:$N$37)&lt;A18,"",INDEX(Items!$A$5:$A$37,MATCH(SMALL(Items!$N$5:$N$37,A18),Items!$N$5:$N$37,0)))</f>
        <v/>
      </c>
      <c r="C18" s="6">
        <f>IF(B18="","",INDEX(Items!$I$5:$I$37,MATCH(B18,Items!$A$5:$A$37,0)))</f>
        <v/>
      </c>
      <c r="D18">
        <f>IF(B18="","",INDEX(Items!$B$5:$B$37,MATCH(B18,Items!$A$5:$A$37,0)))</f>
        <v/>
      </c>
      <c r="E18">
        <f>IF(B18="","",INDEX(Items!$E$5:$E$37,MATCH(B18,Items!$A$5:$A$37,0)))</f>
        <v/>
      </c>
      <c r="F18">
        <f>IF(B18="","",INDEX(Items!$M$5:$M$37,MATCH(B18,Items!$A$5:$A$37,0)))</f>
        <v/>
      </c>
    </row>
    <row r="19">
      <c r="A19" t="n">
        <v>15</v>
      </c>
      <c r="B19">
        <f>IF(COUNT(Items!$N$5:$N$37)&lt;A19,"",INDEX(Items!$A$5:$A$37,MATCH(SMALL(Items!$N$5:$N$37,A19),Items!$N$5:$N$37,0)))</f>
        <v/>
      </c>
      <c r="C19" s="6">
        <f>IF(B19="","",INDEX(Items!$I$5:$I$37,MATCH(B19,Items!$A$5:$A$37,0)))</f>
        <v/>
      </c>
      <c r="D19">
        <f>IF(B19="","",INDEX(Items!$B$5:$B$37,MATCH(B19,Items!$A$5:$A$37,0)))</f>
        <v/>
      </c>
      <c r="E19">
        <f>IF(B19="","",INDEX(Items!$E$5:$E$37,MATCH(B19,Items!$A$5:$A$37,0)))</f>
        <v/>
      </c>
      <c r="F19">
        <f>IF(B19="","",INDEX(Items!$M$5:$M$37,MATCH(B19,Items!$A$5:$A$37,0)))</f>
        <v/>
      </c>
    </row>
    <row r="20">
      <c r="A20" t="n">
        <v>16</v>
      </c>
      <c r="B20">
        <f>IF(COUNT(Items!$N$5:$N$37)&lt;A20,"",INDEX(Items!$A$5:$A$37,MATCH(SMALL(Items!$N$5:$N$37,A20),Items!$N$5:$N$37,0)))</f>
        <v/>
      </c>
      <c r="C20" s="6">
        <f>IF(B20="","",INDEX(Items!$I$5:$I$37,MATCH(B20,Items!$A$5:$A$37,0)))</f>
        <v/>
      </c>
      <c r="D20">
        <f>IF(B20="","",INDEX(Items!$B$5:$B$37,MATCH(B20,Items!$A$5:$A$37,0)))</f>
        <v/>
      </c>
      <c r="E20">
        <f>IF(B20="","",INDEX(Items!$E$5:$E$37,MATCH(B20,Items!$A$5:$A$37,0)))</f>
        <v/>
      </c>
      <c r="F20">
        <f>IF(B20="","",INDEX(Items!$M$5:$M$37,MATCH(B20,Items!$A$5:$A$37,0)))</f>
        <v/>
      </c>
    </row>
    <row r="21">
      <c r="A21" t="n">
        <v>17</v>
      </c>
      <c r="B21">
        <f>IF(COUNT(Items!$N$5:$N$37)&lt;A21,"",INDEX(Items!$A$5:$A$37,MATCH(SMALL(Items!$N$5:$N$37,A21),Items!$N$5:$N$37,0)))</f>
        <v/>
      </c>
      <c r="C21" s="6">
        <f>IF(B21="","",INDEX(Items!$I$5:$I$37,MATCH(B21,Items!$A$5:$A$37,0)))</f>
        <v/>
      </c>
      <c r="D21">
        <f>IF(B21="","",INDEX(Items!$B$5:$B$37,MATCH(B21,Items!$A$5:$A$37,0)))</f>
        <v/>
      </c>
      <c r="E21">
        <f>IF(B21="","",INDEX(Items!$E$5:$E$37,MATCH(B21,Items!$A$5:$A$37,0)))</f>
        <v/>
      </c>
      <c r="F21">
        <f>IF(B21="","",INDEX(Items!$M$5:$M$37,MATCH(B21,Items!$A$5:$A$37,0)))</f>
        <v/>
      </c>
    </row>
    <row r="22">
      <c r="A22" t="n">
        <v>18</v>
      </c>
      <c r="B22">
        <f>IF(COUNT(Items!$N$5:$N$37)&lt;A22,"",INDEX(Items!$A$5:$A$37,MATCH(SMALL(Items!$N$5:$N$37,A22),Items!$N$5:$N$37,0)))</f>
        <v/>
      </c>
      <c r="C22" s="6">
        <f>IF(B22="","",INDEX(Items!$I$5:$I$37,MATCH(B22,Items!$A$5:$A$37,0)))</f>
        <v/>
      </c>
      <c r="D22">
        <f>IF(B22="","",INDEX(Items!$B$5:$B$37,MATCH(B22,Items!$A$5:$A$37,0)))</f>
        <v/>
      </c>
      <c r="E22">
        <f>IF(B22="","",INDEX(Items!$E$5:$E$37,MATCH(B22,Items!$A$5:$A$37,0)))</f>
        <v/>
      </c>
      <c r="F22">
        <f>IF(B22="","",INDEX(Items!$M$5:$M$37,MATCH(B22,Items!$A$5:$A$37,0)))</f>
        <v/>
      </c>
    </row>
    <row r="23">
      <c r="A23" t="n">
        <v>19</v>
      </c>
      <c r="B23">
        <f>IF(COUNT(Items!$N$5:$N$37)&lt;A23,"",INDEX(Items!$A$5:$A$37,MATCH(SMALL(Items!$N$5:$N$37,A23),Items!$N$5:$N$37,0)))</f>
        <v/>
      </c>
      <c r="C23" s="6">
        <f>IF(B23="","",INDEX(Items!$I$5:$I$37,MATCH(B23,Items!$A$5:$A$37,0)))</f>
        <v/>
      </c>
      <c r="D23">
        <f>IF(B23="","",INDEX(Items!$B$5:$B$37,MATCH(B23,Items!$A$5:$A$37,0)))</f>
        <v/>
      </c>
      <c r="E23">
        <f>IF(B23="","",INDEX(Items!$E$5:$E$37,MATCH(B23,Items!$A$5:$A$37,0)))</f>
        <v/>
      </c>
      <c r="F23">
        <f>IF(B23="","",INDEX(Items!$M$5:$M$37,MATCH(B23,Items!$A$5:$A$37,0)))</f>
        <v/>
      </c>
    </row>
    <row r="24">
      <c r="A24" t="n">
        <v>20</v>
      </c>
      <c r="B24">
        <f>IF(COUNT(Items!$N$5:$N$37)&lt;A24,"",INDEX(Items!$A$5:$A$37,MATCH(SMALL(Items!$N$5:$N$37,A24),Items!$N$5:$N$37,0)))</f>
        <v/>
      </c>
      <c r="C24" s="6">
        <f>IF(B24="","",INDEX(Items!$I$5:$I$37,MATCH(B24,Items!$A$5:$A$37,0)))</f>
        <v/>
      </c>
      <c r="D24">
        <f>IF(B24="","",INDEX(Items!$B$5:$B$37,MATCH(B24,Items!$A$5:$A$37,0)))</f>
        <v/>
      </c>
      <c r="E24">
        <f>IF(B24="","",INDEX(Items!$E$5:$E$37,MATCH(B24,Items!$A$5:$A$37,0)))</f>
        <v/>
      </c>
      <c r="F24">
        <f>IF(B24="","",INDEX(Items!$M$5:$M$37,MATCH(B24,Items!$A$5:$A$37,0)))</f>
        <v/>
      </c>
    </row>
    <row r="25">
      <c r="A25" t="n">
        <v>21</v>
      </c>
      <c r="B25">
        <f>IF(COUNT(Items!$N$5:$N$37)&lt;A25,"",INDEX(Items!$A$5:$A$37,MATCH(SMALL(Items!$N$5:$N$37,A25),Items!$N$5:$N$37,0)))</f>
        <v/>
      </c>
      <c r="C25" s="6">
        <f>IF(B25="","",INDEX(Items!$I$5:$I$37,MATCH(B25,Items!$A$5:$A$37,0)))</f>
        <v/>
      </c>
      <c r="D25">
        <f>IF(B25="","",INDEX(Items!$B$5:$B$37,MATCH(B25,Items!$A$5:$A$37,0)))</f>
        <v/>
      </c>
      <c r="E25">
        <f>IF(B25="","",INDEX(Items!$E$5:$E$37,MATCH(B25,Items!$A$5:$A$37,0)))</f>
        <v/>
      </c>
      <c r="F25">
        <f>IF(B25="","",INDEX(Items!$M$5:$M$37,MATCH(B25,Items!$A$5:$A$37,0)))</f>
        <v/>
      </c>
    </row>
    <row r="26">
      <c r="A26" t="n">
        <v>22</v>
      </c>
      <c r="B26">
        <f>IF(COUNT(Items!$N$5:$N$37)&lt;A26,"",INDEX(Items!$A$5:$A$37,MATCH(SMALL(Items!$N$5:$N$37,A26),Items!$N$5:$N$37,0)))</f>
        <v/>
      </c>
      <c r="C26" s="6">
        <f>IF(B26="","",INDEX(Items!$I$5:$I$37,MATCH(B26,Items!$A$5:$A$37,0)))</f>
        <v/>
      </c>
      <c r="D26">
        <f>IF(B26="","",INDEX(Items!$B$5:$B$37,MATCH(B26,Items!$A$5:$A$37,0)))</f>
        <v/>
      </c>
      <c r="E26">
        <f>IF(B26="","",INDEX(Items!$E$5:$E$37,MATCH(B26,Items!$A$5:$A$37,0)))</f>
        <v/>
      </c>
      <c r="F26">
        <f>IF(B26="","",INDEX(Items!$M$5:$M$37,MATCH(B26,Items!$A$5:$A$37,0)))</f>
        <v/>
      </c>
    </row>
    <row r="27">
      <c r="A27" t="n">
        <v>23</v>
      </c>
      <c r="B27">
        <f>IF(COUNT(Items!$N$5:$N$37)&lt;A27,"",INDEX(Items!$A$5:$A$37,MATCH(SMALL(Items!$N$5:$N$37,A27),Items!$N$5:$N$37,0)))</f>
        <v/>
      </c>
      <c r="C27" s="6">
        <f>IF(B27="","",INDEX(Items!$I$5:$I$37,MATCH(B27,Items!$A$5:$A$37,0)))</f>
        <v/>
      </c>
      <c r="D27">
        <f>IF(B27="","",INDEX(Items!$B$5:$B$37,MATCH(B27,Items!$A$5:$A$37,0)))</f>
        <v/>
      </c>
      <c r="E27">
        <f>IF(B27="","",INDEX(Items!$E$5:$E$37,MATCH(B27,Items!$A$5:$A$37,0)))</f>
        <v/>
      </c>
      <c r="F27">
        <f>IF(B27="","",INDEX(Items!$M$5:$M$37,MATCH(B27,Items!$A$5:$A$37,0)))</f>
        <v/>
      </c>
    </row>
    <row r="28">
      <c r="A28" t="n">
        <v>24</v>
      </c>
      <c r="B28">
        <f>IF(COUNT(Items!$N$5:$N$37)&lt;A28,"",INDEX(Items!$A$5:$A$37,MATCH(SMALL(Items!$N$5:$N$37,A28),Items!$N$5:$N$37,0)))</f>
        <v/>
      </c>
      <c r="C28" s="6">
        <f>IF(B28="","",INDEX(Items!$I$5:$I$37,MATCH(B28,Items!$A$5:$A$37,0)))</f>
        <v/>
      </c>
      <c r="D28">
        <f>IF(B28="","",INDEX(Items!$B$5:$B$37,MATCH(B28,Items!$A$5:$A$37,0)))</f>
        <v/>
      </c>
      <c r="E28">
        <f>IF(B28="","",INDEX(Items!$E$5:$E$37,MATCH(B28,Items!$A$5:$A$37,0)))</f>
        <v/>
      </c>
      <c r="F28">
        <f>IF(B28="","",INDEX(Items!$M$5:$M$37,MATCH(B28,Items!$A$5:$A$37,0)))</f>
        <v/>
      </c>
    </row>
    <row r="29">
      <c r="A29" t="n">
        <v>25</v>
      </c>
      <c r="B29">
        <f>IF(COUNT(Items!$N$5:$N$37)&lt;A29,"",INDEX(Items!$A$5:$A$37,MATCH(SMALL(Items!$N$5:$N$37,A29),Items!$N$5:$N$37,0)))</f>
        <v/>
      </c>
      <c r="C29" s="6">
        <f>IF(B29="","",INDEX(Items!$I$5:$I$37,MATCH(B29,Items!$A$5:$A$37,0)))</f>
        <v/>
      </c>
      <c r="D29">
        <f>IF(B29="","",INDEX(Items!$B$5:$B$37,MATCH(B29,Items!$A$5:$A$37,0)))</f>
        <v/>
      </c>
      <c r="E29">
        <f>IF(B29="","",INDEX(Items!$E$5:$E$37,MATCH(B29,Items!$A$5:$A$37,0)))</f>
        <v/>
      </c>
      <c r="F29">
        <f>IF(B29="","",INDEX(Items!$M$5:$M$37,MATCH(B29,Items!$A$5:$A$37,0)))</f>
        <v/>
      </c>
    </row>
    <row r="30">
      <c r="A30" t="n">
        <v>26</v>
      </c>
      <c r="B30">
        <f>IF(COUNT(Items!$N$5:$N$37)&lt;A30,"",INDEX(Items!$A$5:$A$37,MATCH(SMALL(Items!$N$5:$N$37,A30),Items!$N$5:$N$37,0)))</f>
        <v/>
      </c>
      <c r="C30" s="6">
        <f>IF(B30="","",INDEX(Items!$I$5:$I$37,MATCH(B30,Items!$A$5:$A$37,0)))</f>
        <v/>
      </c>
      <c r="D30">
        <f>IF(B30="","",INDEX(Items!$B$5:$B$37,MATCH(B30,Items!$A$5:$A$37,0)))</f>
        <v/>
      </c>
      <c r="E30">
        <f>IF(B30="","",INDEX(Items!$E$5:$E$37,MATCH(B30,Items!$A$5:$A$37,0)))</f>
        <v/>
      </c>
      <c r="F30">
        <f>IF(B30="","",INDEX(Items!$M$5:$M$37,MATCH(B30,Items!$A$5:$A$37,0)))</f>
        <v/>
      </c>
    </row>
    <row r="31">
      <c r="A31" t="n">
        <v>27</v>
      </c>
      <c r="B31">
        <f>IF(COUNT(Items!$N$5:$N$37)&lt;A31,"",INDEX(Items!$A$5:$A$37,MATCH(SMALL(Items!$N$5:$N$37,A31),Items!$N$5:$N$37,0)))</f>
        <v/>
      </c>
      <c r="C31" s="6">
        <f>IF(B31="","",INDEX(Items!$I$5:$I$37,MATCH(B31,Items!$A$5:$A$37,0)))</f>
        <v/>
      </c>
      <c r="D31">
        <f>IF(B31="","",INDEX(Items!$B$5:$B$37,MATCH(B31,Items!$A$5:$A$37,0)))</f>
        <v/>
      </c>
      <c r="E31">
        <f>IF(B31="","",INDEX(Items!$E$5:$E$37,MATCH(B31,Items!$A$5:$A$37,0)))</f>
        <v/>
      </c>
      <c r="F31">
        <f>IF(B31="","",INDEX(Items!$M$5:$M$37,MATCH(B31,Items!$A$5:$A$37,0)))</f>
        <v/>
      </c>
    </row>
    <row r="32">
      <c r="A32" t="n">
        <v>28</v>
      </c>
      <c r="B32">
        <f>IF(COUNT(Items!$N$5:$N$37)&lt;A32,"",INDEX(Items!$A$5:$A$37,MATCH(SMALL(Items!$N$5:$N$37,A32),Items!$N$5:$N$37,0)))</f>
        <v/>
      </c>
      <c r="C32" s="6">
        <f>IF(B32="","",INDEX(Items!$I$5:$I$37,MATCH(B32,Items!$A$5:$A$37,0)))</f>
        <v/>
      </c>
      <c r="D32">
        <f>IF(B32="","",INDEX(Items!$B$5:$B$37,MATCH(B32,Items!$A$5:$A$37,0)))</f>
        <v/>
      </c>
      <c r="E32">
        <f>IF(B32="","",INDEX(Items!$E$5:$E$37,MATCH(B32,Items!$A$5:$A$37,0)))</f>
        <v/>
      </c>
      <c r="F32">
        <f>IF(B32="","",INDEX(Items!$M$5:$M$37,MATCH(B32,Items!$A$5:$A$37,0)))</f>
        <v/>
      </c>
    </row>
    <row r="33">
      <c r="A33" t="n">
        <v>29</v>
      </c>
      <c r="B33">
        <f>IF(COUNT(Items!$N$5:$N$37)&lt;A33,"",INDEX(Items!$A$5:$A$37,MATCH(SMALL(Items!$N$5:$N$37,A33),Items!$N$5:$N$37,0)))</f>
        <v/>
      </c>
      <c r="C33" s="6">
        <f>IF(B33="","",INDEX(Items!$I$5:$I$37,MATCH(B33,Items!$A$5:$A$37,0)))</f>
        <v/>
      </c>
      <c r="D33">
        <f>IF(B33="","",INDEX(Items!$B$5:$B$37,MATCH(B33,Items!$A$5:$A$37,0)))</f>
        <v/>
      </c>
      <c r="E33">
        <f>IF(B33="","",INDEX(Items!$E$5:$E$37,MATCH(B33,Items!$A$5:$A$37,0)))</f>
        <v/>
      </c>
      <c r="F33">
        <f>IF(B33="","",INDEX(Items!$M$5:$M$37,MATCH(B33,Items!$A$5:$A$37,0)))</f>
        <v/>
      </c>
    </row>
    <row r="34">
      <c r="A34" t="n">
        <v>30</v>
      </c>
      <c r="B34">
        <f>IF(COUNT(Items!$N$5:$N$37)&lt;A34,"",INDEX(Items!$A$5:$A$37,MATCH(SMALL(Items!$N$5:$N$37,A34),Items!$N$5:$N$37,0)))</f>
        <v/>
      </c>
      <c r="C34" s="6">
        <f>IF(B34="","",INDEX(Items!$I$5:$I$37,MATCH(B34,Items!$A$5:$A$37,0)))</f>
        <v/>
      </c>
      <c r="D34">
        <f>IF(B34="","",INDEX(Items!$B$5:$B$37,MATCH(B34,Items!$A$5:$A$37,0)))</f>
        <v/>
      </c>
      <c r="E34">
        <f>IF(B34="","",INDEX(Items!$E$5:$E$37,MATCH(B34,Items!$A$5:$A$37,0)))</f>
        <v/>
      </c>
      <c r="F34">
        <f>IF(B34="","",INDEX(Items!$M$5:$M$37,MATCH(B34,Items!$A$5:$A$37,0)))</f>
        <v/>
      </c>
    </row>
    <row r="35">
      <c r="A35" t="n">
        <v>31</v>
      </c>
      <c r="B35">
        <f>IF(COUNT(Items!$N$5:$N$37)&lt;A35,"",INDEX(Items!$A$5:$A$37,MATCH(SMALL(Items!$N$5:$N$37,A35),Items!$N$5:$N$37,0)))</f>
        <v/>
      </c>
      <c r="C35" s="6">
        <f>IF(B35="","",INDEX(Items!$I$5:$I$37,MATCH(B35,Items!$A$5:$A$37,0)))</f>
        <v/>
      </c>
      <c r="D35">
        <f>IF(B35="","",INDEX(Items!$B$5:$B$37,MATCH(B35,Items!$A$5:$A$37,0)))</f>
        <v/>
      </c>
      <c r="E35">
        <f>IF(B35="","",INDEX(Items!$E$5:$E$37,MATCH(B35,Items!$A$5:$A$37,0)))</f>
        <v/>
      </c>
      <c r="F35">
        <f>IF(B35="","",INDEX(Items!$M$5:$M$37,MATCH(B35,Items!$A$5:$A$37,0)))</f>
        <v/>
      </c>
    </row>
    <row r="36">
      <c r="A36" t="n">
        <v>32</v>
      </c>
      <c r="B36">
        <f>IF(COUNT(Items!$N$5:$N$37)&lt;A36,"",INDEX(Items!$A$5:$A$37,MATCH(SMALL(Items!$N$5:$N$37,A36),Items!$N$5:$N$37,0)))</f>
        <v/>
      </c>
      <c r="C36" s="6">
        <f>IF(B36="","",INDEX(Items!$I$5:$I$37,MATCH(B36,Items!$A$5:$A$37,0)))</f>
        <v/>
      </c>
      <c r="D36">
        <f>IF(B36="","",INDEX(Items!$B$5:$B$37,MATCH(B36,Items!$A$5:$A$37,0)))</f>
        <v/>
      </c>
      <c r="E36">
        <f>IF(B36="","",INDEX(Items!$E$5:$E$37,MATCH(B36,Items!$A$5:$A$37,0)))</f>
        <v/>
      </c>
      <c r="F36">
        <f>IF(B36="","",INDEX(Items!$M$5:$M$37,MATCH(B36,Items!$A$5:$A$37,0)))</f>
        <v/>
      </c>
    </row>
    <row r="37">
      <c r="A37" t="n">
        <v>33</v>
      </c>
      <c r="B37">
        <f>IF(COUNT(Items!$N$5:$N$37)&lt;A37,"",INDEX(Items!$A$5:$A$37,MATCH(SMALL(Items!$N$5:$N$37,A37),Items!$N$5:$N$37,0)))</f>
        <v/>
      </c>
      <c r="C37" s="6">
        <f>IF(B37="","",INDEX(Items!$I$5:$I$37,MATCH(B37,Items!$A$5:$A$37,0)))</f>
        <v/>
      </c>
      <c r="D37">
        <f>IF(B37="","",INDEX(Items!$B$5:$B$37,MATCH(B37,Items!$A$5:$A$37,0)))</f>
        <v/>
      </c>
      <c r="E37">
        <f>IF(B37="","",INDEX(Items!$E$5:$E$37,MATCH(B37,Items!$A$5:$A$37,0)))</f>
        <v/>
      </c>
      <c r="F37">
        <f>IF(B37="","",INDEX(Items!$M$5:$M$37,MATCH(B37,Items!$A$5:$A$37,0)))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COUNTIF(Items!$E$5:$E$37,A5)</f>
        <v/>
      </c>
      <c r="D5" s="6">
        <f>IF(SUMPRODUCT((Items!$E$5:$E$37=A5)*Items!$H$5:$H$37)=0,"",SUMPRODUCT((Items!$E$5:$E$37=A5)*Items!$G$5:$G$37)/SUMPRODUCT((Items!$E$5:$E$37=A5)*Items!$H$5:$H$37))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COUNTIF(Items!$E$5:$E$37,A6)</f>
        <v/>
      </c>
      <c r="D6" s="6">
        <f>IF(SUMPRODUCT((Items!$E$5:$E$37=A6)*Items!$H$5:$H$37)=0,"",SUMPRODUCT((Items!$E$5:$E$37=A6)*Items!$G$5:$G$37)/SUMPRODUCT((Items!$E$5:$E$37=A6)*Items!$H$5:$H$37))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COUNTIF(Items!$E$5:$E$37,A7)</f>
        <v/>
      </c>
      <c r="D7" s="6">
        <f>IF(SUMPRODUCT((Items!$E$5:$E$37=A7)*Items!$H$5:$H$37)=0,"",SUMPRODUCT((Items!$E$5:$E$37=A7)*Items!$G$5:$G$37)/SUMPRODUCT((Items!$E$5:$E$37=A7)*Items!$H$5:$H$37))</f>
        <v/>
      </c>
    </row>
    <row r="8">
      <c r="A8" t="n">
        <v>1</v>
      </c>
      <c r="B8" t="inlineStr">
        <is>
          <t>Part 1. Can the warehouse give Anand Monday numbers that his analyst can audit line by line?</t>
        </is>
      </c>
      <c r="C8">
        <f>COUNTIF(Items!$B$5:$B$37,A8)</f>
        <v/>
      </c>
      <c r="D8" s="6">
        <f>IF(SUMPRODUCT((Items!$B$5:$B$37=A8)*Items!$H$5:$H$37)=0,"",SUMPRODUCT((Items!$B$5:$B$37=A8)*Items!$G$5:$G$37)/SUMPRODUCT((Items!$B$5:$B$37=A8)*Items!$H$5:$H$37))</f>
        <v/>
      </c>
    </row>
    <row r="9">
      <c r="A9" t="n">
        <v>2</v>
      </c>
      <c r="B9" t="inlineStr">
        <is>
          <t>Part 2. Can Anand sign what Kalpa collected against what it booked, with nothing lost or counted twice?</t>
        </is>
      </c>
      <c r="C9">
        <f>COUNTIF(Items!$B$5:$B$37,A9)</f>
        <v/>
      </c>
      <c r="D9" s="6">
        <f>IF(SUMPRODUCT((Items!$B$5:$B$37=A9)*Items!$H$5:$H$37)=0,"",SUMPRODUCT((Items!$B$5:$B$37=A9)*Items!$G$5:$G$37)/SUMPRODUCT((Items!$B$5:$B$37=A9)*Items!$H$5:$H$37))</f>
        <v/>
      </c>
    </row>
    <row r="10">
      <c r="A10" t="n">
        <v>3</v>
      </c>
      <c r="B10" t="inlineStr">
        <is>
          <t>Part 3. Which members should Marketing protect and call, and did July to September keep pace with the plan?</t>
        </is>
      </c>
      <c r="C10">
        <f>COUNTIF(Items!$B$5:$B$37,A10)</f>
        <v/>
      </c>
      <c r="D10" s="6">
        <f>IF(SUMPRODUCT((Items!$B$5:$B$37=A10)*Items!$H$5:$H$37)=0,"",SUMPRODUCT((Items!$B$5:$B$37=A10)*Items!$G$5:$G$37)/SUMPRODUCT((Items!$B$5:$B$37=A10)*Items!$H$5:$H$37))</f>
        <v/>
      </c>
    </row>
    <row r="11">
      <c r="A11" t="n">
        <v>4</v>
      </c>
      <c r="B11" t="inlineStr">
        <is>
          <t>Part 4. Can the growth team act on Monday's table of 340 customers without checking it first?</t>
        </is>
      </c>
      <c r="C11">
        <f>COUNTIF(Items!$B$5:$B$37,A11)</f>
        <v/>
      </c>
      <c r="D11" s="6">
        <f>IF(SUMPRODUCT((Items!$B$5:$B$37=A11)*Items!$H$5:$H$37)=0,"",SUMPRODUCT((Items!$B$5:$B$37=A11)*Items!$G$5:$G$37)/SUMPRODUCT((Items!$B$5:$B$37=A11)*Items!$H$5:$H$37))</f>
        <v/>
      </c>
    </row>
    <row r="12">
      <c r="A12" t="n">
        <v>5</v>
      </c>
      <c r="B12" t="inlineStr">
        <is>
          <t>Part 5. Which spreadsheet numbers can a director trust, in Monday's workbook and in three public cases?</t>
        </is>
      </c>
      <c r="C12">
        <f>COUNTIF(Items!$B$5:$B$37,A12)</f>
        <v/>
      </c>
      <c r="D12" s="6">
        <f>IF(SUMPRODUCT((Items!$B$5:$B$37=A12)*Items!$H$5:$H$37)=0,"",SUMPRODUCT((Items!$B$5:$B$37=A12)*Items!$G$5:$G$37)/SUMPRODUCT((Items!$B$5:$B$37=A12)*Items!$H$5:$H$37))</f>
        <v/>
      </c>
    </row>
    <row r="13">
      <c r="A13" t="n">
        <v>6</v>
      </c>
      <c r="B13" t="inlineStr">
        <is>
          <t>Part 6. Can a food-delivery company's AI team trust the numbers behind its model and budget decisions?</t>
        </is>
      </c>
      <c r="C13">
        <f>COUNTIF(Items!$B$5:$B$37,A13)</f>
        <v/>
      </c>
      <c r="D13" s="6">
        <f>IF(SUMPRODUCT((Items!$B$5:$B$37=A13)*Items!$H$5:$H$37)=0,"",SUMPRODUCT((Items!$B$5:$B$37=A13)*Items!$G$5:$G$37)/SUMPRODUCT((Items!$B$5:$B$37=A13)*Items!$H$5:$H$37))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IF(SUMPRODUCT((Marks!$B$3:$AH$3=B$4)*ISNUMBER(Marks!$B$5:$AH$5))=0,"",SUMPRODUCT((Marks!$B$3:$AH$3=B$4)*(Marks!$B$5:$AH$5=1))/SUMPRODUCT((Marks!$B$3:$AH$3=B$4)*ISNUMBER(Marks!$B$5:$AH$5)))</f>
        <v/>
      </c>
      <c r="C5" s="6">
        <f>IF(SUMPRODUCT((Marks!$B$3:$AH$3=C$4)*ISNUMBER(Marks!$B$5:$AH$5))=0,"",SUMPRODUCT((Marks!$B$3:$AH$3=C$4)*(Marks!$B$5:$AH$5=1))/SUMPRODUCT((Marks!$B$3:$AH$3=C$4)*ISNUMBER(Marks!$B$5:$AH$5)))</f>
        <v/>
      </c>
      <c r="D5" s="6">
        <f>IF(SUMPRODUCT((Marks!$B$3:$AH$3=D$4)*ISNUMBER(Marks!$B$5:$AH$5))=0,"",SUMPRODUCT((Marks!$B$3:$AH$3=D$4)*(Marks!$B$5:$AH$5=1))/SUMPRODUCT((Marks!$B$3:$AH$3=D$4)*ISNUMBER(Marks!$B$5:$AH$5)))</f>
        <v/>
      </c>
    </row>
    <row r="6">
      <c r="A6" t="n">
        <v>2</v>
      </c>
      <c r="B6" s="6">
        <f>IF(SUMPRODUCT((Marks!$B$3:$AH$3=B$4)*ISNUMBER(Marks!$B$6:$AH$6))=0,"",SUMPRODUCT((Marks!$B$3:$AH$3=B$4)*(Marks!$B$6:$AH$6=1))/SUMPRODUCT((Marks!$B$3:$AH$3=B$4)*ISNUMBER(Marks!$B$6:$AH$6)))</f>
        <v/>
      </c>
      <c r="C6" s="6">
        <f>IF(SUMPRODUCT((Marks!$B$3:$AH$3=C$4)*ISNUMBER(Marks!$B$6:$AH$6))=0,"",SUMPRODUCT((Marks!$B$3:$AH$3=C$4)*(Marks!$B$6:$AH$6=1))/SUMPRODUCT((Marks!$B$3:$AH$3=C$4)*ISNUMBER(Marks!$B$6:$AH$6)))</f>
        <v/>
      </c>
      <c r="D6" s="6">
        <f>IF(SUMPRODUCT((Marks!$B$3:$AH$3=D$4)*ISNUMBER(Marks!$B$6:$AH$6))=0,"",SUMPRODUCT((Marks!$B$3:$AH$3=D$4)*(Marks!$B$6:$AH$6=1))/SUMPRODUCT((Marks!$B$3:$AH$3=D$4)*ISNUMBER(Marks!$B$6:$AH$6)))</f>
        <v/>
      </c>
    </row>
    <row r="7">
      <c r="A7" t="n">
        <v>3</v>
      </c>
      <c r="B7" s="6">
        <f>IF(SUMPRODUCT((Marks!$B$3:$AH$3=B$4)*ISNUMBER(Marks!$B$7:$AH$7))=0,"",SUMPRODUCT((Marks!$B$3:$AH$3=B$4)*(Marks!$B$7:$AH$7=1))/SUMPRODUCT((Marks!$B$3:$AH$3=B$4)*ISNUMBER(Marks!$B$7:$AH$7)))</f>
        <v/>
      </c>
      <c r="C7" s="6">
        <f>IF(SUMPRODUCT((Marks!$B$3:$AH$3=C$4)*ISNUMBER(Marks!$B$7:$AH$7))=0,"",SUMPRODUCT((Marks!$B$3:$AH$3=C$4)*(Marks!$B$7:$AH$7=1))/SUMPRODUCT((Marks!$B$3:$AH$3=C$4)*ISNUMBER(Marks!$B$7:$AH$7)))</f>
        <v/>
      </c>
      <c r="D7" s="6">
        <f>IF(SUMPRODUCT((Marks!$B$3:$AH$3=D$4)*ISNUMBER(Marks!$B$7:$AH$7))=0,"",SUMPRODUCT((Marks!$B$3:$AH$3=D$4)*(Marks!$B$7:$AH$7=1))/SUMPRODUCT((Marks!$B$3:$AH$3=D$4)*ISNUMBER(Marks!$B$7:$AH$7)))</f>
        <v/>
      </c>
    </row>
    <row r="8">
      <c r="A8" t="n">
        <v>4</v>
      </c>
      <c r="B8" s="6">
        <f>IF(SUMPRODUCT((Marks!$B$3:$AH$3=B$4)*ISNUMBER(Marks!$B$8:$AH$8))=0,"",SUMPRODUCT((Marks!$B$3:$AH$3=B$4)*(Marks!$B$8:$AH$8=1))/SUMPRODUCT((Marks!$B$3:$AH$3=B$4)*ISNUMBER(Marks!$B$8:$AH$8)))</f>
        <v/>
      </c>
      <c r="C8" s="6">
        <f>IF(SUMPRODUCT((Marks!$B$3:$AH$3=C$4)*ISNUMBER(Marks!$B$8:$AH$8))=0,"",SUMPRODUCT((Marks!$B$3:$AH$3=C$4)*(Marks!$B$8:$AH$8=1))/SUMPRODUCT((Marks!$B$3:$AH$3=C$4)*ISNUMBER(Marks!$B$8:$AH$8)))</f>
        <v/>
      </c>
      <c r="D8" s="6">
        <f>IF(SUMPRODUCT((Marks!$B$3:$AH$3=D$4)*ISNUMBER(Marks!$B$8:$AH$8))=0,"",SUMPRODUCT((Marks!$B$3:$AH$3=D$4)*(Marks!$B$8:$AH$8=1))/SUMPRODUCT((Marks!$B$3:$AH$3=D$4)*ISNUMBER(Marks!$B$8:$AH$8)))</f>
        <v/>
      </c>
    </row>
    <row r="9">
      <c r="A9" t="n">
        <v>5</v>
      </c>
      <c r="B9" s="6">
        <f>IF(SUMPRODUCT((Marks!$B$3:$AH$3=B$4)*ISNUMBER(Marks!$B$9:$AH$9))=0,"",SUMPRODUCT((Marks!$B$3:$AH$3=B$4)*(Marks!$B$9:$AH$9=1))/SUMPRODUCT((Marks!$B$3:$AH$3=B$4)*ISNUMBER(Marks!$B$9:$AH$9)))</f>
        <v/>
      </c>
      <c r="C9" s="6">
        <f>IF(SUMPRODUCT((Marks!$B$3:$AH$3=C$4)*ISNUMBER(Marks!$B$9:$AH$9))=0,"",SUMPRODUCT((Marks!$B$3:$AH$3=C$4)*(Marks!$B$9:$AH$9=1))/SUMPRODUCT((Marks!$B$3:$AH$3=C$4)*ISNUMBER(Marks!$B$9:$AH$9)))</f>
        <v/>
      </c>
      <c r="D9" s="6">
        <f>IF(SUMPRODUCT((Marks!$B$3:$AH$3=D$4)*ISNUMBER(Marks!$B$9:$AH$9))=0,"",SUMPRODUCT((Marks!$B$3:$AH$3=D$4)*(Marks!$B$9:$AH$9=1))/SUMPRODUCT((Marks!$B$3:$AH$3=D$4)*ISNUMBER(Marks!$B$9:$AH$9)))</f>
        <v/>
      </c>
    </row>
    <row r="10">
      <c r="A10" t="n">
        <v>6</v>
      </c>
      <c r="B10" s="6">
        <f>IF(SUMPRODUCT((Marks!$B$3:$AH$3=B$4)*ISNUMBER(Marks!$B$10:$AH$10))=0,"",SUMPRODUCT((Marks!$B$3:$AH$3=B$4)*(Marks!$B$10:$AH$10=1))/SUMPRODUCT((Marks!$B$3:$AH$3=B$4)*ISNUMBER(Marks!$B$10:$AH$10)))</f>
        <v/>
      </c>
      <c r="C10" s="6">
        <f>IF(SUMPRODUCT((Marks!$B$3:$AH$3=C$4)*ISNUMBER(Marks!$B$10:$AH$10))=0,"",SUMPRODUCT((Marks!$B$3:$AH$3=C$4)*(Marks!$B$10:$AH$10=1))/SUMPRODUCT((Marks!$B$3:$AH$3=C$4)*ISNUMBER(Marks!$B$10:$AH$10)))</f>
        <v/>
      </c>
      <c r="D10" s="6">
        <f>IF(SUMPRODUCT((Marks!$B$3:$AH$3=D$4)*ISNUMBER(Marks!$B$10:$AH$10))=0,"",SUMPRODUCT((Marks!$B$3:$AH$3=D$4)*(Marks!$B$10:$AH$10=1))/SUMPRODUCT((Marks!$B$3:$AH$3=D$4)*ISNUMBER(Marks!$B$10:$AH$10)))</f>
        <v/>
      </c>
    </row>
    <row r="11">
      <c r="A11" t="n">
        <v>7</v>
      </c>
      <c r="B11" s="6">
        <f>IF(SUMPRODUCT((Marks!$B$3:$AH$3=B$4)*ISNUMBER(Marks!$B$11:$AH$11))=0,"",SUMPRODUCT((Marks!$B$3:$AH$3=B$4)*(Marks!$B$11:$AH$11=1))/SUMPRODUCT((Marks!$B$3:$AH$3=B$4)*ISNUMBER(Marks!$B$11:$AH$11)))</f>
        <v/>
      </c>
      <c r="C11" s="6">
        <f>IF(SUMPRODUCT((Marks!$B$3:$AH$3=C$4)*ISNUMBER(Marks!$B$11:$AH$11))=0,"",SUMPRODUCT((Marks!$B$3:$AH$3=C$4)*(Marks!$B$11:$AH$11=1))/SUMPRODUCT((Marks!$B$3:$AH$3=C$4)*ISNUMBER(Marks!$B$11:$AH$11)))</f>
        <v/>
      </c>
      <c r="D11" s="6">
        <f>IF(SUMPRODUCT((Marks!$B$3:$AH$3=D$4)*ISNUMBER(Marks!$B$11:$AH$11))=0,"",SUMPRODUCT((Marks!$B$3:$AH$3=D$4)*(Marks!$B$11:$AH$11=1))/SUMPRODUCT((Marks!$B$3:$AH$3=D$4)*ISNUMBER(Marks!$B$11:$AH$11)))</f>
        <v/>
      </c>
    </row>
    <row r="12">
      <c r="A12" t="n">
        <v>8</v>
      </c>
      <c r="B12" s="6">
        <f>IF(SUMPRODUCT((Marks!$B$3:$AH$3=B$4)*ISNUMBER(Marks!$B$12:$AH$12))=0,"",SUMPRODUCT((Marks!$B$3:$AH$3=B$4)*(Marks!$B$12:$AH$12=1))/SUMPRODUCT((Marks!$B$3:$AH$3=B$4)*ISNUMBER(Marks!$B$12:$AH$12)))</f>
        <v/>
      </c>
      <c r="C12" s="6">
        <f>IF(SUMPRODUCT((Marks!$B$3:$AH$3=C$4)*ISNUMBER(Marks!$B$12:$AH$12))=0,"",SUMPRODUCT((Marks!$B$3:$AH$3=C$4)*(Marks!$B$12:$AH$12=1))/SUMPRODUCT((Marks!$B$3:$AH$3=C$4)*ISNUMBER(Marks!$B$12:$AH$12)))</f>
        <v/>
      </c>
      <c r="D12" s="6">
        <f>IF(SUMPRODUCT((Marks!$B$3:$AH$3=D$4)*ISNUMBER(Marks!$B$12:$AH$12))=0,"",SUMPRODUCT((Marks!$B$3:$AH$3=D$4)*(Marks!$B$12:$AH$12=1))/SUMPRODUCT((Marks!$B$3:$AH$3=D$4)*ISNUMBER(Marks!$B$12:$AH$12)))</f>
        <v/>
      </c>
    </row>
    <row r="13">
      <c r="A13" t="n">
        <v>9</v>
      </c>
      <c r="B13" s="6">
        <f>IF(SUMPRODUCT((Marks!$B$3:$AH$3=B$4)*ISNUMBER(Marks!$B$13:$AH$13))=0,"",SUMPRODUCT((Marks!$B$3:$AH$3=B$4)*(Marks!$B$13:$AH$13=1))/SUMPRODUCT((Marks!$B$3:$AH$3=B$4)*ISNUMBER(Marks!$B$13:$AH$13)))</f>
        <v/>
      </c>
      <c r="C13" s="6">
        <f>IF(SUMPRODUCT((Marks!$B$3:$AH$3=C$4)*ISNUMBER(Marks!$B$13:$AH$13))=0,"",SUMPRODUCT((Marks!$B$3:$AH$3=C$4)*(Marks!$B$13:$AH$13=1))/SUMPRODUCT((Marks!$B$3:$AH$3=C$4)*ISNUMBER(Marks!$B$13:$AH$13)))</f>
        <v/>
      </c>
      <c r="D13" s="6">
        <f>IF(SUMPRODUCT((Marks!$B$3:$AH$3=D$4)*ISNUMBER(Marks!$B$13:$AH$13))=0,"",SUMPRODUCT((Marks!$B$3:$AH$3=D$4)*(Marks!$B$13:$AH$13=1))/SUMPRODUCT((Marks!$B$3:$AH$3=D$4)*ISNUMBER(Marks!$B$13:$AH$13)))</f>
        <v/>
      </c>
    </row>
    <row r="14">
      <c r="A14" t="n">
        <v>10</v>
      </c>
      <c r="B14" s="6">
        <f>IF(SUMPRODUCT((Marks!$B$3:$AH$3=B$4)*ISNUMBER(Marks!$B$14:$AH$14))=0,"",SUMPRODUCT((Marks!$B$3:$AH$3=B$4)*(Marks!$B$14:$AH$14=1))/SUMPRODUCT((Marks!$B$3:$AH$3=B$4)*ISNUMBER(Marks!$B$14:$AH$14)))</f>
        <v/>
      </c>
      <c r="C14" s="6">
        <f>IF(SUMPRODUCT((Marks!$B$3:$AH$3=C$4)*ISNUMBER(Marks!$B$14:$AH$14))=0,"",SUMPRODUCT((Marks!$B$3:$AH$3=C$4)*(Marks!$B$14:$AH$14=1))/SUMPRODUCT((Marks!$B$3:$AH$3=C$4)*ISNUMBER(Marks!$B$14:$AH$14)))</f>
        <v/>
      </c>
      <c r="D14" s="6">
        <f>IF(SUMPRODUCT((Marks!$B$3:$AH$3=D$4)*ISNUMBER(Marks!$B$14:$AH$14))=0,"",SUMPRODUCT((Marks!$B$3:$AH$3=D$4)*(Marks!$B$14:$AH$14=1))/SUMPRODUCT((Marks!$B$3:$AH$3=D$4)*ISNUMBER(Marks!$B$14:$AH$14)))</f>
        <v/>
      </c>
    </row>
    <row r="15">
      <c r="A15" t="n">
        <v>11</v>
      </c>
      <c r="B15" s="6">
        <f>IF(SUMPRODUCT((Marks!$B$3:$AH$3=B$4)*ISNUMBER(Marks!$B$15:$AH$15))=0,"",SUMPRODUCT((Marks!$B$3:$AH$3=B$4)*(Marks!$B$15:$AH$15=1))/SUMPRODUCT((Marks!$B$3:$AH$3=B$4)*ISNUMBER(Marks!$B$15:$AH$15)))</f>
        <v/>
      </c>
      <c r="C15" s="6">
        <f>IF(SUMPRODUCT((Marks!$B$3:$AH$3=C$4)*ISNUMBER(Marks!$B$15:$AH$15))=0,"",SUMPRODUCT((Marks!$B$3:$AH$3=C$4)*(Marks!$B$15:$AH$15=1))/SUMPRODUCT((Marks!$B$3:$AH$3=C$4)*ISNUMBER(Marks!$B$15:$AH$15)))</f>
        <v/>
      </c>
      <c r="D15" s="6">
        <f>IF(SUMPRODUCT((Marks!$B$3:$AH$3=D$4)*ISNUMBER(Marks!$B$15:$AH$15))=0,"",SUMPRODUCT((Marks!$B$3:$AH$3=D$4)*(Marks!$B$15:$AH$15=1))/SUMPRODUCT((Marks!$B$3:$AH$3=D$4)*ISNUMBER(Marks!$B$15:$AH$15)))</f>
        <v/>
      </c>
    </row>
    <row r="16">
      <c r="A16" t="n">
        <v>12</v>
      </c>
      <c r="B16" s="6">
        <f>IF(SUMPRODUCT((Marks!$B$3:$AH$3=B$4)*ISNUMBER(Marks!$B$16:$AH$16))=0,"",SUMPRODUCT((Marks!$B$3:$AH$3=B$4)*(Marks!$B$16:$AH$16=1))/SUMPRODUCT((Marks!$B$3:$AH$3=B$4)*ISNUMBER(Marks!$B$16:$AH$16)))</f>
        <v/>
      </c>
      <c r="C16" s="6">
        <f>IF(SUMPRODUCT((Marks!$B$3:$AH$3=C$4)*ISNUMBER(Marks!$B$16:$AH$16))=0,"",SUMPRODUCT((Marks!$B$3:$AH$3=C$4)*(Marks!$B$16:$AH$16=1))/SUMPRODUCT((Marks!$B$3:$AH$3=C$4)*ISNUMBER(Marks!$B$16:$AH$16)))</f>
        <v/>
      </c>
      <c r="D16" s="6">
        <f>IF(SUMPRODUCT((Marks!$B$3:$AH$3=D$4)*ISNUMBER(Marks!$B$16:$AH$16))=0,"",SUMPRODUCT((Marks!$B$3:$AH$3=D$4)*(Marks!$B$16:$AH$16=1))/SUMPRODUCT((Marks!$B$3:$AH$3=D$4)*ISNUMBER(Marks!$B$16:$AH$16)))</f>
        <v/>
      </c>
    </row>
    <row r="17">
      <c r="A17" t="n">
        <v>13</v>
      </c>
      <c r="B17" s="6">
        <f>IF(SUMPRODUCT((Marks!$B$3:$AH$3=B$4)*ISNUMBER(Marks!$B$17:$AH$17))=0,"",SUMPRODUCT((Marks!$B$3:$AH$3=B$4)*(Marks!$B$17:$AH$17=1))/SUMPRODUCT((Marks!$B$3:$AH$3=B$4)*ISNUMBER(Marks!$B$17:$AH$17)))</f>
        <v/>
      </c>
      <c r="C17" s="6">
        <f>IF(SUMPRODUCT((Marks!$B$3:$AH$3=C$4)*ISNUMBER(Marks!$B$17:$AH$17))=0,"",SUMPRODUCT((Marks!$B$3:$AH$3=C$4)*(Marks!$B$17:$AH$17=1))/SUMPRODUCT((Marks!$B$3:$AH$3=C$4)*ISNUMBER(Marks!$B$17:$AH$17)))</f>
        <v/>
      </c>
      <c r="D17" s="6">
        <f>IF(SUMPRODUCT((Marks!$B$3:$AH$3=D$4)*ISNUMBER(Marks!$B$17:$AH$17))=0,"",SUMPRODUCT((Marks!$B$3:$AH$3=D$4)*(Marks!$B$17:$AH$17=1))/SUMPRODUCT((Marks!$B$3:$AH$3=D$4)*ISNUMBER(Marks!$B$17:$AH$17)))</f>
        <v/>
      </c>
    </row>
    <row r="18">
      <c r="A18" t="n">
        <v>14</v>
      </c>
      <c r="B18" s="6">
        <f>IF(SUMPRODUCT((Marks!$B$3:$AH$3=B$4)*ISNUMBER(Marks!$B$18:$AH$18))=0,"",SUMPRODUCT((Marks!$B$3:$AH$3=B$4)*(Marks!$B$18:$AH$18=1))/SUMPRODUCT((Marks!$B$3:$AH$3=B$4)*ISNUMBER(Marks!$B$18:$AH$18)))</f>
        <v/>
      </c>
      <c r="C18" s="6">
        <f>IF(SUMPRODUCT((Marks!$B$3:$AH$3=C$4)*ISNUMBER(Marks!$B$18:$AH$18))=0,"",SUMPRODUCT((Marks!$B$3:$AH$3=C$4)*(Marks!$B$18:$AH$18=1))/SUMPRODUCT((Marks!$B$3:$AH$3=C$4)*ISNUMBER(Marks!$B$18:$AH$18)))</f>
        <v/>
      </c>
      <c r="D18" s="6">
        <f>IF(SUMPRODUCT((Marks!$B$3:$AH$3=D$4)*ISNUMBER(Marks!$B$18:$AH$18))=0,"",SUMPRODUCT((Marks!$B$3:$AH$3=D$4)*(Marks!$B$18:$AH$18=1))/SUMPRODUCT((Marks!$B$3:$AH$3=D$4)*ISNUMBER(Marks!$B$18:$AH$18)))</f>
        <v/>
      </c>
    </row>
    <row r="19">
      <c r="A19" t="n">
        <v>15</v>
      </c>
      <c r="B19" s="6">
        <f>IF(SUMPRODUCT((Marks!$B$3:$AH$3=B$4)*ISNUMBER(Marks!$B$19:$AH$19))=0,"",SUMPRODUCT((Marks!$B$3:$AH$3=B$4)*(Marks!$B$19:$AH$19=1))/SUMPRODUCT((Marks!$B$3:$AH$3=B$4)*ISNUMBER(Marks!$B$19:$AH$19)))</f>
        <v/>
      </c>
      <c r="C19" s="6">
        <f>IF(SUMPRODUCT((Marks!$B$3:$AH$3=C$4)*ISNUMBER(Marks!$B$19:$AH$19))=0,"",SUMPRODUCT((Marks!$B$3:$AH$3=C$4)*(Marks!$B$19:$AH$19=1))/SUMPRODUCT((Marks!$B$3:$AH$3=C$4)*ISNUMBER(Marks!$B$19:$AH$19)))</f>
        <v/>
      </c>
      <c r="D19" s="6">
        <f>IF(SUMPRODUCT((Marks!$B$3:$AH$3=D$4)*ISNUMBER(Marks!$B$19:$AH$19))=0,"",SUMPRODUCT((Marks!$B$3:$AH$3=D$4)*(Marks!$B$19:$AH$19=1))/SUMPRODUCT((Marks!$B$3:$AH$3=D$4)*ISNUMBER(Marks!$B$19:$AH$19)))</f>
        <v/>
      </c>
    </row>
    <row r="20">
      <c r="A20" t="n">
        <v>16</v>
      </c>
      <c r="B20" s="6">
        <f>IF(SUMPRODUCT((Marks!$B$3:$AH$3=B$4)*ISNUMBER(Marks!$B$20:$AH$20))=0,"",SUMPRODUCT((Marks!$B$3:$AH$3=B$4)*(Marks!$B$20:$AH$20=1))/SUMPRODUCT((Marks!$B$3:$AH$3=B$4)*ISNUMBER(Marks!$B$20:$AH$20)))</f>
        <v/>
      </c>
      <c r="C20" s="6">
        <f>IF(SUMPRODUCT((Marks!$B$3:$AH$3=C$4)*ISNUMBER(Marks!$B$20:$AH$20))=0,"",SUMPRODUCT((Marks!$B$3:$AH$3=C$4)*(Marks!$B$20:$AH$20=1))/SUMPRODUCT((Marks!$B$3:$AH$3=C$4)*ISNUMBER(Marks!$B$20:$AH$20)))</f>
        <v/>
      </c>
      <c r="D20" s="6">
        <f>IF(SUMPRODUCT((Marks!$B$3:$AH$3=D$4)*ISNUMBER(Marks!$B$20:$AH$20))=0,"",SUMPRODUCT((Marks!$B$3:$AH$3=D$4)*(Marks!$B$20:$AH$20=1))/SUMPRODUCT((Marks!$B$3:$AH$3=D$4)*ISNUMBER(Marks!$B$20:$AH$20)))</f>
        <v/>
      </c>
    </row>
    <row r="21">
      <c r="A21" t="n">
        <v>17</v>
      </c>
      <c r="B21" s="6">
        <f>IF(SUMPRODUCT((Marks!$B$3:$AH$3=B$4)*ISNUMBER(Marks!$B$21:$AH$21))=0,"",SUMPRODUCT((Marks!$B$3:$AH$3=B$4)*(Marks!$B$21:$AH$21=1))/SUMPRODUCT((Marks!$B$3:$AH$3=B$4)*ISNUMBER(Marks!$B$21:$AH$21)))</f>
        <v/>
      </c>
      <c r="C21" s="6">
        <f>IF(SUMPRODUCT((Marks!$B$3:$AH$3=C$4)*ISNUMBER(Marks!$B$21:$AH$21))=0,"",SUMPRODUCT((Marks!$B$3:$AH$3=C$4)*(Marks!$B$21:$AH$21=1))/SUMPRODUCT((Marks!$B$3:$AH$3=C$4)*ISNUMBER(Marks!$B$21:$AH$21)))</f>
        <v/>
      </c>
      <c r="D21" s="6">
        <f>IF(SUMPRODUCT((Marks!$B$3:$AH$3=D$4)*ISNUMBER(Marks!$B$21:$AH$21))=0,"",SUMPRODUCT((Marks!$B$3:$AH$3=D$4)*(Marks!$B$21:$AH$21=1))/SUMPRODUCT((Marks!$B$3:$AH$3=D$4)*ISNUMBER(Marks!$B$21:$AH$21)))</f>
        <v/>
      </c>
    </row>
    <row r="22">
      <c r="A22" t="n">
        <v>18</v>
      </c>
      <c r="B22" s="6">
        <f>IF(SUMPRODUCT((Marks!$B$3:$AH$3=B$4)*ISNUMBER(Marks!$B$22:$AH$22))=0,"",SUMPRODUCT((Marks!$B$3:$AH$3=B$4)*(Marks!$B$22:$AH$22=1))/SUMPRODUCT((Marks!$B$3:$AH$3=B$4)*ISNUMBER(Marks!$B$22:$AH$22)))</f>
        <v/>
      </c>
      <c r="C22" s="6">
        <f>IF(SUMPRODUCT((Marks!$B$3:$AH$3=C$4)*ISNUMBER(Marks!$B$22:$AH$22))=0,"",SUMPRODUCT((Marks!$B$3:$AH$3=C$4)*(Marks!$B$22:$AH$22=1))/SUMPRODUCT((Marks!$B$3:$AH$3=C$4)*ISNUMBER(Marks!$B$22:$AH$22)))</f>
        <v/>
      </c>
      <c r="D22" s="6">
        <f>IF(SUMPRODUCT((Marks!$B$3:$AH$3=D$4)*ISNUMBER(Marks!$B$22:$AH$22))=0,"",SUMPRODUCT((Marks!$B$3:$AH$3=D$4)*(Marks!$B$22:$AH$22=1))/SUMPRODUCT((Marks!$B$3:$AH$3=D$4)*ISNUMBER(Marks!$B$22:$AH$22)))</f>
        <v/>
      </c>
    </row>
    <row r="23">
      <c r="A23" t="n">
        <v>19</v>
      </c>
      <c r="B23" s="6">
        <f>IF(SUMPRODUCT((Marks!$B$3:$AH$3=B$4)*ISNUMBER(Marks!$B$23:$AH$23))=0,"",SUMPRODUCT((Marks!$B$3:$AH$3=B$4)*(Marks!$B$23:$AH$23=1))/SUMPRODUCT((Marks!$B$3:$AH$3=B$4)*ISNUMBER(Marks!$B$23:$AH$23)))</f>
        <v/>
      </c>
      <c r="C23" s="6">
        <f>IF(SUMPRODUCT((Marks!$B$3:$AH$3=C$4)*ISNUMBER(Marks!$B$23:$AH$23))=0,"",SUMPRODUCT((Marks!$B$3:$AH$3=C$4)*(Marks!$B$23:$AH$23=1))/SUMPRODUCT((Marks!$B$3:$AH$3=C$4)*ISNUMBER(Marks!$B$23:$AH$23)))</f>
        <v/>
      </c>
      <c r="D23" s="6">
        <f>IF(SUMPRODUCT((Marks!$B$3:$AH$3=D$4)*ISNUMBER(Marks!$B$23:$AH$23))=0,"",SUMPRODUCT((Marks!$B$3:$AH$3=D$4)*(Marks!$B$23:$AH$23=1))/SUMPRODUCT((Marks!$B$3:$AH$3=D$4)*ISNUMBER(Marks!$B$23:$AH$23)))</f>
        <v/>
      </c>
    </row>
    <row r="24">
      <c r="A24" t="n">
        <v>20</v>
      </c>
      <c r="B24" s="6">
        <f>IF(SUMPRODUCT((Marks!$B$3:$AH$3=B$4)*ISNUMBER(Marks!$B$24:$AH$24))=0,"",SUMPRODUCT((Marks!$B$3:$AH$3=B$4)*(Marks!$B$24:$AH$24=1))/SUMPRODUCT((Marks!$B$3:$AH$3=B$4)*ISNUMBER(Marks!$B$24:$AH$24)))</f>
        <v/>
      </c>
      <c r="C24" s="6">
        <f>IF(SUMPRODUCT((Marks!$B$3:$AH$3=C$4)*ISNUMBER(Marks!$B$24:$AH$24))=0,"",SUMPRODUCT((Marks!$B$3:$AH$3=C$4)*(Marks!$B$24:$AH$24=1))/SUMPRODUCT((Marks!$B$3:$AH$3=C$4)*ISNUMBER(Marks!$B$24:$AH$24)))</f>
        <v/>
      </c>
      <c r="D24" s="6">
        <f>IF(SUMPRODUCT((Marks!$B$3:$AH$3=D$4)*ISNUMBER(Marks!$B$24:$AH$24))=0,"",SUMPRODUCT((Marks!$B$3:$AH$3=D$4)*(Marks!$B$24:$AH$24=1))/SUMPRODUCT((Marks!$B$3:$AH$3=D$4)*ISNUMBER(Marks!$B$24:$AH$24)))</f>
        <v/>
      </c>
    </row>
    <row r="25">
      <c r="A25" t="n">
        <v>21</v>
      </c>
      <c r="B25" s="6">
        <f>IF(SUMPRODUCT((Marks!$B$3:$AH$3=B$4)*ISNUMBER(Marks!$B$25:$AH$25))=0,"",SUMPRODUCT((Marks!$B$3:$AH$3=B$4)*(Marks!$B$25:$AH$25=1))/SUMPRODUCT((Marks!$B$3:$AH$3=B$4)*ISNUMBER(Marks!$B$25:$AH$25)))</f>
        <v/>
      </c>
      <c r="C25" s="6">
        <f>IF(SUMPRODUCT((Marks!$B$3:$AH$3=C$4)*ISNUMBER(Marks!$B$25:$AH$25))=0,"",SUMPRODUCT((Marks!$B$3:$AH$3=C$4)*(Marks!$B$25:$AH$25=1))/SUMPRODUCT((Marks!$B$3:$AH$3=C$4)*ISNUMBER(Marks!$B$25:$AH$25)))</f>
        <v/>
      </c>
      <c r="D25" s="6">
        <f>IF(SUMPRODUCT((Marks!$B$3:$AH$3=D$4)*ISNUMBER(Marks!$B$25:$AH$25))=0,"",SUMPRODUCT((Marks!$B$3:$AH$3=D$4)*(Marks!$B$25:$AH$25=1))/SUMPRODUCT((Marks!$B$3:$AH$3=D$4)*ISNUMBER(Marks!$B$25:$AH$25)))</f>
        <v/>
      </c>
    </row>
    <row r="26">
      <c r="A26" t="n">
        <v>22</v>
      </c>
      <c r="B26" s="6">
        <f>IF(SUMPRODUCT((Marks!$B$3:$AH$3=B$4)*ISNUMBER(Marks!$B$26:$AH$26))=0,"",SUMPRODUCT((Marks!$B$3:$AH$3=B$4)*(Marks!$B$26:$AH$26=1))/SUMPRODUCT((Marks!$B$3:$AH$3=B$4)*ISNUMBER(Marks!$B$26:$AH$26)))</f>
        <v/>
      </c>
      <c r="C26" s="6">
        <f>IF(SUMPRODUCT((Marks!$B$3:$AH$3=C$4)*ISNUMBER(Marks!$B$26:$AH$26))=0,"",SUMPRODUCT((Marks!$B$3:$AH$3=C$4)*(Marks!$B$26:$AH$26=1))/SUMPRODUCT((Marks!$B$3:$AH$3=C$4)*ISNUMBER(Marks!$B$26:$AH$26)))</f>
        <v/>
      </c>
      <c r="D26" s="6">
        <f>IF(SUMPRODUCT((Marks!$B$3:$AH$3=D$4)*ISNUMBER(Marks!$B$26:$AH$26))=0,"",SUMPRODUCT((Marks!$B$3:$AH$3=D$4)*(Marks!$B$26:$AH$26=1))/SUMPRODUCT((Marks!$B$3:$AH$3=D$4)*ISNUMBER(Marks!$B$26:$AH$26)))</f>
        <v/>
      </c>
    </row>
    <row r="27">
      <c r="A27" t="n">
        <v>23</v>
      </c>
      <c r="B27" s="6">
        <f>IF(SUMPRODUCT((Marks!$B$3:$AH$3=B$4)*ISNUMBER(Marks!$B$27:$AH$27))=0,"",SUMPRODUCT((Marks!$B$3:$AH$3=B$4)*(Marks!$B$27:$AH$27=1))/SUMPRODUCT((Marks!$B$3:$AH$3=B$4)*ISNUMBER(Marks!$B$27:$AH$27)))</f>
        <v/>
      </c>
      <c r="C27" s="6">
        <f>IF(SUMPRODUCT((Marks!$B$3:$AH$3=C$4)*ISNUMBER(Marks!$B$27:$AH$27))=0,"",SUMPRODUCT((Marks!$B$3:$AH$3=C$4)*(Marks!$B$27:$AH$27=1))/SUMPRODUCT((Marks!$B$3:$AH$3=C$4)*ISNUMBER(Marks!$B$27:$AH$27)))</f>
        <v/>
      </c>
      <c r="D27" s="6">
        <f>IF(SUMPRODUCT((Marks!$B$3:$AH$3=D$4)*ISNUMBER(Marks!$B$27:$AH$27))=0,"",SUMPRODUCT((Marks!$B$3:$AH$3=D$4)*(Marks!$B$27:$AH$27=1))/SUMPRODUCT((Marks!$B$3:$AH$3=D$4)*ISNUMBER(Marks!$B$27:$AH$27)))</f>
        <v/>
      </c>
    </row>
    <row r="28">
      <c r="A28" t="n">
        <v>24</v>
      </c>
      <c r="B28" s="6">
        <f>IF(SUMPRODUCT((Marks!$B$3:$AH$3=B$4)*ISNUMBER(Marks!$B$28:$AH$28))=0,"",SUMPRODUCT((Marks!$B$3:$AH$3=B$4)*(Marks!$B$28:$AH$28=1))/SUMPRODUCT((Marks!$B$3:$AH$3=B$4)*ISNUMBER(Marks!$B$28:$AH$28)))</f>
        <v/>
      </c>
      <c r="C28" s="6">
        <f>IF(SUMPRODUCT((Marks!$B$3:$AH$3=C$4)*ISNUMBER(Marks!$B$28:$AH$28))=0,"",SUMPRODUCT((Marks!$B$3:$AH$3=C$4)*(Marks!$B$28:$AH$28=1))/SUMPRODUCT((Marks!$B$3:$AH$3=C$4)*ISNUMBER(Marks!$B$28:$AH$28)))</f>
        <v/>
      </c>
      <c r="D28" s="6">
        <f>IF(SUMPRODUCT((Marks!$B$3:$AH$3=D$4)*ISNUMBER(Marks!$B$28:$AH$28))=0,"",SUMPRODUCT((Marks!$B$3:$AH$3=D$4)*(Marks!$B$28:$AH$28=1))/SUMPRODUCT((Marks!$B$3:$AH$3=D$4)*ISNUMBER(Marks!$B$28:$AH$28)))</f>
        <v/>
      </c>
    </row>
    <row r="29">
      <c r="A29" t="n">
        <v>25</v>
      </c>
      <c r="B29" s="6">
        <f>IF(SUMPRODUCT((Marks!$B$3:$AH$3=B$4)*ISNUMBER(Marks!$B$29:$AH$29))=0,"",SUMPRODUCT((Marks!$B$3:$AH$3=B$4)*(Marks!$B$29:$AH$29=1))/SUMPRODUCT((Marks!$B$3:$AH$3=B$4)*ISNUMBER(Marks!$B$29:$AH$29)))</f>
        <v/>
      </c>
      <c r="C29" s="6">
        <f>IF(SUMPRODUCT((Marks!$B$3:$AH$3=C$4)*ISNUMBER(Marks!$B$29:$AH$29))=0,"",SUMPRODUCT((Marks!$B$3:$AH$3=C$4)*(Marks!$B$29:$AH$29=1))/SUMPRODUCT((Marks!$B$3:$AH$3=C$4)*ISNUMBER(Marks!$B$29:$AH$29)))</f>
        <v/>
      </c>
      <c r="D29" s="6">
        <f>IF(SUMPRODUCT((Marks!$B$3:$AH$3=D$4)*ISNUMBER(Marks!$B$29:$AH$29))=0,"",SUMPRODUCT((Marks!$B$3:$AH$3=D$4)*(Marks!$B$29:$AH$29=1))/SUMPRODUCT((Marks!$B$3:$AH$3=D$4)*ISNUMBER(Marks!$B$29:$AH$29)))</f>
        <v/>
      </c>
    </row>
    <row r="30">
      <c r="A30" t="n">
        <v>26</v>
      </c>
      <c r="B30" s="6">
        <f>IF(SUMPRODUCT((Marks!$B$3:$AH$3=B$4)*ISNUMBER(Marks!$B$30:$AH$30))=0,"",SUMPRODUCT((Marks!$B$3:$AH$3=B$4)*(Marks!$B$30:$AH$30=1))/SUMPRODUCT((Marks!$B$3:$AH$3=B$4)*ISNUMBER(Marks!$B$30:$AH$30)))</f>
        <v/>
      </c>
      <c r="C30" s="6">
        <f>IF(SUMPRODUCT((Marks!$B$3:$AH$3=C$4)*ISNUMBER(Marks!$B$30:$AH$30))=0,"",SUMPRODUCT((Marks!$B$3:$AH$3=C$4)*(Marks!$B$30:$AH$30=1))/SUMPRODUCT((Marks!$B$3:$AH$3=C$4)*ISNUMBER(Marks!$B$30:$AH$30)))</f>
        <v/>
      </c>
      <c r="D30" s="6">
        <f>IF(SUMPRODUCT((Marks!$B$3:$AH$3=D$4)*ISNUMBER(Marks!$B$30:$AH$30))=0,"",SUMPRODUCT((Marks!$B$3:$AH$3=D$4)*(Marks!$B$30:$AH$30=1))/SUMPRODUCT((Marks!$B$3:$AH$3=D$4)*ISNUMBER(Marks!$B$30:$AH$30)))</f>
        <v/>
      </c>
    </row>
    <row r="31">
      <c r="A31" t="n">
        <v>27</v>
      </c>
      <c r="B31" s="6">
        <f>IF(SUMPRODUCT((Marks!$B$3:$AH$3=B$4)*ISNUMBER(Marks!$B$31:$AH$31))=0,"",SUMPRODUCT((Marks!$B$3:$AH$3=B$4)*(Marks!$B$31:$AH$31=1))/SUMPRODUCT((Marks!$B$3:$AH$3=B$4)*ISNUMBER(Marks!$B$31:$AH$31)))</f>
        <v/>
      </c>
      <c r="C31" s="6">
        <f>IF(SUMPRODUCT((Marks!$B$3:$AH$3=C$4)*ISNUMBER(Marks!$B$31:$AH$31))=0,"",SUMPRODUCT((Marks!$B$3:$AH$3=C$4)*(Marks!$B$31:$AH$31=1))/SUMPRODUCT((Marks!$B$3:$AH$3=C$4)*ISNUMBER(Marks!$B$31:$AH$31)))</f>
        <v/>
      </c>
      <c r="D31" s="6">
        <f>IF(SUMPRODUCT((Marks!$B$3:$AH$3=D$4)*ISNUMBER(Marks!$B$31:$AH$31))=0,"",SUMPRODUCT((Marks!$B$3:$AH$3=D$4)*(Marks!$B$31:$AH$31=1))/SUMPRODUCT((Marks!$B$3:$AH$3=D$4)*ISNUMBER(Marks!$B$31:$AH$31)))</f>
        <v/>
      </c>
    </row>
    <row r="32">
      <c r="A32" t="n">
        <v>28</v>
      </c>
      <c r="B32" s="6">
        <f>IF(SUMPRODUCT((Marks!$B$3:$AH$3=B$4)*ISNUMBER(Marks!$B$32:$AH$32))=0,"",SUMPRODUCT((Marks!$B$3:$AH$3=B$4)*(Marks!$B$32:$AH$32=1))/SUMPRODUCT((Marks!$B$3:$AH$3=B$4)*ISNUMBER(Marks!$B$32:$AH$32)))</f>
        <v/>
      </c>
      <c r="C32" s="6">
        <f>IF(SUMPRODUCT((Marks!$B$3:$AH$3=C$4)*ISNUMBER(Marks!$B$32:$AH$32))=0,"",SUMPRODUCT((Marks!$B$3:$AH$3=C$4)*(Marks!$B$32:$AH$32=1))/SUMPRODUCT((Marks!$B$3:$AH$3=C$4)*ISNUMBER(Marks!$B$32:$AH$32)))</f>
        <v/>
      </c>
      <c r="D32" s="6">
        <f>IF(SUMPRODUCT((Marks!$B$3:$AH$3=D$4)*ISNUMBER(Marks!$B$32:$AH$32))=0,"",SUMPRODUCT((Marks!$B$3:$AH$3=D$4)*(Marks!$B$32:$AH$32=1))/SUMPRODUCT((Marks!$B$3:$AH$3=D$4)*ISNUMBER(Marks!$B$32:$AH$32)))</f>
        <v/>
      </c>
    </row>
    <row r="33">
      <c r="A33" t="n">
        <v>29</v>
      </c>
      <c r="B33" s="6">
        <f>IF(SUMPRODUCT((Marks!$B$3:$AH$3=B$4)*ISNUMBER(Marks!$B$33:$AH$33))=0,"",SUMPRODUCT((Marks!$B$3:$AH$3=B$4)*(Marks!$B$33:$AH$33=1))/SUMPRODUCT((Marks!$B$3:$AH$3=B$4)*ISNUMBER(Marks!$B$33:$AH$33)))</f>
        <v/>
      </c>
      <c r="C33" s="6">
        <f>IF(SUMPRODUCT((Marks!$B$3:$AH$3=C$4)*ISNUMBER(Marks!$B$33:$AH$33))=0,"",SUMPRODUCT((Marks!$B$3:$AH$3=C$4)*(Marks!$B$33:$AH$33=1))/SUMPRODUCT((Marks!$B$3:$AH$3=C$4)*ISNUMBER(Marks!$B$33:$AH$33)))</f>
        <v/>
      </c>
      <c r="D33" s="6">
        <f>IF(SUMPRODUCT((Marks!$B$3:$AH$3=D$4)*ISNUMBER(Marks!$B$33:$AH$33))=0,"",SUMPRODUCT((Marks!$B$3:$AH$3=D$4)*(Marks!$B$33:$AH$33=1))/SUMPRODUCT((Marks!$B$3:$AH$3=D$4)*ISNUMBER(Marks!$B$33:$AH$33)))</f>
        <v/>
      </c>
    </row>
    <row r="34">
      <c r="A34" t="n">
        <v>30</v>
      </c>
      <c r="B34" s="6">
        <f>IF(SUMPRODUCT((Marks!$B$3:$AH$3=B$4)*ISNUMBER(Marks!$B$34:$AH$34))=0,"",SUMPRODUCT((Marks!$B$3:$AH$3=B$4)*(Marks!$B$34:$AH$34=1))/SUMPRODUCT((Marks!$B$3:$AH$3=B$4)*ISNUMBER(Marks!$B$34:$AH$34)))</f>
        <v/>
      </c>
      <c r="C34" s="6">
        <f>IF(SUMPRODUCT((Marks!$B$3:$AH$3=C$4)*ISNUMBER(Marks!$B$34:$AH$34))=0,"",SUMPRODUCT((Marks!$B$3:$AH$3=C$4)*(Marks!$B$34:$AH$34=1))/SUMPRODUCT((Marks!$B$3:$AH$3=C$4)*ISNUMBER(Marks!$B$34:$AH$34)))</f>
        <v/>
      </c>
      <c r="D34" s="6">
        <f>IF(SUMPRODUCT((Marks!$B$3:$AH$3=D$4)*ISNUMBER(Marks!$B$34:$AH$34))=0,"",SUMPRODUCT((Marks!$B$3:$AH$3=D$4)*(Marks!$B$34:$AH$34=1))/SUMPRODUCT((Marks!$B$3:$AH$3=D$4)*ISNUMBER(Marks!$B$34:$AH$34)))</f>
        <v/>
      </c>
    </row>
    <row r="35">
      <c r="A35" t="n">
        <v>31</v>
      </c>
      <c r="B35" s="6">
        <f>IF(SUMPRODUCT((Marks!$B$3:$AH$3=B$4)*ISNUMBER(Marks!$B$35:$AH$35))=0,"",SUMPRODUCT((Marks!$B$3:$AH$3=B$4)*(Marks!$B$35:$AH$35=1))/SUMPRODUCT((Marks!$B$3:$AH$3=B$4)*ISNUMBER(Marks!$B$35:$AH$35)))</f>
        <v/>
      </c>
      <c r="C35" s="6">
        <f>IF(SUMPRODUCT((Marks!$B$3:$AH$3=C$4)*ISNUMBER(Marks!$B$35:$AH$35))=0,"",SUMPRODUCT((Marks!$B$3:$AH$3=C$4)*(Marks!$B$35:$AH$35=1))/SUMPRODUCT((Marks!$B$3:$AH$3=C$4)*ISNUMBER(Marks!$B$35:$AH$35)))</f>
        <v/>
      </c>
      <c r="D35" s="6">
        <f>IF(SUMPRODUCT((Marks!$B$3:$AH$3=D$4)*ISNUMBER(Marks!$B$35:$AH$35))=0,"",SUMPRODUCT((Marks!$B$3:$AH$3=D$4)*(Marks!$B$35:$AH$35=1))/SUMPRODUCT((Marks!$B$3:$AH$3=D$4)*ISNUMBER(Marks!$B$35:$AH$35)))</f>
        <v/>
      </c>
    </row>
    <row r="36">
      <c r="A36" t="n">
        <v>32</v>
      </c>
      <c r="B36" s="6">
        <f>IF(SUMPRODUCT((Marks!$B$3:$AH$3=B$4)*ISNUMBER(Marks!$B$36:$AH$36))=0,"",SUMPRODUCT((Marks!$B$3:$AH$3=B$4)*(Marks!$B$36:$AH$36=1))/SUMPRODUCT((Marks!$B$3:$AH$3=B$4)*ISNUMBER(Marks!$B$36:$AH$36)))</f>
        <v/>
      </c>
      <c r="C36" s="6">
        <f>IF(SUMPRODUCT((Marks!$B$3:$AH$3=C$4)*ISNUMBER(Marks!$B$36:$AH$36))=0,"",SUMPRODUCT((Marks!$B$3:$AH$3=C$4)*(Marks!$B$36:$AH$36=1))/SUMPRODUCT((Marks!$B$3:$AH$3=C$4)*ISNUMBER(Marks!$B$36:$AH$36)))</f>
        <v/>
      </c>
      <c r="D36" s="6">
        <f>IF(SUMPRODUCT((Marks!$B$3:$AH$3=D$4)*ISNUMBER(Marks!$B$36:$AH$36))=0,"",SUMPRODUCT((Marks!$B$3:$AH$3=D$4)*(Marks!$B$36:$AH$36=1))/SUMPRODUCT((Marks!$B$3:$AH$3=D$4)*ISNUMBER(Marks!$B$36:$AH$36)))</f>
        <v/>
      </c>
    </row>
    <row r="37">
      <c r="A37" t="n">
        <v>33</v>
      </c>
      <c r="B37" s="6">
        <f>IF(SUMPRODUCT((Marks!$B$3:$AH$3=B$4)*ISNUMBER(Marks!$B$37:$AH$37))=0,"",SUMPRODUCT((Marks!$B$3:$AH$3=B$4)*(Marks!$B$37:$AH$37=1))/SUMPRODUCT((Marks!$B$3:$AH$3=B$4)*ISNUMBER(Marks!$B$37:$AH$37)))</f>
        <v/>
      </c>
      <c r="C37" s="6">
        <f>IF(SUMPRODUCT((Marks!$B$3:$AH$3=C$4)*ISNUMBER(Marks!$B$37:$AH$37))=0,"",SUMPRODUCT((Marks!$B$3:$AH$3=C$4)*(Marks!$B$37:$AH$37=1))/SUMPRODUCT((Marks!$B$3:$AH$3=C$4)*ISNUMBER(Marks!$B$37:$AH$37)))</f>
        <v/>
      </c>
      <c r="D37" s="6">
        <f>IF(SUMPRODUCT((Marks!$B$3:$AH$3=D$4)*ISNUMBER(Marks!$B$37:$AH$37))=0,"",SUMPRODUCT((Marks!$B$3:$AH$3=D$4)*(Marks!$B$37:$AH$37=1))/SUMPRODUCT((Marks!$B$3:$AH$3=D$4)*ISNUMBER(Marks!$B$37:$AH$37)))</f>
        <v/>
      </c>
    </row>
    <row r="38">
      <c r="A38" t="n">
        <v>34</v>
      </c>
      <c r="B38" s="6">
        <f>IF(SUMPRODUCT((Marks!$B$3:$AH$3=B$4)*ISNUMBER(Marks!$B$38:$AH$38))=0,"",SUMPRODUCT((Marks!$B$3:$AH$3=B$4)*(Marks!$B$38:$AH$38=1))/SUMPRODUCT((Marks!$B$3:$AH$3=B$4)*ISNUMBER(Marks!$B$38:$AH$38)))</f>
        <v/>
      </c>
      <c r="C38" s="6">
        <f>IF(SUMPRODUCT((Marks!$B$3:$AH$3=C$4)*ISNUMBER(Marks!$B$38:$AH$38))=0,"",SUMPRODUCT((Marks!$B$3:$AH$3=C$4)*(Marks!$B$38:$AH$38=1))/SUMPRODUCT((Marks!$B$3:$AH$3=C$4)*ISNUMBER(Marks!$B$38:$AH$38)))</f>
        <v/>
      </c>
      <c r="D38" s="6">
        <f>IF(SUMPRODUCT((Marks!$B$3:$AH$3=D$4)*ISNUMBER(Marks!$B$38:$AH$38))=0,"",SUMPRODUCT((Marks!$B$3:$AH$3=D$4)*(Marks!$B$38:$AH$38=1))/SUMPRODUCT((Marks!$B$3:$AH$3=D$4)*ISNUMBER(Marks!$B$38:$AH$38)))</f>
        <v/>
      </c>
    </row>
    <row r="39">
      <c r="A39" t="n">
        <v>35</v>
      </c>
      <c r="B39" s="6">
        <f>IF(SUMPRODUCT((Marks!$B$3:$AH$3=B$4)*ISNUMBER(Marks!$B$39:$AH$39))=0,"",SUMPRODUCT((Marks!$B$3:$AH$3=B$4)*(Marks!$B$39:$AH$39=1))/SUMPRODUCT((Marks!$B$3:$AH$3=B$4)*ISNUMBER(Marks!$B$39:$AH$39)))</f>
        <v/>
      </c>
      <c r="C39" s="6">
        <f>IF(SUMPRODUCT((Marks!$B$3:$AH$3=C$4)*ISNUMBER(Marks!$B$39:$AH$39))=0,"",SUMPRODUCT((Marks!$B$3:$AH$3=C$4)*(Marks!$B$39:$AH$39=1))/SUMPRODUCT((Marks!$B$3:$AH$3=C$4)*ISNUMBER(Marks!$B$39:$AH$39)))</f>
        <v/>
      </c>
      <c r="D39" s="6">
        <f>IF(SUMPRODUCT((Marks!$B$3:$AH$3=D$4)*ISNUMBER(Marks!$B$39:$AH$39))=0,"",SUMPRODUCT((Marks!$B$3:$AH$3=D$4)*(Marks!$B$39:$AH$39=1))/SUMPRODUCT((Marks!$B$3:$AH$3=D$4)*ISNUMBER(Marks!$B$39:$AH$39)))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IF(SUMPRODUCT((Marks!$B$2:$AH$2=I$3)*ISNUMBER(Marks!$B$5:$AH$5))=0,"",SUMPRODUCT((Marks!$B$2:$AH$2=I$3)*(Marks!$B$5:$AH$5=1))/SUMPRODUCT((Marks!$B$2:$AH$2=I$3)*ISNUMBER(Marks!$B$5:$AH$5)))</f>
        <v/>
      </c>
      <c r="J5" s="6">
        <f>IF(SUMPRODUCT((Marks!$B$2:$AH$2=J$3)*ISNUMBER(Marks!$B$5:$AH$5))=0,"",SUMPRODUCT((Marks!$B$2:$AH$2=J$3)*(Marks!$B$5:$AH$5=1))/SUMPRODUCT((Marks!$B$2:$AH$2=J$3)*ISNUMBER(Marks!$B$5:$AH$5)))</f>
        <v/>
      </c>
      <c r="K5" s="6">
        <f>IF(SUMPRODUCT((Marks!$B$2:$AH$2=K$3)*ISNUMBER(Marks!$B$5:$AH$5))=0,"",SUMPRODUCT((Marks!$B$2:$AH$2=K$3)*(Marks!$B$5:$AH$5=1))/SUMPRODUCT((Marks!$B$2:$AH$2=K$3)*ISNUMBER(Marks!$B$5:$AH$5)))</f>
        <v/>
      </c>
      <c r="L5" s="6">
        <f>IF(SUMPRODUCT((Marks!$B$2:$AH$2=L$3)*ISNUMBER(Marks!$B$5:$AH$5))=0,"",SUMPRODUCT((Marks!$B$2:$AH$2=L$3)*(Marks!$B$5:$AH$5=1))/SUMPRODUCT((Marks!$B$2:$AH$2=L$3)*ISNUMBER(Marks!$B$5:$AH$5)))</f>
        <v/>
      </c>
      <c r="M5" s="6">
        <f>IF(SUMPRODUCT((Marks!$B$2:$AH$2=M$3)*ISNUMBER(Marks!$B$5:$AH$5))=0,"",SUMPRODUCT((Marks!$B$2:$AH$2=M$3)*(Marks!$B$5:$AH$5=1))/SUMPRODUCT((Marks!$B$2:$AH$2=M$3)*ISNUMBER(Marks!$B$5:$AH$5)))</f>
        <v/>
      </c>
      <c r="N5" s="6">
        <f>IF(SUMPRODUCT((Marks!$B$2:$AH$2=N$3)*ISNUMBER(Marks!$B$5:$AH$5))=0,"",SUMPRODUCT((Marks!$B$2:$AH$2=N$3)*(Marks!$B$5:$AH$5=1))/SUMPRODUCT((Marks!$B$2:$AH$2=N$3)*ISNUMBER(Marks!$B$5:$AH$5)))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IF(SUMPRODUCT((Marks!$B$2:$AH$2=I$3)*ISNUMBER(Marks!$B$6:$AH$6))=0,"",SUMPRODUCT((Marks!$B$2:$AH$2=I$3)*(Marks!$B$6:$AH$6=1))/SUMPRODUCT((Marks!$B$2:$AH$2=I$3)*ISNUMBER(Marks!$B$6:$AH$6)))</f>
        <v/>
      </c>
      <c r="J6" s="6">
        <f>IF(SUMPRODUCT((Marks!$B$2:$AH$2=J$3)*ISNUMBER(Marks!$B$6:$AH$6))=0,"",SUMPRODUCT((Marks!$B$2:$AH$2=J$3)*(Marks!$B$6:$AH$6=1))/SUMPRODUCT((Marks!$B$2:$AH$2=J$3)*ISNUMBER(Marks!$B$6:$AH$6)))</f>
        <v/>
      </c>
      <c r="K6" s="6">
        <f>IF(SUMPRODUCT((Marks!$B$2:$AH$2=K$3)*ISNUMBER(Marks!$B$6:$AH$6))=0,"",SUMPRODUCT((Marks!$B$2:$AH$2=K$3)*(Marks!$B$6:$AH$6=1))/SUMPRODUCT((Marks!$B$2:$AH$2=K$3)*ISNUMBER(Marks!$B$6:$AH$6)))</f>
        <v/>
      </c>
      <c r="L6" s="6">
        <f>IF(SUMPRODUCT((Marks!$B$2:$AH$2=L$3)*ISNUMBER(Marks!$B$6:$AH$6))=0,"",SUMPRODUCT((Marks!$B$2:$AH$2=L$3)*(Marks!$B$6:$AH$6=1))/SUMPRODUCT((Marks!$B$2:$AH$2=L$3)*ISNUMBER(Marks!$B$6:$AH$6)))</f>
        <v/>
      </c>
      <c r="M6" s="6">
        <f>IF(SUMPRODUCT((Marks!$B$2:$AH$2=M$3)*ISNUMBER(Marks!$B$6:$AH$6))=0,"",SUMPRODUCT((Marks!$B$2:$AH$2=M$3)*(Marks!$B$6:$AH$6=1))/SUMPRODUCT((Marks!$B$2:$AH$2=M$3)*ISNUMBER(Marks!$B$6:$AH$6)))</f>
        <v/>
      </c>
      <c r="N6" s="6">
        <f>IF(SUMPRODUCT((Marks!$B$2:$AH$2=N$3)*ISNUMBER(Marks!$B$6:$AH$6))=0,"",SUMPRODUCT((Marks!$B$2:$AH$2=N$3)*(Marks!$B$6:$AH$6=1))/SUMPRODUCT((Marks!$B$2:$AH$2=N$3)*ISNUMBER(Marks!$B$6:$AH$6)))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IF(SUMPRODUCT((Marks!$B$2:$AH$2=I$3)*ISNUMBER(Marks!$B$7:$AH$7))=0,"",SUMPRODUCT((Marks!$B$2:$AH$2=I$3)*(Marks!$B$7:$AH$7=1))/SUMPRODUCT((Marks!$B$2:$AH$2=I$3)*ISNUMBER(Marks!$B$7:$AH$7)))</f>
        <v/>
      </c>
      <c r="J7" s="6">
        <f>IF(SUMPRODUCT((Marks!$B$2:$AH$2=J$3)*ISNUMBER(Marks!$B$7:$AH$7))=0,"",SUMPRODUCT((Marks!$B$2:$AH$2=J$3)*(Marks!$B$7:$AH$7=1))/SUMPRODUCT((Marks!$B$2:$AH$2=J$3)*ISNUMBER(Marks!$B$7:$AH$7)))</f>
        <v/>
      </c>
      <c r="K7" s="6">
        <f>IF(SUMPRODUCT((Marks!$B$2:$AH$2=K$3)*ISNUMBER(Marks!$B$7:$AH$7))=0,"",SUMPRODUCT((Marks!$B$2:$AH$2=K$3)*(Marks!$B$7:$AH$7=1))/SUMPRODUCT((Marks!$B$2:$AH$2=K$3)*ISNUMBER(Marks!$B$7:$AH$7)))</f>
        <v/>
      </c>
      <c r="L7" s="6">
        <f>IF(SUMPRODUCT((Marks!$B$2:$AH$2=L$3)*ISNUMBER(Marks!$B$7:$AH$7))=0,"",SUMPRODUCT((Marks!$B$2:$AH$2=L$3)*(Marks!$B$7:$AH$7=1))/SUMPRODUCT((Marks!$B$2:$AH$2=L$3)*ISNUMBER(Marks!$B$7:$AH$7)))</f>
        <v/>
      </c>
      <c r="M7" s="6">
        <f>IF(SUMPRODUCT((Marks!$B$2:$AH$2=M$3)*ISNUMBER(Marks!$B$7:$AH$7))=0,"",SUMPRODUCT((Marks!$B$2:$AH$2=M$3)*(Marks!$B$7:$AH$7=1))/SUMPRODUCT((Marks!$B$2:$AH$2=M$3)*ISNUMBER(Marks!$B$7:$AH$7)))</f>
        <v/>
      </c>
      <c r="N7" s="6">
        <f>IF(SUMPRODUCT((Marks!$B$2:$AH$2=N$3)*ISNUMBER(Marks!$B$7:$AH$7))=0,"",SUMPRODUCT((Marks!$B$2:$AH$2=N$3)*(Marks!$B$7:$AH$7=1))/SUMPRODUCT((Marks!$B$2:$AH$2=N$3)*ISNUMBER(Marks!$B$7:$AH$7)))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IF(SUMPRODUCT((Marks!$B$2:$AH$2=I$3)*ISNUMBER(Marks!$B$8:$AH$8))=0,"",SUMPRODUCT((Marks!$B$2:$AH$2=I$3)*(Marks!$B$8:$AH$8=1))/SUMPRODUCT((Marks!$B$2:$AH$2=I$3)*ISNUMBER(Marks!$B$8:$AH$8)))</f>
        <v/>
      </c>
      <c r="J8" s="6">
        <f>IF(SUMPRODUCT((Marks!$B$2:$AH$2=J$3)*ISNUMBER(Marks!$B$8:$AH$8))=0,"",SUMPRODUCT((Marks!$B$2:$AH$2=J$3)*(Marks!$B$8:$AH$8=1))/SUMPRODUCT((Marks!$B$2:$AH$2=J$3)*ISNUMBER(Marks!$B$8:$AH$8)))</f>
        <v/>
      </c>
      <c r="K8" s="6">
        <f>IF(SUMPRODUCT((Marks!$B$2:$AH$2=K$3)*ISNUMBER(Marks!$B$8:$AH$8))=0,"",SUMPRODUCT((Marks!$B$2:$AH$2=K$3)*(Marks!$B$8:$AH$8=1))/SUMPRODUCT((Marks!$B$2:$AH$2=K$3)*ISNUMBER(Marks!$B$8:$AH$8)))</f>
        <v/>
      </c>
      <c r="L8" s="6">
        <f>IF(SUMPRODUCT((Marks!$B$2:$AH$2=L$3)*ISNUMBER(Marks!$B$8:$AH$8))=0,"",SUMPRODUCT((Marks!$B$2:$AH$2=L$3)*(Marks!$B$8:$AH$8=1))/SUMPRODUCT((Marks!$B$2:$AH$2=L$3)*ISNUMBER(Marks!$B$8:$AH$8)))</f>
        <v/>
      </c>
      <c r="M8" s="6">
        <f>IF(SUMPRODUCT((Marks!$B$2:$AH$2=M$3)*ISNUMBER(Marks!$B$8:$AH$8))=0,"",SUMPRODUCT((Marks!$B$2:$AH$2=M$3)*(Marks!$B$8:$AH$8=1))/SUMPRODUCT((Marks!$B$2:$AH$2=M$3)*ISNUMBER(Marks!$B$8:$AH$8)))</f>
        <v/>
      </c>
      <c r="N8" s="6">
        <f>IF(SUMPRODUCT((Marks!$B$2:$AH$2=N$3)*ISNUMBER(Marks!$B$8:$AH$8))=0,"",SUMPRODUCT((Marks!$B$2:$AH$2=N$3)*(Marks!$B$8:$AH$8=1))/SUMPRODUCT((Marks!$B$2:$AH$2=N$3)*ISNUMBER(Marks!$B$8:$AH$8)))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IF(SUMPRODUCT((Marks!$B$2:$AH$2=I$3)*ISNUMBER(Marks!$B$9:$AH$9))=0,"",SUMPRODUCT((Marks!$B$2:$AH$2=I$3)*(Marks!$B$9:$AH$9=1))/SUMPRODUCT((Marks!$B$2:$AH$2=I$3)*ISNUMBER(Marks!$B$9:$AH$9)))</f>
        <v/>
      </c>
      <c r="J9" s="6">
        <f>IF(SUMPRODUCT((Marks!$B$2:$AH$2=J$3)*ISNUMBER(Marks!$B$9:$AH$9))=0,"",SUMPRODUCT((Marks!$B$2:$AH$2=J$3)*(Marks!$B$9:$AH$9=1))/SUMPRODUCT((Marks!$B$2:$AH$2=J$3)*ISNUMBER(Marks!$B$9:$AH$9)))</f>
        <v/>
      </c>
      <c r="K9" s="6">
        <f>IF(SUMPRODUCT((Marks!$B$2:$AH$2=K$3)*ISNUMBER(Marks!$B$9:$AH$9))=0,"",SUMPRODUCT((Marks!$B$2:$AH$2=K$3)*(Marks!$B$9:$AH$9=1))/SUMPRODUCT((Marks!$B$2:$AH$2=K$3)*ISNUMBER(Marks!$B$9:$AH$9)))</f>
        <v/>
      </c>
      <c r="L9" s="6">
        <f>IF(SUMPRODUCT((Marks!$B$2:$AH$2=L$3)*ISNUMBER(Marks!$B$9:$AH$9))=0,"",SUMPRODUCT((Marks!$B$2:$AH$2=L$3)*(Marks!$B$9:$AH$9=1))/SUMPRODUCT((Marks!$B$2:$AH$2=L$3)*ISNUMBER(Marks!$B$9:$AH$9)))</f>
        <v/>
      </c>
      <c r="M9" s="6">
        <f>IF(SUMPRODUCT((Marks!$B$2:$AH$2=M$3)*ISNUMBER(Marks!$B$9:$AH$9))=0,"",SUMPRODUCT((Marks!$B$2:$AH$2=M$3)*(Marks!$B$9:$AH$9=1))/SUMPRODUCT((Marks!$B$2:$AH$2=M$3)*ISNUMBER(Marks!$B$9:$AH$9)))</f>
        <v/>
      </c>
      <c r="N9" s="6">
        <f>IF(SUMPRODUCT((Marks!$B$2:$AH$2=N$3)*ISNUMBER(Marks!$B$9:$AH$9))=0,"",SUMPRODUCT((Marks!$B$2:$AH$2=N$3)*(Marks!$B$9:$AH$9=1))/SUMPRODUCT((Marks!$B$2:$AH$2=N$3)*ISNUMBER(Marks!$B$9:$AH$9)))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IF(SUMPRODUCT((Marks!$B$2:$AH$2=I$3)*ISNUMBER(Marks!$B$10:$AH$10))=0,"",SUMPRODUCT((Marks!$B$2:$AH$2=I$3)*(Marks!$B$10:$AH$10=1))/SUMPRODUCT((Marks!$B$2:$AH$2=I$3)*ISNUMBER(Marks!$B$10:$AH$10)))</f>
        <v/>
      </c>
      <c r="J10" s="6">
        <f>IF(SUMPRODUCT((Marks!$B$2:$AH$2=J$3)*ISNUMBER(Marks!$B$10:$AH$10))=0,"",SUMPRODUCT((Marks!$B$2:$AH$2=J$3)*(Marks!$B$10:$AH$10=1))/SUMPRODUCT((Marks!$B$2:$AH$2=J$3)*ISNUMBER(Marks!$B$10:$AH$10)))</f>
        <v/>
      </c>
      <c r="K10" s="6">
        <f>IF(SUMPRODUCT((Marks!$B$2:$AH$2=K$3)*ISNUMBER(Marks!$B$10:$AH$10))=0,"",SUMPRODUCT((Marks!$B$2:$AH$2=K$3)*(Marks!$B$10:$AH$10=1))/SUMPRODUCT((Marks!$B$2:$AH$2=K$3)*ISNUMBER(Marks!$B$10:$AH$10)))</f>
        <v/>
      </c>
      <c r="L10" s="6">
        <f>IF(SUMPRODUCT((Marks!$B$2:$AH$2=L$3)*ISNUMBER(Marks!$B$10:$AH$10))=0,"",SUMPRODUCT((Marks!$B$2:$AH$2=L$3)*(Marks!$B$10:$AH$10=1))/SUMPRODUCT((Marks!$B$2:$AH$2=L$3)*ISNUMBER(Marks!$B$10:$AH$10)))</f>
        <v/>
      </c>
      <c r="M10" s="6">
        <f>IF(SUMPRODUCT((Marks!$B$2:$AH$2=M$3)*ISNUMBER(Marks!$B$10:$AH$10))=0,"",SUMPRODUCT((Marks!$B$2:$AH$2=M$3)*(Marks!$B$10:$AH$10=1))/SUMPRODUCT((Marks!$B$2:$AH$2=M$3)*ISNUMBER(Marks!$B$10:$AH$10)))</f>
        <v/>
      </c>
      <c r="N10" s="6">
        <f>IF(SUMPRODUCT((Marks!$B$2:$AH$2=N$3)*ISNUMBER(Marks!$B$10:$AH$10))=0,"",SUMPRODUCT((Marks!$B$2:$AH$2=N$3)*(Marks!$B$10:$AH$10=1))/SUMPRODUCT((Marks!$B$2:$AH$2=N$3)*ISNUMBER(Marks!$B$10:$AH$10)))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IF(SUMPRODUCT((Marks!$B$2:$AH$2=I$3)*ISNUMBER(Marks!$B$11:$AH$11))=0,"",SUMPRODUCT((Marks!$B$2:$AH$2=I$3)*(Marks!$B$11:$AH$11=1))/SUMPRODUCT((Marks!$B$2:$AH$2=I$3)*ISNUMBER(Marks!$B$11:$AH$11)))</f>
        <v/>
      </c>
      <c r="J11" s="6">
        <f>IF(SUMPRODUCT((Marks!$B$2:$AH$2=J$3)*ISNUMBER(Marks!$B$11:$AH$11))=0,"",SUMPRODUCT((Marks!$B$2:$AH$2=J$3)*(Marks!$B$11:$AH$11=1))/SUMPRODUCT((Marks!$B$2:$AH$2=J$3)*ISNUMBER(Marks!$B$11:$AH$11)))</f>
        <v/>
      </c>
      <c r="K11" s="6">
        <f>IF(SUMPRODUCT((Marks!$B$2:$AH$2=K$3)*ISNUMBER(Marks!$B$11:$AH$11))=0,"",SUMPRODUCT((Marks!$B$2:$AH$2=K$3)*(Marks!$B$11:$AH$11=1))/SUMPRODUCT((Marks!$B$2:$AH$2=K$3)*ISNUMBER(Marks!$B$11:$AH$11)))</f>
        <v/>
      </c>
      <c r="L11" s="6">
        <f>IF(SUMPRODUCT((Marks!$B$2:$AH$2=L$3)*ISNUMBER(Marks!$B$11:$AH$11))=0,"",SUMPRODUCT((Marks!$B$2:$AH$2=L$3)*(Marks!$B$11:$AH$11=1))/SUMPRODUCT((Marks!$B$2:$AH$2=L$3)*ISNUMBER(Marks!$B$11:$AH$11)))</f>
        <v/>
      </c>
      <c r="M11" s="6">
        <f>IF(SUMPRODUCT((Marks!$B$2:$AH$2=M$3)*ISNUMBER(Marks!$B$11:$AH$11))=0,"",SUMPRODUCT((Marks!$B$2:$AH$2=M$3)*(Marks!$B$11:$AH$11=1))/SUMPRODUCT((Marks!$B$2:$AH$2=M$3)*ISNUMBER(Marks!$B$11:$AH$11)))</f>
        <v/>
      </c>
      <c r="N11" s="6">
        <f>IF(SUMPRODUCT((Marks!$B$2:$AH$2=N$3)*ISNUMBER(Marks!$B$11:$AH$11))=0,"",SUMPRODUCT((Marks!$B$2:$AH$2=N$3)*(Marks!$B$11:$AH$11=1))/SUMPRODUCT((Marks!$B$2:$AH$2=N$3)*ISNUMBER(Marks!$B$11:$AH$11)))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IF(SUMPRODUCT((Marks!$B$2:$AH$2=I$3)*ISNUMBER(Marks!$B$12:$AH$12))=0,"",SUMPRODUCT((Marks!$B$2:$AH$2=I$3)*(Marks!$B$12:$AH$12=1))/SUMPRODUCT((Marks!$B$2:$AH$2=I$3)*ISNUMBER(Marks!$B$12:$AH$12)))</f>
        <v/>
      </c>
      <c r="J12" s="6">
        <f>IF(SUMPRODUCT((Marks!$B$2:$AH$2=J$3)*ISNUMBER(Marks!$B$12:$AH$12))=0,"",SUMPRODUCT((Marks!$B$2:$AH$2=J$3)*(Marks!$B$12:$AH$12=1))/SUMPRODUCT((Marks!$B$2:$AH$2=J$3)*ISNUMBER(Marks!$B$12:$AH$12)))</f>
        <v/>
      </c>
      <c r="K12" s="6">
        <f>IF(SUMPRODUCT((Marks!$B$2:$AH$2=K$3)*ISNUMBER(Marks!$B$12:$AH$12))=0,"",SUMPRODUCT((Marks!$B$2:$AH$2=K$3)*(Marks!$B$12:$AH$12=1))/SUMPRODUCT((Marks!$B$2:$AH$2=K$3)*ISNUMBER(Marks!$B$12:$AH$12)))</f>
        <v/>
      </c>
      <c r="L12" s="6">
        <f>IF(SUMPRODUCT((Marks!$B$2:$AH$2=L$3)*ISNUMBER(Marks!$B$12:$AH$12))=0,"",SUMPRODUCT((Marks!$B$2:$AH$2=L$3)*(Marks!$B$12:$AH$12=1))/SUMPRODUCT((Marks!$B$2:$AH$2=L$3)*ISNUMBER(Marks!$B$12:$AH$12)))</f>
        <v/>
      </c>
      <c r="M12" s="6">
        <f>IF(SUMPRODUCT((Marks!$B$2:$AH$2=M$3)*ISNUMBER(Marks!$B$12:$AH$12))=0,"",SUMPRODUCT((Marks!$B$2:$AH$2=M$3)*(Marks!$B$12:$AH$12=1))/SUMPRODUCT((Marks!$B$2:$AH$2=M$3)*ISNUMBER(Marks!$B$12:$AH$12)))</f>
        <v/>
      </c>
      <c r="N12" s="6">
        <f>IF(SUMPRODUCT((Marks!$B$2:$AH$2=N$3)*ISNUMBER(Marks!$B$12:$AH$12))=0,"",SUMPRODUCT((Marks!$B$2:$AH$2=N$3)*(Marks!$B$12:$AH$12=1))/SUMPRODUCT((Marks!$B$2:$AH$2=N$3)*ISNUMBER(Marks!$B$12:$AH$12)))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IF(SUMPRODUCT((Marks!$B$2:$AH$2=I$3)*ISNUMBER(Marks!$B$13:$AH$13))=0,"",SUMPRODUCT((Marks!$B$2:$AH$2=I$3)*(Marks!$B$13:$AH$13=1))/SUMPRODUCT((Marks!$B$2:$AH$2=I$3)*ISNUMBER(Marks!$B$13:$AH$13)))</f>
        <v/>
      </c>
      <c r="J13" s="6">
        <f>IF(SUMPRODUCT((Marks!$B$2:$AH$2=J$3)*ISNUMBER(Marks!$B$13:$AH$13))=0,"",SUMPRODUCT((Marks!$B$2:$AH$2=J$3)*(Marks!$B$13:$AH$13=1))/SUMPRODUCT((Marks!$B$2:$AH$2=J$3)*ISNUMBER(Marks!$B$13:$AH$13)))</f>
        <v/>
      </c>
      <c r="K13" s="6">
        <f>IF(SUMPRODUCT((Marks!$B$2:$AH$2=K$3)*ISNUMBER(Marks!$B$13:$AH$13))=0,"",SUMPRODUCT((Marks!$B$2:$AH$2=K$3)*(Marks!$B$13:$AH$13=1))/SUMPRODUCT((Marks!$B$2:$AH$2=K$3)*ISNUMBER(Marks!$B$13:$AH$13)))</f>
        <v/>
      </c>
      <c r="L13" s="6">
        <f>IF(SUMPRODUCT((Marks!$B$2:$AH$2=L$3)*ISNUMBER(Marks!$B$13:$AH$13))=0,"",SUMPRODUCT((Marks!$B$2:$AH$2=L$3)*(Marks!$B$13:$AH$13=1))/SUMPRODUCT((Marks!$B$2:$AH$2=L$3)*ISNUMBER(Marks!$B$13:$AH$13)))</f>
        <v/>
      </c>
      <c r="M13" s="6">
        <f>IF(SUMPRODUCT((Marks!$B$2:$AH$2=M$3)*ISNUMBER(Marks!$B$13:$AH$13))=0,"",SUMPRODUCT((Marks!$B$2:$AH$2=M$3)*(Marks!$B$13:$AH$13=1))/SUMPRODUCT((Marks!$B$2:$AH$2=M$3)*ISNUMBER(Marks!$B$13:$AH$13)))</f>
        <v/>
      </c>
      <c r="N13" s="6">
        <f>IF(SUMPRODUCT((Marks!$B$2:$AH$2=N$3)*ISNUMBER(Marks!$B$13:$AH$13))=0,"",SUMPRODUCT((Marks!$B$2:$AH$2=N$3)*(Marks!$B$13:$AH$13=1))/SUMPRODUCT((Marks!$B$2:$AH$2=N$3)*ISNUMBER(Marks!$B$13:$AH$13)))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IF(SUMPRODUCT((Marks!$B$2:$AH$2=I$3)*ISNUMBER(Marks!$B$14:$AH$14))=0,"",SUMPRODUCT((Marks!$B$2:$AH$2=I$3)*(Marks!$B$14:$AH$14=1))/SUMPRODUCT((Marks!$B$2:$AH$2=I$3)*ISNUMBER(Marks!$B$14:$AH$14)))</f>
        <v/>
      </c>
      <c r="J14" s="6">
        <f>IF(SUMPRODUCT((Marks!$B$2:$AH$2=J$3)*ISNUMBER(Marks!$B$14:$AH$14))=0,"",SUMPRODUCT((Marks!$B$2:$AH$2=J$3)*(Marks!$B$14:$AH$14=1))/SUMPRODUCT((Marks!$B$2:$AH$2=J$3)*ISNUMBER(Marks!$B$14:$AH$14)))</f>
        <v/>
      </c>
      <c r="K14" s="6">
        <f>IF(SUMPRODUCT((Marks!$B$2:$AH$2=K$3)*ISNUMBER(Marks!$B$14:$AH$14))=0,"",SUMPRODUCT((Marks!$B$2:$AH$2=K$3)*(Marks!$B$14:$AH$14=1))/SUMPRODUCT((Marks!$B$2:$AH$2=K$3)*ISNUMBER(Marks!$B$14:$AH$14)))</f>
        <v/>
      </c>
      <c r="L14" s="6">
        <f>IF(SUMPRODUCT((Marks!$B$2:$AH$2=L$3)*ISNUMBER(Marks!$B$14:$AH$14))=0,"",SUMPRODUCT((Marks!$B$2:$AH$2=L$3)*(Marks!$B$14:$AH$14=1))/SUMPRODUCT((Marks!$B$2:$AH$2=L$3)*ISNUMBER(Marks!$B$14:$AH$14)))</f>
        <v/>
      </c>
      <c r="M14" s="6">
        <f>IF(SUMPRODUCT((Marks!$B$2:$AH$2=M$3)*ISNUMBER(Marks!$B$14:$AH$14))=0,"",SUMPRODUCT((Marks!$B$2:$AH$2=M$3)*(Marks!$B$14:$AH$14=1))/SUMPRODUCT((Marks!$B$2:$AH$2=M$3)*ISNUMBER(Marks!$B$14:$AH$14)))</f>
        <v/>
      </c>
      <c r="N14" s="6">
        <f>IF(SUMPRODUCT((Marks!$B$2:$AH$2=N$3)*ISNUMBER(Marks!$B$14:$AH$14))=0,"",SUMPRODUCT((Marks!$B$2:$AH$2=N$3)*(Marks!$B$14:$AH$14=1))/SUMPRODUCT((Marks!$B$2:$AH$2=N$3)*ISNUMBER(Marks!$B$14:$AH$14)))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IF(SUMPRODUCT((Marks!$B$2:$AH$2=I$3)*ISNUMBER(Marks!$B$15:$AH$15))=0,"",SUMPRODUCT((Marks!$B$2:$AH$2=I$3)*(Marks!$B$15:$AH$15=1))/SUMPRODUCT((Marks!$B$2:$AH$2=I$3)*ISNUMBER(Marks!$B$15:$AH$15)))</f>
        <v/>
      </c>
      <c r="J15" s="6">
        <f>IF(SUMPRODUCT((Marks!$B$2:$AH$2=J$3)*ISNUMBER(Marks!$B$15:$AH$15))=0,"",SUMPRODUCT((Marks!$B$2:$AH$2=J$3)*(Marks!$B$15:$AH$15=1))/SUMPRODUCT((Marks!$B$2:$AH$2=J$3)*ISNUMBER(Marks!$B$15:$AH$15)))</f>
        <v/>
      </c>
      <c r="K15" s="6">
        <f>IF(SUMPRODUCT((Marks!$B$2:$AH$2=K$3)*ISNUMBER(Marks!$B$15:$AH$15))=0,"",SUMPRODUCT((Marks!$B$2:$AH$2=K$3)*(Marks!$B$15:$AH$15=1))/SUMPRODUCT((Marks!$B$2:$AH$2=K$3)*ISNUMBER(Marks!$B$15:$AH$15)))</f>
        <v/>
      </c>
      <c r="L15" s="6">
        <f>IF(SUMPRODUCT((Marks!$B$2:$AH$2=L$3)*ISNUMBER(Marks!$B$15:$AH$15))=0,"",SUMPRODUCT((Marks!$B$2:$AH$2=L$3)*(Marks!$B$15:$AH$15=1))/SUMPRODUCT((Marks!$B$2:$AH$2=L$3)*ISNUMBER(Marks!$B$15:$AH$15)))</f>
        <v/>
      </c>
      <c r="M15" s="6">
        <f>IF(SUMPRODUCT((Marks!$B$2:$AH$2=M$3)*ISNUMBER(Marks!$B$15:$AH$15))=0,"",SUMPRODUCT((Marks!$B$2:$AH$2=M$3)*(Marks!$B$15:$AH$15=1))/SUMPRODUCT((Marks!$B$2:$AH$2=M$3)*ISNUMBER(Marks!$B$15:$AH$15)))</f>
        <v/>
      </c>
      <c r="N15" s="6">
        <f>IF(SUMPRODUCT((Marks!$B$2:$AH$2=N$3)*ISNUMBER(Marks!$B$15:$AH$15))=0,"",SUMPRODUCT((Marks!$B$2:$AH$2=N$3)*(Marks!$B$15:$AH$15=1))/SUMPRODUCT((Marks!$B$2:$AH$2=N$3)*ISNUMBER(Marks!$B$15:$AH$15)))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IF(SUMPRODUCT((Marks!$B$2:$AH$2=I$3)*ISNUMBER(Marks!$B$16:$AH$16))=0,"",SUMPRODUCT((Marks!$B$2:$AH$2=I$3)*(Marks!$B$16:$AH$16=1))/SUMPRODUCT((Marks!$B$2:$AH$2=I$3)*ISNUMBER(Marks!$B$16:$AH$16)))</f>
        <v/>
      </c>
      <c r="J16" s="6">
        <f>IF(SUMPRODUCT((Marks!$B$2:$AH$2=J$3)*ISNUMBER(Marks!$B$16:$AH$16))=0,"",SUMPRODUCT((Marks!$B$2:$AH$2=J$3)*(Marks!$B$16:$AH$16=1))/SUMPRODUCT((Marks!$B$2:$AH$2=J$3)*ISNUMBER(Marks!$B$16:$AH$16)))</f>
        <v/>
      </c>
      <c r="K16" s="6">
        <f>IF(SUMPRODUCT((Marks!$B$2:$AH$2=K$3)*ISNUMBER(Marks!$B$16:$AH$16))=0,"",SUMPRODUCT((Marks!$B$2:$AH$2=K$3)*(Marks!$B$16:$AH$16=1))/SUMPRODUCT((Marks!$B$2:$AH$2=K$3)*ISNUMBER(Marks!$B$16:$AH$16)))</f>
        <v/>
      </c>
      <c r="L16" s="6">
        <f>IF(SUMPRODUCT((Marks!$B$2:$AH$2=L$3)*ISNUMBER(Marks!$B$16:$AH$16))=0,"",SUMPRODUCT((Marks!$B$2:$AH$2=L$3)*(Marks!$B$16:$AH$16=1))/SUMPRODUCT((Marks!$B$2:$AH$2=L$3)*ISNUMBER(Marks!$B$16:$AH$16)))</f>
        <v/>
      </c>
      <c r="M16" s="6">
        <f>IF(SUMPRODUCT((Marks!$B$2:$AH$2=M$3)*ISNUMBER(Marks!$B$16:$AH$16))=0,"",SUMPRODUCT((Marks!$B$2:$AH$2=M$3)*(Marks!$B$16:$AH$16=1))/SUMPRODUCT((Marks!$B$2:$AH$2=M$3)*ISNUMBER(Marks!$B$16:$AH$16)))</f>
        <v/>
      </c>
      <c r="N16" s="6">
        <f>IF(SUMPRODUCT((Marks!$B$2:$AH$2=N$3)*ISNUMBER(Marks!$B$16:$AH$16))=0,"",SUMPRODUCT((Marks!$B$2:$AH$2=N$3)*(Marks!$B$16:$AH$16=1))/SUMPRODUCT((Marks!$B$2:$AH$2=N$3)*ISNUMBER(Marks!$B$16:$AH$16)))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IF(SUMPRODUCT((Marks!$B$2:$AH$2=I$3)*ISNUMBER(Marks!$B$17:$AH$17))=0,"",SUMPRODUCT((Marks!$B$2:$AH$2=I$3)*(Marks!$B$17:$AH$17=1))/SUMPRODUCT((Marks!$B$2:$AH$2=I$3)*ISNUMBER(Marks!$B$17:$AH$17)))</f>
        <v/>
      </c>
      <c r="J17" s="6">
        <f>IF(SUMPRODUCT((Marks!$B$2:$AH$2=J$3)*ISNUMBER(Marks!$B$17:$AH$17))=0,"",SUMPRODUCT((Marks!$B$2:$AH$2=J$3)*(Marks!$B$17:$AH$17=1))/SUMPRODUCT((Marks!$B$2:$AH$2=J$3)*ISNUMBER(Marks!$B$17:$AH$17)))</f>
        <v/>
      </c>
      <c r="K17" s="6">
        <f>IF(SUMPRODUCT((Marks!$B$2:$AH$2=K$3)*ISNUMBER(Marks!$B$17:$AH$17))=0,"",SUMPRODUCT((Marks!$B$2:$AH$2=K$3)*(Marks!$B$17:$AH$17=1))/SUMPRODUCT((Marks!$B$2:$AH$2=K$3)*ISNUMBER(Marks!$B$17:$AH$17)))</f>
        <v/>
      </c>
      <c r="L17" s="6">
        <f>IF(SUMPRODUCT((Marks!$B$2:$AH$2=L$3)*ISNUMBER(Marks!$B$17:$AH$17))=0,"",SUMPRODUCT((Marks!$B$2:$AH$2=L$3)*(Marks!$B$17:$AH$17=1))/SUMPRODUCT((Marks!$B$2:$AH$2=L$3)*ISNUMBER(Marks!$B$17:$AH$17)))</f>
        <v/>
      </c>
      <c r="M17" s="6">
        <f>IF(SUMPRODUCT((Marks!$B$2:$AH$2=M$3)*ISNUMBER(Marks!$B$17:$AH$17))=0,"",SUMPRODUCT((Marks!$B$2:$AH$2=M$3)*(Marks!$B$17:$AH$17=1))/SUMPRODUCT((Marks!$B$2:$AH$2=M$3)*ISNUMBER(Marks!$B$17:$AH$17)))</f>
        <v/>
      </c>
      <c r="N17" s="6">
        <f>IF(SUMPRODUCT((Marks!$B$2:$AH$2=N$3)*ISNUMBER(Marks!$B$17:$AH$17))=0,"",SUMPRODUCT((Marks!$B$2:$AH$2=N$3)*(Marks!$B$17:$AH$17=1))/SUMPRODUCT((Marks!$B$2:$AH$2=N$3)*ISNUMBER(Marks!$B$17:$AH$17)))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IF(SUMPRODUCT((Marks!$B$2:$AH$2=I$3)*ISNUMBER(Marks!$B$18:$AH$18))=0,"",SUMPRODUCT((Marks!$B$2:$AH$2=I$3)*(Marks!$B$18:$AH$18=1))/SUMPRODUCT((Marks!$B$2:$AH$2=I$3)*ISNUMBER(Marks!$B$18:$AH$18)))</f>
        <v/>
      </c>
      <c r="J18" s="6">
        <f>IF(SUMPRODUCT((Marks!$B$2:$AH$2=J$3)*ISNUMBER(Marks!$B$18:$AH$18))=0,"",SUMPRODUCT((Marks!$B$2:$AH$2=J$3)*(Marks!$B$18:$AH$18=1))/SUMPRODUCT((Marks!$B$2:$AH$2=J$3)*ISNUMBER(Marks!$B$18:$AH$18)))</f>
        <v/>
      </c>
      <c r="K18" s="6">
        <f>IF(SUMPRODUCT((Marks!$B$2:$AH$2=K$3)*ISNUMBER(Marks!$B$18:$AH$18))=0,"",SUMPRODUCT((Marks!$B$2:$AH$2=K$3)*(Marks!$B$18:$AH$18=1))/SUMPRODUCT((Marks!$B$2:$AH$2=K$3)*ISNUMBER(Marks!$B$18:$AH$18)))</f>
        <v/>
      </c>
      <c r="L18" s="6">
        <f>IF(SUMPRODUCT((Marks!$B$2:$AH$2=L$3)*ISNUMBER(Marks!$B$18:$AH$18))=0,"",SUMPRODUCT((Marks!$B$2:$AH$2=L$3)*(Marks!$B$18:$AH$18=1))/SUMPRODUCT((Marks!$B$2:$AH$2=L$3)*ISNUMBER(Marks!$B$18:$AH$18)))</f>
        <v/>
      </c>
      <c r="M18" s="6">
        <f>IF(SUMPRODUCT((Marks!$B$2:$AH$2=M$3)*ISNUMBER(Marks!$B$18:$AH$18))=0,"",SUMPRODUCT((Marks!$B$2:$AH$2=M$3)*(Marks!$B$18:$AH$18=1))/SUMPRODUCT((Marks!$B$2:$AH$2=M$3)*ISNUMBER(Marks!$B$18:$AH$18)))</f>
        <v/>
      </c>
      <c r="N18" s="6">
        <f>IF(SUMPRODUCT((Marks!$B$2:$AH$2=N$3)*ISNUMBER(Marks!$B$18:$AH$18))=0,"",SUMPRODUCT((Marks!$B$2:$AH$2=N$3)*(Marks!$B$18:$AH$18=1))/SUMPRODUCT((Marks!$B$2:$AH$2=N$3)*ISNUMBER(Marks!$B$18:$AH$18)))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IF(SUMPRODUCT((Marks!$B$2:$AH$2=I$3)*ISNUMBER(Marks!$B$19:$AH$19))=0,"",SUMPRODUCT((Marks!$B$2:$AH$2=I$3)*(Marks!$B$19:$AH$19=1))/SUMPRODUCT((Marks!$B$2:$AH$2=I$3)*ISNUMBER(Marks!$B$19:$AH$19)))</f>
        <v/>
      </c>
      <c r="J19" s="6">
        <f>IF(SUMPRODUCT((Marks!$B$2:$AH$2=J$3)*ISNUMBER(Marks!$B$19:$AH$19))=0,"",SUMPRODUCT((Marks!$B$2:$AH$2=J$3)*(Marks!$B$19:$AH$19=1))/SUMPRODUCT((Marks!$B$2:$AH$2=J$3)*ISNUMBER(Marks!$B$19:$AH$19)))</f>
        <v/>
      </c>
      <c r="K19" s="6">
        <f>IF(SUMPRODUCT((Marks!$B$2:$AH$2=K$3)*ISNUMBER(Marks!$B$19:$AH$19))=0,"",SUMPRODUCT((Marks!$B$2:$AH$2=K$3)*(Marks!$B$19:$AH$19=1))/SUMPRODUCT((Marks!$B$2:$AH$2=K$3)*ISNUMBER(Marks!$B$19:$AH$19)))</f>
        <v/>
      </c>
      <c r="L19" s="6">
        <f>IF(SUMPRODUCT((Marks!$B$2:$AH$2=L$3)*ISNUMBER(Marks!$B$19:$AH$19))=0,"",SUMPRODUCT((Marks!$B$2:$AH$2=L$3)*(Marks!$B$19:$AH$19=1))/SUMPRODUCT((Marks!$B$2:$AH$2=L$3)*ISNUMBER(Marks!$B$19:$AH$19)))</f>
        <v/>
      </c>
      <c r="M19" s="6">
        <f>IF(SUMPRODUCT((Marks!$B$2:$AH$2=M$3)*ISNUMBER(Marks!$B$19:$AH$19))=0,"",SUMPRODUCT((Marks!$B$2:$AH$2=M$3)*(Marks!$B$19:$AH$19=1))/SUMPRODUCT((Marks!$B$2:$AH$2=M$3)*ISNUMBER(Marks!$B$19:$AH$19)))</f>
        <v/>
      </c>
      <c r="N19" s="6">
        <f>IF(SUMPRODUCT((Marks!$B$2:$AH$2=N$3)*ISNUMBER(Marks!$B$19:$AH$19))=0,"",SUMPRODUCT((Marks!$B$2:$AH$2=N$3)*(Marks!$B$19:$AH$19=1))/SUMPRODUCT((Marks!$B$2:$AH$2=N$3)*ISNUMBER(Marks!$B$19:$AH$19)))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IF(SUMPRODUCT((Marks!$B$2:$AH$2=I$3)*ISNUMBER(Marks!$B$20:$AH$20))=0,"",SUMPRODUCT((Marks!$B$2:$AH$2=I$3)*(Marks!$B$20:$AH$20=1))/SUMPRODUCT((Marks!$B$2:$AH$2=I$3)*ISNUMBER(Marks!$B$20:$AH$20)))</f>
        <v/>
      </c>
      <c r="J20" s="6">
        <f>IF(SUMPRODUCT((Marks!$B$2:$AH$2=J$3)*ISNUMBER(Marks!$B$20:$AH$20))=0,"",SUMPRODUCT((Marks!$B$2:$AH$2=J$3)*(Marks!$B$20:$AH$20=1))/SUMPRODUCT((Marks!$B$2:$AH$2=J$3)*ISNUMBER(Marks!$B$20:$AH$20)))</f>
        <v/>
      </c>
      <c r="K20" s="6">
        <f>IF(SUMPRODUCT((Marks!$B$2:$AH$2=K$3)*ISNUMBER(Marks!$B$20:$AH$20))=0,"",SUMPRODUCT((Marks!$B$2:$AH$2=K$3)*(Marks!$B$20:$AH$20=1))/SUMPRODUCT((Marks!$B$2:$AH$2=K$3)*ISNUMBER(Marks!$B$20:$AH$20)))</f>
        <v/>
      </c>
      <c r="L20" s="6">
        <f>IF(SUMPRODUCT((Marks!$B$2:$AH$2=L$3)*ISNUMBER(Marks!$B$20:$AH$20))=0,"",SUMPRODUCT((Marks!$B$2:$AH$2=L$3)*(Marks!$B$20:$AH$20=1))/SUMPRODUCT((Marks!$B$2:$AH$2=L$3)*ISNUMBER(Marks!$B$20:$AH$20)))</f>
        <v/>
      </c>
      <c r="M20" s="6">
        <f>IF(SUMPRODUCT((Marks!$B$2:$AH$2=M$3)*ISNUMBER(Marks!$B$20:$AH$20))=0,"",SUMPRODUCT((Marks!$B$2:$AH$2=M$3)*(Marks!$B$20:$AH$20=1))/SUMPRODUCT((Marks!$B$2:$AH$2=M$3)*ISNUMBER(Marks!$B$20:$AH$20)))</f>
        <v/>
      </c>
      <c r="N20" s="6">
        <f>IF(SUMPRODUCT((Marks!$B$2:$AH$2=N$3)*ISNUMBER(Marks!$B$20:$AH$20))=0,"",SUMPRODUCT((Marks!$B$2:$AH$2=N$3)*(Marks!$B$20:$AH$20=1))/SUMPRODUCT((Marks!$B$2:$AH$2=N$3)*ISNUMBER(Marks!$B$20:$AH$20)))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IF(SUMPRODUCT((Marks!$B$2:$AH$2=I$3)*ISNUMBER(Marks!$B$21:$AH$21))=0,"",SUMPRODUCT((Marks!$B$2:$AH$2=I$3)*(Marks!$B$21:$AH$21=1))/SUMPRODUCT((Marks!$B$2:$AH$2=I$3)*ISNUMBER(Marks!$B$21:$AH$21)))</f>
        <v/>
      </c>
      <c r="J21" s="6">
        <f>IF(SUMPRODUCT((Marks!$B$2:$AH$2=J$3)*ISNUMBER(Marks!$B$21:$AH$21))=0,"",SUMPRODUCT((Marks!$B$2:$AH$2=J$3)*(Marks!$B$21:$AH$21=1))/SUMPRODUCT((Marks!$B$2:$AH$2=J$3)*ISNUMBER(Marks!$B$21:$AH$21)))</f>
        <v/>
      </c>
      <c r="K21" s="6">
        <f>IF(SUMPRODUCT((Marks!$B$2:$AH$2=K$3)*ISNUMBER(Marks!$B$21:$AH$21))=0,"",SUMPRODUCT((Marks!$B$2:$AH$2=K$3)*(Marks!$B$21:$AH$21=1))/SUMPRODUCT((Marks!$B$2:$AH$2=K$3)*ISNUMBER(Marks!$B$21:$AH$21)))</f>
        <v/>
      </c>
      <c r="L21" s="6">
        <f>IF(SUMPRODUCT((Marks!$B$2:$AH$2=L$3)*ISNUMBER(Marks!$B$21:$AH$21))=0,"",SUMPRODUCT((Marks!$B$2:$AH$2=L$3)*(Marks!$B$21:$AH$21=1))/SUMPRODUCT((Marks!$B$2:$AH$2=L$3)*ISNUMBER(Marks!$B$21:$AH$21)))</f>
        <v/>
      </c>
      <c r="M21" s="6">
        <f>IF(SUMPRODUCT((Marks!$B$2:$AH$2=M$3)*ISNUMBER(Marks!$B$21:$AH$21))=0,"",SUMPRODUCT((Marks!$B$2:$AH$2=M$3)*(Marks!$B$21:$AH$21=1))/SUMPRODUCT((Marks!$B$2:$AH$2=M$3)*ISNUMBER(Marks!$B$21:$AH$21)))</f>
        <v/>
      </c>
      <c r="N21" s="6">
        <f>IF(SUMPRODUCT((Marks!$B$2:$AH$2=N$3)*ISNUMBER(Marks!$B$21:$AH$21))=0,"",SUMPRODUCT((Marks!$B$2:$AH$2=N$3)*(Marks!$B$21:$AH$21=1))/SUMPRODUCT((Marks!$B$2:$AH$2=N$3)*ISNUMBER(Marks!$B$21:$AH$21)))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IF(SUMPRODUCT((Marks!$B$2:$AH$2=I$3)*ISNUMBER(Marks!$B$22:$AH$22))=0,"",SUMPRODUCT((Marks!$B$2:$AH$2=I$3)*(Marks!$B$22:$AH$22=1))/SUMPRODUCT((Marks!$B$2:$AH$2=I$3)*ISNUMBER(Marks!$B$22:$AH$22)))</f>
        <v/>
      </c>
      <c r="J22" s="6">
        <f>IF(SUMPRODUCT((Marks!$B$2:$AH$2=J$3)*ISNUMBER(Marks!$B$22:$AH$22))=0,"",SUMPRODUCT((Marks!$B$2:$AH$2=J$3)*(Marks!$B$22:$AH$22=1))/SUMPRODUCT((Marks!$B$2:$AH$2=J$3)*ISNUMBER(Marks!$B$22:$AH$22)))</f>
        <v/>
      </c>
      <c r="K22" s="6">
        <f>IF(SUMPRODUCT((Marks!$B$2:$AH$2=K$3)*ISNUMBER(Marks!$B$22:$AH$22))=0,"",SUMPRODUCT((Marks!$B$2:$AH$2=K$3)*(Marks!$B$22:$AH$22=1))/SUMPRODUCT((Marks!$B$2:$AH$2=K$3)*ISNUMBER(Marks!$B$22:$AH$22)))</f>
        <v/>
      </c>
      <c r="L22" s="6">
        <f>IF(SUMPRODUCT((Marks!$B$2:$AH$2=L$3)*ISNUMBER(Marks!$B$22:$AH$22))=0,"",SUMPRODUCT((Marks!$B$2:$AH$2=L$3)*(Marks!$B$22:$AH$22=1))/SUMPRODUCT((Marks!$B$2:$AH$2=L$3)*ISNUMBER(Marks!$B$22:$AH$22)))</f>
        <v/>
      </c>
      <c r="M22" s="6">
        <f>IF(SUMPRODUCT((Marks!$B$2:$AH$2=M$3)*ISNUMBER(Marks!$B$22:$AH$22))=0,"",SUMPRODUCT((Marks!$B$2:$AH$2=M$3)*(Marks!$B$22:$AH$22=1))/SUMPRODUCT((Marks!$B$2:$AH$2=M$3)*ISNUMBER(Marks!$B$22:$AH$22)))</f>
        <v/>
      </c>
      <c r="N22" s="6">
        <f>IF(SUMPRODUCT((Marks!$B$2:$AH$2=N$3)*ISNUMBER(Marks!$B$22:$AH$22))=0,"",SUMPRODUCT((Marks!$B$2:$AH$2=N$3)*(Marks!$B$22:$AH$22=1))/SUMPRODUCT((Marks!$B$2:$AH$2=N$3)*ISNUMBER(Marks!$B$22:$AH$22)))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IF(SUMPRODUCT((Marks!$B$2:$AH$2=I$3)*ISNUMBER(Marks!$B$23:$AH$23))=0,"",SUMPRODUCT((Marks!$B$2:$AH$2=I$3)*(Marks!$B$23:$AH$23=1))/SUMPRODUCT((Marks!$B$2:$AH$2=I$3)*ISNUMBER(Marks!$B$23:$AH$23)))</f>
        <v/>
      </c>
      <c r="J23" s="6">
        <f>IF(SUMPRODUCT((Marks!$B$2:$AH$2=J$3)*ISNUMBER(Marks!$B$23:$AH$23))=0,"",SUMPRODUCT((Marks!$B$2:$AH$2=J$3)*(Marks!$B$23:$AH$23=1))/SUMPRODUCT((Marks!$B$2:$AH$2=J$3)*ISNUMBER(Marks!$B$23:$AH$23)))</f>
        <v/>
      </c>
      <c r="K23" s="6">
        <f>IF(SUMPRODUCT((Marks!$B$2:$AH$2=K$3)*ISNUMBER(Marks!$B$23:$AH$23))=0,"",SUMPRODUCT((Marks!$B$2:$AH$2=K$3)*(Marks!$B$23:$AH$23=1))/SUMPRODUCT((Marks!$B$2:$AH$2=K$3)*ISNUMBER(Marks!$B$23:$AH$23)))</f>
        <v/>
      </c>
      <c r="L23" s="6">
        <f>IF(SUMPRODUCT((Marks!$B$2:$AH$2=L$3)*ISNUMBER(Marks!$B$23:$AH$23))=0,"",SUMPRODUCT((Marks!$B$2:$AH$2=L$3)*(Marks!$B$23:$AH$23=1))/SUMPRODUCT((Marks!$B$2:$AH$2=L$3)*ISNUMBER(Marks!$B$23:$AH$23)))</f>
        <v/>
      </c>
      <c r="M23" s="6">
        <f>IF(SUMPRODUCT((Marks!$B$2:$AH$2=M$3)*ISNUMBER(Marks!$B$23:$AH$23))=0,"",SUMPRODUCT((Marks!$B$2:$AH$2=M$3)*(Marks!$B$23:$AH$23=1))/SUMPRODUCT((Marks!$B$2:$AH$2=M$3)*ISNUMBER(Marks!$B$23:$AH$23)))</f>
        <v/>
      </c>
      <c r="N23" s="6">
        <f>IF(SUMPRODUCT((Marks!$B$2:$AH$2=N$3)*ISNUMBER(Marks!$B$23:$AH$23))=0,"",SUMPRODUCT((Marks!$B$2:$AH$2=N$3)*(Marks!$B$23:$AH$23=1))/SUMPRODUCT((Marks!$B$2:$AH$2=N$3)*ISNUMBER(Marks!$B$23:$AH$23)))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IF(SUMPRODUCT((Marks!$B$2:$AH$2=I$3)*ISNUMBER(Marks!$B$24:$AH$24))=0,"",SUMPRODUCT((Marks!$B$2:$AH$2=I$3)*(Marks!$B$24:$AH$24=1))/SUMPRODUCT((Marks!$B$2:$AH$2=I$3)*ISNUMBER(Marks!$B$24:$AH$24)))</f>
        <v/>
      </c>
      <c r="J24" s="6">
        <f>IF(SUMPRODUCT((Marks!$B$2:$AH$2=J$3)*ISNUMBER(Marks!$B$24:$AH$24))=0,"",SUMPRODUCT((Marks!$B$2:$AH$2=J$3)*(Marks!$B$24:$AH$24=1))/SUMPRODUCT((Marks!$B$2:$AH$2=J$3)*ISNUMBER(Marks!$B$24:$AH$24)))</f>
        <v/>
      </c>
      <c r="K24" s="6">
        <f>IF(SUMPRODUCT((Marks!$B$2:$AH$2=K$3)*ISNUMBER(Marks!$B$24:$AH$24))=0,"",SUMPRODUCT((Marks!$B$2:$AH$2=K$3)*(Marks!$B$24:$AH$24=1))/SUMPRODUCT((Marks!$B$2:$AH$2=K$3)*ISNUMBER(Marks!$B$24:$AH$24)))</f>
        <v/>
      </c>
      <c r="L24" s="6">
        <f>IF(SUMPRODUCT((Marks!$B$2:$AH$2=L$3)*ISNUMBER(Marks!$B$24:$AH$24))=0,"",SUMPRODUCT((Marks!$B$2:$AH$2=L$3)*(Marks!$B$24:$AH$24=1))/SUMPRODUCT((Marks!$B$2:$AH$2=L$3)*ISNUMBER(Marks!$B$24:$AH$24)))</f>
        <v/>
      </c>
      <c r="M24" s="6">
        <f>IF(SUMPRODUCT((Marks!$B$2:$AH$2=M$3)*ISNUMBER(Marks!$B$24:$AH$24))=0,"",SUMPRODUCT((Marks!$B$2:$AH$2=M$3)*(Marks!$B$24:$AH$24=1))/SUMPRODUCT((Marks!$B$2:$AH$2=M$3)*ISNUMBER(Marks!$B$24:$AH$24)))</f>
        <v/>
      </c>
      <c r="N24" s="6">
        <f>IF(SUMPRODUCT((Marks!$B$2:$AH$2=N$3)*ISNUMBER(Marks!$B$24:$AH$24))=0,"",SUMPRODUCT((Marks!$B$2:$AH$2=N$3)*(Marks!$B$24:$AH$24=1))/SUMPRODUCT((Marks!$B$2:$AH$2=N$3)*ISNUMBER(Marks!$B$24:$AH$24)))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IF(SUMPRODUCT((Marks!$B$2:$AH$2=I$3)*ISNUMBER(Marks!$B$25:$AH$25))=0,"",SUMPRODUCT((Marks!$B$2:$AH$2=I$3)*(Marks!$B$25:$AH$25=1))/SUMPRODUCT((Marks!$B$2:$AH$2=I$3)*ISNUMBER(Marks!$B$25:$AH$25)))</f>
        <v/>
      </c>
      <c r="J25" s="6">
        <f>IF(SUMPRODUCT((Marks!$B$2:$AH$2=J$3)*ISNUMBER(Marks!$B$25:$AH$25))=0,"",SUMPRODUCT((Marks!$B$2:$AH$2=J$3)*(Marks!$B$25:$AH$25=1))/SUMPRODUCT((Marks!$B$2:$AH$2=J$3)*ISNUMBER(Marks!$B$25:$AH$25)))</f>
        <v/>
      </c>
      <c r="K25" s="6">
        <f>IF(SUMPRODUCT((Marks!$B$2:$AH$2=K$3)*ISNUMBER(Marks!$B$25:$AH$25))=0,"",SUMPRODUCT((Marks!$B$2:$AH$2=K$3)*(Marks!$B$25:$AH$25=1))/SUMPRODUCT((Marks!$B$2:$AH$2=K$3)*ISNUMBER(Marks!$B$25:$AH$25)))</f>
        <v/>
      </c>
      <c r="L25" s="6">
        <f>IF(SUMPRODUCT((Marks!$B$2:$AH$2=L$3)*ISNUMBER(Marks!$B$25:$AH$25))=0,"",SUMPRODUCT((Marks!$B$2:$AH$2=L$3)*(Marks!$B$25:$AH$25=1))/SUMPRODUCT((Marks!$B$2:$AH$2=L$3)*ISNUMBER(Marks!$B$25:$AH$25)))</f>
        <v/>
      </c>
      <c r="M25" s="6">
        <f>IF(SUMPRODUCT((Marks!$B$2:$AH$2=M$3)*ISNUMBER(Marks!$B$25:$AH$25))=0,"",SUMPRODUCT((Marks!$B$2:$AH$2=M$3)*(Marks!$B$25:$AH$25=1))/SUMPRODUCT((Marks!$B$2:$AH$2=M$3)*ISNUMBER(Marks!$B$25:$AH$25)))</f>
        <v/>
      </c>
      <c r="N25" s="6">
        <f>IF(SUMPRODUCT((Marks!$B$2:$AH$2=N$3)*ISNUMBER(Marks!$B$25:$AH$25))=0,"",SUMPRODUCT((Marks!$B$2:$AH$2=N$3)*(Marks!$B$25:$AH$25=1))/SUMPRODUCT((Marks!$B$2:$AH$2=N$3)*ISNUMBER(Marks!$B$25:$AH$25)))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IF(SUMPRODUCT((Marks!$B$2:$AH$2=I$3)*ISNUMBER(Marks!$B$26:$AH$26))=0,"",SUMPRODUCT((Marks!$B$2:$AH$2=I$3)*(Marks!$B$26:$AH$26=1))/SUMPRODUCT((Marks!$B$2:$AH$2=I$3)*ISNUMBER(Marks!$B$26:$AH$26)))</f>
        <v/>
      </c>
      <c r="J26" s="6">
        <f>IF(SUMPRODUCT((Marks!$B$2:$AH$2=J$3)*ISNUMBER(Marks!$B$26:$AH$26))=0,"",SUMPRODUCT((Marks!$B$2:$AH$2=J$3)*(Marks!$B$26:$AH$26=1))/SUMPRODUCT((Marks!$B$2:$AH$2=J$3)*ISNUMBER(Marks!$B$26:$AH$26)))</f>
        <v/>
      </c>
      <c r="K26" s="6">
        <f>IF(SUMPRODUCT((Marks!$B$2:$AH$2=K$3)*ISNUMBER(Marks!$B$26:$AH$26))=0,"",SUMPRODUCT((Marks!$B$2:$AH$2=K$3)*(Marks!$B$26:$AH$26=1))/SUMPRODUCT((Marks!$B$2:$AH$2=K$3)*ISNUMBER(Marks!$B$26:$AH$26)))</f>
        <v/>
      </c>
      <c r="L26" s="6">
        <f>IF(SUMPRODUCT((Marks!$B$2:$AH$2=L$3)*ISNUMBER(Marks!$B$26:$AH$26))=0,"",SUMPRODUCT((Marks!$B$2:$AH$2=L$3)*(Marks!$B$26:$AH$26=1))/SUMPRODUCT((Marks!$B$2:$AH$2=L$3)*ISNUMBER(Marks!$B$26:$AH$26)))</f>
        <v/>
      </c>
      <c r="M26" s="6">
        <f>IF(SUMPRODUCT((Marks!$B$2:$AH$2=M$3)*ISNUMBER(Marks!$B$26:$AH$26))=0,"",SUMPRODUCT((Marks!$B$2:$AH$2=M$3)*(Marks!$B$26:$AH$26=1))/SUMPRODUCT((Marks!$B$2:$AH$2=M$3)*ISNUMBER(Marks!$B$26:$AH$26)))</f>
        <v/>
      </c>
      <c r="N26" s="6">
        <f>IF(SUMPRODUCT((Marks!$B$2:$AH$2=N$3)*ISNUMBER(Marks!$B$26:$AH$26))=0,"",SUMPRODUCT((Marks!$B$2:$AH$2=N$3)*(Marks!$B$26:$AH$26=1))/SUMPRODUCT((Marks!$B$2:$AH$2=N$3)*ISNUMBER(Marks!$B$26:$AH$26)))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IF(SUMPRODUCT((Marks!$B$2:$AH$2=I$3)*ISNUMBER(Marks!$B$27:$AH$27))=0,"",SUMPRODUCT((Marks!$B$2:$AH$2=I$3)*(Marks!$B$27:$AH$27=1))/SUMPRODUCT((Marks!$B$2:$AH$2=I$3)*ISNUMBER(Marks!$B$27:$AH$27)))</f>
        <v/>
      </c>
      <c r="J27" s="6">
        <f>IF(SUMPRODUCT((Marks!$B$2:$AH$2=J$3)*ISNUMBER(Marks!$B$27:$AH$27))=0,"",SUMPRODUCT((Marks!$B$2:$AH$2=J$3)*(Marks!$B$27:$AH$27=1))/SUMPRODUCT((Marks!$B$2:$AH$2=J$3)*ISNUMBER(Marks!$B$27:$AH$27)))</f>
        <v/>
      </c>
      <c r="K27" s="6">
        <f>IF(SUMPRODUCT((Marks!$B$2:$AH$2=K$3)*ISNUMBER(Marks!$B$27:$AH$27))=0,"",SUMPRODUCT((Marks!$B$2:$AH$2=K$3)*(Marks!$B$27:$AH$27=1))/SUMPRODUCT((Marks!$B$2:$AH$2=K$3)*ISNUMBER(Marks!$B$27:$AH$27)))</f>
        <v/>
      </c>
      <c r="L27" s="6">
        <f>IF(SUMPRODUCT((Marks!$B$2:$AH$2=L$3)*ISNUMBER(Marks!$B$27:$AH$27))=0,"",SUMPRODUCT((Marks!$B$2:$AH$2=L$3)*(Marks!$B$27:$AH$27=1))/SUMPRODUCT((Marks!$B$2:$AH$2=L$3)*ISNUMBER(Marks!$B$27:$AH$27)))</f>
        <v/>
      </c>
      <c r="M27" s="6">
        <f>IF(SUMPRODUCT((Marks!$B$2:$AH$2=M$3)*ISNUMBER(Marks!$B$27:$AH$27))=0,"",SUMPRODUCT((Marks!$B$2:$AH$2=M$3)*(Marks!$B$27:$AH$27=1))/SUMPRODUCT((Marks!$B$2:$AH$2=M$3)*ISNUMBER(Marks!$B$27:$AH$27)))</f>
        <v/>
      </c>
      <c r="N27" s="6">
        <f>IF(SUMPRODUCT((Marks!$B$2:$AH$2=N$3)*ISNUMBER(Marks!$B$27:$AH$27))=0,"",SUMPRODUCT((Marks!$B$2:$AH$2=N$3)*(Marks!$B$27:$AH$27=1))/SUMPRODUCT((Marks!$B$2:$AH$2=N$3)*ISNUMBER(Marks!$B$27:$AH$27)))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IF(SUMPRODUCT((Marks!$B$2:$AH$2=I$3)*ISNUMBER(Marks!$B$28:$AH$28))=0,"",SUMPRODUCT((Marks!$B$2:$AH$2=I$3)*(Marks!$B$28:$AH$28=1))/SUMPRODUCT((Marks!$B$2:$AH$2=I$3)*ISNUMBER(Marks!$B$28:$AH$28)))</f>
        <v/>
      </c>
      <c r="J28" s="6">
        <f>IF(SUMPRODUCT((Marks!$B$2:$AH$2=J$3)*ISNUMBER(Marks!$B$28:$AH$28))=0,"",SUMPRODUCT((Marks!$B$2:$AH$2=J$3)*(Marks!$B$28:$AH$28=1))/SUMPRODUCT((Marks!$B$2:$AH$2=J$3)*ISNUMBER(Marks!$B$28:$AH$28)))</f>
        <v/>
      </c>
      <c r="K28" s="6">
        <f>IF(SUMPRODUCT((Marks!$B$2:$AH$2=K$3)*ISNUMBER(Marks!$B$28:$AH$28))=0,"",SUMPRODUCT((Marks!$B$2:$AH$2=K$3)*(Marks!$B$28:$AH$28=1))/SUMPRODUCT((Marks!$B$2:$AH$2=K$3)*ISNUMBER(Marks!$B$28:$AH$28)))</f>
        <v/>
      </c>
      <c r="L28" s="6">
        <f>IF(SUMPRODUCT((Marks!$B$2:$AH$2=L$3)*ISNUMBER(Marks!$B$28:$AH$28))=0,"",SUMPRODUCT((Marks!$B$2:$AH$2=L$3)*(Marks!$B$28:$AH$28=1))/SUMPRODUCT((Marks!$B$2:$AH$2=L$3)*ISNUMBER(Marks!$B$28:$AH$28)))</f>
        <v/>
      </c>
      <c r="M28" s="6">
        <f>IF(SUMPRODUCT((Marks!$B$2:$AH$2=M$3)*ISNUMBER(Marks!$B$28:$AH$28))=0,"",SUMPRODUCT((Marks!$B$2:$AH$2=M$3)*(Marks!$B$28:$AH$28=1))/SUMPRODUCT((Marks!$B$2:$AH$2=M$3)*ISNUMBER(Marks!$B$28:$AH$28)))</f>
        <v/>
      </c>
      <c r="N28" s="6">
        <f>IF(SUMPRODUCT((Marks!$B$2:$AH$2=N$3)*ISNUMBER(Marks!$B$28:$AH$28))=0,"",SUMPRODUCT((Marks!$B$2:$AH$2=N$3)*(Marks!$B$28:$AH$28=1))/SUMPRODUCT((Marks!$B$2:$AH$2=N$3)*ISNUMBER(Marks!$B$28:$AH$28)))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IF(SUMPRODUCT((Marks!$B$2:$AH$2=I$3)*ISNUMBER(Marks!$B$29:$AH$29))=0,"",SUMPRODUCT((Marks!$B$2:$AH$2=I$3)*(Marks!$B$29:$AH$29=1))/SUMPRODUCT((Marks!$B$2:$AH$2=I$3)*ISNUMBER(Marks!$B$29:$AH$29)))</f>
        <v/>
      </c>
      <c r="J29" s="6">
        <f>IF(SUMPRODUCT((Marks!$B$2:$AH$2=J$3)*ISNUMBER(Marks!$B$29:$AH$29))=0,"",SUMPRODUCT((Marks!$B$2:$AH$2=J$3)*(Marks!$B$29:$AH$29=1))/SUMPRODUCT((Marks!$B$2:$AH$2=J$3)*ISNUMBER(Marks!$B$29:$AH$29)))</f>
        <v/>
      </c>
      <c r="K29" s="6">
        <f>IF(SUMPRODUCT((Marks!$B$2:$AH$2=K$3)*ISNUMBER(Marks!$B$29:$AH$29))=0,"",SUMPRODUCT((Marks!$B$2:$AH$2=K$3)*(Marks!$B$29:$AH$29=1))/SUMPRODUCT((Marks!$B$2:$AH$2=K$3)*ISNUMBER(Marks!$B$29:$AH$29)))</f>
        <v/>
      </c>
      <c r="L29" s="6">
        <f>IF(SUMPRODUCT((Marks!$B$2:$AH$2=L$3)*ISNUMBER(Marks!$B$29:$AH$29))=0,"",SUMPRODUCT((Marks!$B$2:$AH$2=L$3)*(Marks!$B$29:$AH$29=1))/SUMPRODUCT((Marks!$B$2:$AH$2=L$3)*ISNUMBER(Marks!$B$29:$AH$29)))</f>
        <v/>
      </c>
      <c r="M29" s="6">
        <f>IF(SUMPRODUCT((Marks!$B$2:$AH$2=M$3)*ISNUMBER(Marks!$B$29:$AH$29))=0,"",SUMPRODUCT((Marks!$B$2:$AH$2=M$3)*(Marks!$B$29:$AH$29=1))/SUMPRODUCT((Marks!$B$2:$AH$2=M$3)*ISNUMBER(Marks!$B$29:$AH$29)))</f>
        <v/>
      </c>
      <c r="N29" s="6">
        <f>IF(SUMPRODUCT((Marks!$B$2:$AH$2=N$3)*ISNUMBER(Marks!$B$29:$AH$29))=0,"",SUMPRODUCT((Marks!$B$2:$AH$2=N$3)*(Marks!$B$29:$AH$29=1))/SUMPRODUCT((Marks!$B$2:$AH$2=N$3)*ISNUMBER(Marks!$B$29:$AH$29)))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IF(SUMPRODUCT((Marks!$B$2:$AH$2=I$3)*ISNUMBER(Marks!$B$30:$AH$30))=0,"",SUMPRODUCT((Marks!$B$2:$AH$2=I$3)*(Marks!$B$30:$AH$30=1))/SUMPRODUCT((Marks!$B$2:$AH$2=I$3)*ISNUMBER(Marks!$B$30:$AH$30)))</f>
        <v/>
      </c>
      <c r="J30" s="6">
        <f>IF(SUMPRODUCT((Marks!$B$2:$AH$2=J$3)*ISNUMBER(Marks!$B$30:$AH$30))=0,"",SUMPRODUCT((Marks!$B$2:$AH$2=J$3)*(Marks!$B$30:$AH$30=1))/SUMPRODUCT((Marks!$B$2:$AH$2=J$3)*ISNUMBER(Marks!$B$30:$AH$30)))</f>
        <v/>
      </c>
      <c r="K30" s="6">
        <f>IF(SUMPRODUCT((Marks!$B$2:$AH$2=K$3)*ISNUMBER(Marks!$B$30:$AH$30))=0,"",SUMPRODUCT((Marks!$B$2:$AH$2=K$3)*(Marks!$B$30:$AH$30=1))/SUMPRODUCT((Marks!$B$2:$AH$2=K$3)*ISNUMBER(Marks!$B$30:$AH$30)))</f>
        <v/>
      </c>
      <c r="L30" s="6">
        <f>IF(SUMPRODUCT((Marks!$B$2:$AH$2=L$3)*ISNUMBER(Marks!$B$30:$AH$30))=0,"",SUMPRODUCT((Marks!$B$2:$AH$2=L$3)*(Marks!$B$30:$AH$30=1))/SUMPRODUCT((Marks!$B$2:$AH$2=L$3)*ISNUMBER(Marks!$B$30:$AH$30)))</f>
        <v/>
      </c>
      <c r="M30" s="6">
        <f>IF(SUMPRODUCT((Marks!$B$2:$AH$2=M$3)*ISNUMBER(Marks!$B$30:$AH$30))=0,"",SUMPRODUCT((Marks!$B$2:$AH$2=M$3)*(Marks!$B$30:$AH$30=1))/SUMPRODUCT((Marks!$B$2:$AH$2=M$3)*ISNUMBER(Marks!$B$30:$AH$30)))</f>
        <v/>
      </c>
      <c r="N30" s="6">
        <f>IF(SUMPRODUCT((Marks!$B$2:$AH$2=N$3)*ISNUMBER(Marks!$B$30:$AH$30))=0,"",SUMPRODUCT((Marks!$B$2:$AH$2=N$3)*(Marks!$B$30:$AH$30=1))/SUMPRODUCT((Marks!$B$2:$AH$2=N$3)*ISNUMBER(Marks!$B$30:$AH$30)))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IF(SUMPRODUCT((Marks!$B$2:$AH$2=I$3)*ISNUMBER(Marks!$B$31:$AH$31))=0,"",SUMPRODUCT((Marks!$B$2:$AH$2=I$3)*(Marks!$B$31:$AH$31=1))/SUMPRODUCT((Marks!$B$2:$AH$2=I$3)*ISNUMBER(Marks!$B$31:$AH$31)))</f>
        <v/>
      </c>
      <c r="J31" s="6">
        <f>IF(SUMPRODUCT((Marks!$B$2:$AH$2=J$3)*ISNUMBER(Marks!$B$31:$AH$31))=0,"",SUMPRODUCT((Marks!$B$2:$AH$2=J$3)*(Marks!$B$31:$AH$31=1))/SUMPRODUCT((Marks!$B$2:$AH$2=J$3)*ISNUMBER(Marks!$B$31:$AH$31)))</f>
        <v/>
      </c>
      <c r="K31" s="6">
        <f>IF(SUMPRODUCT((Marks!$B$2:$AH$2=K$3)*ISNUMBER(Marks!$B$31:$AH$31))=0,"",SUMPRODUCT((Marks!$B$2:$AH$2=K$3)*(Marks!$B$31:$AH$31=1))/SUMPRODUCT((Marks!$B$2:$AH$2=K$3)*ISNUMBER(Marks!$B$31:$AH$31)))</f>
        <v/>
      </c>
      <c r="L31" s="6">
        <f>IF(SUMPRODUCT((Marks!$B$2:$AH$2=L$3)*ISNUMBER(Marks!$B$31:$AH$31))=0,"",SUMPRODUCT((Marks!$B$2:$AH$2=L$3)*(Marks!$B$31:$AH$31=1))/SUMPRODUCT((Marks!$B$2:$AH$2=L$3)*ISNUMBER(Marks!$B$31:$AH$31)))</f>
        <v/>
      </c>
      <c r="M31" s="6">
        <f>IF(SUMPRODUCT((Marks!$B$2:$AH$2=M$3)*ISNUMBER(Marks!$B$31:$AH$31))=0,"",SUMPRODUCT((Marks!$B$2:$AH$2=M$3)*(Marks!$B$31:$AH$31=1))/SUMPRODUCT((Marks!$B$2:$AH$2=M$3)*ISNUMBER(Marks!$B$31:$AH$31)))</f>
        <v/>
      </c>
      <c r="N31" s="6">
        <f>IF(SUMPRODUCT((Marks!$B$2:$AH$2=N$3)*ISNUMBER(Marks!$B$31:$AH$31))=0,"",SUMPRODUCT((Marks!$B$2:$AH$2=N$3)*(Marks!$B$31:$AH$31=1))/SUMPRODUCT((Marks!$B$2:$AH$2=N$3)*ISNUMBER(Marks!$B$31:$AH$31)))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IF(SUMPRODUCT((Marks!$B$2:$AH$2=I$3)*ISNUMBER(Marks!$B$32:$AH$32))=0,"",SUMPRODUCT((Marks!$B$2:$AH$2=I$3)*(Marks!$B$32:$AH$32=1))/SUMPRODUCT((Marks!$B$2:$AH$2=I$3)*ISNUMBER(Marks!$B$32:$AH$32)))</f>
        <v/>
      </c>
      <c r="J32" s="6">
        <f>IF(SUMPRODUCT((Marks!$B$2:$AH$2=J$3)*ISNUMBER(Marks!$B$32:$AH$32))=0,"",SUMPRODUCT((Marks!$B$2:$AH$2=J$3)*(Marks!$B$32:$AH$32=1))/SUMPRODUCT((Marks!$B$2:$AH$2=J$3)*ISNUMBER(Marks!$B$32:$AH$32)))</f>
        <v/>
      </c>
      <c r="K32" s="6">
        <f>IF(SUMPRODUCT((Marks!$B$2:$AH$2=K$3)*ISNUMBER(Marks!$B$32:$AH$32))=0,"",SUMPRODUCT((Marks!$B$2:$AH$2=K$3)*(Marks!$B$32:$AH$32=1))/SUMPRODUCT((Marks!$B$2:$AH$2=K$3)*ISNUMBER(Marks!$B$32:$AH$32)))</f>
        <v/>
      </c>
      <c r="L32" s="6">
        <f>IF(SUMPRODUCT((Marks!$B$2:$AH$2=L$3)*ISNUMBER(Marks!$B$32:$AH$32))=0,"",SUMPRODUCT((Marks!$B$2:$AH$2=L$3)*(Marks!$B$32:$AH$32=1))/SUMPRODUCT((Marks!$B$2:$AH$2=L$3)*ISNUMBER(Marks!$B$32:$AH$32)))</f>
        <v/>
      </c>
      <c r="M32" s="6">
        <f>IF(SUMPRODUCT((Marks!$B$2:$AH$2=M$3)*ISNUMBER(Marks!$B$32:$AH$32))=0,"",SUMPRODUCT((Marks!$B$2:$AH$2=M$3)*(Marks!$B$32:$AH$32=1))/SUMPRODUCT((Marks!$B$2:$AH$2=M$3)*ISNUMBER(Marks!$B$32:$AH$32)))</f>
        <v/>
      </c>
      <c r="N32" s="6">
        <f>IF(SUMPRODUCT((Marks!$B$2:$AH$2=N$3)*ISNUMBER(Marks!$B$32:$AH$32))=0,"",SUMPRODUCT((Marks!$B$2:$AH$2=N$3)*(Marks!$B$32:$AH$32=1))/SUMPRODUCT((Marks!$B$2:$AH$2=N$3)*ISNUMBER(Marks!$B$32:$AH$32)))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IF(SUMPRODUCT((Marks!$B$2:$AH$2=I$3)*ISNUMBER(Marks!$B$33:$AH$33))=0,"",SUMPRODUCT((Marks!$B$2:$AH$2=I$3)*(Marks!$B$33:$AH$33=1))/SUMPRODUCT((Marks!$B$2:$AH$2=I$3)*ISNUMBER(Marks!$B$33:$AH$33)))</f>
        <v/>
      </c>
      <c r="J33" s="6">
        <f>IF(SUMPRODUCT((Marks!$B$2:$AH$2=J$3)*ISNUMBER(Marks!$B$33:$AH$33))=0,"",SUMPRODUCT((Marks!$B$2:$AH$2=J$3)*(Marks!$B$33:$AH$33=1))/SUMPRODUCT((Marks!$B$2:$AH$2=J$3)*ISNUMBER(Marks!$B$33:$AH$33)))</f>
        <v/>
      </c>
      <c r="K33" s="6">
        <f>IF(SUMPRODUCT((Marks!$B$2:$AH$2=K$3)*ISNUMBER(Marks!$B$33:$AH$33))=0,"",SUMPRODUCT((Marks!$B$2:$AH$2=K$3)*(Marks!$B$33:$AH$33=1))/SUMPRODUCT((Marks!$B$2:$AH$2=K$3)*ISNUMBER(Marks!$B$33:$AH$33)))</f>
        <v/>
      </c>
      <c r="L33" s="6">
        <f>IF(SUMPRODUCT((Marks!$B$2:$AH$2=L$3)*ISNUMBER(Marks!$B$33:$AH$33))=0,"",SUMPRODUCT((Marks!$B$2:$AH$2=L$3)*(Marks!$B$33:$AH$33=1))/SUMPRODUCT((Marks!$B$2:$AH$2=L$3)*ISNUMBER(Marks!$B$33:$AH$33)))</f>
        <v/>
      </c>
      <c r="M33" s="6">
        <f>IF(SUMPRODUCT((Marks!$B$2:$AH$2=M$3)*ISNUMBER(Marks!$B$33:$AH$33))=0,"",SUMPRODUCT((Marks!$B$2:$AH$2=M$3)*(Marks!$B$33:$AH$33=1))/SUMPRODUCT((Marks!$B$2:$AH$2=M$3)*ISNUMBER(Marks!$B$33:$AH$33)))</f>
        <v/>
      </c>
      <c r="N33" s="6">
        <f>IF(SUMPRODUCT((Marks!$B$2:$AH$2=N$3)*ISNUMBER(Marks!$B$33:$AH$33))=0,"",SUMPRODUCT((Marks!$B$2:$AH$2=N$3)*(Marks!$B$33:$AH$33=1))/SUMPRODUCT((Marks!$B$2:$AH$2=N$3)*ISNUMBER(Marks!$B$33:$AH$33)))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IF(SUMPRODUCT((Marks!$B$2:$AH$2=I$3)*ISNUMBER(Marks!$B$34:$AH$34))=0,"",SUMPRODUCT((Marks!$B$2:$AH$2=I$3)*(Marks!$B$34:$AH$34=1))/SUMPRODUCT((Marks!$B$2:$AH$2=I$3)*ISNUMBER(Marks!$B$34:$AH$34)))</f>
        <v/>
      </c>
      <c r="J34" s="6">
        <f>IF(SUMPRODUCT((Marks!$B$2:$AH$2=J$3)*ISNUMBER(Marks!$B$34:$AH$34))=0,"",SUMPRODUCT((Marks!$B$2:$AH$2=J$3)*(Marks!$B$34:$AH$34=1))/SUMPRODUCT((Marks!$B$2:$AH$2=J$3)*ISNUMBER(Marks!$B$34:$AH$34)))</f>
        <v/>
      </c>
      <c r="K34" s="6">
        <f>IF(SUMPRODUCT((Marks!$B$2:$AH$2=K$3)*ISNUMBER(Marks!$B$34:$AH$34))=0,"",SUMPRODUCT((Marks!$B$2:$AH$2=K$3)*(Marks!$B$34:$AH$34=1))/SUMPRODUCT((Marks!$B$2:$AH$2=K$3)*ISNUMBER(Marks!$B$34:$AH$34)))</f>
        <v/>
      </c>
      <c r="L34" s="6">
        <f>IF(SUMPRODUCT((Marks!$B$2:$AH$2=L$3)*ISNUMBER(Marks!$B$34:$AH$34))=0,"",SUMPRODUCT((Marks!$B$2:$AH$2=L$3)*(Marks!$B$34:$AH$34=1))/SUMPRODUCT((Marks!$B$2:$AH$2=L$3)*ISNUMBER(Marks!$B$34:$AH$34)))</f>
        <v/>
      </c>
      <c r="M34" s="6">
        <f>IF(SUMPRODUCT((Marks!$B$2:$AH$2=M$3)*ISNUMBER(Marks!$B$34:$AH$34))=0,"",SUMPRODUCT((Marks!$B$2:$AH$2=M$3)*(Marks!$B$34:$AH$34=1))/SUMPRODUCT((Marks!$B$2:$AH$2=M$3)*ISNUMBER(Marks!$B$34:$AH$34)))</f>
        <v/>
      </c>
      <c r="N34" s="6">
        <f>IF(SUMPRODUCT((Marks!$B$2:$AH$2=N$3)*ISNUMBER(Marks!$B$34:$AH$34))=0,"",SUMPRODUCT((Marks!$B$2:$AH$2=N$3)*(Marks!$B$34:$AH$34=1))/SUMPRODUCT((Marks!$B$2:$AH$2=N$3)*ISNUMBER(Marks!$B$34:$AH$34)))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IF(SUMPRODUCT((Marks!$B$2:$AH$2=I$3)*ISNUMBER(Marks!$B$35:$AH$35))=0,"",SUMPRODUCT((Marks!$B$2:$AH$2=I$3)*(Marks!$B$35:$AH$35=1))/SUMPRODUCT((Marks!$B$2:$AH$2=I$3)*ISNUMBER(Marks!$B$35:$AH$35)))</f>
        <v/>
      </c>
      <c r="J35" s="6">
        <f>IF(SUMPRODUCT((Marks!$B$2:$AH$2=J$3)*ISNUMBER(Marks!$B$35:$AH$35))=0,"",SUMPRODUCT((Marks!$B$2:$AH$2=J$3)*(Marks!$B$35:$AH$35=1))/SUMPRODUCT((Marks!$B$2:$AH$2=J$3)*ISNUMBER(Marks!$B$35:$AH$35)))</f>
        <v/>
      </c>
      <c r="K35" s="6">
        <f>IF(SUMPRODUCT((Marks!$B$2:$AH$2=K$3)*ISNUMBER(Marks!$B$35:$AH$35))=0,"",SUMPRODUCT((Marks!$B$2:$AH$2=K$3)*(Marks!$B$35:$AH$35=1))/SUMPRODUCT((Marks!$B$2:$AH$2=K$3)*ISNUMBER(Marks!$B$35:$AH$35)))</f>
        <v/>
      </c>
      <c r="L35" s="6">
        <f>IF(SUMPRODUCT((Marks!$B$2:$AH$2=L$3)*ISNUMBER(Marks!$B$35:$AH$35))=0,"",SUMPRODUCT((Marks!$B$2:$AH$2=L$3)*(Marks!$B$35:$AH$35=1))/SUMPRODUCT((Marks!$B$2:$AH$2=L$3)*ISNUMBER(Marks!$B$35:$AH$35)))</f>
        <v/>
      </c>
      <c r="M35" s="6">
        <f>IF(SUMPRODUCT((Marks!$B$2:$AH$2=M$3)*ISNUMBER(Marks!$B$35:$AH$35))=0,"",SUMPRODUCT((Marks!$B$2:$AH$2=M$3)*(Marks!$B$35:$AH$35=1))/SUMPRODUCT((Marks!$B$2:$AH$2=M$3)*ISNUMBER(Marks!$B$35:$AH$35)))</f>
        <v/>
      </c>
      <c r="N35" s="6">
        <f>IF(SUMPRODUCT((Marks!$B$2:$AH$2=N$3)*ISNUMBER(Marks!$B$35:$AH$35))=0,"",SUMPRODUCT((Marks!$B$2:$AH$2=N$3)*(Marks!$B$35:$AH$35=1))/SUMPRODUCT((Marks!$B$2:$AH$2=N$3)*ISNUMBER(Marks!$B$35:$AH$35)))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IF(SUMPRODUCT((Marks!$B$2:$AH$2=I$3)*ISNUMBER(Marks!$B$36:$AH$36))=0,"",SUMPRODUCT((Marks!$B$2:$AH$2=I$3)*(Marks!$B$36:$AH$36=1))/SUMPRODUCT((Marks!$B$2:$AH$2=I$3)*ISNUMBER(Marks!$B$36:$AH$36)))</f>
        <v/>
      </c>
      <c r="J36" s="6">
        <f>IF(SUMPRODUCT((Marks!$B$2:$AH$2=J$3)*ISNUMBER(Marks!$B$36:$AH$36))=0,"",SUMPRODUCT((Marks!$B$2:$AH$2=J$3)*(Marks!$B$36:$AH$36=1))/SUMPRODUCT((Marks!$B$2:$AH$2=J$3)*ISNUMBER(Marks!$B$36:$AH$36)))</f>
        <v/>
      </c>
      <c r="K36" s="6">
        <f>IF(SUMPRODUCT((Marks!$B$2:$AH$2=K$3)*ISNUMBER(Marks!$B$36:$AH$36))=0,"",SUMPRODUCT((Marks!$B$2:$AH$2=K$3)*(Marks!$B$36:$AH$36=1))/SUMPRODUCT((Marks!$B$2:$AH$2=K$3)*ISNUMBER(Marks!$B$36:$AH$36)))</f>
        <v/>
      </c>
      <c r="L36" s="6">
        <f>IF(SUMPRODUCT((Marks!$B$2:$AH$2=L$3)*ISNUMBER(Marks!$B$36:$AH$36))=0,"",SUMPRODUCT((Marks!$B$2:$AH$2=L$3)*(Marks!$B$36:$AH$36=1))/SUMPRODUCT((Marks!$B$2:$AH$2=L$3)*ISNUMBER(Marks!$B$36:$AH$36)))</f>
        <v/>
      </c>
      <c r="M36" s="6">
        <f>IF(SUMPRODUCT((Marks!$B$2:$AH$2=M$3)*ISNUMBER(Marks!$B$36:$AH$36))=0,"",SUMPRODUCT((Marks!$B$2:$AH$2=M$3)*(Marks!$B$36:$AH$36=1))/SUMPRODUCT((Marks!$B$2:$AH$2=M$3)*ISNUMBER(Marks!$B$36:$AH$36)))</f>
        <v/>
      </c>
      <c r="N36" s="6">
        <f>IF(SUMPRODUCT((Marks!$B$2:$AH$2=N$3)*ISNUMBER(Marks!$B$36:$AH$36))=0,"",SUMPRODUCT((Marks!$B$2:$AH$2=N$3)*(Marks!$B$36:$AH$36=1))/SUMPRODUCT((Marks!$B$2:$AH$2=N$3)*ISNUMBER(Marks!$B$36:$AH$36)))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IF(SUMPRODUCT((Marks!$B$2:$AH$2=I$3)*ISNUMBER(Marks!$B$37:$AH$37))=0,"",SUMPRODUCT((Marks!$B$2:$AH$2=I$3)*(Marks!$B$37:$AH$37=1))/SUMPRODUCT((Marks!$B$2:$AH$2=I$3)*ISNUMBER(Marks!$B$37:$AH$37)))</f>
        <v/>
      </c>
      <c r="J37" s="6">
        <f>IF(SUMPRODUCT((Marks!$B$2:$AH$2=J$3)*ISNUMBER(Marks!$B$37:$AH$37))=0,"",SUMPRODUCT((Marks!$B$2:$AH$2=J$3)*(Marks!$B$37:$AH$37=1))/SUMPRODUCT((Marks!$B$2:$AH$2=J$3)*ISNUMBER(Marks!$B$37:$AH$37)))</f>
        <v/>
      </c>
      <c r="K37" s="6">
        <f>IF(SUMPRODUCT((Marks!$B$2:$AH$2=K$3)*ISNUMBER(Marks!$B$37:$AH$37))=0,"",SUMPRODUCT((Marks!$B$2:$AH$2=K$3)*(Marks!$B$37:$AH$37=1))/SUMPRODUCT((Marks!$B$2:$AH$2=K$3)*ISNUMBER(Marks!$B$37:$AH$37)))</f>
        <v/>
      </c>
      <c r="L37" s="6">
        <f>IF(SUMPRODUCT((Marks!$B$2:$AH$2=L$3)*ISNUMBER(Marks!$B$37:$AH$37))=0,"",SUMPRODUCT((Marks!$B$2:$AH$2=L$3)*(Marks!$B$37:$AH$37=1))/SUMPRODUCT((Marks!$B$2:$AH$2=L$3)*ISNUMBER(Marks!$B$37:$AH$37)))</f>
        <v/>
      </c>
      <c r="M37" s="6">
        <f>IF(SUMPRODUCT((Marks!$B$2:$AH$2=M$3)*ISNUMBER(Marks!$B$37:$AH$37))=0,"",SUMPRODUCT((Marks!$B$2:$AH$2=M$3)*(Marks!$B$37:$AH$37=1))/SUMPRODUCT((Marks!$B$2:$AH$2=M$3)*ISNUMBER(Marks!$B$37:$AH$37)))</f>
        <v/>
      </c>
      <c r="N37" s="6">
        <f>IF(SUMPRODUCT((Marks!$B$2:$AH$2=N$3)*ISNUMBER(Marks!$B$37:$AH$37))=0,"",SUMPRODUCT((Marks!$B$2:$AH$2=N$3)*(Marks!$B$37:$AH$37=1))/SUMPRODUCT((Marks!$B$2:$AH$2=N$3)*ISNUMBER(Marks!$B$37:$AH$37)))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IF(SUMPRODUCT((Marks!$B$2:$AH$2=I$3)*ISNUMBER(Marks!$B$38:$AH$38))=0,"",SUMPRODUCT((Marks!$B$2:$AH$2=I$3)*(Marks!$B$38:$AH$38=1))/SUMPRODUCT((Marks!$B$2:$AH$2=I$3)*ISNUMBER(Marks!$B$38:$AH$38)))</f>
        <v/>
      </c>
      <c r="J38" s="6">
        <f>IF(SUMPRODUCT((Marks!$B$2:$AH$2=J$3)*ISNUMBER(Marks!$B$38:$AH$38))=0,"",SUMPRODUCT((Marks!$B$2:$AH$2=J$3)*(Marks!$B$38:$AH$38=1))/SUMPRODUCT((Marks!$B$2:$AH$2=J$3)*ISNUMBER(Marks!$B$38:$AH$38)))</f>
        <v/>
      </c>
      <c r="K38" s="6">
        <f>IF(SUMPRODUCT((Marks!$B$2:$AH$2=K$3)*ISNUMBER(Marks!$B$38:$AH$38))=0,"",SUMPRODUCT((Marks!$B$2:$AH$2=K$3)*(Marks!$B$38:$AH$38=1))/SUMPRODUCT((Marks!$B$2:$AH$2=K$3)*ISNUMBER(Marks!$B$38:$AH$38)))</f>
        <v/>
      </c>
      <c r="L38" s="6">
        <f>IF(SUMPRODUCT((Marks!$B$2:$AH$2=L$3)*ISNUMBER(Marks!$B$38:$AH$38))=0,"",SUMPRODUCT((Marks!$B$2:$AH$2=L$3)*(Marks!$B$38:$AH$38=1))/SUMPRODUCT((Marks!$B$2:$AH$2=L$3)*ISNUMBER(Marks!$B$38:$AH$38)))</f>
        <v/>
      </c>
      <c r="M38" s="6">
        <f>IF(SUMPRODUCT((Marks!$B$2:$AH$2=M$3)*ISNUMBER(Marks!$B$38:$AH$38))=0,"",SUMPRODUCT((Marks!$B$2:$AH$2=M$3)*(Marks!$B$38:$AH$38=1))/SUMPRODUCT((Marks!$B$2:$AH$2=M$3)*ISNUMBER(Marks!$B$38:$AH$38)))</f>
        <v/>
      </c>
      <c r="N38" s="6">
        <f>IF(SUMPRODUCT((Marks!$B$2:$AH$2=N$3)*ISNUMBER(Marks!$B$38:$AH$38))=0,"",SUMPRODUCT((Marks!$B$2:$AH$2=N$3)*(Marks!$B$38:$AH$38=1))/SUMPRODUCT((Marks!$B$2:$AH$2=N$3)*ISNUMBER(Marks!$B$38:$AH$38)))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IF(SUMPRODUCT((Marks!$B$2:$AH$2=I$3)*ISNUMBER(Marks!$B$39:$AH$39))=0,"",SUMPRODUCT((Marks!$B$2:$AH$2=I$3)*(Marks!$B$39:$AH$39=1))/SUMPRODUCT((Marks!$B$2:$AH$2=I$3)*ISNUMBER(Marks!$B$39:$AH$39)))</f>
        <v/>
      </c>
      <c r="J39" s="6">
        <f>IF(SUMPRODUCT((Marks!$B$2:$AH$2=J$3)*ISNUMBER(Marks!$B$39:$AH$39))=0,"",SUMPRODUCT((Marks!$B$2:$AH$2=J$3)*(Marks!$B$39:$AH$39=1))/SUMPRODUCT((Marks!$B$2:$AH$2=J$3)*ISNUMBER(Marks!$B$39:$AH$39)))</f>
        <v/>
      </c>
      <c r="K39" s="6">
        <f>IF(SUMPRODUCT((Marks!$B$2:$AH$2=K$3)*ISNUMBER(Marks!$B$39:$AH$39))=0,"",SUMPRODUCT((Marks!$B$2:$AH$2=K$3)*(Marks!$B$39:$AH$39=1))/SUMPRODUCT((Marks!$B$2:$AH$2=K$3)*ISNUMBER(Marks!$B$39:$AH$39)))</f>
        <v/>
      </c>
      <c r="L39" s="6">
        <f>IF(SUMPRODUCT((Marks!$B$2:$AH$2=L$3)*ISNUMBER(Marks!$B$39:$AH$39))=0,"",SUMPRODUCT((Marks!$B$2:$AH$2=L$3)*(Marks!$B$39:$AH$39=1))/SUMPRODUCT((Marks!$B$2:$AH$2=L$3)*ISNUMBER(Marks!$B$39:$AH$39)))</f>
        <v/>
      </c>
      <c r="M39" s="6">
        <f>IF(SUMPRODUCT((Marks!$B$2:$AH$2=M$3)*ISNUMBER(Marks!$B$39:$AH$39))=0,"",SUMPRODUCT((Marks!$B$2:$AH$2=M$3)*(Marks!$B$39:$AH$39=1))/SUMPRODUCT((Marks!$B$2:$AH$2=M$3)*ISNUMBER(Marks!$B$39:$AH$39)))</f>
        <v/>
      </c>
      <c r="N39" s="6">
        <f>IF(SUMPRODUCT((Marks!$B$2:$AH$2=N$3)*ISNUMBER(Marks!$B$39:$AH$39))=0,"",SUMPRODUCT((Marks!$B$2:$AH$2=N$3)*(Marks!$B$39:$AH$39=1))/SUMPRODUCT((Marks!$B$2:$AH$2=N$3)*ISNUMBER(Marks!$B$39:$AH$39)))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Can the warehouse give Anand Monday numbers that his analyst can audit line by line?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Anand sign what Kalpa collected against what it booked, with nothing lost or counted twice?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members should Marketing protect and call, and did July to September keep pace with the plan?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Can the growth team act on Monday's table of 340 customers without checking it first?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spreadsheet numbers can a director trust, in Monday's workbook and in three public cases?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Can a food-delivery company's AI team trust the numbers behind its model and budget decisions?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2026-10-01T10:49:05Z</dcterms:created>
  <dcterms:modified xmlns:dcterms="http://purl.org/dc/terms/" xmlns:xsi="http://www.w3.org/2001/XMLSchema-instance" xsi:type="dcterms:W3CDTF">2026-10-01T10:49:05Z</dcterms:modified>
</cp:coreProperties>
</file>