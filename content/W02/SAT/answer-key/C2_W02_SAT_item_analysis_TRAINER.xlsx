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Marks" sheetId="2" state="visible" r:id="rId2"/>
    <sheet xmlns:r="http://schemas.openxmlformats.org/officeDocument/2006/relationships" name="Items" sheetId="3" state="visible" r:id="rId3"/>
    <sheet xmlns:r="http://schemas.openxmlformats.org/officeDocument/2006/relationships" name="Discussion" sheetId="4" state="visible" r:id="rId4"/>
    <sheet xmlns:r="http://schemas.openxmlformats.org/officeDocument/2006/relationships" name="Tags" sheetId="5" state="visible" r:id="rId5"/>
    <sheet xmlns:r="http://schemas.openxmlformats.org/officeDocument/2006/relationships" name="Seats" sheetId="6" state="visible" r:id="rId6"/>
    <sheet xmlns:r="http://schemas.openxmlformats.org/officeDocument/2006/relationships" name="Rating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4">
    <font>
      <name val="Calibri"/>
      <family val="2"/>
      <color theme="1"/>
      <sz val="11"/>
      <scheme val="minor"/>
    </font>
    <font>
      <b val="1"/>
    </font>
    <font/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A0F5C"/>
      </patternFill>
    </fill>
    <fill>
      <patternFill patternType="solid">
        <fgColor rgb="00FFF4C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1" fillId="0" borderId="0" pivotButton="0" quotePrefix="0" xfId="0"/>
    <xf numFmtId="0" fontId="3" fillId="2" borderId="0" pivotButton="0" quotePrefix="0" xfId="0"/>
    <xf numFmtId="0" fontId="0" fillId="3" borderId="0" pivotButton="0" quotePrefix="0" xfId="0"/>
    <xf numFmtId="9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Week 2 recap paper: item analysis</t>
        </is>
      </c>
    </row>
    <row r="2">
      <c r="A2" s="2" t="inlineStr">
        <is>
          <t>TRAINER. Fill this after the swap-marking, one row per seat and never a name.</t>
        </is>
      </c>
    </row>
    <row r="3">
      <c r="A3" s="2" t="inlineStr">
        <is>
          <t>Marks: type 1 for a tick, 0 for a cross and leave a blank for an item left empty. Yellow cells are the only inputs; everything else is computed.</t>
        </is>
      </c>
    </row>
    <row r="4">
      <c r="A4" s="2" t="inlineStr">
        <is>
          <t>Items: each item's right rate, the top and bottom thirds' rates (thirds by total, once three or more seats are in), and a flag when fewer than one in five got it right or the bottom third beat the top third. Both are this programme's own working rule for a room of 35.</t>
        </is>
      </c>
    </row>
    <row r="5">
      <c r="A5" s="2" t="inlineStr">
        <is>
          <t>Discussion: the items from the most missed, which is the order the solution discussion takes.</t>
        </is>
      </c>
    </row>
    <row r="6">
      <c r="A6" s="2" t="inlineStr">
        <is>
          <t>Tags: the room's rate by tag and by part. Seats: each seat's rate by tag, for Monday's remediation read. Neither is a ranking, and neither is read out by name.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G3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3" t="inlineStr">
        <is>
          <t>Marks: 1 right, 0 wrong, blank left empty</t>
        </is>
      </c>
    </row>
    <row r="2">
      <c r="A2" t="inlineStr">
        <is>
          <t>Part</t>
        </is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1</v>
      </c>
      <c r="J2" t="n">
        <v>1</v>
      </c>
      <c r="K2" t="n">
        <v>1</v>
      </c>
      <c r="L2" t="n">
        <v>1</v>
      </c>
      <c r="M2" t="n">
        <v>2</v>
      </c>
      <c r="N2" t="n">
        <v>2</v>
      </c>
      <c r="O2" t="n">
        <v>2</v>
      </c>
      <c r="P2" t="n">
        <v>2</v>
      </c>
      <c r="Q2" t="n">
        <v>2</v>
      </c>
      <c r="R2" t="n">
        <v>3</v>
      </c>
      <c r="S2" t="n">
        <v>3</v>
      </c>
      <c r="T2" t="n">
        <v>3</v>
      </c>
      <c r="U2" t="n">
        <v>3</v>
      </c>
      <c r="V2" t="n">
        <v>3</v>
      </c>
      <c r="W2" t="n">
        <v>3</v>
      </c>
      <c r="X2" t="n">
        <v>3</v>
      </c>
      <c r="Y2" t="n">
        <v>3</v>
      </c>
      <c r="Z2" t="n">
        <v>3</v>
      </c>
      <c r="AA2" t="n">
        <v>3</v>
      </c>
      <c r="AB2" t="n">
        <v>3</v>
      </c>
      <c r="AC2" t="n">
        <v>4</v>
      </c>
      <c r="AD2" t="n">
        <v>4</v>
      </c>
      <c r="AE2" t="n">
        <v>4</v>
      </c>
      <c r="AF2" t="n">
        <v>4</v>
      </c>
      <c r="AG2" t="n">
        <v>4</v>
      </c>
      <c r="AH2" t="n">
        <v>4</v>
      </c>
      <c r="AI2" t="n">
        <v>4</v>
      </c>
      <c r="AJ2" t="n">
        <v>4</v>
      </c>
      <c r="AK2" t="n">
        <v>4</v>
      </c>
      <c r="AL2" t="n">
        <v>4</v>
      </c>
      <c r="AM2" t="n">
        <v>4</v>
      </c>
      <c r="AN2" t="n">
        <v>4</v>
      </c>
      <c r="AO2" t="n">
        <v>5</v>
      </c>
      <c r="AP2" t="n">
        <v>5</v>
      </c>
      <c r="AQ2" t="n">
        <v>5</v>
      </c>
      <c r="AR2" t="n">
        <v>5</v>
      </c>
      <c r="AS2" t="n">
        <v>5</v>
      </c>
      <c r="AT2" t="n">
        <v>5</v>
      </c>
      <c r="AU2" t="n">
        <v>5</v>
      </c>
      <c r="AV2" t="n">
        <v>5</v>
      </c>
      <c r="AW2" t="n">
        <v>5</v>
      </c>
      <c r="AX2" t="n">
        <v>5</v>
      </c>
      <c r="AY2" t="n">
        <v>5</v>
      </c>
      <c r="AZ2" t="n">
        <v>5</v>
      </c>
      <c r="BA2" t="n">
        <v>6</v>
      </c>
      <c r="BB2" t="n">
        <v>6</v>
      </c>
      <c r="BC2" t="n">
        <v>6</v>
      </c>
      <c r="BD2" t="n">
        <v>6</v>
      </c>
    </row>
    <row r="3">
      <c r="A3" t="inlineStr">
        <is>
          <t>Tag</t>
        </is>
      </c>
      <c r="B3" t="inlineStr">
        <is>
          <t>[F]</t>
        </is>
      </c>
      <c r="C3" t="inlineStr">
        <is>
          <t>[S]</t>
        </is>
      </c>
      <c r="D3" t="inlineStr">
        <is>
          <t>[F]</t>
        </is>
      </c>
      <c r="E3" t="inlineStr">
        <is>
          <t>[S]</t>
        </is>
      </c>
      <c r="F3" t="inlineStr">
        <is>
          <t>[F]</t>
        </is>
      </c>
      <c r="G3" t="inlineStr">
        <is>
          <t>[S]</t>
        </is>
      </c>
      <c r="H3" t="inlineStr">
        <is>
          <t>[S]</t>
        </is>
      </c>
      <c r="I3" t="inlineStr">
        <is>
          <t>[S]</t>
        </is>
      </c>
      <c r="J3" t="inlineStr">
        <is>
          <t>[F]</t>
        </is>
      </c>
      <c r="K3" t="inlineStr">
        <is>
          <t>[F]</t>
        </is>
      </c>
      <c r="L3" t="inlineStr">
        <is>
          <t>[F]</t>
        </is>
      </c>
      <c r="M3" t="inlineStr">
        <is>
          <t>[S]</t>
        </is>
      </c>
      <c r="N3" t="inlineStr">
        <is>
          <t>[F]</t>
        </is>
      </c>
      <c r="O3" t="inlineStr">
        <is>
          <t>[S]</t>
        </is>
      </c>
      <c r="P3" t="inlineStr">
        <is>
          <t>[S]</t>
        </is>
      </c>
      <c r="Q3" t="inlineStr">
        <is>
          <t>[S]</t>
        </is>
      </c>
      <c r="R3" t="inlineStr">
        <is>
          <t>[S]</t>
        </is>
      </c>
      <c r="S3" t="inlineStr">
        <is>
          <t>[S]</t>
        </is>
      </c>
      <c r="T3" t="inlineStr">
        <is>
          <t>[F]</t>
        </is>
      </c>
      <c r="U3" t="inlineStr">
        <is>
          <t>[D]</t>
        </is>
      </c>
      <c r="V3" t="inlineStr">
        <is>
          <t>[S]</t>
        </is>
      </c>
      <c r="W3" t="inlineStr">
        <is>
          <t>[F]</t>
        </is>
      </c>
      <c r="X3" t="inlineStr">
        <is>
          <t>[S]</t>
        </is>
      </c>
      <c r="Y3" t="inlineStr">
        <is>
          <t>[S]</t>
        </is>
      </c>
      <c r="Z3" t="inlineStr">
        <is>
          <t>[F]</t>
        </is>
      </c>
      <c r="AA3" t="inlineStr">
        <is>
          <t>[F]</t>
        </is>
      </c>
      <c r="AB3" t="inlineStr">
        <is>
          <t>[S]</t>
        </is>
      </c>
      <c r="AC3" t="inlineStr">
        <is>
          <t>[S]</t>
        </is>
      </c>
      <c r="AD3" t="inlineStr">
        <is>
          <t>[S]</t>
        </is>
      </c>
      <c r="AE3" t="inlineStr">
        <is>
          <t>[S]</t>
        </is>
      </c>
      <c r="AF3" t="inlineStr">
        <is>
          <t>[F]</t>
        </is>
      </c>
      <c r="AG3" t="inlineStr">
        <is>
          <t>[S]</t>
        </is>
      </c>
      <c r="AH3" t="inlineStr">
        <is>
          <t>[D]</t>
        </is>
      </c>
      <c r="AI3" t="inlineStr">
        <is>
          <t>[S]</t>
        </is>
      </c>
      <c r="AJ3" t="inlineStr">
        <is>
          <t>[S]</t>
        </is>
      </c>
      <c r="AK3" t="inlineStr">
        <is>
          <t>[F]</t>
        </is>
      </c>
      <c r="AL3" t="inlineStr">
        <is>
          <t>[D]</t>
        </is>
      </c>
      <c r="AM3" t="inlineStr">
        <is>
          <t>[D]</t>
        </is>
      </c>
      <c r="AN3" t="inlineStr">
        <is>
          <t>[F]</t>
        </is>
      </c>
      <c r="AO3" t="inlineStr">
        <is>
          <t>[S]</t>
        </is>
      </c>
      <c r="AP3" t="inlineStr">
        <is>
          <t>[F]</t>
        </is>
      </c>
      <c r="AQ3" t="inlineStr">
        <is>
          <t>[S]</t>
        </is>
      </c>
      <c r="AR3" t="inlineStr">
        <is>
          <t>[S]</t>
        </is>
      </c>
      <c r="AS3" t="inlineStr">
        <is>
          <t>[F]</t>
        </is>
      </c>
      <c r="AT3" t="inlineStr">
        <is>
          <t>[S]</t>
        </is>
      </c>
      <c r="AU3" t="inlineStr">
        <is>
          <t>[F]</t>
        </is>
      </c>
      <c r="AV3" t="inlineStr">
        <is>
          <t>[F]</t>
        </is>
      </c>
      <c r="AW3" t="inlineStr">
        <is>
          <t>[S]</t>
        </is>
      </c>
      <c r="AX3" t="inlineStr">
        <is>
          <t>[D]</t>
        </is>
      </c>
      <c r="AY3" t="inlineStr">
        <is>
          <t>[F]</t>
        </is>
      </c>
      <c r="AZ3" t="inlineStr">
        <is>
          <t>[D]</t>
        </is>
      </c>
      <c r="BA3" t="inlineStr">
        <is>
          <t>[D]</t>
        </is>
      </c>
      <c r="BB3" t="inlineStr">
        <is>
          <t>[S]</t>
        </is>
      </c>
      <c r="BC3" t="inlineStr">
        <is>
          <t>[S]</t>
        </is>
      </c>
      <c r="BD3" t="inlineStr">
        <is>
          <t>[S]</t>
        </is>
      </c>
    </row>
    <row r="4">
      <c r="A4" s="4" t="inlineStr">
        <is>
          <t>Seat</t>
        </is>
      </c>
      <c r="B4" s="4" t="inlineStr">
        <is>
          <t>Q1</t>
        </is>
      </c>
      <c r="C4" s="4" t="inlineStr">
        <is>
          <t>Q2</t>
        </is>
      </c>
      <c r="D4" s="4" t="inlineStr">
        <is>
          <t>Q3</t>
        </is>
      </c>
      <c r="E4" s="4" t="inlineStr">
        <is>
          <t>Q4</t>
        </is>
      </c>
      <c r="F4" s="4" t="inlineStr">
        <is>
          <t>Q5</t>
        </is>
      </c>
      <c r="G4" s="4" t="inlineStr">
        <is>
          <t>Q6</t>
        </is>
      </c>
      <c r="H4" s="4" t="inlineStr">
        <is>
          <t>Q7</t>
        </is>
      </c>
      <c r="I4" s="4" t="inlineStr">
        <is>
          <t>Q8</t>
        </is>
      </c>
      <c r="J4" s="4" t="inlineStr">
        <is>
          <t>Q9</t>
        </is>
      </c>
      <c r="K4" s="4" t="inlineStr">
        <is>
          <t>Q10</t>
        </is>
      </c>
      <c r="L4" s="4" t="inlineStr">
        <is>
          <t>Q11</t>
        </is>
      </c>
      <c r="M4" s="4" t="inlineStr">
        <is>
          <t>Q12</t>
        </is>
      </c>
      <c r="N4" s="4" t="inlineStr">
        <is>
          <t>Q13</t>
        </is>
      </c>
      <c r="O4" s="4" t="inlineStr">
        <is>
          <t>Q14</t>
        </is>
      </c>
      <c r="P4" s="4" t="inlineStr">
        <is>
          <t>Q15</t>
        </is>
      </c>
      <c r="Q4" s="4" t="inlineStr">
        <is>
          <t>Q16</t>
        </is>
      </c>
      <c r="R4" s="4" t="inlineStr">
        <is>
          <t>Q17</t>
        </is>
      </c>
      <c r="S4" s="4" t="inlineStr">
        <is>
          <t>Q18</t>
        </is>
      </c>
      <c r="T4" s="4" t="inlineStr">
        <is>
          <t>Q19</t>
        </is>
      </c>
      <c r="U4" s="4" t="inlineStr">
        <is>
          <t>Q20</t>
        </is>
      </c>
      <c r="V4" s="4" t="inlineStr">
        <is>
          <t>Q21</t>
        </is>
      </c>
      <c r="W4" s="4" t="inlineStr">
        <is>
          <t>Q22</t>
        </is>
      </c>
      <c r="X4" s="4" t="inlineStr">
        <is>
          <t>Q23</t>
        </is>
      </c>
      <c r="Y4" s="4" t="inlineStr">
        <is>
          <t>Q24</t>
        </is>
      </c>
      <c r="Z4" s="4" t="inlineStr">
        <is>
          <t>Q25</t>
        </is>
      </c>
      <c r="AA4" s="4" t="inlineStr">
        <is>
          <t>Q26</t>
        </is>
      </c>
      <c r="AB4" s="4" t="inlineStr">
        <is>
          <t>Q27</t>
        </is>
      </c>
      <c r="AC4" s="4" t="inlineStr">
        <is>
          <t>Q28</t>
        </is>
      </c>
      <c r="AD4" s="4" t="inlineStr">
        <is>
          <t>Q29</t>
        </is>
      </c>
      <c r="AE4" s="4" t="inlineStr">
        <is>
          <t>Q30</t>
        </is>
      </c>
      <c r="AF4" s="4" t="inlineStr">
        <is>
          <t>Q31</t>
        </is>
      </c>
      <c r="AG4" s="4" t="inlineStr">
        <is>
          <t>Q32</t>
        </is>
      </c>
      <c r="AH4" s="4" t="inlineStr">
        <is>
          <t>Q33</t>
        </is>
      </c>
      <c r="AI4" s="4" t="inlineStr">
        <is>
          <t>Q34</t>
        </is>
      </c>
      <c r="AJ4" s="4" t="inlineStr">
        <is>
          <t>Q35</t>
        </is>
      </c>
      <c r="AK4" s="4" t="inlineStr">
        <is>
          <t>Q36</t>
        </is>
      </c>
      <c r="AL4" s="4" t="inlineStr">
        <is>
          <t>Q37</t>
        </is>
      </c>
      <c r="AM4" s="4" t="inlineStr">
        <is>
          <t>Q38</t>
        </is>
      </c>
      <c r="AN4" s="4" t="inlineStr">
        <is>
          <t>Q39</t>
        </is>
      </c>
      <c r="AO4" s="4" t="inlineStr">
        <is>
          <t>Q40</t>
        </is>
      </c>
      <c r="AP4" s="4" t="inlineStr">
        <is>
          <t>Q41</t>
        </is>
      </c>
      <c r="AQ4" s="4" t="inlineStr">
        <is>
          <t>Q42</t>
        </is>
      </c>
      <c r="AR4" s="4" t="inlineStr">
        <is>
          <t>Q43</t>
        </is>
      </c>
      <c r="AS4" s="4" t="inlineStr">
        <is>
          <t>Q44</t>
        </is>
      </c>
      <c r="AT4" s="4" t="inlineStr">
        <is>
          <t>Q45</t>
        </is>
      </c>
      <c r="AU4" s="4" t="inlineStr">
        <is>
          <t>Q46</t>
        </is>
      </c>
      <c r="AV4" s="4" t="inlineStr">
        <is>
          <t>Q47</t>
        </is>
      </c>
      <c r="AW4" s="4" t="inlineStr">
        <is>
          <t>Q48</t>
        </is>
      </c>
      <c r="AX4" s="4" t="inlineStr">
        <is>
          <t>Q49</t>
        </is>
      </c>
      <c r="AY4" s="4" t="inlineStr">
        <is>
          <t>Q50</t>
        </is>
      </c>
      <c r="AZ4" s="4" t="inlineStr">
        <is>
          <t>Q51</t>
        </is>
      </c>
      <c r="BA4" s="4" t="inlineStr">
        <is>
          <t>Q52</t>
        </is>
      </c>
      <c r="BB4" s="4" t="inlineStr">
        <is>
          <t>Q53</t>
        </is>
      </c>
      <c r="BC4" s="4" t="inlineStr">
        <is>
          <t>Q54</t>
        </is>
      </c>
      <c r="BD4" s="4" t="inlineStr">
        <is>
          <t>Q55</t>
        </is>
      </c>
      <c r="BE4" s="4" t="inlineStr">
        <is>
          <t>Total</t>
        </is>
      </c>
      <c r="BF4" s="4" t="inlineStr">
        <is>
          <t>Answered</t>
        </is>
      </c>
      <c r="BG4" s="4" t="inlineStr">
        <is>
          <t>Band</t>
        </is>
      </c>
    </row>
    <row r="5">
      <c r="A5" t="n">
        <v>1</v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  <c r="AA5" s="5" t="n"/>
      <c r="AB5" s="5" t="n"/>
      <c r="AC5" s="5" t="n"/>
      <c r="AD5" s="5" t="n"/>
      <c r="AE5" s="5" t="n"/>
      <c r="AF5" s="5" t="n"/>
      <c r="AG5" s="5" t="n"/>
      <c r="AH5" s="5" t="n"/>
      <c r="AI5" s="5" t="n"/>
      <c r="AJ5" s="5" t="n"/>
      <c r="AK5" s="5" t="n"/>
      <c r="AL5" s="5" t="n"/>
      <c r="AM5" s="5" t="n"/>
      <c r="AN5" s="5" t="n"/>
      <c r="AO5" s="5" t="n"/>
      <c r="AP5" s="5" t="n"/>
      <c r="AQ5" s="5" t="n"/>
      <c r="AR5" s="5" t="n"/>
      <c r="AS5" s="5" t="n"/>
      <c r="AT5" s="5" t="n"/>
      <c r="AU5" s="5" t="n"/>
      <c r="AV5" s="5" t="n"/>
      <c r="AW5" s="5" t="n"/>
      <c r="AX5" s="5" t="n"/>
      <c r="AY5" s="5" t="n"/>
      <c r="AZ5" s="5" t="n"/>
      <c r="BA5" s="5" t="n"/>
      <c r="BB5" s="5" t="n"/>
      <c r="BC5" s="5" t="n"/>
      <c r="BD5" s="5" t="n"/>
      <c r="BE5">
        <f>IF(COUNT(B5:BD5)=0,"",SUM(B5:BD5))</f>
        <v/>
      </c>
      <c r="BF5">
        <f>COUNT(B5:BD5)</f>
        <v/>
      </c>
      <c r="BG5">
        <f>IF(OR(BE5="",COUNT($BE$5:$BE$39)&lt;3),"",IF(RANK(BE5,$BE$5:$BE$39,0)&lt;=ROUND(COUNT($BE$5:$BE$39)/3,0),"top",IF(RANK(BE5,$BE$5:$BE$39,1)&lt;=ROUND(COUNT($BE$5:$BE$39)/3,0),"bottom","middle")))</f>
        <v/>
      </c>
    </row>
    <row r="6">
      <c r="A6" t="n">
        <v>2</v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  <c r="AA6" s="5" t="n"/>
      <c r="AB6" s="5" t="n"/>
      <c r="AC6" s="5" t="n"/>
      <c r="AD6" s="5" t="n"/>
      <c r="AE6" s="5" t="n"/>
      <c r="AF6" s="5" t="n"/>
      <c r="AG6" s="5" t="n"/>
      <c r="AH6" s="5" t="n"/>
      <c r="AI6" s="5" t="n"/>
      <c r="AJ6" s="5" t="n"/>
      <c r="AK6" s="5" t="n"/>
      <c r="AL6" s="5" t="n"/>
      <c r="AM6" s="5" t="n"/>
      <c r="AN6" s="5" t="n"/>
      <c r="AO6" s="5" t="n"/>
      <c r="AP6" s="5" t="n"/>
      <c r="AQ6" s="5" t="n"/>
      <c r="AR6" s="5" t="n"/>
      <c r="AS6" s="5" t="n"/>
      <c r="AT6" s="5" t="n"/>
      <c r="AU6" s="5" t="n"/>
      <c r="AV6" s="5" t="n"/>
      <c r="AW6" s="5" t="n"/>
      <c r="AX6" s="5" t="n"/>
      <c r="AY6" s="5" t="n"/>
      <c r="AZ6" s="5" t="n"/>
      <c r="BA6" s="5" t="n"/>
      <c r="BB6" s="5" t="n"/>
      <c r="BC6" s="5" t="n"/>
      <c r="BD6" s="5" t="n"/>
      <c r="BE6">
        <f>IF(COUNT(B6:BD6)=0,"",SUM(B6:BD6))</f>
        <v/>
      </c>
      <c r="BF6">
        <f>COUNT(B6:BD6)</f>
        <v/>
      </c>
      <c r="BG6">
        <f>IF(OR(BE6="",COUNT($BE$5:$BE$39)&lt;3),"",IF(RANK(BE6,$BE$5:$BE$39,0)&lt;=ROUND(COUNT($BE$5:$BE$39)/3,0),"top",IF(RANK(BE6,$BE$5:$BE$39,1)&lt;=ROUND(COUNT($BE$5:$BE$39)/3,0),"bottom","middle")))</f>
        <v/>
      </c>
    </row>
    <row r="7">
      <c r="A7" t="n">
        <v>3</v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  <c r="AA7" s="5" t="n"/>
      <c r="AB7" s="5" t="n"/>
      <c r="AC7" s="5" t="n"/>
      <c r="AD7" s="5" t="n"/>
      <c r="AE7" s="5" t="n"/>
      <c r="AF7" s="5" t="n"/>
      <c r="AG7" s="5" t="n"/>
      <c r="AH7" s="5" t="n"/>
      <c r="AI7" s="5" t="n"/>
      <c r="AJ7" s="5" t="n"/>
      <c r="AK7" s="5" t="n"/>
      <c r="AL7" s="5" t="n"/>
      <c r="AM7" s="5" t="n"/>
      <c r="AN7" s="5" t="n"/>
      <c r="AO7" s="5" t="n"/>
      <c r="AP7" s="5" t="n"/>
      <c r="AQ7" s="5" t="n"/>
      <c r="AR7" s="5" t="n"/>
      <c r="AS7" s="5" t="n"/>
      <c r="AT7" s="5" t="n"/>
      <c r="AU7" s="5" t="n"/>
      <c r="AV7" s="5" t="n"/>
      <c r="AW7" s="5" t="n"/>
      <c r="AX7" s="5" t="n"/>
      <c r="AY7" s="5" t="n"/>
      <c r="AZ7" s="5" t="n"/>
      <c r="BA7" s="5" t="n"/>
      <c r="BB7" s="5" t="n"/>
      <c r="BC7" s="5" t="n"/>
      <c r="BD7" s="5" t="n"/>
      <c r="BE7">
        <f>IF(COUNT(B7:BD7)=0,"",SUM(B7:BD7))</f>
        <v/>
      </c>
      <c r="BF7">
        <f>COUNT(B7:BD7)</f>
        <v/>
      </c>
      <c r="BG7">
        <f>IF(OR(BE7="",COUNT($BE$5:$BE$39)&lt;3),"",IF(RANK(BE7,$BE$5:$BE$39,0)&lt;=ROUND(COUNT($BE$5:$BE$39)/3,0),"top",IF(RANK(BE7,$BE$5:$BE$39,1)&lt;=ROUND(COUNT($BE$5:$BE$39)/3,0),"bottom","middle")))</f>
        <v/>
      </c>
    </row>
    <row r="8">
      <c r="A8" t="n">
        <v>4</v>
      </c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  <c r="Y8" s="5" t="n"/>
      <c r="Z8" s="5" t="n"/>
      <c r="AA8" s="5" t="n"/>
      <c r="AB8" s="5" t="n"/>
      <c r="AC8" s="5" t="n"/>
      <c r="AD8" s="5" t="n"/>
      <c r="AE8" s="5" t="n"/>
      <c r="AF8" s="5" t="n"/>
      <c r="AG8" s="5" t="n"/>
      <c r="AH8" s="5" t="n"/>
      <c r="AI8" s="5" t="n"/>
      <c r="AJ8" s="5" t="n"/>
      <c r="AK8" s="5" t="n"/>
      <c r="AL8" s="5" t="n"/>
      <c r="AM8" s="5" t="n"/>
      <c r="AN8" s="5" t="n"/>
      <c r="AO8" s="5" t="n"/>
      <c r="AP8" s="5" t="n"/>
      <c r="AQ8" s="5" t="n"/>
      <c r="AR8" s="5" t="n"/>
      <c r="AS8" s="5" t="n"/>
      <c r="AT8" s="5" t="n"/>
      <c r="AU8" s="5" t="n"/>
      <c r="AV8" s="5" t="n"/>
      <c r="AW8" s="5" t="n"/>
      <c r="AX8" s="5" t="n"/>
      <c r="AY8" s="5" t="n"/>
      <c r="AZ8" s="5" t="n"/>
      <c r="BA8" s="5" t="n"/>
      <c r="BB8" s="5" t="n"/>
      <c r="BC8" s="5" t="n"/>
      <c r="BD8" s="5" t="n"/>
      <c r="BE8">
        <f>IF(COUNT(B8:BD8)=0,"",SUM(B8:BD8))</f>
        <v/>
      </c>
      <c r="BF8">
        <f>COUNT(B8:BD8)</f>
        <v/>
      </c>
      <c r="BG8">
        <f>IF(OR(BE8="",COUNT($BE$5:$BE$39)&lt;3),"",IF(RANK(BE8,$BE$5:$BE$39,0)&lt;=ROUND(COUNT($BE$5:$BE$39)/3,0),"top",IF(RANK(BE8,$BE$5:$BE$39,1)&lt;=ROUND(COUNT($BE$5:$BE$39)/3,0),"bottom","middle")))</f>
        <v/>
      </c>
    </row>
    <row r="9">
      <c r="A9" t="n">
        <v>5</v>
      </c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  <c r="Y9" s="5" t="n"/>
      <c r="Z9" s="5" t="n"/>
      <c r="AA9" s="5" t="n"/>
      <c r="AB9" s="5" t="n"/>
      <c r="AC9" s="5" t="n"/>
      <c r="AD9" s="5" t="n"/>
      <c r="AE9" s="5" t="n"/>
      <c r="AF9" s="5" t="n"/>
      <c r="AG9" s="5" t="n"/>
      <c r="AH9" s="5" t="n"/>
      <c r="AI9" s="5" t="n"/>
      <c r="AJ9" s="5" t="n"/>
      <c r="AK9" s="5" t="n"/>
      <c r="AL9" s="5" t="n"/>
      <c r="AM9" s="5" t="n"/>
      <c r="AN9" s="5" t="n"/>
      <c r="AO9" s="5" t="n"/>
      <c r="AP9" s="5" t="n"/>
      <c r="AQ9" s="5" t="n"/>
      <c r="AR9" s="5" t="n"/>
      <c r="AS9" s="5" t="n"/>
      <c r="AT9" s="5" t="n"/>
      <c r="AU9" s="5" t="n"/>
      <c r="AV9" s="5" t="n"/>
      <c r="AW9" s="5" t="n"/>
      <c r="AX9" s="5" t="n"/>
      <c r="AY9" s="5" t="n"/>
      <c r="AZ9" s="5" t="n"/>
      <c r="BA9" s="5" t="n"/>
      <c r="BB9" s="5" t="n"/>
      <c r="BC9" s="5" t="n"/>
      <c r="BD9" s="5" t="n"/>
      <c r="BE9">
        <f>IF(COUNT(B9:BD9)=0,"",SUM(B9:BD9))</f>
        <v/>
      </c>
      <c r="BF9">
        <f>COUNT(B9:BD9)</f>
        <v/>
      </c>
      <c r="BG9">
        <f>IF(OR(BE9="",COUNT($BE$5:$BE$39)&lt;3),"",IF(RANK(BE9,$BE$5:$BE$39,0)&lt;=ROUND(COUNT($BE$5:$BE$39)/3,0),"top",IF(RANK(BE9,$BE$5:$BE$39,1)&lt;=ROUND(COUNT($BE$5:$BE$39)/3,0),"bottom","middle")))</f>
        <v/>
      </c>
    </row>
    <row r="10">
      <c r="A10" t="n">
        <v>6</v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  <c r="AA10" s="5" t="n"/>
      <c r="AB10" s="5" t="n"/>
      <c r="AC10" s="5" t="n"/>
      <c r="AD10" s="5" t="n"/>
      <c r="AE10" s="5" t="n"/>
      <c r="AF10" s="5" t="n"/>
      <c r="AG10" s="5" t="n"/>
      <c r="AH10" s="5" t="n"/>
      <c r="AI10" s="5" t="n"/>
      <c r="AJ10" s="5" t="n"/>
      <c r="AK10" s="5" t="n"/>
      <c r="AL10" s="5" t="n"/>
      <c r="AM10" s="5" t="n"/>
      <c r="AN10" s="5" t="n"/>
      <c r="AO10" s="5" t="n"/>
      <c r="AP10" s="5" t="n"/>
      <c r="AQ10" s="5" t="n"/>
      <c r="AR10" s="5" t="n"/>
      <c r="AS10" s="5" t="n"/>
      <c r="AT10" s="5" t="n"/>
      <c r="AU10" s="5" t="n"/>
      <c r="AV10" s="5" t="n"/>
      <c r="AW10" s="5" t="n"/>
      <c r="AX10" s="5" t="n"/>
      <c r="AY10" s="5" t="n"/>
      <c r="AZ10" s="5" t="n"/>
      <c r="BA10" s="5" t="n"/>
      <c r="BB10" s="5" t="n"/>
      <c r="BC10" s="5" t="n"/>
      <c r="BD10" s="5" t="n"/>
      <c r="BE10">
        <f>IF(COUNT(B10:BD10)=0,"",SUM(B10:BD10))</f>
        <v/>
      </c>
      <c r="BF10">
        <f>COUNT(B10:BD10)</f>
        <v/>
      </c>
      <c r="BG10">
        <f>IF(OR(BE10="",COUNT($BE$5:$BE$39)&lt;3),"",IF(RANK(BE10,$BE$5:$BE$39,0)&lt;=ROUND(COUNT($BE$5:$BE$39)/3,0),"top",IF(RANK(BE10,$BE$5:$BE$39,1)&lt;=ROUND(COUNT($BE$5:$BE$39)/3,0),"bottom","middle")))</f>
        <v/>
      </c>
    </row>
    <row r="11">
      <c r="A11" t="n">
        <v>7</v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  <c r="Y11" s="5" t="n"/>
      <c r="Z11" s="5" t="n"/>
      <c r="AA11" s="5" t="n"/>
      <c r="AB11" s="5" t="n"/>
      <c r="AC11" s="5" t="n"/>
      <c r="AD11" s="5" t="n"/>
      <c r="AE11" s="5" t="n"/>
      <c r="AF11" s="5" t="n"/>
      <c r="AG11" s="5" t="n"/>
      <c r="AH11" s="5" t="n"/>
      <c r="AI11" s="5" t="n"/>
      <c r="AJ11" s="5" t="n"/>
      <c r="AK11" s="5" t="n"/>
      <c r="AL11" s="5" t="n"/>
      <c r="AM11" s="5" t="n"/>
      <c r="AN11" s="5" t="n"/>
      <c r="AO11" s="5" t="n"/>
      <c r="AP11" s="5" t="n"/>
      <c r="AQ11" s="5" t="n"/>
      <c r="AR11" s="5" t="n"/>
      <c r="AS11" s="5" t="n"/>
      <c r="AT11" s="5" t="n"/>
      <c r="AU11" s="5" t="n"/>
      <c r="AV11" s="5" t="n"/>
      <c r="AW11" s="5" t="n"/>
      <c r="AX11" s="5" t="n"/>
      <c r="AY11" s="5" t="n"/>
      <c r="AZ11" s="5" t="n"/>
      <c r="BA11" s="5" t="n"/>
      <c r="BB11" s="5" t="n"/>
      <c r="BC11" s="5" t="n"/>
      <c r="BD11" s="5" t="n"/>
      <c r="BE11">
        <f>IF(COUNT(B11:BD11)=0,"",SUM(B11:BD11))</f>
        <v/>
      </c>
      <c r="BF11">
        <f>COUNT(B11:BD11)</f>
        <v/>
      </c>
      <c r="BG11">
        <f>IF(OR(BE11="",COUNT($BE$5:$BE$39)&lt;3),"",IF(RANK(BE11,$BE$5:$BE$39,0)&lt;=ROUND(COUNT($BE$5:$BE$39)/3,0),"top",IF(RANK(BE11,$BE$5:$BE$39,1)&lt;=ROUND(COUNT($BE$5:$BE$39)/3,0),"bottom","middle")))</f>
        <v/>
      </c>
    </row>
    <row r="12">
      <c r="A12" t="n">
        <v>8</v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  <c r="AA12" s="5" t="n"/>
      <c r="AB12" s="5" t="n"/>
      <c r="AC12" s="5" t="n"/>
      <c r="AD12" s="5" t="n"/>
      <c r="AE12" s="5" t="n"/>
      <c r="AF12" s="5" t="n"/>
      <c r="AG12" s="5" t="n"/>
      <c r="AH12" s="5" t="n"/>
      <c r="AI12" s="5" t="n"/>
      <c r="AJ12" s="5" t="n"/>
      <c r="AK12" s="5" t="n"/>
      <c r="AL12" s="5" t="n"/>
      <c r="AM12" s="5" t="n"/>
      <c r="AN12" s="5" t="n"/>
      <c r="AO12" s="5" t="n"/>
      <c r="AP12" s="5" t="n"/>
      <c r="AQ12" s="5" t="n"/>
      <c r="AR12" s="5" t="n"/>
      <c r="AS12" s="5" t="n"/>
      <c r="AT12" s="5" t="n"/>
      <c r="AU12" s="5" t="n"/>
      <c r="AV12" s="5" t="n"/>
      <c r="AW12" s="5" t="n"/>
      <c r="AX12" s="5" t="n"/>
      <c r="AY12" s="5" t="n"/>
      <c r="AZ12" s="5" t="n"/>
      <c r="BA12" s="5" t="n"/>
      <c r="BB12" s="5" t="n"/>
      <c r="BC12" s="5" t="n"/>
      <c r="BD12" s="5" t="n"/>
      <c r="BE12">
        <f>IF(COUNT(B12:BD12)=0,"",SUM(B12:BD12))</f>
        <v/>
      </c>
      <c r="BF12">
        <f>COUNT(B12:BD12)</f>
        <v/>
      </c>
      <c r="BG12">
        <f>IF(OR(BE12="",COUNT($BE$5:$BE$39)&lt;3),"",IF(RANK(BE12,$BE$5:$BE$39,0)&lt;=ROUND(COUNT($BE$5:$BE$39)/3,0),"top",IF(RANK(BE12,$BE$5:$BE$39,1)&lt;=ROUND(COUNT($BE$5:$BE$39)/3,0),"bottom","middle")))</f>
        <v/>
      </c>
    </row>
    <row r="13">
      <c r="A13" t="n">
        <v>9</v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  <c r="Z13" s="5" t="n"/>
      <c r="AA13" s="5" t="n"/>
      <c r="AB13" s="5" t="n"/>
      <c r="AC13" s="5" t="n"/>
      <c r="AD13" s="5" t="n"/>
      <c r="AE13" s="5" t="n"/>
      <c r="AF13" s="5" t="n"/>
      <c r="AG13" s="5" t="n"/>
      <c r="AH13" s="5" t="n"/>
      <c r="AI13" s="5" t="n"/>
      <c r="AJ13" s="5" t="n"/>
      <c r="AK13" s="5" t="n"/>
      <c r="AL13" s="5" t="n"/>
      <c r="AM13" s="5" t="n"/>
      <c r="AN13" s="5" t="n"/>
      <c r="AO13" s="5" t="n"/>
      <c r="AP13" s="5" t="n"/>
      <c r="AQ13" s="5" t="n"/>
      <c r="AR13" s="5" t="n"/>
      <c r="AS13" s="5" t="n"/>
      <c r="AT13" s="5" t="n"/>
      <c r="AU13" s="5" t="n"/>
      <c r="AV13" s="5" t="n"/>
      <c r="AW13" s="5" t="n"/>
      <c r="AX13" s="5" t="n"/>
      <c r="AY13" s="5" t="n"/>
      <c r="AZ13" s="5" t="n"/>
      <c r="BA13" s="5" t="n"/>
      <c r="BB13" s="5" t="n"/>
      <c r="BC13" s="5" t="n"/>
      <c r="BD13" s="5" t="n"/>
      <c r="BE13">
        <f>IF(COUNT(B13:BD13)=0,"",SUM(B13:BD13))</f>
        <v/>
      </c>
      <c r="BF13">
        <f>COUNT(B13:BD13)</f>
        <v/>
      </c>
      <c r="BG13">
        <f>IF(OR(BE13="",COUNT($BE$5:$BE$39)&lt;3),"",IF(RANK(BE13,$BE$5:$BE$39,0)&lt;=ROUND(COUNT($BE$5:$BE$39)/3,0),"top",IF(RANK(BE13,$BE$5:$BE$39,1)&lt;=ROUND(COUNT($BE$5:$BE$39)/3,0),"bottom","middle")))</f>
        <v/>
      </c>
    </row>
    <row r="14">
      <c r="A14" t="n">
        <v>10</v>
      </c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  <c r="AA14" s="5" t="n"/>
      <c r="AB14" s="5" t="n"/>
      <c r="AC14" s="5" t="n"/>
      <c r="AD14" s="5" t="n"/>
      <c r="AE14" s="5" t="n"/>
      <c r="AF14" s="5" t="n"/>
      <c r="AG14" s="5" t="n"/>
      <c r="AH14" s="5" t="n"/>
      <c r="AI14" s="5" t="n"/>
      <c r="AJ14" s="5" t="n"/>
      <c r="AK14" s="5" t="n"/>
      <c r="AL14" s="5" t="n"/>
      <c r="AM14" s="5" t="n"/>
      <c r="AN14" s="5" t="n"/>
      <c r="AO14" s="5" t="n"/>
      <c r="AP14" s="5" t="n"/>
      <c r="AQ14" s="5" t="n"/>
      <c r="AR14" s="5" t="n"/>
      <c r="AS14" s="5" t="n"/>
      <c r="AT14" s="5" t="n"/>
      <c r="AU14" s="5" t="n"/>
      <c r="AV14" s="5" t="n"/>
      <c r="AW14" s="5" t="n"/>
      <c r="AX14" s="5" t="n"/>
      <c r="AY14" s="5" t="n"/>
      <c r="AZ14" s="5" t="n"/>
      <c r="BA14" s="5" t="n"/>
      <c r="BB14" s="5" t="n"/>
      <c r="BC14" s="5" t="n"/>
      <c r="BD14" s="5" t="n"/>
      <c r="BE14">
        <f>IF(COUNT(B14:BD14)=0,"",SUM(B14:BD14))</f>
        <v/>
      </c>
      <c r="BF14">
        <f>COUNT(B14:BD14)</f>
        <v/>
      </c>
      <c r="BG14">
        <f>IF(OR(BE14="",COUNT($BE$5:$BE$39)&lt;3),"",IF(RANK(BE14,$BE$5:$BE$39,0)&lt;=ROUND(COUNT($BE$5:$BE$39)/3,0),"top",IF(RANK(BE14,$BE$5:$BE$39,1)&lt;=ROUND(COUNT($BE$5:$BE$39)/3,0),"bottom","middle")))</f>
        <v/>
      </c>
    </row>
    <row r="15">
      <c r="A15" t="n">
        <v>11</v>
      </c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  <c r="AA15" s="5" t="n"/>
      <c r="AB15" s="5" t="n"/>
      <c r="AC15" s="5" t="n"/>
      <c r="AD15" s="5" t="n"/>
      <c r="AE15" s="5" t="n"/>
      <c r="AF15" s="5" t="n"/>
      <c r="AG15" s="5" t="n"/>
      <c r="AH15" s="5" t="n"/>
      <c r="AI15" s="5" t="n"/>
      <c r="AJ15" s="5" t="n"/>
      <c r="AK15" s="5" t="n"/>
      <c r="AL15" s="5" t="n"/>
      <c r="AM15" s="5" t="n"/>
      <c r="AN15" s="5" t="n"/>
      <c r="AO15" s="5" t="n"/>
      <c r="AP15" s="5" t="n"/>
      <c r="AQ15" s="5" t="n"/>
      <c r="AR15" s="5" t="n"/>
      <c r="AS15" s="5" t="n"/>
      <c r="AT15" s="5" t="n"/>
      <c r="AU15" s="5" t="n"/>
      <c r="AV15" s="5" t="n"/>
      <c r="AW15" s="5" t="n"/>
      <c r="AX15" s="5" t="n"/>
      <c r="AY15" s="5" t="n"/>
      <c r="AZ15" s="5" t="n"/>
      <c r="BA15" s="5" t="n"/>
      <c r="BB15" s="5" t="n"/>
      <c r="BC15" s="5" t="n"/>
      <c r="BD15" s="5" t="n"/>
      <c r="BE15">
        <f>IF(COUNT(B15:BD15)=0,"",SUM(B15:BD15))</f>
        <v/>
      </c>
      <c r="BF15">
        <f>COUNT(B15:BD15)</f>
        <v/>
      </c>
      <c r="BG15">
        <f>IF(OR(BE15="",COUNT($BE$5:$BE$39)&lt;3),"",IF(RANK(BE15,$BE$5:$BE$39,0)&lt;=ROUND(COUNT($BE$5:$BE$39)/3,0),"top",IF(RANK(BE15,$BE$5:$BE$39,1)&lt;=ROUND(COUNT($BE$5:$BE$39)/3,0),"bottom","middle")))</f>
        <v/>
      </c>
    </row>
    <row r="16">
      <c r="A16" t="n">
        <v>12</v>
      </c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  <c r="AA16" s="5" t="n"/>
      <c r="AB16" s="5" t="n"/>
      <c r="AC16" s="5" t="n"/>
      <c r="AD16" s="5" t="n"/>
      <c r="AE16" s="5" t="n"/>
      <c r="AF16" s="5" t="n"/>
      <c r="AG16" s="5" t="n"/>
      <c r="AH16" s="5" t="n"/>
      <c r="AI16" s="5" t="n"/>
      <c r="AJ16" s="5" t="n"/>
      <c r="AK16" s="5" t="n"/>
      <c r="AL16" s="5" t="n"/>
      <c r="AM16" s="5" t="n"/>
      <c r="AN16" s="5" t="n"/>
      <c r="AO16" s="5" t="n"/>
      <c r="AP16" s="5" t="n"/>
      <c r="AQ16" s="5" t="n"/>
      <c r="AR16" s="5" t="n"/>
      <c r="AS16" s="5" t="n"/>
      <c r="AT16" s="5" t="n"/>
      <c r="AU16" s="5" t="n"/>
      <c r="AV16" s="5" t="n"/>
      <c r="AW16" s="5" t="n"/>
      <c r="AX16" s="5" t="n"/>
      <c r="AY16" s="5" t="n"/>
      <c r="AZ16" s="5" t="n"/>
      <c r="BA16" s="5" t="n"/>
      <c r="BB16" s="5" t="n"/>
      <c r="BC16" s="5" t="n"/>
      <c r="BD16" s="5" t="n"/>
      <c r="BE16">
        <f>IF(COUNT(B16:BD16)=0,"",SUM(B16:BD16))</f>
        <v/>
      </c>
      <c r="BF16">
        <f>COUNT(B16:BD16)</f>
        <v/>
      </c>
      <c r="BG16">
        <f>IF(OR(BE16="",COUNT($BE$5:$BE$39)&lt;3),"",IF(RANK(BE16,$BE$5:$BE$39,0)&lt;=ROUND(COUNT($BE$5:$BE$39)/3,0),"top",IF(RANK(BE16,$BE$5:$BE$39,1)&lt;=ROUND(COUNT($BE$5:$BE$39)/3,0),"bottom","middle")))</f>
        <v/>
      </c>
    </row>
    <row r="17">
      <c r="A17" t="n">
        <v>13</v>
      </c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  <c r="AA17" s="5" t="n"/>
      <c r="AB17" s="5" t="n"/>
      <c r="AC17" s="5" t="n"/>
      <c r="AD17" s="5" t="n"/>
      <c r="AE17" s="5" t="n"/>
      <c r="AF17" s="5" t="n"/>
      <c r="AG17" s="5" t="n"/>
      <c r="AH17" s="5" t="n"/>
      <c r="AI17" s="5" t="n"/>
      <c r="AJ17" s="5" t="n"/>
      <c r="AK17" s="5" t="n"/>
      <c r="AL17" s="5" t="n"/>
      <c r="AM17" s="5" t="n"/>
      <c r="AN17" s="5" t="n"/>
      <c r="AO17" s="5" t="n"/>
      <c r="AP17" s="5" t="n"/>
      <c r="AQ17" s="5" t="n"/>
      <c r="AR17" s="5" t="n"/>
      <c r="AS17" s="5" t="n"/>
      <c r="AT17" s="5" t="n"/>
      <c r="AU17" s="5" t="n"/>
      <c r="AV17" s="5" t="n"/>
      <c r="AW17" s="5" t="n"/>
      <c r="AX17" s="5" t="n"/>
      <c r="AY17" s="5" t="n"/>
      <c r="AZ17" s="5" t="n"/>
      <c r="BA17" s="5" t="n"/>
      <c r="BB17" s="5" t="n"/>
      <c r="BC17" s="5" t="n"/>
      <c r="BD17" s="5" t="n"/>
      <c r="BE17">
        <f>IF(COUNT(B17:BD17)=0,"",SUM(B17:BD17))</f>
        <v/>
      </c>
      <c r="BF17">
        <f>COUNT(B17:BD17)</f>
        <v/>
      </c>
      <c r="BG17">
        <f>IF(OR(BE17="",COUNT($BE$5:$BE$39)&lt;3),"",IF(RANK(BE17,$BE$5:$BE$39,0)&lt;=ROUND(COUNT($BE$5:$BE$39)/3,0),"top",IF(RANK(BE17,$BE$5:$BE$39,1)&lt;=ROUND(COUNT($BE$5:$BE$39)/3,0),"bottom","middle")))</f>
        <v/>
      </c>
    </row>
    <row r="18">
      <c r="A18" t="n">
        <v>14</v>
      </c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  <c r="AA18" s="5" t="n"/>
      <c r="AB18" s="5" t="n"/>
      <c r="AC18" s="5" t="n"/>
      <c r="AD18" s="5" t="n"/>
      <c r="AE18" s="5" t="n"/>
      <c r="AF18" s="5" t="n"/>
      <c r="AG18" s="5" t="n"/>
      <c r="AH18" s="5" t="n"/>
      <c r="AI18" s="5" t="n"/>
      <c r="AJ18" s="5" t="n"/>
      <c r="AK18" s="5" t="n"/>
      <c r="AL18" s="5" t="n"/>
      <c r="AM18" s="5" t="n"/>
      <c r="AN18" s="5" t="n"/>
      <c r="AO18" s="5" t="n"/>
      <c r="AP18" s="5" t="n"/>
      <c r="AQ18" s="5" t="n"/>
      <c r="AR18" s="5" t="n"/>
      <c r="AS18" s="5" t="n"/>
      <c r="AT18" s="5" t="n"/>
      <c r="AU18" s="5" t="n"/>
      <c r="AV18" s="5" t="n"/>
      <c r="AW18" s="5" t="n"/>
      <c r="AX18" s="5" t="n"/>
      <c r="AY18" s="5" t="n"/>
      <c r="AZ18" s="5" t="n"/>
      <c r="BA18" s="5" t="n"/>
      <c r="BB18" s="5" t="n"/>
      <c r="BC18" s="5" t="n"/>
      <c r="BD18" s="5" t="n"/>
      <c r="BE18">
        <f>IF(COUNT(B18:BD18)=0,"",SUM(B18:BD18))</f>
        <v/>
      </c>
      <c r="BF18">
        <f>COUNT(B18:BD18)</f>
        <v/>
      </c>
      <c r="BG18">
        <f>IF(OR(BE18="",COUNT($BE$5:$BE$39)&lt;3),"",IF(RANK(BE18,$BE$5:$BE$39,0)&lt;=ROUND(COUNT($BE$5:$BE$39)/3,0),"top",IF(RANK(BE18,$BE$5:$BE$39,1)&lt;=ROUND(COUNT($BE$5:$BE$39)/3,0),"bottom","middle")))</f>
        <v/>
      </c>
    </row>
    <row r="19">
      <c r="A19" t="n">
        <v>15</v>
      </c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  <c r="AA19" s="5" t="n"/>
      <c r="AB19" s="5" t="n"/>
      <c r="AC19" s="5" t="n"/>
      <c r="AD19" s="5" t="n"/>
      <c r="AE19" s="5" t="n"/>
      <c r="AF19" s="5" t="n"/>
      <c r="AG19" s="5" t="n"/>
      <c r="AH19" s="5" t="n"/>
      <c r="AI19" s="5" t="n"/>
      <c r="AJ19" s="5" t="n"/>
      <c r="AK19" s="5" t="n"/>
      <c r="AL19" s="5" t="n"/>
      <c r="AM19" s="5" t="n"/>
      <c r="AN19" s="5" t="n"/>
      <c r="AO19" s="5" t="n"/>
      <c r="AP19" s="5" t="n"/>
      <c r="AQ19" s="5" t="n"/>
      <c r="AR19" s="5" t="n"/>
      <c r="AS19" s="5" t="n"/>
      <c r="AT19" s="5" t="n"/>
      <c r="AU19" s="5" t="n"/>
      <c r="AV19" s="5" t="n"/>
      <c r="AW19" s="5" t="n"/>
      <c r="AX19" s="5" t="n"/>
      <c r="AY19" s="5" t="n"/>
      <c r="AZ19" s="5" t="n"/>
      <c r="BA19" s="5" t="n"/>
      <c r="BB19" s="5" t="n"/>
      <c r="BC19" s="5" t="n"/>
      <c r="BD19" s="5" t="n"/>
      <c r="BE19">
        <f>IF(COUNT(B19:BD19)=0,"",SUM(B19:BD19))</f>
        <v/>
      </c>
      <c r="BF19">
        <f>COUNT(B19:BD19)</f>
        <v/>
      </c>
      <c r="BG19">
        <f>IF(OR(BE19="",COUNT($BE$5:$BE$39)&lt;3),"",IF(RANK(BE19,$BE$5:$BE$39,0)&lt;=ROUND(COUNT($BE$5:$BE$39)/3,0),"top",IF(RANK(BE19,$BE$5:$BE$39,1)&lt;=ROUND(COUNT($BE$5:$BE$39)/3,0),"bottom","middle")))</f>
        <v/>
      </c>
    </row>
    <row r="20">
      <c r="A20" t="n">
        <v>16</v>
      </c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  <c r="AA20" s="5" t="n"/>
      <c r="AB20" s="5" t="n"/>
      <c r="AC20" s="5" t="n"/>
      <c r="AD20" s="5" t="n"/>
      <c r="AE20" s="5" t="n"/>
      <c r="AF20" s="5" t="n"/>
      <c r="AG20" s="5" t="n"/>
      <c r="AH20" s="5" t="n"/>
      <c r="AI20" s="5" t="n"/>
      <c r="AJ20" s="5" t="n"/>
      <c r="AK20" s="5" t="n"/>
      <c r="AL20" s="5" t="n"/>
      <c r="AM20" s="5" t="n"/>
      <c r="AN20" s="5" t="n"/>
      <c r="AO20" s="5" t="n"/>
      <c r="AP20" s="5" t="n"/>
      <c r="AQ20" s="5" t="n"/>
      <c r="AR20" s="5" t="n"/>
      <c r="AS20" s="5" t="n"/>
      <c r="AT20" s="5" t="n"/>
      <c r="AU20" s="5" t="n"/>
      <c r="AV20" s="5" t="n"/>
      <c r="AW20" s="5" t="n"/>
      <c r="AX20" s="5" t="n"/>
      <c r="AY20" s="5" t="n"/>
      <c r="AZ20" s="5" t="n"/>
      <c r="BA20" s="5" t="n"/>
      <c r="BB20" s="5" t="n"/>
      <c r="BC20" s="5" t="n"/>
      <c r="BD20" s="5" t="n"/>
      <c r="BE20">
        <f>IF(COUNT(B20:BD20)=0,"",SUM(B20:BD20))</f>
        <v/>
      </c>
      <c r="BF20">
        <f>COUNT(B20:BD20)</f>
        <v/>
      </c>
      <c r="BG20">
        <f>IF(OR(BE20="",COUNT($BE$5:$BE$39)&lt;3),"",IF(RANK(BE20,$BE$5:$BE$39,0)&lt;=ROUND(COUNT($BE$5:$BE$39)/3,0),"top",IF(RANK(BE20,$BE$5:$BE$39,1)&lt;=ROUND(COUNT($BE$5:$BE$39)/3,0),"bottom","middle")))</f>
        <v/>
      </c>
    </row>
    <row r="21">
      <c r="A21" t="n">
        <v>17</v>
      </c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  <c r="AA21" s="5" t="n"/>
      <c r="AB21" s="5" t="n"/>
      <c r="AC21" s="5" t="n"/>
      <c r="AD21" s="5" t="n"/>
      <c r="AE21" s="5" t="n"/>
      <c r="AF21" s="5" t="n"/>
      <c r="AG21" s="5" t="n"/>
      <c r="AH21" s="5" t="n"/>
      <c r="AI21" s="5" t="n"/>
      <c r="AJ21" s="5" t="n"/>
      <c r="AK21" s="5" t="n"/>
      <c r="AL21" s="5" t="n"/>
      <c r="AM21" s="5" t="n"/>
      <c r="AN21" s="5" t="n"/>
      <c r="AO21" s="5" t="n"/>
      <c r="AP21" s="5" t="n"/>
      <c r="AQ21" s="5" t="n"/>
      <c r="AR21" s="5" t="n"/>
      <c r="AS21" s="5" t="n"/>
      <c r="AT21" s="5" t="n"/>
      <c r="AU21" s="5" t="n"/>
      <c r="AV21" s="5" t="n"/>
      <c r="AW21" s="5" t="n"/>
      <c r="AX21" s="5" t="n"/>
      <c r="AY21" s="5" t="n"/>
      <c r="AZ21" s="5" t="n"/>
      <c r="BA21" s="5" t="n"/>
      <c r="BB21" s="5" t="n"/>
      <c r="BC21" s="5" t="n"/>
      <c r="BD21" s="5" t="n"/>
      <c r="BE21">
        <f>IF(COUNT(B21:BD21)=0,"",SUM(B21:BD21))</f>
        <v/>
      </c>
      <c r="BF21">
        <f>COUNT(B21:BD21)</f>
        <v/>
      </c>
      <c r="BG21">
        <f>IF(OR(BE21="",COUNT($BE$5:$BE$39)&lt;3),"",IF(RANK(BE21,$BE$5:$BE$39,0)&lt;=ROUND(COUNT($BE$5:$BE$39)/3,0),"top",IF(RANK(BE21,$BE$5:$BE$39,1)&lt;=ROUND(COUNT($BE$5:$BE$39)/3,0),"bottom","middle")))</f>
        <v/>
      </c>
    </row>
    <row r="22">
      <c r="A22" t="n">
        <v>18</v>
      </c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  <c r="AA22" s="5" t="n"/>
      <c r="AB22" s="5" t="n"/>
      <c r="AC22" s="5" t="n"/>
      <c r="AD22" s="5" t="n"/>
      <c r="AE22" s="5" t="n"/>
      <c r="AF22" s="5" t="n"/>
      <c r="AG22" s="5" t="n"/>
      <c r="AH22" s="5" t="n"/>
      <c r="AI22" s="5" t="n"/>
      <c r="AJ22" s="5" t="n"/>
      <c r="AK22" s="5" t="n"/>
      <c r="AL22" s="5" t="n"/>
      <c r="AM22" s="5" t="n"/>
      <c r="AN22" s="5" t="n"/>
      <c r="AO22" s="5" t="n"/>
      <c r="AP22" s="5" t="n"/>
      <c r="AQ22" s="5" t="n"/>
      <c r="AR22" s="5" t="n"/>
      <c r="AS22" s="5" t="n"/>
      <c r="AT22" s="5" t="n"/>
      <c r="AU22" s="5" t="n"/>
      <c r="AV22" s="5" t="n"/>
      <c r="AW22" s="5" t="n"/>
      <c r="AX22" s="5" t="n"/>
      <c r="AY22" s="5" t="n"/>
      <c r="AZ22" s="5" t="n"/>
      <c r="BA22" s="5" t="n"/>
      <c r="BB22" s="5" t="n"/>
      <c r="BC22" s="5" t="n"/>
      <c r="BD22" s="5" t="n"/>
      <c r="BE22">
        <f>IF(COUNT(B22:BD22)=0,"",SUM(B22:BD22))</f>
        <v/>
      </c>
      <c r="BF22">
        <f>COUNT(B22:BD22)</f>
        <v/>
      </c>
      <c r="BG22">
        <f>IF(OR(BE22="",COUNT($BE$5:$BE$39)&lt;3),"",IF(RANK(BE22,$BE$5:$BE$39,0)&lt;=ROUND(COUNT($BE$5:$BE$39)/3,0),"top",IF(RANK(BE22,$BE$5:$BE$39,1)&lt;=ROUND(COUNT($BE$5:$BE$39)/3,0),"bottom","middle")))</f>
        <v/>
      </c>
    </row>
    <row r="23">
      <c r="A23" t="n">
        <v>19</v>
      </c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  <c r="AA23" s="5" t="n"/>
      <c r="AB23" s="5" t="n"/>
      <c r="AC23" s="5" t="n"/>
      <c r="AD23" s="5" t="n"/>
      <c r="AE23" s="5" t="n"/>
      <c r="AF23" s="5" t="n"/>
      <c r="AG23" s="5" t="n"/>
      <c r="AH23" s="5" t="n"/>
      <c r="AI23" s="5" t="n"/>
      <c r="AJ23" s="5" t="n"/>
      <c r="AK23" s="5" t="n"/>
      <c r="AL23" s="5" t="n"/>
      <c r="AM23" s="5" t="n"/>
      <c r="AN23" s="5" t="n"/>
      <c r="AO23" s="5" t="n"/>
      <c r="AP23" s="5" t="n"/>
      <c r="AQ23" s="5" t="n"/>
      <c r="AR23" s="5" t="n"/>
      <c r="AS23" s="5" t="n"/>
      <c r="AT23" s="5" t="n"/>
      <c r="AU23" s="5" t="n"/>
      <c r="AV23" s="5" t="n"/>
      <c r="AW23" s="5" t="n"/>
      <c r="AX23" s="5" t="n"/>
      <c r="AY23" s="5" t="n"/>
      <c r="AZ23" s="5" t="n"/>
      <c r="BA23" s="5" t="n"/>
      <c r="BB23" s="5" t="n"/>
      <c r="BC23" s="5" t="n"/>
      <c r="BD23" s="5" t="n"/>
      <c r="BE23">
        <f>IF(COUNT(B23:BD23)=0,"",SUM(B23:BD23))</f>
        <v/>
      </c>
      <c r="BF23">
        <f>COUNT(B23:BD23)</f>
        <v/>
      </c>
      <c r="BG23">
        <f>IF(OR(BE23="",COUNT($BE$5:$BE$39)&lt;3),"",IF(RANK(BE23,$BE$5:$BE$39,0)&lt;=ROUND(COUNT($BE$5:$BE$39)/3,0),"top",IF(RANK(BE23,$BE$5:$BE$39,1)&lt;=ROUND(COUNT($BE$5:$BE$39)/3,0),"bottom","middle")))</f>
        <v/>
      </c>
    </row>
    <row r="24">
      <c r="A24" t="n">
        <v>20</v>
      </c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  <c r="Z24" s="5" t="n"/>
      <c r="AA24" s="5" t="n"/>
      <c r="AB24" s="5" t="n"/>
      <c r="AC24" s="5" t="n"/>
      <c r="AD24" s="5" t="n"/>
      <c r="AE24" s="5" t="n"/>
      <c r="AF24" s="5" t="n"/>
      <c r="AG24" s="5" t="n"/>
      <c r="AH24" s="5" t="n"/>
      <c r="AI24" s="5" t="n"/>
      <c r="AJ24" s="5" t="n"/>
      <c r="AK24" s="5" t="n"/>
      <c r="AL24" s="5" t="n"/>
      <c r="AM24" s="5" t="n"/>
      <c r="AN24" s="5" t="n"/>
      <c r="AO24" s="5" t="n"/>
      <c r="AP24" s="5" t="n"/>
      <c r="AQ24" s="5" t="n"/>
      <c r="AR24" s="5" t="n"/>
      <c r="AS24" s="5" t="n"/>
      <c r="AT24" s="5" t="n"/>
      <c r="AU24" s="5" t="n"/>
      <c r="AV24" s="5" t="n"/>
      <c r="AW24" s="5" t="n"/>
      <c r="AX24" s="5" t="n"/>
      <c r="AY24" s="5" t="n"/>
      <c r="AZ24" s="5" t="n"/>
      <c r="BA24" s="5" t="n"/>
      <c r="BB24" s="5" t="n"/>
      <c r="BC24" s="5" t="n"/>
      <c r="BD24" s="5" t="n"/>
      <c r="BE24">
        <f>IF(COUNT(B24:BD24)=0,"",SUM(B24:BD24))</f>
        <v/>
      </c>
      <c r="BF24">
        <f>COUNT(B24:BD24)</f>
        <v/>
      </c>
      <c r="BG24">
        <f>IF(OR(BE24="",COUNT($BE$5:$BE$39)&lt;3),"",IF(RANK(BE24,$BE$5:$BE$39,0)&lt;=ROUND(COUNT($BE$5:$BE$39)/3,0),"top",IF(RANK(BE24,$BE$5:$BE$39,1)&lt;=ROUND(COUNT($BE$5:$BE$39)/3,0),"bottom","middle")))</f>
        <v/>
      </c>
    </row>
    <row r="25">
      <c r="A25" t="n">
        <v>21</v>
      </c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  <c r="AA25" s="5" t="n"/>
      <c r="AB25" s="5" t="n"/>
      <c r="AC25" s="5" t="n"/>
      <c r="AD25" s="5" t="n"/>
      <c r="AE25" s="5" t="n"/>
      <c r="AF25" s="5" t="n"/>
      <c r="AG25" s="5" t="n"/>
      <c r="AH25" s="5" t="n"/>
      <c r="AI25" s="5" t="n"/>
      <c r="AJ25" s="5" t="n"/>
      <c r="AK25" s="5" t="n"/>
      <c r="AL25" s="5" t="n"/>
      <c r="AM25" s="5" t="n"/>
      <c r="AN25" s="5" t="n"/>
      <c r="AO25" s="5" t="n"/>
      <c r="AP25" s="5" t="n"/>
      <c r="AQ25" s="5" t="n"/>
      <c r="AR25" s="5" t="n"/>
      <c r="AS25" s="5" t="n"/>
      <c r="AT25" s="5" t="n"/>
      <c r="AU25" s="5" t="n"/>
      <c r="AV25" s="5" t="n"/>
      <c r="AW25" s="5" t="n"/>
      <c r="AX25" s="5" t="n"/>
      <c r="AY25" s="5" t="n"/>
      <c r="AZ25" s="5" t="n"/>
      <c r="BA25" s="5" t="n"/>
      <c r="BB25" s="5" t="n"/>
      <c r="BC25" s="5" t="n"/>
      <c r="BD25" s="5" t="n"/>
      <c r="BE25">
        <f>IF(COUNT(B25:BD25)=0,"",SUM(B25:BD25))</f>
        <v/>
      </c>
      <c r="BF25">
        <f>COUNT(B25:BD25)</f>
        <v/>
      </c>
      <c r="BG25">
        <f>IF(OR(BE25="",COUNT($BE$5:$BE$39)&lt;3),"",IF(RANK(BE25,$BE$5:$BE$39,0)&lt;=ROUND(COUNT($BE$5:$BE$39)/3,0),"top",IF(RANK(BE25,$BE$5:$BE$39,1)&lt;=ROUND(COUNT($BE$5:$BE$39)/3,0),"bottom","middle")))</f>
        <v/>
      </c>
    </row>
    <row r="26">
      <c r="A26" t="n">
        <v>22</v>
      </c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  <c r="AA26" s="5" t="n"/>
      <c r="AB26" s="5" t="n"/>
      <c r="AC26" s="5" t="n"/>
      <c r="AD26" s="5" t="n"/>
      <c r="AE26" s="5" t="n"/>
      <c r="AF26" s="5" t="n"/>
      <c r="AG26" s="5" t="n"/>
      <c r="AH26" s="5" t="n"/>
      <c r="AI26" s="5" t="n"/>
      <c r="AJ26" s="5" t="n"/>
      <c r="AK26" s="5" t="n"/>
      <c r="AL26" s="5" t="n"/>
      <c r="AM26" s="5" t="n"/>
      <c r="AN26" s="5" t="n"/>
      <c r="AO26" s="5" t="n"/>
      <c r="AP26" s="5" t="n"/>
      <c r="AQ26" s="5" t="n"/>
      <c r="AR26" s="5" t="n"/>
      <c r="AS26" s="5" t="n"/>
      <c r="AT26" s="5" t="n"/>
      <c r="AU26" s="5" t="n"/>
      <c r="AV26" s="5" t="n"/>
      <c r="AW26" s="5" t="n"/>
      <c r="AX26" s="5" t="n"/>
      <c r="AY26" s="5" t="n"/>
      <c r="AZ26" s="5" t="n"/>
      <c r="BA26" s="5" t="n"/>
      <c r="BB26" s="5" t="n"/>
      <c r="BC26" s="5" t="n"/>
      <c r="BD26" s="5" t="n"/>
      <c r="BE26">
        <f>IF(COUNT(B26:BD26)=0,"",SUM(B26:BD26))</f>
        <v/>
      </c>
      <c r="BF26">
        <f>COUNT(B26:BD26)</f>
        <v/>
      </c>
      <c r="BG26">
        <f>IF(OR(BE26="",COUNT($BE$5:$BE$39)&lt;3),"",IF(RANK(BE26,$BE$5:$BE$39,0)&lt;=ROUND(COUNT($BE$5:$BE$39)/3,0),"top",IF(RANK(BE26,$BE$5:$BE$39,1)&lt;=ROUND(COUNT($BE$5:$BE$39)/3,0),"bottom","middle")))</f>
        <v/>
      </c>
    </row>
    <row r="27">
      <c r="A27" t="n">
        <v>23</v>
      </c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  <c r="AA27" s="5" t="n"/>
      <c r="AB27" s="5" t="n"/>
      <c r="AC27" s="5" t="n"/>
      <c r="AD27" s="5" t="n"/>
      <c r="AE27" s="5" t="n"/>
      <c r="AF27" s="5" t="n"/>
      <c r="AG27" s="5" t="n"/>
      <c r="AH27" s="5" t="n"/>
      <c r="AI27" s="5" t="n"/>
      <c r="AJ27" s="5" t="n"/>
      <c r="AK27" s="5" t="n"/>
      <c r="AL27" s="5" t="n"/>
      <c r="AM27" s="5" t="n"/>
      <c r="AN27" s="5" t="n"/>
      <c r="AO27" s="5" t="n"/>
      <c r="AP27" s="5" t="n"/>
      <c r="AQ27" s="5" t="n"/>
      <c r="AR27" s="5" t="n"/>
      <c r="AS27" s="5" t="n"/>
      <c r="AT27" s="5" t="n"/>
      <c r="AU27" s="5" t="n"/>
      <c r="AV27" s="5" t="n"/>
      <c r="AW27" s="5" t="n"/>
      <c r="AX27" s="5" t="n"/>
      <c r="AY27" s="5" t="n"/>
      <c r="AZ27" s="5" t="n"/>
      <c r="BA27" s="5" t="n"/>
      <c r="BB27" s="5" t="n"/>
      <c r="BC27" s="5" t="n"/>
      <c r="BD27" s="5" t="n"/>
      <c r="BE27">
        <f>IF(COUNT(B27:BD27)=0,"",SUM(B27:BD27))</f>
        <v/>
      </c>
      <c r="BF27">
        <f>COUNT(B27:BD27)</f>
        <v/>
      </c>
      <c r="BG27">
        <f>IF(OR(BE27="",COUNT($BE$5:$BE$39)&lt;3),"",IF(RANK(BE27,$BE$5:$BE$39,0)&lt;=ROUND(COUNT($BE$5:$BE$39)/3,0),"top",IF(RANK(BE27,$BE$5:$BE$39,1)&lt;=ROUND(COUNT($BE$5:$BE$39)/3,0),"bottom","middle")))</f>
        <v/>
      </c>
    </row>
    <row r="28">
      <c r="A28" t="n">
        <v>24</v>
      </c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  <c r="AA28" s="5" t="n"/>
      <c r="AB28" s="5" t="n"/>
      <c r="AC28" s="5" t="n"/>
      <c r="AD28" s="5" t="n"/>
      <c r="AE28" s="5" t="n"/>
      <c r="AF28" s="5" t="n"/>
      <c r="AG28" s="5" t="n"/>
      <c r="AH28" s="5" t="n"/>
      <c r="AI28" s="5" t="n"/>
      <c r="AJ28" s="5" t="n"/>
      <c r="AK28" s="5" t="n"/>
      <c r="AL28" s="5" t="n"/>
      <c r="AM28" s="5" t="n"/>
      <c r="AN28" s="5" t="n"/>
      <c r="AO28" s="5" t="n"/>
      <c r="AP28" s="5" t="n"/>
      <c r="AQ28" s="5" t="n"/>
      <c r="AR28" s="5" t="n"/>
      <c r="AS28" s="5" t="n"/>
      <c r="AT28" s="5" t="n"/>
      <c r="AU28" s="5" t="n"/>
      <c r="AV28" s="5" t="n"/>
      <c r="AW28" s="5" t="n"/>
      <c r="AX28" s="5" t="n"/>
      <c r="AY28" s="5" t="n"/>
      <c r="AZ28" s="5" t="n"/>
      <c r="BA28" s="5" t="n"/>
      <c r="BB28" s="5" t="n"/>
      <c r="BC28" s="5" t="n"/>
      <c r="BD28" s="5" t="n"/>
      <c r="BE28">
        <f>IF(COUNT(B28:BD28)=0,"",SUM(B28:BD28))</f>
        <v/>
      </c>
      <c r="BF28">
        <f>COUNT(B28:BD28)</f>
        <v/>
      </c>
      <c r="BG28">
        <f>IF(OR(BE28="",COUNT($BE$5:$BE$39)&lt;3),"",IF(RANK(BE28,$BE$5:$BE$39,0)&lt;=ROUND(COUNT($BE$5:$BE$39)/3,0),"top",IF(RANK(BE28,$BE$5:$BE$39,1)&lt;=ROUND(COUNT($BE$5:$BE$39)/3,0),"bottom","middle")))</f>
        <v/>
      </c>
    </row>
    <row r="29">
      <c r="A29" t="n">
        <v>25</v>
      </c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  <c r="AA29" s="5" t="n"/>
      <c r="AB29" s="5" t="n"/>
      <c r="AC29" s="5" t="n"/>
      <c r="AD29" s="5" t="n"/>
      <c r="AE29" s="5" t="n"/>
      <c r="AF29" s="5" t="n"/>
      <c r="AG29" s="5" t="n"/>
      <c r="AH29" s="5" t="n"/>
      <c r="AI29" s="5" t="n"/>
      <c r="AJ29" s="5" t="n"/>
      <c r="AK29" s="5" t="n"/>
      <c r="AL29" s="5" t="n"/>
      <c r="AM29" s="5" t="n"/>
      <c r="AN29" s="5" t="n"/>
      <c r="AO29" s="5" t="n"/>
      <c r="AP29" s="5" t="n"/>
      <c r="AQ29" s="5" t="n"/>
      <c r="AR29" s="5" t="n"/>
      <c r="AS29" s="5" t="n"/>
      <c r="AT29" s="5" t="n"/>
      <c r="AU29" s="5" t="n"/>
      <c r="AV29" s="5" t="n"/>
      <c r="AW29" s="5" t="n"/>
      <c r="AX29" s="5" t="n"/>
      <c r="AY29" s="5" t="n"/>
      <c r="AZ29" s="5" t="n"/>
      <c r="BA29" s="5" t="n"/>
      <c r="BB29" s="5" t="n"/>
      <c r="BC29" s="5" t="n"/>
      <c r="BD29" s="5" t="n"/>
      <c r="BE29">
        <f>IF(COUNT(B29:BD29)=0,"",SUM(B29:BD29))</f>
        <v/>
      </c>
      <c r="BF29">
        <f>COUNT(B29:BD29)</f>
        <v/>
      </c>
      <c r="BG29">
        <f>IF(OR(BE29="",COUNT($BE$5:$BE$39)&lt;3),"",IF(RANK(BE29,$BE$5:$BE$39,0)&lt;=ROUND(COUNT($BE$5:$BE$39)/3,0),"top",IF(RANK(BE29,$BE$5:$BE$39,1)&lt;=ROUND(COUNT($BE$5:$BE$39)/3,0),"bottom","middle")))</f>
        <v/>
      </c>
    </row>
    <row r="30">
      <c r="A30" t="n">
        <v>26</v>
      </c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  <c r="AA30" s="5" t="n"/>
      <c r="AB30" s="5" t="n"/>
      <c r="AC30" s="5" t="n"/>
      <c r="AD30" s="5" t="n"/>
      <c r="AE30" s="5" t="n"/>
      <c r="AF30" s="5" t="n"/>
      <c r="AG30" s="5" t="n"/>
      <c r="AH30" s="5" t="n"/>
      <c r="AI30" s="5" t="n"/>
      <c r="AJ30" s="5" t="n"/>
      <c r="AK30" s="5" t="n"/>
      <c r="AL30" s="5" t="n"/>
      <c r="AM30" s="5" t="n"/>
      <c r="AN30" s="5" t="n"/>
      <c r="AO30" s="5" t="n"/>
      <c r="AP30" s="5" t="n"/>
      <c r="AQ30" s="5" t="n"/>
      <c r="AR30" s="5" t="n"/>
      <c r="AS30" s="5" t="n"/>
      <c r="AT30" s="5" t="n"/>
      <c r="AU30" s="5" t="n"/>
      <c r="AV30" s="5" t="n"/>
      <c r="AW30" s="5" t="n"/>
      <c r="AX30" s="5" t="n"/>
      <c r="AY30" s="5" t="n"/>
      <c r="AZ30" s="5" t="n"/>
      <c r="BA30" s="5" t="n"/>
      <c r="BB30" s="5" t="n"/>
      <c r="BC30" s="5" t="n"/>
      <c r="BD30" s="5" t="n"/>
      <c r="BE30">
        <f>IF(COUNT(B30:BD30)=0,"",SUM(B30:BD30))</f>
        <v/>
      </c>
      <c r="BF30">
        <f>COUNT(B30:BD30)</f>
        <v/>
      </c>
      <c r="BG30">
        <f>IF(OR(BE30="",COUNT($BE$5:$BE$39)&lt;3),"",IF(RANK(BE30,$BE$5:$BE$39,0)&lt;=ROUND(COUNT($BE$5:$BE$39)/3,0),"top",IF(RANK(BE30,$BE$5:$BE$39,1)&lt;=ROUND(COUNT($BE$5:$BE$39)/3,0),"bottom","middle")))</f>
        <v/>
      </c>
    </row>
    <row r="31">
      <c r="A31" t="n">
        <v>27</v>
      </c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  <c r="AA31" s="5" t="n"/>
      <c r="AB31" s="5" t="n"/>
      <c r="AC31" s="5" t="n"/>
      <c r="AD31" s="5" t="n"/>
      <c r="AE31" s="5" t="n"/>
      <c r="AF31" s="5" t="n"/>
      <c r="AG31" s="5" t="n"/>
      <c r="AH31" s="5" t="n"/>
      <c r="AI31" s="5" t="n"/>
      <c r="AJ31" s="5" t="n"/>
      <c r="AK31" s="5" t="n"/>
      <c r="AL31" s="5" t="n"/>
      <c r="AM31" s="5" t="n"/>
      <c r="AN31" s="5" t="n"/>
      <c r="AO31" s="5" t="n"/>
      <c r="AP31" s="5" t="n"/>
      <c r="AQ31" s="5" t="n"/>
      <c r="AR31" s="5" t="n"/>
      <c r="AS31" s="5" t="n"/>
      <c r="AT31" s="5" t="n"/>
      <c r="AU31" s="5" t="n"/>
      <c r="AV31" s="5" t="n"/>
      <c r="AW31" s="5" t="n"/>
      <c r="AX31" s="5" t="n"/>
      <c r="AY31" s="5" t="n"/>
      <c r="AZ31" s="5" t="n"/>
      <c r="BA31" s="5" t="n"/>
      <c r="BB31" s="5" t="n"/>
      <c r="BC31" s="5" t="n"/>
      <c r="BD31" s="5" t="n"/>
      <c r="BE31">
        <f>IF(COUNT(B31:BD31)=0,"",SUM(B31:BD31))</f>
        <v/>
      </c>
      <c r="BF31">
        <f>COUNT(B31:BD31)</f>
        <v/>
      </c>
      <c r="BG31">
        <f>IF(OR(BE31="",COUNT($BE$5:$BE$39)&lt;3),"",IF(RANK(BE31,$BE$5:$BE$39,0)&lt;=ROUND(COUNT($BE$5:$BE$39)/3,0),"top",IF(RANK(BE31,$BE$5:$BE$39,1)&lt;=ROUND(COUNT($BE$5:$BE$39)/3,0),"bottom","middle")))</f>
        <v/>
      </c>
    </row>
    <row r="32">
      <c r="A32" t="n">
        <v>28</v>
      </c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  <c r="AA32" s="5" t="n"/>
      <c r="AB32" s="5" t="n"/>
      <c r="AC32" s="5" t="n"/>
      <c r="AD32" s="5" t="n"/>
      <c r="AE32" s="5" t="n"/>
      <c r="AF32" s="5" t="n"/>
      <c r="AG32" s="5" t="n"/>
      <c r="AH32" s="5" t="n"/>
      <c r="AI32" s="5" t="n"/>
      <c r="AJ32" s="5" t="n"/>
      <c r="AK32" s="5" t="n"/>
      <c r="AL32" s="5" t="n"/>
      <c r="AM32" s="5" t="n"/>
      <c r="AN32" s="5" t="n"/>
      <c r="AO32" s="5" t="n"/>
      <c r="AP32" s="5" t="n"/>
      <c r="AQ32" s="5" t="n"/>
      <c r="AR32" s="5" t="n"/>
      <c r="AS32" s="5" t="n"/>
      <c r="AT32" s="5" t="n"/>
      <c r="AU32" s="5" t="n"/>
      <c r="AV32" s="5" t="n"/>
      <c r="AW32" s="5" t="n"/>
      <c r="AX32" s="5" t="n"/>
      <c r="AY32" s="5" t="n"/>
      <c r="AZ32" s="5" t="n"/>
      <c r="BA32" s="5" t="n"/>
      <c r="BB32" s="5" t="n"/>
      <c r="BC32" s="5" t="n"/>
      <c r="BD32" s="5" t="n"/>
      <c r="BE32">
        <f>IF(COUNT(B32:BD32)=0,"",SUM(B32:BD32))</f>
        <v/>
      </c>
      <c r="BF32">
        <f>COUNT(B32:BD32)</f>
        <v/>
      </c>
      <c r="BG32">
        <f>IF(OR(BE32="",COUNT($BE$5:$BE$39)&lt;3),"",IF(RANK(BE32,$BE$5:$BE$39,0)&lt;=ROUND(COUNT($BE$5:$BE$39)/3,0),"top",IF(RANK(BE32,$BE$5:$BE$39,1)&lt;=ROUND(COUNT($BE$5:$BE$39)/3,0),"bottom","middle")))</f>
        <v/>
      </c>
    </row>
    <row r="33">
      <c r="A33" t="n">
        <v>29</v>
      </c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  <c r="AA33" s="5" t="n"/>
      <c r="AB33" s="5" t="n"/>
      <c r="AC33" s="5" t="n"/>
      <c r="AD33" s="5" t="n"/>
      <c r="AE33" s="5" t="n"/>
      <c r="AF33" s="5" t="n"/>
      <c r="AG33" s="5" t="n"/>
      <c r="AH33" s="5" t="n"/>
      <c r="AI33" s="5" t="n"/>
      <c r="AJ33" s="5" t="n"/>
      <c r="AK33" s="5" t="n"/>
      <c r="AL33" s="5" t="n"/>
      <c r="AM33" s="5" t="n"/>
      <c r="AN33" s="5" t="n"/>
      <c r="AO33" s="5" t="n"/>
      <c r="AP33" s="5" t="n"/>
      <c r="AQ33" s="5" t="n"/>
      <c r="AR33" s="5" t="n"/>
      <c r="AS33" s="5" t="n"/>
      <c r="AT33" s="5" t="n"/>
      <c r="AU33" s="5" t="n"/>
      <c r="AV33" s="5" t="n"/>
      <c r="AW33" s="5" t="n"/>
      <c r="AX33" s="5" t="n"/>
      <c r="AY33" s="5" t="n"/>
      <c r="AZ33" s="5" t="n"/>
      <c r="BA33" s="5" t="n"/>
      <c r="BB33" s="5" t="n"/>
      <c r="BC33" s="5" t="n"/>
      <c r="BD33" s="5" t="n"/>
      <c r="BE33">
        <f>IF(COUNT(B33:BD33)=0,"",SUM(B33:BD33))</f>
        <v/>
      </c>
      <c r="BF33">
        <f>COUNT(B33:BD33)</f>
        <v/>
      </c>
      <c r="BG33">
        <f>IF(OR(BE33="",COUNT($BE$5:$BE$39)&lt;3),"",IF(RANK(BE33,$BE$5:$BE$39,0)&lt;=ROUND(COUNT($BE$5:$BE$39)/3,0),"top",IF(RANK(BE33,$BE$5:$BE$39,1)&lt;=ROUND(COUNT($BE$5:$BE$39)/3,0),"bottom","middle")))</f>
        <v/>
      </c>
    </row>
    <row r="34">
      <c r="A34" t="n">
        <v>30</v>
      </c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  <c r="AA34" s="5" t="n"/>
      <c r="AB34" s="5" t="n"/>
      <c r="AC34" s="5" t="n"/>
      <c r="AD34" s="5" t="n"/>
      <c r="AE34" s="5" t="n"/>
      <c r="AF34" s="5" t="n"/>
      <c r="AG34" s="5" t="n"/>
      <c r="AH34" s="5" t="n"/>
      <c r="AI34" s="5" t="n"/>
      <c r="AJ34" s="5" t="n"/>
      <c r="AK34" s="5" t="n"/>
      <c r="AL34" s="5" t="n"/>
      <c r="AM34" s="5" t="n"/>
      <c r="AN34" s="5" t="n"/>
      <c r="AO34" s="5" t="n"/>
      <c r="AP34" s="5" t="n"/>
      <c r="AQ34" s="5" t="n"/>
      <c r="AR34" s="5" t="n"/>
      <c r="AS34" s="5" t="n"/>
      <c r="AT34" s="5" t="n"/>
      <c r="AU34" s="5" t="n"/>
      <c r="AV34" s="5" t="n"/>
      <c r="AW34" s="5" t="n"/>
      <c r="AX34" s="5" t="n"/>
      <c r="AY34" s="5" t="n"/>
      <c r="AZ34" s="5" t="n"/>
      <c r="BA34" s="5" t="n"/>
      <c r="BB34" s="5" t="n"/>
      <c r="BC34" s="5" t="n"/>
      <c r="BD34" s="5" t="n"/>
      <c r="BE34">
        <f>IF(COUNT(B34:BD34)=0,"",SUM(B34:BD34))</f>
        <v/>
      </c>
      <c r="BF34">
        <f>COUNT(B34:BD34)</f>
        <v/>
      </c>
      <c r="BG34">
        <f>IF(OR(BE34="",COUNT($BE$5:$BE$39)&lt;3),"",IF(RANK(BE34,$BE$5:$BE$39,0)&lt;=ROUND(COUNT($BE$5:$BE$39)/3,0),"top",IF(RANK(BE34,$BE$5:$BE$39,1)&lt;=ROUND(COUNT($BE$5:$BE$39)/3,0),"bottom","middle")))</f>
        <v/>
      </c>
    </row>
    <row r="35">
      <c r="A35" t="n">
        <v>31</v>
      </c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  <c r="AA35" s="5" t="n"/>
      <c r="AB35" s="5" t="n"/>
      <c r="AC35" s="5" t="n"/>
      <c r="AD35" s="5" t="n"/>
      <c r="AE35" s="5" t="n"/>
      <c r="AF35" s="5" t="n"/>
      <c r="AG35" s="5" t="n"/>
      <c r="AH35" s="5" t="n"/>
      <c r="AI35" s="5" t="n"/>
      <c r="AJ35" s="5" t="n"/>
      <c r="AK35" s="5" t="n"/>
      <c r="AL35" s="5" t="n"/>
      <c r="AM35" s="5" t="n"/>
      <c r="AN35" s="5" t="n"/>
      <c r="AO35" s="5" t="n"/>
      <c r="AP35" s="5" t="n"/>
      <c r="AQ35" s="5" t="n"/>
      <c r="AR35" s="5" t="n"/>
      <c r="AS35" s="5" t="n"/>
      <c r="AT35" s="5" t="n"/>
      <c r="AU35" s="5" t="n"/>
      <c r="AV35" s="5" t="n"/>
      <c r="AW35" s="5" t="n"/>
      <c r="AX35" s="5" t="n"/>
      <c r="AY35" s="5" t="n"/>
      <c r="AZ35" s="5" t="n"/>
      <c r="BA35" s="5" t="n"/>
      <c r="BB35" s="5" t="n"/>
      <c r="BC35" s="5" t="n"/>
      <c r="BD35" s="5" t="n"/>
      <c r="BE35">
        <f>IF(COUNT(B35:BD35)=0,"",SUM(B35:BD35))</f>
        <v/>
      </c>
      <c r="BF35">
        <f>COUNT(B35:BD35)</f>
        <v/>
      </c>
      <c r="BG35">
        <f>IF(OR(BE35="",COUNT($BE$5:$BE$39)&lt;3),"",IF(RANK(BE35,$BE$5:$BE$39,0)&lt;=ROUND(COUNT($BE$5:$BE$39)/3,0),"top",IF(RANK(BE35,$BE$5:$BE$39,1)&lt;=ROUND(COUNT($BE$5:$BE$39)/3,0),"bottom","middle")))</f>
        <v/>
      </c>
    </row>
    <row r="36">
      <c r="A36" t="n">
        <v>32</v>
      </c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  <c r="AA36" s="5" t="n"/>
      <c r="AB36" s="5" t="n"/>
      <c r="AC36" s="5" t="n"/>
      <c r="AD36" s="5" t="n"/>
      <c r="AE36" s="5" t="n"/>
      <c r="AF36" s="5" t="n"/>
      <c r="AG36" s="5" t="n"/>
      <c r="AH36" s="5" t="n"/>
      <c r="AI36" s="5" t="n"/>
      <c r="AJ36" s="5" t="n"/>
      <c r="AK36" s="5" t="n"/>
      <c r="AL36" s="5" t="n"/>
      <c r="AM36" s="5" t="n"/>
      <c r="AN36" s="5" t="n"/>
      <c r="AO36" s="5" t="n"/>
      <c r="AP36" s="5" t="n"/>
      <c r="AQ36" s="5" t="n"/>
      <c r="AR36" s="5" t="n"/>
      <c r="AS36" s="5" t="n"/>
      <c r="AT36" s="5" t="n"/>
      <c r="AU36" s="5" t="n"/>
      <c r="AV36" s="5" t="n"/>
      <c r="AW36" s="5" t="n"/>
      <c r="AX36" s="5" t="n"/>
      <c r="AY36" s="5" t="n"/>
      <c r="AZ36" s="5" t="n"/>
      <c r="BA36" s="5" t="n"/>
      <c r="BB36" s="5" t="n"/>
      <c r="BC36" s="5" t="n"/>
      <c r="BD36" s="5" t="n"/>
      <c r="BE36">
        <f>IF(COUNT(B36:BD36)=0,"",SUM(B36:BD36))</f>
        <v/>
      </c>
      <c r="BF36">
        <f>COUNT(B36:BD36)</f>
        <v/>
      </c>
      <c r="BG36">
        <f>IF(OR(BE36="",COUNT($BE$5:$BE$39)&lt;3),"",IF(RANK(BE36,$BE$5:$BE$39,0)&lt;=ROUND(COUNT($BE$5:$BE$39)/3,0),"top",IF(RANK(BE36,$BE$5:$BE$39,1)&lt;=ROUND(COUNT($BE$5:$BE$39)/3,0),"bottom","middle")))</f>
        <v/>
      </c>
    </row>
    <row r="37">
      <c r="A37" t="n">
        <v>33</v>
      </c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  <c r="Y37" s="5" t="n"/>
      <c r="Z37" s="5" t="n"/>
      <c r="AA37" s="5" t="n"/>
      <c r="AB37" s="5" t="n"/>
      <c r="AC37" s="5" t="n"/>
      <c r="AD37" s="5" t="n"/>
      <c r="AE37" s="5" t="n"/>
      <c r="AF37" s="5" t="n"/>
      <c r="AG37" s="5" t="n"/>
      <c r="AH37" s="5" t="n"/>
      <c r="AI37" s="5" t="n"/>
      <c r="AJ37" s="5" t="n"/>
      <c r="AK37" s="5" t="n"/>
      <c r="AL37" s="5" t="n"/>
      <c r="AM37" s="5" t="n"/>
      <c r="AN37" s="5" t="n"/>
      <c r="AO37" s="5" t="n"/>
      <c r="AP37" s="5" t="n"/>
      <c r="AQ37" s="5" t="n"/>
      <c r="AR37" s="5" t="n"/>
      <c r="AS37" s="5" t="n"/>
      <c r="AT37" s="5" t="n"/>
      <c r="AU37" s="5" t="n"/>
      <c r="AV37" s="5" t="n"/>
      <c r="AW37" s="5" t="n"/>
      <c r="AX37" s="5" t="n"/>
      <c r="AY37" s="5" t="n"/>
      <c r="AZ37" s="5" t="n"/>
      <c r="BA37" s="5" t="n"/>
      <c r="BB37" s="5" t="n"/>
      <c r="BC37" s="5" t="n"/>
      <c r="BD37" s="5" t="n"/>
      <c r="BE37">
        <f>IF(COUNT(B37:BD37)=0,"",SUM(B37:BD37))</f>
        <v/>
      </c>
      <c r="BF37">
        <f>COUNT(B37:BD37)</f>
        <v/>
      </c>
      <c r="BG37">
        <f>IF(OR(BE37="",COUNT($BE$5:$BE$39)&lt;3),"",IF(RANK(BE37,$BE$5:$BE$39,0)&lt;=ROUND(COUNT($BE$5:$BE$39)/3,0),"top",IF(RANK(BE37,$BE$5:$BE$39,1)&lt;=ROUND(COUNT($BE$5:$BE$39)/3,0),"bottom","middle")))</f>
        <v/>
      </c>
    </row>
    <row r="38">
      <c r="A38" t="n">
        <v>34</v>
      </c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  <c r="Y38" s="5" t="n"/>
      <c r="Z38" s="5" t="n"/>
      <c r="AA38" s="5" t="n"/>
      <c r="AB38" s="5" t="n"/>
      <c r="AC38" s="5" t="n"/>
      <c r="AD38" s="5" t="n"/>
      <c r="AE38" s="5" t="n"/>
      <c r="AF38" s="5" t="n"/>
      <c r="AG38" s="5" t="n"/>
      <c r="AH38" s="5" t="n"/>
      <c r="AI38" s="5" t="n"/>
      <c r="AJ38" s="5" t="n"/>
      <c r="AK38" s="5" t="n"/>
      <c r="AL38" s="5" t="n"/>
      <c r="AM38" s="5" t="n"/>
      <c r="AN38" s="5" t="n"/>
      <c r="AO38" s="5" t="n"/>
      <c r="AP38" s="5" t="n"/>
      <c r="AQ38" s="5" t="n"/>
      <c r="AR38" s="5" t="n"/>
      <c r="AS38" s="5" t="n"/>
      <c r="AT38" s="5" t="n"/>
      <c r="AU38" s="5" t="n"/>
      <c r="AV38" s="5" t="n"/>
      <c r="AW38" s="5" t="n"/>
      <c r="AX38" s="5" t="n"/>
      <c r="AY38" s="5" t="n"/>
      <c r="AZ38" s="5" t="n"/>
      <c r="BA38" s="5" t="n"/>
      <c r="BB38" s="5" t="n"/>
      <c r="BC38" s="5" t="n"/>
      <c r="BD38" s="5" t="n"/>
      <c r="BE38">
        <f>IF(COUNT(B38:BD38)=0,"",SUM(B38:BD38))</f>
        <v/>
      </c>
      <c r="BF38">
        <f>COUNT(B38:BD38)</f>
        <v/>
      </c>
      <c r="BG38">
        <f>IF(OR(BE38="",COUNT($BE$5:$BE$39)&lt;3),"",IF(RANK(BE38,$BE$5:$BE$39,0)&lt;=ROUND(COUNT($BE$5:$BE$39)/3,0),"top",IF(RANK(BE38,$BE$5:$BE$39,1)&lt;=ROUND(COUNT($BE$5:$BE$39)/3,0),"bottom","middle")))</f>
        <v/>
      </c>
    </row>
    <row r="39">
      <c r="A39" t="n">
        <v>35</v>
      </c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  <c r="AA39" s="5" t="n"/>
      <c r="AB39" s="5" t="n"/>
      <c r="AC39" s="5" t="n"/>
      <c r="AD39" s="5" t="n"/>
      <c r="AE39" s="5" t="n"/>
      <c r="AF39" s="5" t="n"/>
      <c r="AG39" s="5" t="n"/>
      <c r="AH39" s="5" t="n"/>
      <c r="AI39" s="5" t="n"/>
      <c r="AJ39" s="5" t="n"/>
      <c r="AK39" s="5" t="n"/>
      <c r="AL39" s="5" t="n"/>
      <c r="AM39" s="5" t="n"/>
      <c r="AN39" s="5" t="n"/>
      <c r="AO39" s="5" t="n"/>
      <c r="AP39" s="5" t="n"/>
      <c r="AQ39" s="5" t="n"/>
      <c r="AR39" s="5" t="n"/>
      <c r="AS39" s="5" t="n"/>
      <c r="AT39" s="5" t="n"/>
      <c r="AU39" s="5" t="n"/>
      <c r="AV39" s="5" t="n"/>
      <c r="AW39" s="5" t="n"/>
      <c r="AX39" s="5" t="n"/>
      <c r="AY39" s="5" t="n"/>
      <c r="AZ39" s="5" t="n"/>
      <c r="BA39" s="5" t="n"/>
      <c r="BB39" s="5" t="n"/>
      <c r="BC39" s="5" t="n"/>
      <c r="BD39" s="5" t="n"/>
      <c r="BE39">
        <f>IF(COUNT(B39:BD39)=0,"",SUM(B39:BD39))</f>
        <v/>
      </c>
      <c r="BF39">
        <f>COUNT(B39:BD39)</f>
        <v/>
      </c>
      <c r="BG39">
        <f>IF(OR(BE39="",COUNT($BE$5:$BE$39)&lt;3),"",IF(RANK(BE39,$BE$5:$BE$39,0)&lt;=ROUND(COUNT($BE$5:$BE$39)/3,0),"top",IF(RANK(BE39,$BE$5:$BE$39,1)&lt;=ROUND(COUNT($BE$5:$BE$39)/3,0),"bottom","middle")))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59"/>
  <sheetViews>
    <sheetView workbookViewId="0">
      <selection activeCell="A1" sqref="A1"/>
    </sheetView>
  </sheetViews>
  <sheetFormatPr baseColWidth="8" defaultRowHeight="15"/>
  <cols>
    <col width="52" customWidth="1" min="13" max="13"/>
  </cols>
  <sheetData>
    <row r="1">
      <c r="A1" s="3" t="inlineStr">
        <is>
          <t>Items: the room's rate, the thirds, and what to check</t>
        </is>
      </c>
    </row>
    <row r="4">
      <c r="A4" s="4" t="inlineStr">
        <is>
          <t>Q</t>
        </is>
      </c>
      <c r="B4" s="4" t="inlineStr">
        <is>
          <t>Part</t>
        </is>
      </c>
      <c r="C4" s="4" t="inlineStr">
        <is>
          <t>Type</t>
        </is>
      </c>
      <c r="D4" s="4" t="inlineStr">
        <is>
          <t>Level</t>
        </is>
      </c>
      <c r="E4" s="4" t="inlineStr">
        <is>
          <t>Tag</t>
        </is>
      </c>
      <c r="F4" s="4" t="inlineStr">
        <is>
          <t>Key</t>
        </is>
      </c>
      <c r="G4" s="4" t="inlineStr">
        <is>
          <t>Right</t>
        </is>
      </c>
      <c r="H4" s="4" t="inlineStr">
        <is>
          <t>Answered</t>
        </is>
      </c>
      <c r="I4" s="4" t="inlineStr">
        <is>
          <t>Right rate</t>
        </is>
      </c>
      <c r="J4" s="4" t="inlineStr">
        <is>
          <t>Top third rate</t>
        </is>
      </c>
      <c r="K4" s="4" t="inlineStr">
        <is>
          <t>Bottom third rate</t>
        </is>
      </c>
      <c r="L4" s="4" t="inlineStr">
        <is>
          <t>Top minus bottom</t>
        </is>
      </c>
      <c r="M4" s="4" t="inlineStr">
        <is>
          <t>Flag</t>
        </is>
      </c>
      <c r="N4" s="4" t="inlineStr">
        <is>
          <t>Order key</t>
        </is>
      </c>
    </row>
    <row r="5">
      <c r="A5" t="n">
        <v>1</v>
      </c>
      <c r="B5" t="n">
        <v>1</v>
      </c>
      <c r="C5" t="inlineStr">
        <is>
          <t>Fill in the blank</t>
        </is>
      </c>
      <c r="D5" t="inlineStr">
        <is>
          <t>Medium</t>
        </is>
      </c>
      <c r="E5" t="inlineStr">
        <is>
          <t>[F]</t>
        </is>
      </c>
      <c r="F5" t="inlineStr">
        <is>
          <t>NULL</t>
        </is>
      </c>
      <c r="G5">
        <f>COUNTIF(Marks!B$5:B$39,1)</f>
        <v/>
      </c>
      <c r="H5">
        <f>COUNT(Marks!B$5:B$39)</f>
        <v/>
      </c>
      <c r="I5" s="6">
        <f>IF(H5=0,"",G5/H5)</f>
        <v/>
      </c>
      <c r="J5" s="6">
        <f>IF(SUMPRODUCT((Marks!$BG$5:$BG$39="top")*ISNUMBER(Marks!B$5:B$39))=0,"",SUMPRODUCT((Marks!$BG$5:$BG$39="top")*(Marks!B$5:B$39=1))/SUMPRODUCT((Marks!$BG$5:$BG$39="top")*ISNUMBER(Marks!B$5:B$39)))</f>
        <v/>
      </c>
      <c r="K5" s="6">
        <f>IF(SUMPRODUCT((Marks!$BG$5:$BG$39="bottom")*ISNUMBER(Marks!B$5:B$39))=0,"",SUMPRODUCT((Marks!$BG$5:$BG$39="bottom")*(Marks!B$5:B$39=1))/SUMPRODUCT((Marks!$BG$5:$BG$39="bottom")*ISNUMBER(Marks!B$5:B$39)))</f>
        <v/>
      </c>
      <c r="L5" s="6">
        <f>IF(OR(J5="",K5=""),"",J5-K5)</f>
        <v/>
      </c>
      <c r="M5">
        <f>IF(H5=0,"",IF(I5&lt;0.2,"Check the item: fewer than one in five got it right",IF(AND(L5&lt;&gt;"",N(L5)&lt;0),"Check the item: the bottom third beat the top third","")))</f>
        <v/>
      </c>
      <c r="N5">
        <f>IF(H5=0,"",I5+ROW()/1000000)</f>
        <v/>
      </c>
    </row>
    <row r="6">
      <c r="A6" t="n">
        <v>2</v>
      </c>
      <c r="B6" t="n">
        <v>1</v>
      </c>
      <c r="C6" t="inlineStr">
        <is>
          <t>Fill in the blank</t>
        </is>
      </c>
      <c r="D6" t="inlineStr">
        <is>
          <t>Medium</t>
        </is>
      </c>
      <c r="E6" t="inlineStr">
        <is>
          <t>[S]</t>
        </is>
      </c>
      <c r="F6" t="inlineStr">
        <is>
          <t>NULL</t>
        </is>
      </c>
      <c r="G6">
        <f>COUNTIF(Marks!C$5:C$39,1)</f>
        <v/>
      </c>
      <c r="H6">
        <f>COUNT(Marks!C$5:C$39)</f>
        <v/>
      </c>
      <c r="I6" s="6">
        <f>IF(H6=0,"",G6/H6)</f>
        <v/>
      </c>
      <c r="J6" s="6">
        <f>IF(SUMPRODUCT((Marks!$BG$5:$BG$39="top")*ISNUMBER(Marks!C$5:C$39))=0,"",SUMPRODUCT((Marks!$BG$5:$BG$39="top")*(Marks!C$5:C$39=1))/SUMPRODUCT((Marks!$BG$5:$BG$39="top")*ISNUMBER(Marks!C$5:C$39)))</f>
        <v/>
      </c>
      <c r="K6" s="6">
        <f>IF(SUMPRODUCT((Marks!$BG$5:$BG$39="bottom")*ISNUMBER(Marks!C$5:C$39))=0,"",SUMPRODUCT((Marks!$BG$5:$BG$39="bottom")*(Marks!C$5:C$39=1))/SUMPRODUCT((Marks!$BG$5:$BG$39="bottom")*ISNUMBER(Marks!C$5:C$39)))</f>
        <v/>
      </c>
      <c r="L6" s="6">
        <f>IF(OR(J6="",K6=""),"",J6-K6)</f>
        <v/>
      </c>
      <c r="M6">
        <f>IF(H6=0,"",IF(I6&lt;0.2,"Check the item: fewer than one in five got it right",IF(AND(L6&lt;&gt;"",N(L6)&lt;0),"Check the item: the bottom third beat the top third","")))</f>
        <v/>
      </c>
      <c r="N6">
        <f>IF(H6=0,"",I6+ROW()/1000000)</f>
        <v/>
      </c>
    </row>
    <row r="7">
      <c r="A7" t="n">
        <v>3</v>
      </c>
      <c r="B7" t="n">
        <v>1</v>
      </c>
      <c r="C7" t="inlineStr">
        <is>
          <t>Fill in the blank</t>
        </is>
      </c>
      <c r="D7" t="inlineStr">
        <is>
          <t>Medium</t>
        </is>
      </c>
      <c r="E7" t="inlineStr">
        <is>
          <t>[F]</t>
        </is>
      </c>
      <c r="F7" t="inlineStr">
        <is>
          <t>MergeError</t>
        </is>
      </c>
      <c r="G7">
        <f>COUNTIF(Marks!D$5:D$39,1)</f>
        <v/>
      </c>
      <c r="H7">
        <f>COUNT(Marks!D$5:D$39)</f>
        <v/>
      </c>
      <c r="I7" s="6">
        <f>IF(H7=0,"",G7/H7)</f>
        <v/>
      </c>
      <c r="J7" s="6">
        <f>IF(SUMPRODUCT((Marks!$BG$5:$BG$39="top")*ISNUMBER(Marks!D$5:D$39))=0,"",SUMPRODUCT((Marks!$BG$5:$BG$39="top")*(Marks!D$5:D$39=1))/SUMPRODUCT((Marks!$BG$5:$BG$39="top")*ISNUMBER(Marks!D$5:D$39)))</f>
        <v/>
      </c>
      <c r="K7" s="6">
        <f>IF(SUMPRODUCT((Marks!$BG$5:$BG$39="bottom")*ISNUMBER(Marks!D$5:D$39))=0,"",SUMPRODUCT((Marks!$BG$5:$BG$39="bottom")*(Marks!D$5:D$39=1))/SUMPRODUCT((Marks!$BG$5:$BG$39="bottom")*ISNUMBER(Marks!D$5:D$39)))</f>
        <v/>
      </c>
      <c r="L7" s="6">
        <f>IF(OR(J7="",K7=""),"",J7-K7)</f>
        <v/>
      </c>
      <c r="M7">
        <f>IF(H7=0,"",IF(I7&lt;0.2,"Check the item: fewer than one in five got it right",IF(AND(L7&lt;&gt;"",N(L7)&lt;0),"Check the item: the bottom third beat the top third","")))</f>
        <v/>
      </c>
      <c r="N7">
        <f>IF(H7=0,"",I7+ROW()/1000000)</f>
        <v/>
      </c>
    </row>
    <row r="8">
      <c r="A8" t="n">
        <v>4</v>
      </c>
      <c r="B8" t="n">
        <v>1</v>
      </c>
      <c r="C8" t="inlineStr">
        <is>
          <t>True or false</t>
        </is>
      </c>
      <c r="D8" t="inlineStr">
        <is>
          <t>Easy</t>
        </is>
      </c>
      <c r="E8" t="inlineStr">
        <is>
          <t>[S]</t>
        </is>
      </c>
      <c r="F8" t="inlineStr">
        <is>
          <t>False</t>
        </is>
      </c>
      <c r="G8">
        <f>COUNTIF(Marks!E$5:E$39,1)</f>
        <v/>
      </c>
      <c r="H8">
        <f>COUNT(Marks!E$5:E$39)</f>
        <v/>
      </c>
      <c r="I8" s="6">
        <f>IF(H8=0,"",G8/H8)</f>
        <v/>
      </c>
      <c r="J8" s="6">
        <f>IF(SUMPRODUCT((Marks!$BG$5:$BG$39="top")*ISNUMBER(Marks!E$5:E$39))=0,"",SUMPRODUCT((Marks!$BG$5:$BG$39="top")*(Marks!E$5:E$39=1))/SUMPRODUCT((Marks!$BG$5:$BG$39="top")*ISNUMBER(Marks!E$5:E$39)))</f>
        <v/>
      </c>
      <c r="K8" s="6">
        <f>IF(SUMPRODUCT((Marks!$BG$5:$BG$39="bottom")*ISNUMBER(Marks!E$5:E$39))=0,"",SUMPRODUCT((Marks!$BG$5:$BG$39="bottom")*(Marks!E$5:E$39=1))/SUMPRODUCT((Marks!$BG$5:$BG$39="bottom")*ISNUMBER(Marks!E$5:E$39)))</f>
        <v/>
      </c>
      <c r="L8" s="6">
        <f>IF(OR(J8="",K8=""),"",J8-K8)</f>
        <v/>
      </c>
      <c r="M8">
        <f>IF(H8=0,"",IF(I8&lt;0.2,"Check the item: fewer than one in five got it right",IF(AND(L8&lt;&gt;"",N(L8)&lt;0),"Check the item: the bottom third beat the top third","")))</f>
        <v/>
      </c>
      <c r="N8">
        <f>IF(H8=0,"",I8+ROW()/1000000)</f>
        <v/>
      </c>
    </row>
    <row r="9">
      <c r="A9" t="n">
        <v>5</v>
      </c>
      <c r="B9" t="n">
        <v>1</v>
      </c>
      <c r="C9" t="inlineStr">
        <is>
          <t>True or false</t>
        </is>
      </c>
      <c r="D9" t="inlineStr">
        <is>
          <t>Medium</t>
        </is>
      </c>
      <c r="E9" t="inlineStr">
        <is>
          <t>[F]</t>
        </is>
      </c>
      <c r="F9" t="inlineStr">
        <is>
          <t>False</t>
        </is>
      </c>
      <c r="G9">
        <f>COUNTIF(Marks!F$5:F$39,1)</f>
        <v/>
      </c>
      <c r="H9">
        <f>COUNT(Marks!F$5:F$39)</f>
        <v/>
      </c>
      <c r="I9" s="6">
        <f>IF(H9=0,"",G9/H9)</f>
        <v/>
      </c>
      <c r="J9" s="6">
        <f>IF(SUMPRODUCT((Marks!$BG$5:$BG$39="top")*ISNUMBER(Marks!F$5:F$39))=0,"",SUMPRODUCT((Marks!$BG$5:$BG$39="top")*(Marks!F$5:F$39=1))/SUMPRODUCT((Marks!$BG$5:$BG$39="top")*ISNUMBER(Marks!F$5:F$39)))</f>
        <v/>
      </c>
      <c r="K9" s="6">
        <f>IF(SUMPRODUCT((Marks!$BG$5:$BG$39="bottom")*ISNUMBER(Marks!F$5:F$39))=0,"",SUMPRODUCT((Marks!$BG$5:$BG$39="bottom")*(Marks!F$5:F$39=1))/SUMPRODUCT((Marks!$BG$5:$BG$39="bottom")*ISNUMBER(Marks!F$5:F$39)))</f>
        <v/>
      </c>
      <c r="L9" s="6">
        <f>IF(OR(J9="",K9=""),"",J9-K9)</f>
        <v/>
      </c>
      <c r="M9">
        <f>IF(H9=0,"",IF(I9&lt;0.2,"Check the item: fewer than one in five got it right",IF(AND(L9&lt;&gt;"",N(L9)&lt;0),"Check the item: the bottom third beat the top third","")))</f>
        <v/>
      </c>
      <c r="N9">
        <f>IF(H9=0,"",I9+ROW()/1000000)</f>
        <v/>
      </c>
    </row>
    <row r="10">
      <c r="A10" t="n">
        <v>6</v>
      </c>
      <c r="B10" t="n">
        <v>1</v>
      </c>
      <c r="C10" t="inlineStr">
        <is>
          <t>True or false</t>
        </is>
      </c>
      <c r="D10" t="inlineStr">
        <is>
          <t>Easy</t>
        </is>
      </c>
      <c r="E10" t="inlineStr">
        <is>
          <t>[S]</t>
        </is>
      </c>
      <c r="F10" t="inlineStr">
        <is>
          <t>True</t>
        </is>
      </c>
      <c r="G10">
        <f>COUNTIF(Marks!G$5:G$39,1)</f>
        <v/>
      </c>
      <c r="H10">
        <f>COUNT(Marks!G$5:G$39)</f>
        <v/>
      </c>
      <c r="I10" s="6">
        <f>IF(H10=0,"",G10/H10)</f>
        <v/>
      </c>
      <c r="J10" s="6">
        <f>IF(SUMPRODUCT((Marks!$BG$5:$BG$39="top")*ISNUMBER(Marks!G$5:G$39))=0,"",SUMPRODUCT((Marks!$BG$5:$BG$39="top")*(Marks!G$5:G$39=1))/SUMPRODUCT((Marks!$BG$5:$BG$39="top")*ISNUMBER(Marks!G$5:G$39)))</f>
        <v/>
      </c>
      <c r="K10" s="6">
        <f>IF(SUMPRODUCT((Marks!$BG$5:$BG$39="bottom")*ISNUMBER(Marks!G$5:G$39))=0,"",SUMPRODUCT((Marks!$BG$5:$BG$39="bottom")*(Marks!G$5:G$39=1))/SUMPRODUCT((Marks!$BG$5:$BG$39="bottom")*ISNUMBER(Marks!G$5:G$39)))</f>
        <v/>
      </c>
      <c r="L10" s="6">
        <f>IF(OR(J10="",K10=""),"",J10-K10)</f>
        <v/>
      </c>
      <c r="M10">
        <f>IF(H10=0,"",IF(I10&lt;0.2,"Check the item: fewer than one in five got it right",IF(AND(L10&lt;&gt;"",N(L10)&lt;0),"Check the item: the bottom third beat the top third","")))</f>
        <v/>
      </c>
      <c r="N10">
        <f>IF(H10=0,"",I10+ROW()/1000000)</f>
        <v/>
      </c>
    </row>
    <row r="11">
      <c r="A11" t="n">
        <v>7</v>
      </c>
      <c r="B11" t="n">
        <v>1</v>
      </c>
      <c r="C11" t="inlineStr">
        <is>
          <t>True or false</t>
        </is>
      </c>
      <c r="D11" t="inlineStr">
        <is>
          <t>Medium</t>
        </is>
      </c>
      <c r="E11" t="inlineStr">
        <is>
          <t>[S]</t>
        </is>
      </c>
      <c r="F11" t="inlineStr">
        <is>
          <t>True</t>
        </is>
      </c>
      <c r="G11">
        <f>COUNTIF(Marks!H$5:H$39,1)</f>
        <v/>
      </c>
      <c r="H11">
        <f>COUNT(Marks!H$5:H$39)</f>
        <v/>
      </c>
      <c r="I11" s="6">
        <f>IF(H11=0,"",G11/H11)</f>
        <v/>
      </c>
      <c r="J11" s="6">
        <f>IF(SUMPRODUCT((Marks!$BG$5:$BG$39="top")*ISNUMBER(Marks!H$5:H$39))=0,"",SUMPRODUCT((Marks!$BG$5:$BG$39="top")*(Marks!H$5:H$39=1))/SUMPRODUCT((Marks!$BG$5:$BG$39="top")*ISNUMBER(Marks!H$5:H$39)))</f>
        <v/>
      </c>
      <c r="K11" s="6">
        <f>IF(SUMPRODUCT((Marks!$BG$5:$BG$39="bottom")*ISNUMBER(Marks!H$5:H$39))=0,"",SUMPRODUCT((Marks!$BG$5:$BG$39="bottom")*(Marks!H$5:H$39=1))/SUMPRODUCT((Marks!$BG$5:$BG$39="bottom")*ISNUMBER(Marks!H$5:H$39)))</f>
        <v/>
      </c>
      <c r="L11" s="6">
        <f>IF(OR(J11="",K11=""),"",J11-K11)</f>
        <v/>
      </c>
      <c r="M11">
        <f>IF(H11=0,"",IF(I11&lt;0.2,"Check the item: fewer than one in five got it right",IF(AND(L11&lt;&gt;"",N(L11)&lt;0),"Check the item: the bottom third beat the top third","")))</f>
        <v/>
      </c>
      <c r="N11">
        <f>IF(H11=0,"",I11+ROW()/1000000)</f>
        <v/>
      </c>
    </row>
    <row r="12">
      <c r="A12" t="n">
        <v>8</v>
      </c>
      <c r="B12" t="n">
        <v>1</v>
      </c>
      <c r="C12" t="inlineStr">
        <is>
          <t>True or false</t>
        </is>
      </c>
      <c r="D12" t="inlineStr">
        <is>
          <t>Hard</t>
        </is>
      </c>
      <c r="E12" t="inlineStr">
        <is>
          <t>[S]</t>
        </is>
      </c>
      <c r="F12" t="inlineStr">
        <is>
          <t>True</t>
        </is>
      </c>
      <c r="G12">
        <f>COUNTIF(Marks!I$5:I$39,1)</f>
        <v/>
      </c>
      <c r="H12">
        <f>COUNT(Marks!I$5:I$39)</f>
        <v/>
      </c>
      <c r="I12" s="6">
        <f>IF(H12=0,"",G12/H12)</f>
        <v/>
      </c>
      <c r="J12" s="6">
        <f>IF(SUMPRODUCT((Marks!$BG$5:$BG$39="top")*ISNUMBER(Marks!I$5:I$39))=0,"",SUMPRODUCT((Marks!$BG$5:$BG$39="top")*(Marks!I$5:I$39=1))/SUMPRODUCT((Marks!$BG$5:$BG$39="top")*ISNUMBER(Marks!I$5:I$39)))</f>
        <v/>
      </c>
      <c r="K12" s="6">
        <f>IF(SUMPRODUCT((Marks!$BG$5:$BG$39="bottom")*ISNUMBER(Marks!I$5:I$39))=0,"",SUMPRODUCT((Marks!$BG$5:$BG$39="bottom")*(Marks!I$5:I$39=1))/SUMPRODUCT((Marks!$BG$5:$BG$39="bottom")*ISNUMBER(Marks!I$5:I$39)))</f>
        <v/>
      </c>
      <c r="L12" s="6">
        <f>IF(OR(J12="",K12=""),"",J12-K12)</f>
        <v/>
      </c>
      <c r="M12">
        <f>IF(H12=0,"",IF(I12&lt;0.2,"Check the item: fewer than one in five got it right",IF(AND(L12&lt;&gt;"",N(L12)&lt;0),"Check the item: the bottom third beat the top third","")))</f>
        <v/>
      </c>
      <c r="N12">
        <f>IF(H12=0,"",I12+ROW()/1000000)</f>
        <v/>
      </c>
    </row>
    <row r="13">
      <c r="A13" t="n">
        <v>9</v>
      </c>
      <c r="B13" t="n">
        <v>1</v>
      </c>
      <c r="C13" t="inlineStr">
        <is>
          <t>True or false</t>
        </is>
      </c>
      <c r="D13" t="inlineStr">
        <is>
          <t>Medium</t>
        </is>
      </c>
      <c r="E13" t="inlineStr">
        <is>
          <t>[F]</t>
        </is>
      </c>
      <c r="F13" t="inlineStr">
        <is>
          <t>False</t>
        </is>
      </c>
      <c r="G13">
        <f>COUNTIF(Marks!J$5:J$39,1)</f>
        <v/>
      </c>
      <c r="H13">
        <f>COUNT(Marks!J$5:J$39)</f>
        <v/>
      </c>
      <c r="I13" s="6">
        <f>IF(H13=0,"",G13/H13)</f>
        <v/>
      </c>
      <c r="J13" s="6">
        <f>IF(SUMPRODUCT((Marks!$BG$5:$BG$39="top")*ISNUMBER(Marks!J$5:J$39))=0,"",SUMPRODUCT((Marks!$BG$5:$BG$39="top")*(Marks!J$5:J$39=1))/SUMPRODUCT((Marks!$BG$5:$BG$39="top")*ISNUMBER(Marks!J$5:J$39)))</f>
        <v/>
      </c>
      <c r="K13" s="6">
        <f>IF(SUMPRODUCT((Marks!$BG$5:$BG$39="bottom")*ISNUMBER(Marks!J$5:J$39))=0,"",SUMPRODUCT((Marks!$BG$5:$BG$39="bottom")*(Marks!J$5:J$39=1))/SUMPRODUCT((Marks!$BG$5:$BG$39="bottom")*ISNUMBER(Marks!J$5:J$39)))</f>
        <v/>
      </c>
      <c r="L13" s="6">
        <f>IF(OR(J13="",K13=""),"",J13-K13)</f>
        <v/>
      </c>
      <c r="M13">
        <f>IF(H13=0,"",IF(I13&lt;0.2,"Check the item: fewer than one in five got it right",IF(AND(L13&lt;&gt;"",N(L13)&lt;0),"Check the item: the bottom third beat the top third","")))</f>
        <v/>
      </c>
      <c r="N13">
        <f>IF(H13=0,"",I13+ROW()/1000000)</f>
        <v/>
      </c>
    </row>
    <row r="14">
      <c r="A14" t="n">
        <v>10</v>
      </c>
      <c r="B14" t="n">
        <v>1</v>
      </c>
      <c r="C14" t="inlineStr">
        <is>
          <t>True or false</t>
        </is>
      </c>
      <c r="D14" t="inlineStr">
        <is>
          <t>Easy</t>
        </is>
      </c>
      <c r="E14" t="inlineStr">
        <is>
          <t>[F]</t>
        </is>
      </c>
      <c r="F14" t="inlineStr">
        <is>
          <t>True</t>
        </is>
      </c>
      <c r="G14">
        <f>COUNTIF(Marks!K$5:K$39,1)</f>
        <v/>
      </c>
      <c r="H14">
        <f>COUNT(Marks!K$5:K$39)</f>
        <v/>
      </c>
      <c r="I14" s="6">
        <f>IF(H14=0,"",G14/H14)</f>
        <v/>
      </c>
      <c r="J14" s="6">
        <f>IF(SUMPRODUCT((Marks!$BG$5:$BG$39="top")*ISNUMBER(Marks!K$5:K$39))=0,"",SUMPRODUCT((Marks!$BG$5:$BG$39="top")*(Marks!K$5:K$39=1))/SUMPRODUCT((Marks!$BG$5:$BG$39="top")*ISNUMBER(Marks!K$5:K$39)))</f>
        <v/>
      </c>
      <c r="K14" s="6">
        <f>IF(SUMPRODUCT((Marks!$BG$5:$BG$39="bottom")*ISNUMBER(Marks!K$5:K$39))=0,"",SUMPRODUCT((Marks!$BG$5:$BG$39="bottom")*(Marks!K$5:K$39=1))/SUMPRODUCT((Marks!$BG$5:$BG$39="bottom")*ISNUMBER(Marks!K$5:K$39)))</f>
        <v/>
      </c>
      <c r="L14" s="6">
        <f>IF(OR(J14="",K14=""),"",J14-K14)</f>
        <v/>
      </c>
      <c r="M14">
        <f>IF(H14=0,"",IF(I14&lt;0.2,"Check the item: fewer than one in five got it right",IF(AND(L14&lt;&gt;"",N(L14)&lt;0),"Check the item: the bottom third beat the top third","")))</f>
        <v/>
      </c>
      <c r="N14">
        <f>IF(H14=0,"",I14+ROW()/1000000)</f>
        <v/>
      </c>
    </row>
    <row r="15">
      <c r="A15" t="n">
        <v>11</v>
      </c>
      <c r="B15" t="n">
        <v>1</v>
      </c>
      <c r="C15" t="inlineStr">
        <is>
          <t>True or false</t>
        </is>
      </c>
      <c r="D15" t="inlineStr">
        <is>
          <t>Easy</t>
        </is>
      </c>
      <c r="E15" t="inlineStr">
        <is>
          <t>[F]</t>
        </is>
      </c>
      <c r="F15" t="inlineStr">
        <is>
          <t>False</t>
        </is>
      </c>
      <c r="G15">
        <f>COUNTIF(Marks!L$5:L$39,1)</f>
        <v/>
      </c>
      <c r="H15">
        <f>COUNT(Marks!L$5:L$39)</f>
        <v/>
      </c>
      <c r="I15" s="6">
        <f>IF(H15=0,"",G15/H15)</f>
        <v/>
      </c>
      <c r="J15" s="6">
        <f>IF(SUMPRODUCT((Marks!$BG$5:$BG$39="top")*ISNUMBER(Marks!L$5:L$39))=0,"",SUMPRODUCT((Marks!$BG$5:$BG$39="top")*(Marks!L$5:L$39=1))/SUMPRODUCT((Marks!$BG$5:$BG$39="top")*ISNUMBER(Marks!L$5:L$39)))</f>
        <v/>
      </c>
      <c r="K15" s="6">
        <f>IF(SUMPRODUCT((Marks!$BG$5:$BG$39="bottom")*ISNUMBER(Marks!L$5:L$39))=0,"",SUMPRODUCT((Marks!$BG$5:$BG$39="bottom")*(Marks!L$5:L$39=1))/SUMPRODUCT((Marks!$BG$5:$BG$39="bottom")*ISNUMBER(Marks!L$5:L$39)))</f>
        <v/>
      </c>
      <c r="L15" s="6">
        <f>IF(OR(J15="",K15=""),"",J15-K15)</f>
        <v/>
      </c>
      <c r="M15">
        <f>IF(H15=0,"",IF(I15&lt;0.2,"Check the item: fewer than one in five got it right",IF(AND(L15&lt;&gt;"",N(L15)&lt;0),"Check the item: the bottom third beat the top third","")))</f>
        <v/>
      </c>
      <c r="N15">
        <f>IF(H15=0,"",I15+ROW()/1000000)</f>
        <v/>
      </c>
    </row>
    <row r="16">
      <c r="A16" t="n">
        <v>12</v>
      </c>
      <c r="B16" t="n">
        <v>2</v>
      </c>
      <c r="C16" t="inlineStr">
        <is>
          <t>One correct option</t>
        </is>
      </c>
      <c r="D16" t="inlineStr">
        <is>
          <t>Easy</t>
        </is>
      </c>
      <c r="E16" t="inlineStr">
        <is>
          <t>[S]</t>
        </is>
      </c>
      <c r="F16" t="inlineStr">
        <is>
          <t>b</t>
        </is>
      </c>
      <c r="G16">
        <f>COUNTIF(Marks!M$5:M$39,1)</f>
        <v/>
      </c>
      <c r="H16">
        <f>COUNT(Marks!M$5:M$39)</f>
        <v/>
      </c>
      <c r="I16" s="6">
        <f>IF(H16=0,"",G16/H16)</f>
        <v/>
      </c>
      <c r="J16" s="6">
        <f>IF(SUMPRODUCT((Marks!$BG$5:$BG$39="top")*ISNUMBER(Marks!M$5:M$39))=0,"",SUMPRODUCT((Marks!$BG$5:$BG$39="top")*(Marks!M$5:M$39=1))/SUMPRODUCT((Marks!$BG$5:$BG$39="top")*ISNUMBER(Marks!M$5:M$39)))</f>
        <v/>
      </c>
      <c r="K16" s="6">
        <f>IF(SUMPRODUCT((Marks!$BG$5:$BG$39="bottom")*ISNUMBER(Marks!M$5:M$39))=0,"",SUMPRODUCT((Marks!$BG$5:$BG$39="bottom")*(Marks!M$5:M$39=1))/SUMPRODUCT((Marks!$BG$5:$BG$39="bottom")*ISNUMBER(Marks!M$5:M$39)))</f>
        <v/>
      </c>
      <c r="L16" s="6">
        <f>IF(OR(J16="",K16=""),"",J16-K16)</f>
        <v/>
      </c>
      <c r="M16">
        <f>IF(H16=0,"",IF(I16&lt;0.2,"Check the item: fewer than one in five got it right",IF(AND(L16&lt;&gt;"",N(L16)&lt;0),"Check the item: the bottom third beat the top third","")))</f>
        <v/>
      </c>
      <c r="N16">
        <f>IF(H16=0,"",I16+ROW()/1000000)</f>
        <v/>
      </c>
    </row>
    <row r="17">
      <c r="A17" t="n">
        <v>13</v>
      </c>
      <c r="B17" t="n">
        <v>2</v>
      </c>
      <c r="C17" t="inlineStr">
        <is>
          <t>One correct option</t>
        </is>
      </c>
      <c r="D17" t="inlineStr">
        <is>
          <t>Medium</t>
        </is>
      </c>
      <c r="E17" t="inlineStr">
        <is>
          <t>[F]</t>
        </is>
      </c>
      <c r="F17" t="inlineStr">
        <is>
          <t>d</t>
        </is>
      </c>
      <c r="G17">
        <f>COUNTIF(Marks!N$5:N$39,1)</f>
        <v/>
      </c>
      <c r="H17">
        <f>COUNT(Marks!N$5:N$39)</f>
        <v/>
      </c>
      <c r="I17" s="6">
        <f>IF(H17=0,"",G17/H17)</f>
        <v/>
      </c>
      <c r="J17" s="6">
        <f>IF(SUMPRODUCT((Marks!$BG$5:$BG$39="top")*ISNUMBER(Marks!N$5:N$39))=0,"",SUMPRODUCT((Marks!$BG$5:$BG$39="top")*(Marks!N$5:N$39=1))/SUMPRODUCT((Marks!$BG$5:$BG$39="top")*ISNUMBER(Marks!N$5:N$39)))</f>
        <v/>
      </c>
      <c r="K17" s="6">
        <f>IF(SUMPRODUCT((Marks!$BG$5:$BG$39="bottom")*ISNUMBER(Marks!N$5:N$39))=0,"",SUMPRODUCT((Marks!$BG$5:$BG$39="bottom")*(Marks!N$5:N$39=1))/SUMPRODUCT((Marks!$BG$5:$BG$39="bottom")*ISNUMBER(Marks!N$5:N$39)))</f>
        <v/>
      </c>
      <c r="L17" s="6">
        <f>IF(OR(J17="",K17=""),"",J17-K17)</f>
        <v/>
      </c>
      <c r="M17">
        <f>IF(H17=0,"",IF(I17&lt;0.2,"Check the item: fewer than one in five got it right",IF(AND(L17&lt;&gt;"",N(L17)&lt;0),"Check the item: the bottom third beat the top third","")))</f>
        <v/>
      </c>
      <c r="N17">
        <f>IF(H17=0,"",I17+ROW()/1000000)</f>
        <v/>
      </c>
    </row>
    <row r="18">
      <c r="A18" t="n">
        <v>14</v>
      </c>
      <c r="B18" t="n">
        <v>2</v>
      </c>
      <c r="C18" t="inlineStr">
        <is>
          <t>More than one correct</t>
        </is>
      </c>
      <c r="D18" t="inlineStr">
        <is>
          <t>Medium</t>
        </is>
      </c>
      <c r="E18" t="inlineStr">
        <is>
          <t>[S]</t>
        </is>
      </c>
      <c r="F18" t="inlineStr">
        <is>
          <t>a, c, d</t>
        </is>
      </c>
      <c r="G18">
        <f>COUNTIF(Marks!O$5:O$39,1)</f>
        <v/>
      </c>
      <c r="H18">
        <f>COUNT(Marks!O$5:O$39)</f>
        <v/>
      </c>
      <c r="I18" s="6">
        <f>IF(H18=0,"",G18/H18)</f>
        <v/>
      </c>
      <c r="J18" s="6">
        <f>IF(SUMPRODUCT((Marks!$BG$5:$BG$39="top")*ISNUMBER(Marks!O$5:O$39))=0,"",SUMPRODUCT((Marks!$BG$5:$BG$39="top")*(Marks!O$5:O$39=1))/SUMPRODUCT((Marks!$BG$5:$BG$39="top")*ISNUMBER(Marks!O$5:O$39)))</f>
        <v/>
      </c>
      <c r="K18" s="6">
        <f>IF(SUMPRODUCT((Marks!$BG$5:$BG$39="bottom")*ISNUMBER(Marks!O$5:O$39))=0,"",SUMPRODUCT((Marks!$BG$5:$BG$39="bottom")*(Marks!O$5:O$39=1))/SUMPRODUCT((Marks!$BG$5:$BG$39="bottom")*ISNUMBER(Marks!O$5:O$39)))</f>
        <v/>
      </c>
      <c r="L18" s="6">
        <f>IF(OR(J18="",K18=""),"",J18-K18)</f>
        <v/>
      </c>
      <c r="M18">
        <f>IF(H18=0,"",IF(I18&lt;0.2,"Check the item: fewer than one in five got it right",IF(AND(L18&lt;&gt;"",N(L18)&lt;0),"Check the item: the bottom third beat the top third","")))</f>
        <v/>
      </c>
      <c r="N18">
        <f>IF(H18=0,"",I18+ROW()/1000000)</f>
        <v/>
      </c>
    </row>
    <row r="19">
      <c r="A19" t="n">
        <v>15</v>
      </c>
      <c r="B19" t="n">
        <v>2</v>
      </c>
      <c r="C19" t="inlineStr">
        <is>
          <t>Applied maths</t>
        </is>
      </c>
      <c r="D19" t="inlineStr">
        <is>
          <t>Easy</t>
        </is>
      </c>
      <c r="E19" t="inlineStr">
        <is>
          <t>[S]</t>
        </is>
      </c>
      <c r="F19" t="inlineStr">
        <is>
          <t>8</t>
        </is>
      </c>
      <c r="G19">
        <f>COUNTIF(Marks!P$5:P$39,1)</f>
        <v/>
      </c>
      <c r="H19">
        <f>COUNT(Marks!P$5:P$39)</f>
        <v/>
      </c>
      <c r="I19" s="6">
        <f>IF(H19=0,"",G19/H19)</f>
        <v/>
      </c>
      <c r="J19" s="6">
        <f>IF(SUMPRODUCT((Marks!$BG$5:$BG$39="top")*ISNUMBER(Marks!P$5:P$39))=0,"",SUMPRODUCT((Marks!$BG$5:$BG$39="top")*(Marks!P$5:P$39=1))/SUMPRODUCT((Marks!$BG$5:$BG$39="top")*ISNUMBER(Marks!P$5:P$39)))</f>
        <v/>
      </c>
      <c r="K19" s="6">
        <f>IF(SUMPRODUCT((Marks!$BG$5:$BG$39="bottom")*ISNUMBER(Marks!P$5:P$39))=0,"",SUMPRODUCT((Marks!$BG$5:$BG$39="bottom")*(Marks!P$5:P$39=1))/SUMPRODUCT((Marks!$BG$5:$BG$39="bottom")*ISNUMBER(Marks!P$5:P$39)))</f>
        <v/>
      </c>
      <c r="L19" s="6">
        <f>IF(OR(J19="",K19=""),"",J19-K19)</f>
        <v/>
      </c>
      <c r="M19">
        <f>IF(H19=0,"",IF(I19&lt;0.2,"Check the item: fewer than one in five got it right",IF(AND(L19&lt;&gt;"",N(L19)&lt;0),"Check the item: the bottom third beat the top third","")))</f>
        <v/>
      </c>
      <c r="N19">
        <f>IF(H19=0,"",I19+ROW()/1000000)</f>
        <v/>
      </c>
    </row>
    <row r="20">
      <c r="A20" t="n">
        <v>16</v>
      </c>
      <c r="B20" t="n">
        <v>2</v>
      </c>
      <c r="C20" t="inlineStr">
        <is>
          <t>Order the steps</t>
        </is>
      </c>
      <c r="D20" t="inlineStr">
        <is>
          <t>Medium</t>
        </is>
      </c>
      <c r="E20" t="inlineStr">
        <is>
          <t>[S]</t>
        </is>
      </c>
      <c r="F20" t="inlineStr">
        <is>
          <t>c, b, e, f, a, d</t>
        </is>
      </c>
      <c r="G20">
        <f>COUNTIF(Marks!Q$5:Q$39,1)</f>
        <v/>
      </c>
      <c r="H20">
        <f>COUNT(Marks!Q$5:Q$39)</f>
        <v/>
      </c>
      <c r="I20" s="6">
        <f>IF(H20=0,"",G20/H20)</f>
        <v/>
      </c>
      <c r="J20" s="6">
        <f>IF(SUMPRODUCT((Marks!$BG$5:$BG$39="top")*ISNUMBER(Marks!Q$5:Q$39))=0,"",SUMPRODUCT((Marks!$BG$5:$BG$39="top")*(Marks!Q$5:Q$39=1))/SUMPRODUCT((Marks!$BG$5:$BG$39="top")*ISNUMBER(Marks!Q$5:Q$39)))</f>
        <v/>
      </c>
      <c r="K20" s="6">
        <f>IF(SUMPRODUCT((Marks!$BG$5:$BG$39="bottom")*ISNUMBER(Marks!Q$5:Q$39))=0,"",SUMPRODUCT((Marks!$BG$5:$BG$39="bottom")*(Marks!Q$5:Q$39=1))/SUMPRODUCT((Marks!$BG$5:$BG$39="bottom")*ISNUMBER(Marks!Q$5:Q$39)))</f>
        <v/>
      </c>
      <c r="L20" s="6">
        <f>IF(OR(J20="",K20=""),"",J20-K20)</f>
        <v/>
      </c>
      <c r="M20">
        <f>IF(H20=0,"",IF(I20&lt;0.2,"Check the item: fewer than one in five got it right",IF(AND(L20&lt;&gt;"",N(L20)&lt;0),"Check the item: the bottom third beat the top third","")))</f>
        <v/>
      </c>
      <c r="N20">
        <f>IF(H20=0,"",I20+ROW()/1000000)</f>
        <v/>
      </c>
    </row>
    <row r="21">
      <c r="A21" t="n">
        <v>17</v>
      </c>
      <c r="B21" t="n">
        <v>3</v>
      </c>
      <c r="C21" t="inlineStr">
        <is>
          <t>One correct option</t>
        </is>
      </c>
      <c r="D21" t="inlineStr">
        <is>
          <t>Easy</t>
        </is>
      </c>
      <c r="E21" t="inlineStr">
        <is>
          <t>[S]</t>
        </is>
      </c>
      <c r="F21" t="inlineStr">
        <is>
          <t>c</t>
        </is>
      </c>
      <c r="G21">
        <f>COUNTIF(Marks!R$5:R$39,1)</f>
        <v/>
      </c>
      <c r="H21">
        <f>COUNT(Marks!R$5:R$39)</f>
        <v/>
      </c>
      <c r="I21" s="6">
        <f>IF(H21=0,"",G21/H21)</f>
        <v/>
      </c>
      <c r="J21" s="6">
        <f>IF(SUMPRODUCT((Marks!$BG$5:$BG$39="top")*ISNUMBER(Marks!R$5:R$39))=0,"",SUMPRODUCT((Marks!$BG$5:$BG$39="top")*(Marks!R$5:R$39=1))/SUMPRODUCT((Marks!$BG$5:$BG$39="top")*ISNUMBER(Marks!R$5:R$39)))</f>
        <v/>
      </c>
      <c r="K21" s="6">
        <f>IF(SUMPRODUCT((Marks!$BG$5:$BG$39="bottom")*ISNUMBER(Marks!R$5:R$39))=0,"",SUMPRODUCT((Marks!$BG$5:$BG$39="bottom")*(Marks!R$5:R$39=1))/SUMPRODUCT((Marks!$BG$5:$BG$39="bottom")*ISNUMBER(Marks!R$5:R$39)))</f>
        <v/>
      </c>
      <c r="L21" s="6">
        <f>IF(OR(J21="",K21=""),"",J21-K21)</f>
        <v/>
      </c>
      <c r="M21">
        <f>IF(H21=0,"",IF(I21&lt;0.2,"Check the item: fewer than one in five got it right",IF(AND(L21&lt;&gt;"",N(L21)&lt;0),"Check the item: the bottom third beat the top third","")))</f>
        <v/>
      </c>
      <c r="N21">
        <f>IF(H21=0,"",I21+ROW()/1000000)</f>
        <v/>
      </c>
    </row>
    <row r="22">
      <c r="A22" t="n">
        <v>18</v>
      </c>
      <c r="B22" t="n">
        <v>3</v>
      </c>
      <c r="C22" t="inlineStr">
        <is>
          <t>One correct option</t>
        </is>
      </c>
      <c r="D22" t="inlineStr">
        <is>
          <t>Medium</t>
        </is>
      </c>
      <c r="E22" t="inlineStr">
        <is>
          <t>[S]</t>
        </is>
      </c>
      <c r="F22" t="inlineStr">
        <is>
          <t>d</t>
        </is>
      </c>
      <c r="G22">
        <f>COUNTIF(Marks!S$5:S$39,1)</f>
        <v/>
      </c>
      <c r="H22">
        <f>COUNT(Marks!S$5:S$39)</f>
        <v/>
      </c>
      <c r="I22" s="6">
        <f>IF(H22=0,"",G22/H22)</f>
        <v/>
      </c>
      <c r="J22" s="6">
        <f>IF(SUMPRODUCT((Marks!$BG$5:$BG$39="top")*ISNUMBER(Marks!S$5:S$39))=0,"",SUMPRODUCT((Marks!$BG$5:$BG$39="top")*(Marks!S$5:S$39=1))/SUMPRODUCT((Marks!$BG$5:$BG$39="top")*ISNUMBER(Marks!S$5:S$39)))</f>
        <v/>
      </c>
      <c r="K22" s="6">
        <f>IF(SUMPRODUCT((Marks!$BG$5:$BG$39="bottom")*ISNUMBER(Marks!S$5:S$39))=0,"",SUMPRODUCT((Marks!$BG$5:$BG$39="bottom")*(Marks!S$5:S$39=1))/SUMPRODUCT((Marks!$BG$5:$BG$39="bottom")*ISNUMBER(Marks!S$5:S$39)))</f>
        <v/>
      </c>
      <c r="L22" s="6">
        <f>IF(OR(J22="",K22=""),"",J22-K22)</f>
        <v/>
      </c>
      <c r="M22">
        <f>IF(H22=0,"",IF(I22&lt;0.2,"Check the item: fewer than one in five got it right",IF(AND(L22&lt;&gt;"",N(L22)&lt;0),"Check the item: the bottom third beat the top third","")))</f>
        <v/>
      </c>
      <c r="N22">
        <f>IF(H22=0,"",I22+ROW()/1000000)</f>
        <v/>
      </c>
    </row>
    <row r="23">
      <c r="A23" t="n">
        <v>19</v>
      </c>
      <c r="B23" t="n">
        <v>3</v>
      </c>
      <c r="C23" t="inlineStr">
        <is>
          <t>One correct option</t>
        </is>
      </c>
      <c r="D23" t="inlineStr">
        <is>
          <t>Medium</t>
        </is>
      </c>
      <c r="E23" t="inlineStr">
        <is>
          <t>[F]</t>
        </is>
      </c>
      <c r="F23" t="inlineStr">
        <is>
          <t>a</t>
        </is>
      </c>
      <c r="G23">
        <f>COUNTIF(Marks!T$5:T$39,1)</f>
        <v/>
      </c>
      <c r="H23">
        <f>COUNT(Marks!T$5:T$39)</f>
        <v/>
      </c>
      <c r="I23" s="6">
        <f>IF(H23=0,"",G23/H23)</f>
        <v/>
      </c>
      <c r="J23" s="6">
        <f>IF(SUMPRODUCT((Marks!$BG$5:$BG$39="top")*ISNUMBER(Marks!T$5:T$39))=0,"",SUMPRODUCT((Marks!$BG$5:$BG$39="top")*(Marks!T$5:T$39=1))/SUMPRODUCT((Marks!$BG$5:$BG$39="top")*ISNUMBER(Marks!T$5:T$39)))</f>
        <v/>
      </c>
      <c r="K23" s="6">
        <f>IF(SUMPRODUCT((Marks!$BG$5:$BG$39="bottom")*ISNUMBER(Marks!T$5:T$39))=0,"",SUMPRODUCT((Marks!$BG$5:$BG$39="bottom")*(Marks!T$5:T$39=1))/SUMPRODUCT((Marks!$BG$5:$BG$39="bottom")*ISNUMBER(Marks!T$5:T$39)))</f>
        <v/>
      </c>
      <c r="L23" s="6">
        <f>IF(OR(J23="",K23=""),"",J23-K23)</f>
        <v/>
      </c>
      <c r="M23">
        <f>IF(H23=0,"",IF(I23&lt;0.2,"Check the item: fewer than one in five got it right",IF(AND(L23&lt;&gt;"",N(L23)&lt;0),"Check the item: the bottom third beat the top third","")))</f>
        <v/>
      </c>
      <c r="N23">
        <f>IF(H23=0,"",I23+ROW()/1000000)</f>
        <v/>
      </c>
    </row>
    <row r="24">
      <c r="A24" t="n">
        <v>20</v>
      </c>
      <c r="B24" t="n">
        <v>3</v>
      </c>
      <c r="C24" t="inlineStr">
        <is>
          <t>One correct option</t>
        </is>
      </c>
      <c r="D24" t="inlineStr">
        <is>
          <t>Hard</t>
        </is>
      </c>
      <c r="E24" t="inlineStr">
        <is>
          <t>[D]</t>
        </is>
      </c>
      <c r="F24" t="inlineStr">
        <is>
          <t>d</t>
        </is>
      </c>
      <c r="G24">
        <f>COUNTIF(Marks!U$5:U$39,1)</f>
        <v/>
      </c>
      <c r="H24">
        <f>COUNT(Marks!U$5:U$39)</f>
        <v/>
      </c>
      <c r="I24" s="6">
        <f>IF(H24=0,"",G24/H24)</f>
        <v/>
      </c>
      <c r="J24" s="6">
        <f>IF(SUMPRODUCT((Marks!$BG$5:$BG$39="top")*ISNUMBER(Marks!U$5:U$39))=0,"",SUMPRODUCT((Marks!$BG$5:$BG$39="top")*(Marks!U$5:U$39=1))/SUMPRODUCT((Marks!$BG$5:$BG$39="top")*ISNUMBER(Marks!U$5:U$39)))</f>
        <v/>
      </c>
      <c r="K24" s="6">
        <f>IF(SUMPRODUCT((Marks!$BG$5:$BG$39="bottom")*ISNUMBER(Marks!U$5:U$39))=0,"",SUMPRODUCT((Marks!$BG$5:$BG$39="bottom")*(Marks!U$5:U$39=1))/SUMPRODUCT((Marks!$BG$5:$BG$39="bottom")*ISNUMBER(Marks!U$5:U$39)))</f>
        <v/>
      </c>
      <c r="L24" s="6">
        <f>IF(OR(J24="",K24=""),"",J24-K24)</f>
        <v/>
      </c>
      <c r="M24">
        <f>IF(H24=0,"",IF(I24&lt;0.2,"Check the item: fewer than one in five got it right",IF(AND(L24&lt;&gt;"",N(L24)&lt;0),"Check the item: the bottom third beat the top third","")))</f>
        <v/>
      </c>
      <c r="N24">
        <f>IF(H24=0,"",I24+ROW()/1000000)</f>
        <v/>
      </c>
    </row>
    <row r="25">
      <c r="A25" t="n">
        <v>21</v>
      </c>
      <c r="B25" t="n">
        <v>3</v>
      </c>
      <c r="C25" t="inlineStr">
        <is>
          <t>More than one correct</t>
        </is>
      </c>
      <c r="D25" t="inlineStr">
        <is>
          <t>Medium</t>
        </is>
      </c>
      <c r="E25" t="inlineStr">
        <is>
          <t>[S]</t>
        </is>
      </c>
      <c r="F25" t="inlineStr">
        <is>
          <t>b, c, d</t>
        </is>
      </c>
      <c r="G25">
        <f>COUNTIF(Marks!V$5:V$39,1)</f>
        <v/>
      </c>
      <c r="H25">
        <f>COUNT(Marks!V$5:V$39)</f>
        <v/>
      </c>
      <c r="I25" s="6">
        <f>IF(H25=0,"",G25/H25)</f>
        <v/>
      </c>
      <c r="J25" s="6">
        <f>IF(SUMPRODUCT((Marks!$BG$5:$BG$39="top")*ISNUMBER(Marks!V$5:V$39))=0,"",SUMPRODUCT((Marks!$BG$5:$BG$39="top")*(Marks!V$5:V$39=1))/SUMPRODUCT((Marks!$BG$5:$BG$39="top")*ISNUMBER(Marks!V$5:V$39)))</f>
        <v/>
      </c>
      <c r="K25" s="6">
        <f>IF(SUMPRODUCT((Marks!$BG$5:$BG$39="bottom")*ISNUMBER(Marks!V$5:V$39))=0,"",SUMPRODUCT((Marks!$BG$5:$BG$39="bottom")*(Marks!V$5:V$39=1))/SUMPRODUCT((Marks!$BG$5:$BG$39="bottom")*ISNUMBER(Marks!V$5:V$39)))</f>
        <v/>
      </c>
      <c r="L25" s="6">
        <f>IF(OR(J25="",K25=""),"",J25-K25)</f>
        <v/>
      </c>
      <c r="M25">
        <f>IF(H25=0,"",IF(I25&lt;0.2,"Check the item: fewer than one in five got it right",IF(AND(L25&lt;&gt;"",N(L25)&lt;0),"Check the item: the bottom third beat the top third","")))</f>
        <v/>
      </c>
      <c r="N25">
        <f>IF(H25=0,"",I25+ROW()/1000000)</f>
        <v/>
      </c>
    </row>
    <row r="26">
      <c r="A26" t="n">
        <v>22</v>
      </c>
      <c r="B26" t="n">
        <v>3</v>
      </c>
      <c r="C26" t="inlineStr">
        <is>
          <t>More than one correct</t>
        </is>
      </c>
      <c r="D26" t="inlineStr">
        <is>
          <t>Hard</t>
        </is>
      </c>
      <c r="E26" t="inlineStr">
        <is>
          <t>[F]</t>
        </is>
      </c>
      <c r="F26" t="inlineStr">
        <is>
          <t>b, d</t>
        </is>
      </c>
      <c r="G26">
        <f>COUNTIF(Marks!W$5:W$39,1)</f>
        <v/>
      </c>
      <c r="H26">
        <f>COUNT(Marks!W$5:W$39)</f>
        <v/>
      </c>
      <c r="I26" s="6">
        <f>IF(H26=0,"",G26/H26)</f>
        <v/>
      </c>
      <c r="J26" s="6">
        <f>IF(SUMPRODUCT((Marks!$BG$5:$BG$39="top")*ISNUMBER(Marks!W$5:W$39))=0,"",SUMPRODUCT((Marks!$BG$5:$BG$39="top")*(Marks!W$5:W$39=1))/SUMPRODUCT((Marks!$BG$5:$BG$39="top")*ISNUMBER(Marks!W$5:W$39)))</f>
        <v/>
      </c>
      <c r="K26" s="6">
        <f>IF(SUMPRODUCT((Marks!$BG$5:$BG$39="bottom")*ISNUMBER(Marks!W$5:W$39))=0,"",SUMPRODUCT((Marks!$BG$5:$BG$39="bottom")*(Marks!W$5:W$39=1))/SUMPRODUCT((Marks!$BG$5:$BG$39="bottom")*ISNUMBER(Marks!W$5:W$39)))</f>
        <v/>
      </c>
      <c r="L26" s="6">
        <f>IF(OR(J26="",K26=""),"",J26-K26)</f>
        <v/>
      </c>
      <c r="M26">
        <f>IF(H26=0,"",IF(I26&lt;0.2,"Check the item: fewer than one in five got it right",IF(AND(L26&lt;&gt;"",N(L26)&lt;0),"Check the item: the bottom third beat the top third","")))</f>
        <v/>
      </c>
      <c r="N26">
        <f>IF(H26=0,"",I26+ROW()/1000000)</f>
        <v/>
      </c>
    </row>
    <row r="27">
      <c r="A27" t="n">
        <v>23</v>
      </c>
      <c r="B27" t="n">
        <v>3</v>
      </c>
      <c r="C27" t="inlineStr">
        <is>
          <t>Scenario set</t>
        </is>
      </c>
      <c r="D27" t="inlineStr">
        <is>
          <t>Medium</t>
        </is>
      </c>
      <c r="E27" t="inlineStr">
        <is>
          <t>[S]</t>
        </is>
      </c>
      <c r="F27" t="inlineStr">
        <is>
          <t>1,050</t>
        </is>
      </c>
      <c r="G27">
        <f>COUNTIF(Marks!X$5:X$39,1)</f>
        <v/>
      </c>
      <c r="H27">
        <f>COUNT(Marks!X$5:X$39)</f>
        <v/>
      </c>
      <c r="I27" s="6">
        <f>IF(H27=0,"",G27/H27)</f>
        <v/>
      </c>
      <c r="J27" s="6">
        <f>IF(SUMPRODUCT((Marks!$BG$5:$BG$39="top")*ISNUMBER(Marks!X$5:X$39))=0,"",SUMPRODUCT((Marks!$BG$5:$BG$39="top")*(Marks!X$5:X$39=1))/SUMPRODUCT((Marks!$BG$5:$BG$39="top")*ISNUMBER(Marks!X$5:X$39)))</f>
        <v/>
      </c>
      <c r="K27" s="6">
        <f>IF(SUMPRODUCT((Marks!$BG$5:$BG$39="bottom")*ISNUMBER(Marks!X$5:X$39))=0,"",SUMPRODUCT((Marks!$BG$5:$BG$39="bottom")*(Marks!X$5:X$39=1))/SUMPRODUCT((Marks!$BG$5:$BG$39="bottom")*ISNUMBER(Marks!X$5:X$39)))</f>
        <v/>
      </c>
      <c r="L27" s="6">
        <f>IF(OR(J27="",K27=""),"",J27-K27)</f>
        <v/>
      </c>
      <c r="M27">
        <f>IF(H27=0,"",IF(I27&lt;0.2,"Check the item: fewer than one in five got it right",IF(AND(L27&lt;&gt;"",N(L27)&lt;0),"Check the item: the bottom third beat the top third","")))</f>
        <v/>
      </c>
      <c r="N27">
        <f>IF(H27=0,"",I27+ROW()/1000000)</f>
        <v/>
      </c>
    </row>
    <row r="28">
      <c r="A28" t="n">
        <v>24</v>
      </c>
      <c r="B28" t="n">
        <v>3</v>
      </c>
      <c r="C28" t="inlineStr">
        <is>
          <t>Scenario set</t>
        </is>
      </c>
      <c r="D28" t="inlineStr">
        <is>
          <t>Medium</t>
        </is>
      </c>
      <c r="E28" t="inlineStr">
        <is>
          <t>[S]</t>
        </is>
      </c>
      <c r="F28" t="inlineStr">
        <is>
          <t>1,020</t>
        </is>
      </c>
      <c r="G28">
        <f>COUNTIF(Marks!Y$5:Y$39,1)</f>
        <v/>
      </c>
      <c r="H28">
        <f>COUNT(Marks!Y$5:Y$39)</f>
        <v/>
      </c>
      <c r="I28" s="6">
        <f>IF(H28=0,"",G28/H28)</f>
        <v/>
      </c>
      <c r="J28" s="6">
        <f>IF(SUMPRODUCT((Marks!$BG$5:$BG$39="top")*ISNUMBER(Marks!Y$5:Y$39))=0,"",SUMPRODUCT((Marks!$BG$5:$BG$39="top")*(Marks!Y$5:Y$39=1))/SUMPRODUCT((Marks!$BG$5:$BG$39="top")*ISNUMBER(Marks!Y$5:Y$39)))</f>
        <v/>
      </c>
      <c r="K28" s="6">
        <f>IF(SUMPRODUCT((Marks!$BG$5:$BG$39="bottom")*ISNUMBER(Marks!Y$5:Y$39))=0,"",SUMPRODUCT((Marks!$BG$5:$BG$39="bottom")*(Marks!Y$5:Y$39=1))/SUMPRODUCT((Marks!$BG$5:$BG$39="bottom")*ISNUMBER(Marks!Y$5:Y$39)))</f>
        <v/>
      </c>
      <c r="L28" s="6">
        <f>IF(OR(J28="",K28=""),"",J28-K28)</f>
        <v/>
      </c>
      <c r="M28">
        <f>IF(H28=0,"",IF(I28&lt;0.2,"Check the item: fewer than one in five got it right",IF(AND(L28&lt;&gt;"",N(L28)&lt;0),"Check the item: the bottom third beat the top third","")))</f>
        <v/>
      </c>
      <c r="N28">
        <f>IF(H28=0,"",I28+ROW()/1000000)</f>
        <v/>
      </c>
    </row>
    <row r="29">
      <c r="A29" t="n">
        <v>25</v>
      </c>
      <c r="B29" t="n">
        <v>3</v>
      </c>
      <c r="C29" t="inlineStr">
        <is>
          <t>Scenario set</t>
        </is>
      </c>
      <c r="D29" t="inlineStr">
        <is>
          <t>Medium</t>
        </is>
      </c>
      <c r="E29" t="inlineStr">
        <is>
          <t>[F]</t>
        </is>
      </c>
      <c r="F29" t="inlineStr">
        <is>
          <t>a</t>
        </is>
      </c>
      <c r="G29">
        <f>COUNTIF(Marks!Z$5:Z$39,1)</f>
        <v/>
      </c>
      <c r="H29">
        <f>COUNT(Marks!Z$5:Z$39)</f>
        <v/>
      </c>
      <c r="I29" s="6">
        <f>IF(H29=0,"",G29/H29)</f>
        <v/>
      </c>
      <c r="J29" s="6">
        <f>IF(SUMPRODUCT((Marks!$BG$5:$BG$39="top")*ISNUMBER(Marks!Z$5:Z$39))=0,"",SUMPRODUCT((Marks!$BG$5:$BG$39="top")*(Marks!Z$5:Z$39=1))/SUMPRODUCT((Marks!$BG$5:$BG$39="top")*ISNUMBER(Marks!Z$5:Z$39)))</f>
        <v/>
      </c>
      <c r="K29" s="6">
        <f>IF(SUMPRODUCT((Marks!$BG$5:$BG$39="bottom")*ISNUMBER(Marks!Z$5:Z$39))=0,"",SUMPRODUCT((Marks!$BG$5:$BG$39="bottom")*(Marks!Z$5:Z$39=1))/SUMPRODUCT((Marks!$BG$5:$BG$39="bottom")*ISNUMBER(Marks!Z$5:Z$39)))</f>
        <v/>
      </c>
      <c r="L29" s="6">
        <f>IF(OR(J29="",K29=""),"",J29-K29)</f>
        <v/>
      </c>
      <c r="M29">
        <f>IF(H29=0,"",IF(I29&lt;0.2,"Check the item: fewer than one in five got it right",IF(AND(L29&lt;&gt;"",N(L29)&lt;0),"Check the item: the bottom third beat the top third","")))</f>
        <v/>
      </c>
      <c r="N29">
        <f>IF(H29=0,"",I29+ROW()/1000000)</f>
        <v/>
      </c>
    </row>
    <row r="30">
      <c r="A30" t="n">
        <v>26</v>
      </c>
      <c r="B30" t="n">
        <v>3</v>
      </c>
      <c r="C30" t="inlineStr">
        <is>
          <t>Scenario set</t>
        </is>
      </c>
      <c r="D30" t="inlineStr">
        <is>
          <t>Medium</t>
        </is>
      </c>
      <c r="E30" t="inlineStr">
        <is>
          <t>[F]</t>
        </is>
      </c>
      <c r="F30" t="inlineStr">
        <is>
          <t>True</t>
        </is>
      </c>
      <c r="G30">
        <f>COUNTIF(Marks!AA$5:AA$39,1)</f>
        <v/>
      </c>
      <c r="H30">
        <f>COUNT(Marks!AA$5:AA$39)</f>
        <v/>
      </c>
      <c r="I30" s="6">
        <f>IF(H30=0,"",G30/H30)</f>
        <v/>
      </c>
      <c r="J30" s="6">
        <f>IF(SUMPRODUCT((Marks!$BG$5:$BG$39="top")*ISNUMBER(Marks!AA$5:AA$39))=0,"",SUMPRODUCT((Marks!$BG$5:$BG$39="top")*(Marks!AA$5:AA$39=1))/SUMPRODUCT((Marks!$BG$5:$BG$39="top")*ISNUMBER(Marks!AA$5:AA$39)))</f>
        <v/>
      </c>
      <c r="K30" s="6">
        <f>IF(SUMPRODUCT((Marks!$BG$5:$BG$39="bottom")*ISNUMBER(Marks!AA$5:AA$39))=0,"",SUMPRODUCT((Marks!$BG$5:$BG$39="bottom")*(Marks!AA$5:AA$39=1))/SUMPRODUCT((Marks!$BG$5:$BG$39="bottom")*ISNUMBER(Marks!AA$5:AA$39)))</f>
        <v/>
      </c>
      <c r="L30" s="6">
        <f>IF(OR(J30="",K30=""),"",J30-K30)</f>
        <v/>
      </c>
      <c r="M30">
        <f>IF(H30=0,"",IF(I30&lt;0.2,"Check the item: fewer than one in five got it right",IF(AND(L30&lt;&gt;"",N(L30)&lt;0),"Check the item: the bottom third beat the top third","")))</f>
        <v/>
      </c>
      <c r="N30">
        <f>IF(H30=0,"",I30+ROW()/1000000)</f>
        <v/>
      </c>
    </row>
    <row r="31">
      <c r="A31" t="n">
        <v>27</v>
      </c>
      <c r="B31" t="n">
        <v>3</v>
      </c>
      <c r="C31" t="inlineStr">
        <is>
          <t>Applied maths</t>
        </is>
      </c>
      <c r="D31" t="inlineStr">
        <is>
          <t>Medium</t>
        </is>
      </c>
      <c r="E31" t="inlineStr">
        <is>
          <t>[S]</t>
        </is>
      </c>
      <c r="F31" t="inlineStr">
        <is>
          <t>Rs 21 lakh, which overstates collections by Rs 1 lakh.</t>
        </is>
      </c>
      <c r="G31">
        <f>COUNTIF(Marks!AB$5:AB$39,1)</f>
        <v/>
      </c>
      <c r="H31">
        <f>COUNT(Marks!AB$5:AB$39)</f>
        <v/>
      </c>
      <c r="I31" s="6">
        <f>IF(H31=0,"",G31/H31)</f>
        <v/>
      </c>
      <c r="J31" s="6">
        <f>IF(SUMPRODUCT((Marks!$BG$5:$BG$39="top")*ISNUMBER(Marks!AB$5:AB$39))=0,"",SUMPRODUCT((Marks!$BG$5:$BG$39="top")*(Marks!AB$5:AB$39=1))/SUMPRODUCT((Marks!$BG$5:$BG$39="top")*ISNUMBER(Marks!AB$5:AB$39)))</f>
        <v/>
      </c>
      <c r="K31" s="6">
        <f>IF(SUMPRODUCT((Marks!$BG$5:$BG$39="bottom")*ISNUMBER(Marks!AB$5:AB$39))=0,"",SUMPRODUCT((Marks!$BG$5:$BG$39="bottom")*(Marks!AB$5:AB$39=1))/SUMPRODUCT((Marks!$BG$5:$BG$39="bottom")*ISNUMBER(Marks!AB$5:AB$39)))</f>
        <v/>
      </c>
      <c r="L31" s="6">
        <f>IF(OR(J31="",K31=""),"",J31-K31)</f>
        <v/>
      </c>
      <c r="M31">
        <f>IF(H31=0,"",IF(I31&lt;0.2,"Check the item: fewer than one in five got it right",IF(AND(L31&lt;&gt;"",N(L31)&lt;0),"Check the item: the bottom third beat the top third","")))</f>
        <v/>
      </c>
      <c r="N31">
        <f>IF(H31=0,"",I31+ROW()/1000000)</f>
        <v/>
      </c>
    </row>
    <row r="32">
      <c r="A32" t="n">
        <v>28</v>
      </c>
      <c r="B32" t="n">
        <v>4</v>
      </c>
      <c r="C32" t="inlineStr">
        <is>
          <t>One correct option</t>
        </is>
      </c>
      <c r="D32" t="inlineStr">
        <is>
          <t>Easy</t>
        </is>
      </c>
      <c r="E32" t="inlineStr">
        <is>
          <t>[S]</t>
        </is>
      </c>
      <c r="F32" t="inlineStr">
        <is>
          <t>c</t>
        </is>
      </c>
      <c r="G32">
        <f>COUNTIF(Marks!AC$5:AC$39,1)</f>
        <v/>
      </c>
      <c r="H32">
        <f>COUNT(Marks!AC$5:AC$39)</f>
        <v/>
      </c>
      <c r="I32" s="6">
        <f>IF(H32=0,"",G32/H32)</f>
        <v/>
      </c>
      <c r="J32" s="6">
        <f>IF(SUMPRODUCT((Marks!$BG$5:$BG$39="top")*ISNUMBER(Marks!AC$5:AC$39))=0,"",SUMPRODUCT((Marks!$BG$5:$BG$39="top")*(Marks!AC$5:AC$39=1))/SUMPRODUCT((Marks!$BG$5:$BG$39="top")*ISNUMBER(Marks!AC$5:AC$39)))</f>
        <v/>
      </c>
      <c r="K32" s="6">
        <f>IF(SUMPRODUCT((Marks!$BG$5:$BG$39="bottom")*ISNUMBER(Marks!AC$5:AC$39))=0,"",SUMPRODUCT((Marks!$BG$5:$BG$39="bottom")*(Marks!AC$5:AC$39=1))/SUMPRODUCT((Marks!$BG$5:$BG$39="bottom")*ISNUMBER(Marks!AC$5:AC$39)))</f>
        <v/>
      </c>
      <c r="L32" s="6">
        <f>IF(OR(J32="",K32=""),"",J32-K32)</f>
        <v/>
      </c>
      <c r="M32">
        <f>IF(H32=0,"",IF(I32&lt;0.2,"Check the item: fewer than one in five got it right",IF(AND(L32&lt;&gt;"",N(L32)&lt;0),"Check the item: the bottom third beat the top third","")))</f>
        <v/>
      </c>
      <c r="N32">
        <f>IF(H32=0,"",I32+ROW()/1000000)</f>
        <v/>
      </c>
    </row>
    <row r="33">
      <c r="A33" t="n">
        <v>29</v>
      </c>
      <c r="B33" t="n">
        <v>4</v>
      </c>
      <c r="C33" t="inlineStr">
        <is>
          <t>One correct option</t>
        </is>
      </c>
      <c r="D33" t="inlineStr">
        <is>
          <t>Medium</t>
        </is>
      </c>
      <c r="E33" t="inlineStr">
        <is>
          <t>[S]</t>
        </is>
      </c>
      <c r="F33" t="inlineStr">
        <is>
          <t>b</t>
        </is>
      </c>
      <c r="G33">
        <f>COUNTIF(Marks!AD$5:AD$39,1)</f>
        <v/>
      </c>
      <c r="H33">
        <f>COUNT(Marks!AD$5:AD$39)</f>
        <v/>
      </c>
      <c r="I33" s="6">
        <f>IF(H33=0,"",G33/H33)</f>
        <v/>
      </c>
      <c r="J33" s="6">
        <f>IF(SUMPRODUCT((Marks!$BG$5:$BG$39="top")*ISNUMBER(Marks!AD$5:AD$39))=0,"",SUMPRODUCT((Marks!$BG$5:$BG$39="top")*(Marks!AD$5:AD$39=1))/SUMPRODUCT((Marks!$BG$5:$BG$39="top")*ISNUMBER(Marks!AD$5:AD$39)))</f>
        <v/>
      </c>
      <c r="K33" s="6">
        <f>IF(SUMPRODUCT((Marks!$BG$5:$BG$39="bottom")*ISNUMBER(Marks!AD$5:AD$39))=0,"",SUMPRODUCT((Marks!$BG$5:$BG$39="bottom")*(Marks!AD$5:AD$39=1))/SUMPRODUCT((Marks!$BG$5:$BG$39="bottom")*ISNUMBER(Marks!AD$5:AD$39)))</f>
        <v/>
      </c>
      <c r="L33" s="6">
        <f>IF(OR(J33="",K33=""),"",J33-K33)</f>
        <v/>
      </c>
      <c r="M33">
        <f>IF(H33=0,"",IF(I33&lt;0.2,"Check the item: fewer than one in five got it right",IF(AND(L33&lt;&gt;"",N(L33)&lt;0),"Check the item: the bottom third beat the top third","")))</f>
        <v/>
      </c>
      <c r="N33">
        <f>IF(H33=0,"",I33+ROW()/1000000)</f>
        <v/>
      </c>
    </row>
    <row r="34">
      <c r="A34" t="n">
        <v>30</v>
      </c>
      <c r="B34" t="n">
        <v>4</v>
      </c>
      <c r="C34" t="inlineStr">
        <is>
          <t>One correct option</t>
        </is>
      </c>
      <c r="D34" t="inlineStr">
        <is>
          <t>Medium</t>
        </is>
      </c>
      <c r="E34" t="inlineStr">
        <is>
          <t>[S]</t>
        </is>
      </c>
      <c r="F34" t="inlineStr">
        <is>
          <t>b</t>
        </is>
      </c>
      <c r="G34">
        <f>COUNTIF(Marks!AE$5:AE$39,1)</f>
        <v/>
      </c>
      <c r="H34">
        <f>COUNT(Marks!AE$5:AE$39)</f>
        <v/>
      </c>
      <c r="I34" s="6">
        <f>IF(H34=0,"",G34/H34)</f>
        <v/>
      </c>
      <c r="J34" s="6">
        <f>IF(SUMPRODUCT((Marks!$BG$5:$BG$39="top")*ISNUMBER(Marks!AE$5:AE$39))=0,"",SUMPRODUCT((Marks!$BG$5:$BG$39="top")*(Marks!AE$5:AE$39=1))/SUMPRODUCT((Marks!$BG$5:$BG$39="top")*ISNUMBER(Marks!AE$5:AE$39)))</f>
        <v/>
      </c>
      <c r="K34" s="6">
        <f>IF(SUMPRODUCT((Marks!$BG$5:$BG$39="bottom")*ISNUMBER(Marks!AE$5:AE$39))=0,"",SUMPRODUCT((Marks!$BG$5:$BG$39="bottom")*(Marks!AE$5:AE$39=1))/SUMPRODUCT((Marks!$BG$5:$BG$39="bottom")*ISNUMBER(Marks!AE$5:AE$39)))</f>
        <v/>
      </c>
      <c r="L34" s="6">
        <f>IF(OR(J34="",K34=""),"",J34-K34)</f>
        <v/>
      </c>
      <c r="M34">
        <f>IF(H34=0,"",IF(I34&lt;0.2,"Check the item: fewer than one in five got it right",IF(AND(L34&lt;&gt;"",N(L34)&lt;0),"Check the item: the bottom third beat the top third","")))</f>
        <v/>
      </c>
      <c r="N34">
        <f>IF(H34=0,"",I34+ROW()/1000000)</f>
        <v/>
      </c>
    </row>
    <row r="35">
      <c r="A35" t="n">
        <v>31</v>
      </c>
      <c r="B35" t="n">
        <v>4</v>
      </c>
      <c r="C35" t="inlineStr">
        <is>
          <t>One correct option</t>
        </is>
      </c>
      <c r="D35" t="inlineStr">
        <is>
          <t>Hard</t>
        </is>
      </c>
      <c r="E35" t="inlineStr">
        <is>
          <t>[F]</t>
        </is>
      </c>
      <c r="F35" t="inlineStr">
        <is>
          <t>a</t>
        </is>
      </c>
      <c r="G35">
        <f>COUNTIF(Marks!AF$5:AF$39,1)</f>
        <v/>
      </c>
      <c r="H35">
        <f>COUNT(Marks!AF$5:AF$39)</f>
        <v/>
      </c>
      <c r="I35" s="6">
        <f>IF(H35=0,"",G35/H35)</f>
        <v/>
      </c>
      <c r="J35" s="6">
        <f>IF(SUMPRODUCT((Marks!$BG$5:$BG$39="top")*ISNUMBER(Marks!AF$5:AF$39))=0,"",SUMPRODUCT((Marks!$BG$5:$BG$39="top")*(Marks!AF$5:AF$39=1))/SUMPRODUCT((Marks!$BG$5:$BG$39="top")*ISNUMBER(Marks!AF$5:AF$39)))</f>
        <v/>
      </c>
      <c r="K35" s="6">
        <f>IF(SUMPRODUCT((Marks!$BG$5:$BG$39="bottom")*ISNUMBER(Marks!AF$5:AF$39))=0,"",SUMPRODUCT((Marks!$BG$5:$BG$39="bottom")*(Marks!AF$5:AF$39=1))/SUMPRODUCT((Marks!$BG$5:$BG$39="bottom")*ISNUMBER(Marks!AF$5:AF$39)))</f>
        <v/>
      </c>
      <c r="L35" s="6">
        <f>IF(OR(J35="",K35=""),"",J35-K35)</f>
        <v/>
      </c>
      <c r="M35">
        <f>IF(H35=0,"",IF(I35&lt;0.2,"Check the item: fewer than one in five got it right",IF(AND(L35&lt;&gt;"",N(L35)&lt;0),"Check the item: the bottom third beat the top third","")))</f>
        <v/>
      </c>
      <c r="N35">
        <f>IF(H35=0,"",I35+ROW()/1000000)</f>
        <v/>
      </c>
    </row>
    <row r="36">
      <c r="A36" t="n">
        <v>32</v>
      </c>
      <c r="B36" t="n">
        <v>4</v>
      </c>
      <c r="C36" t="inlineStr">
        <is>
          <t>More than one correct</t>
        </is>
      </c>
      <c r="D36" t="inlineStr">
        <is>
          <t>Hard</t>
        </is>
      </c>
      <c r="E36" t="inlineStr">
        <is>
          <t>[S]</t>
        </is>
      </c>
      <c r="F36" t="inlineStr">
        <is>
          <t>a, c, d</t>
        </is>
      </c>
      <c r="G36">
        <f>COUNTIF(Marks!AG$5:AG$39,1)</f>
        <v/>
      </c>
      <c r="H36">
        <f>COUNT(Marks!AG$5:AG$39)</f>
        <v/>
      </c>
      <c r="I36" s="6">
        <f>IF(H36=0,"",G36/H36)</f>
        <v/>
      </c>
      <c r="J36" s="6">
        <f>IF(SUMPRODUCT((Marks!$BG$5:$BG$39="top")*ISNUMBER(Marks!AG$5:AG$39))=0,"",SUMPRODUCT((Marks!$BG$5:$BG$39="top")*(Marks!AG$5:AG$39=1))/SUMPRODUCT((Marks!$BG$5:$BG$39="top")*ISNUMBER(Marks!AG$5:AG$39)))</f>
        <v/>
      </c>
      <c r="K36" s="6">
        <f>IF(SUMPRODUCT((Marks!$BG$5:$BG$39="bottom")*ISNUMBER(Marks!AG$5:AG$39))=0,"",SUMPRODUCT((Marks!$BG$5:$BG$39="bottom")*(Marks!AG$5:AG$39=1))/SUMPRODUCT((Marks!$BG$5:$BG$39="bottom")*ISNUMBER(Marks!AG$5:AG$39)))</f>
        <v/>
      </c>
      <c r="L36" s="6">
        <f>IF(OR(J36="",K36=""),"",J36-K36)</f>
        <v/>
      </c>
      <c r="M36">
        <f>IF(H36=0,"",IF(I36&lt;0.2,"Check the item: fewer than one in five got it right",IF(AND(L36&lt;&gt;"",N(L36)&lt;0),"Check the item: the bottom third beat the top third","")))</f>
        <v/>
      </c>
      <c r="N36">
        <f>IF(H36=0,"",I36+ROW()/1000000)</f>
        <v/>
      </c>
    </row>
    <row r="37">
      <c r="A37" t="n">
        <v>33</v>
      </c>
      <c r="B37" t="n">
        <v>4</v>
      </c>
      <c r="C37" t="inlineStr">
        <is>
          <t>More than one correct</t>
        </is>
      </c>
      <c r="D37" t="inlineStr">
        <is>
          <t>Hard</t>
        </is>
      </c>
      <c r="E37" t="inlineStr">
        <is>
          <t>[D]</t>
        </is>
      </c>
      <c r="F37" t="inlineStr">
        <is>
          <t>a, b, c</t>
        </is>
      </c>
      <c r="G37">
        <f>COUNTIF(Marks!AH$5:AH$39,1)</f>
        <v/>
      </c>
      <c r="H37">
        <f>COUNT(Marks!AH$5:AH$39)</f>
        <v/>
      </c>
      <c r="I37" s="6">
        <f>IF(H37=0,"",G37/H37)</f>
        <v/>
      </c>
      <c r="J37" s="6">
        <f>IF(SUMPRODUCT((Marks!$BG$5:$BG$39="top")*ISNUMBER(Marks!AH$5:AH$39))=0,"",SUMPRODUCT((Marks!$BG$5:$BG$39="top")*(Marks!AH$5:AH$39=1))/SUMPRODUCT((Marks!$BG$5:$BG$39="top")*ISNUMBER(Marks!AH$5:AH$39)))</f>
        <v/>
      </c>
      <c r="K37" s="6">
        <f>IF(SUMPRODUCT((Marks!$BG$5:$BG$39="bottom")*ISNUMBER(Marks!AH$5:AH$39))=0,"",SUMPRODUCT((Marks!$BG$5:$BG$39="bottom")*(Marks!AH$5:AH$39=1))/SUMPRODUCT((Marks!$BG$5:$BG$39="bottom")*ISNUMBER(Marks!AH$5:AH$39)))</f>
        <v/>
      </c>
      <c r="L37" s="6">
        <f>IF(OR(J37="",K37=""),"",J37-K37)</f>
        <v/>
      </c>
      <c r="M37">
        <f>IF(H37=0,"",IF(I37&lt;0.2,"Check the item: fewer than one in five got it right",IF(AND(L37&lt;&gt;"",N(L37)&lt;0),"Check the item: the bottom third beat the top third","")))</f>
        <v/>
      </c>
      <c r="N37">
        <f>IF(H37=0,"",I37+ROW()/1000000)</f>
        <v/>
      </c>
    </row>
    <row r="38">
      <c r="A38" t="n">
        <v>34</v>
      </c>
      <c r="B38" t="n">
        <v>4</v>
      </c>
      <c r="C38" t="inlineStr">
        <is>
          <t>Scenario set</t>
        </is>
      </c>
      <c r="D38" t="inlineStr">
        <is>
          <t>Medium</t>
        </is>
      </c>
      <c r="E38" t="inlineStr">
        <is>
          <t>[S]</t>
        </is>
      </c>
      <c r="F38" t="inlineStr">
        <is>
          <t>4</t>
        </is>
      </c>
      <c r="G38">
        <f>COUNTIF(Marks!AI$5:AI$39,1)</f>
        <v/>
      </c>
      <c r="H38">
        <f>COUNT(Marks!AI$5:AI$39)</f>
        <v/>
      </c>
      <c r="I38" s="6">
        <f>IF(H38=0,"",G38/H38)</f>
        <v/>
      </c>
      <c r="J38" s="6">
        <f>IF(SUMPRODUCT((Marks!$BG$5:$BG$39="top")*ISNUMBER(Marks!AI$5:AI$39))=0,"",SUMPRODUCT((Marks!$BG$5:$BG$39="top")*(Marks!AI$5:AI$39=1))/SUMPRODUCT((Marks!$BG$5:$BG$39="top")*ISNUMBER(Marks!AI$5:AI$39)))</f>
        <v/>
      </c>
      <c r="K38" s="6">
        <f>IF(SUMPRODUCT((Marks!$BG$5:$BG$39="bottom")*ISNUMBER(Marks!AI$5:AI$39))=0,"",SUMPRODUCT((Marks!$BG$5:$BG$39="bottom")*(Marks!AI$5:AI$39=1))/SUMPRODUCT((Marks!$BG$5:$BG$39="bottom")*ISNUMBER(Marks!AI$5:AI$39)))</f>
        <v/>
      </c>
      <c r="L38" s="6">
        <f>IF(OR(J38="",K38=""),"",J38-K38)</f>
        <v/>
      </c>
      <c r="M38">
        <f>IF(H38=0,"",IF(I38&lt;0.2,"Check the item: fewer than one in five got it right",IF(AND(L38&lt;&gt;"",N(L38)&lt;0),"Check the item: the bottom third beat the top third","")))</f>
        <v/>
      </c>
      <c r="N38">
        <f>IF(H38=0,"",I38+ROW()/1000000)</f>
        <v/>
      </c>
    </row>
    <row r="39">
      <c r="A39" t="n">
        <v>35</v>
      </c>
      <c r="B39" t="n">
        <v>4</v>
      </c>
      <c r="C39" t="inlineStr">
        <is>
          <t>Scenario set</t>
        </is>
      </c>
      <c r="D39" t="inlineStr">
        <is>
          <t>Medium</t>
        </is>
      </c>
      <c r="E39" t="inlineStr">
        <is>
          <t>[S]</t>
        </is>
      </c>
      <c r="F39" t="inlineStr">
        <is>
          <t>4</t>
        </is>
      </c>
      <c r="G39">
        <f>COUNTIF(Marks!AJ$5:AJ$39,1)</f>
        <v/>
      </c>
      <c r="H39">
        <f>COUNT(Marks!AJ$5:AJ$39)</f>
        <v/>
      </c>
      <c r="I39" s="6">
        <f>IF(H39=0,"",G39/H39)</f>
        <v/>
      </c>
      <c r="J39" s="6">
        <f>IF(SUMPRODUCT((Marks!$BG$5:$BG$39="top")*ISNUMBER(Marks!AJ$5:AJ$39))=0,"",SUMPRODUCT((Marks!$BG$5:$BG$39="top")*(Marks!AJ$5:AJ$39=1))/SUMPRODUCT((Marks!$BG$5:$BG$39="top")*ISNUMBER(Marks!AJ$5:AJ$39)))</f>
        <v/>
      </c>
      <c r="K39" s="6">
        <f>IF(SUMPRODUCT((Marks!$BG$5:$BG$39="bottom")*ISNUMBER(Marks!AJ$5:AJ$39))=0,"",SUMPRODUCT((Marks!$BG$5:$BG$39="bottom")*(Marks!AJ$5:AJ$39=1))/SUMPRODUCT((Marks!$BG$5:$BG$39="bottom")*ISNUMBER(Marks!AJ$5:AJ$39)))</f>
        <v/>
      </c>
      <c r="L39" s="6">
        <f>IF(OR(J39="",K39=""),"",J39-K39)</f>
        <v/>
      </c>
      <c r="M39">
        <f>IF(H39=0,"",IF(I39&lt;0.2,"Check the item: fewer than one in five got it right",IF(AND(L39&lt;&gt;"",N(L39)&lt;0),"Check the item: the bottom third beat the top third","")))</f>
        <v/>
      </c>
      <c r="N39">
        <f>IF(H39=0,"",I39+ROW()/1000000)</f>
        <v/>
      </c>
    </row>
    <row r="40">
      <c r="A40" t="n">
        <v>36</v>
      </c>
      <c r="B40" t="n">
        <v>4</v>
      </c>
      <c r="C40" t="inlineStr">
        <is>
          <t>Scenario set</t>
        </is>
      </c>
      <c r="D40" t="inlineStr">
        <is>
          <t>Hard</t>
        </is>
      </c>
      <c r="E40" t="inlineStr">
        <is>
          <t>[F]</t>
        </is>
      </c>
      <c r="F40" t="inlineStr">
        <is>
          <t>c</t>
        </is>
      </c>
      <c r="G40">
        <f>COUNTIF(Marks!AK$5:AK$39,1)</f>
        <v/>
      </c>
      <c r="H40">
        <f>COUNT(Marks!AK$5:AK$39)</f>
        <v/>
      </c>
      <c r="I40" s="6">
        <f>IF(H40=0,"",G40/H40)</f>
        <v/>
      </c>
      <c r="J40" s="6">
        <f>IF(SUMPRODUCT((Marks!$BG$5:$BG$39="top")*ISNUMBER(Marks!AK$5:AK$39))=0,"",SUMPRODUCT((Marks!$BG$5:$BG$39="top")*(Marks!AK$5:AK$39=1))/SUMPRODUCT((Marks!$BG$5:$BG$39="top")*ISNUMBER(Marks!AK$5:AK$39)))</f>
        <v/>
      </c>
      <c r="K40" s="6">
        <f>IF(SUMPRODUCT((Marks!$BG$5:$BG$39="bottom")*ISNUMBER(Marks!AK$5:AK$39))=0,"",SUMPRODUCT((Marks!$BG$5:$BG$39="bottom")*(Marks!AK$5:AK$39=1))/SUMPRODUCT((Marks!$BG$5:$BG$39="bottom")*ISNUMBER(Marks!AK$5:AK$39)))</f>
        <v/>
      </c>
      <c r="L40" s="6">
        <f>IF(OR(J40="",K40=""),"",J40-K40)</f>
        <v/>
      </c>
      <c r="M40">
        <f>IF(H40=0,"",IF(I40&lt;0.2,"Check the item: fewer than one in five got it right",IF(AND(L40&lt;&gt;"",N(L40)&lt;0),"Check the item: the bottom third beat the top third","")))</f>
        <v/>
      </c>
      <c r="N40">
        <f>IF(H40=0,"",I40+ROW()/1000000)</f>
        <v/>
      </c>
    </row>
    <row r="41">
      <c r="A41" t="n">
        <v>37</v>
      </c>
      <c r="B41" t="n">
        <v>4</v>
      </c>
      <c r="C41" t="inlineStr">
        <is>
          <t>Scenario set</t>
        </is>
      </c>
      <c r="D41" t="inlineStr">
        <is>
          <t>Hard</t>
        </is>
      </c>
      <c r="E41" t="inlineStr">
        <is>
          <t>[D]</t>
        </is>
      </c>
      <c r="F41" t="inlineStr">
        <is>
          <t>c</t>
        </is>
      </c>
      <c r="G41">
        <f>COUNTIF(Marks!AL$5:AL$39,1)</f>
        <v/>
      </c>
      <c r="H41">
        <f>COUNT(Marks!AL$5:AL$39)</f>
        <v/>
      </c>
      <c r="I41" s="6">
        <f>IF(H41=0,"",G41/H41)</f>
        <v/>
      </c>
      <c r="J41" s="6">
        <f>IF(SUMPRODUCT((Marks!$BG$5:$BG$39="top")*ISNUMBER(Marks!AL$5:AL$39))=0,"",SUMPRODUCT((Marks!$BG$5:$BG$39="top")*(Marks!AL$5:AL$39=1))/SUMPRODUCT((Marks!$BG$5:$BG$39="top")*ISNUMBER(Marks!AL$5:AL$39)))</f>
        <v/>
      </c>
      <c r="K41" s="6">
        <f>IF(SUMPRODUCT((Marks!$BG$5:$BG$39="bottom")*ISNUMBER(Marks!AL$5:AL$39))=0,"",SUMPRODUCT((Marks!$BG$5:$BG$39="bottom")*(Marks!AL$5:AL$39=1))/SUMPRODUCT((Marks!$BG$5:$BG$39="bottom")*ISNUMBER(Marks!AL$5:AL$39)))</f>
        <v/>
      </c>
      <c r="L41" s="6">
        <f>IF(OR(J41="",K41=""),"",J41-K41)</f>
        <v/>
      </c>
      <c r="M41">
        <f>IF(H41=0,"",IF(I41&lt;0.2,"Check the item: fewer than one in five got it right",IF(AND(L41&lt;&gt;"",N(L41)&lt;0),"Check the item: the bottom third beat the top third","")))</f>
        <v/>
      </c>
      <c r="N41">
        <f>IF(H41=0,"",I41+ROW()/1000000)</f>
        <v/>
      </c>
    </row>
    <row r="42">
      <c r="A42" t="n">
        <v>38</v>
      </c>
      <c r="B42" t="n">
        <v>4</v>
      </c>
      <c r="C42" t="inlineStr">
        <is>
          <t>Applied maths</t>
        </is>
      </c>
      <c r="D42" t="inlineStr">
        <is>
          <t>Hard</t>
        </is>
      </c>
      <c r="E42" t="inlineStr">
        <is>
          <t>[D]</t>
        </is>
      </c>
      <c r="F42" t="inlineStr">
        <is>
          <t>51 under RANK(); 50 under ROW_NUMBER().</t>
        </is>
      </c>
      <c r="G42">
        <f>COUNTIF(Marks!AM$5:AM$39,1)</f>
        <v/>
      </c>
      <c r="H42">
        <f>COUNT(Marks!AM$5:AM$39)</f>
        <v/>
      </c>
      <c r="I42" s="6">
        <f>IF(H42=0,"",G42/H42)</f>
        <v/>
      </c>
      <c r="J42" s="6">
        <f>IF(SUMPRODUCT((Marks!$BG$5:$BG$39="top")*ISNUMBER(Marks!AM$5:AM$39))=0,"",SUMPRODUCT((Marks!$BG$5:$BG$39="top")*(Marks!AM$5:AM$39=1))/SUMPRODUCT((Marks!$BG$5:$BG$39="top")*ISNUMBER(Marks!AM$5:AM$39)))</f>
        <v/>
      </c>
      <c r="K42" s="6">
        <f>IF(SUMPRODUCT((Marks!$BG$5:$BG$39="bottom")*ISNUMBER(Marks!AM$5:AM$39))=0,"",SUMPRODUCT((Marks!$BG$5:$BG$39="bottom")*(Marks!AM$5:AM$39=1))/SUMPRODUCT((Marks!$BG$5:$BG$39="bottom")*ISNUMBER(Marks!AM$5:AM$39)))</f>
        <v/>
      </c>
      <c r="L42" s="6">
        <f>IF(OR(J42="",K42=""),"",J42-K42)</f>
        <v/>
      </c>
      <c r="M42">
        <f>IF(H42=0,"",IF(I42&lt;0.2,"Check the item: fewer than one in five got it right",IF(AND(L42&lt;&gt;"",N(L42)&lt;0),"Check the item: the bottom third beat the top third","")))</f>
        <v/>
      </c>
      <c r="N42">
        <f>IF(H42=0,"",I42+ROW()/1000000)</f>
        <v/>
      </c>
    </row>
    <row r="43">
      <c r="A43" t="n">
        <v>39</v>
      </c>
      <c r="B43" t="n">
        <v>4</v>
      </c>
      <c r="C43" t="inlineStr">
        <is>
          <t>Applied maths</t>
        </is>
      </c>
      <c r="D43" t="inlineStr">
        <is>
          <t>Medium</t>
        </is>
      </c>
      <c r="E43" t="inlineStr">
        <is>
          <t>[F]</t>
        </is>
      </c>
      <c r="F43" t="inlineStr">
        <is>
          <t>A fall of Rs 800, then a fall of Rs 300; the flag fires.</t>
        </is>
      </c>
      <c r="G43">
        <f>COUNTIF(Marks!AN$5:AN$39,1)</f>
        <v/>
      </c>
      <c r="H43">
        <f>COUNT(Marks!AN$5:AN$39)</f>
        <v/>
      </c>
      <c r="I43" s="6">
        <f>IF(H43=0,"",G43/H43)</f>
        <v/>
      </c>
      <c r="J43" s="6">
        <f>IF(SUMPRODUCT((Marks!$BG$5:$BG$39="top")*ISNUMBER(Marks!AN$5:AN$39))=0,"",SUMPRODUCT((Marks!$BG$5:$BG$39="top")*(Marks!AN$5:AN$39=1))/SUMPRODUCT((Marks!$BG$5:$BG$39="top")*ISNUMBER(Marks!AN$5:AN$39)))</f>
        <v/>
      </c>
      <c r="K43" s="6">
        <f>IF(SUMPRODUCT((Marks!$BG$5:$BG$39="bottom")*ISNUMBER(Marks!AN$5:AN$39))=0,"",SUMPRODUCT((Marks!$BG$5:$BG$39="bottom")*(Marks!AN$5:AN$39=1))/SUMPRODUCT((Marks!$BG$5:$BG$39="bottom")*ISNUMBER(Marks!AN$5:AN$39)))</f>
        <v/>
      </c>
      <c r="L43" s="6">
        <f>IF(OR(J43="",K43=""),"",J43-K43)</f>
        <v/>
      </c>
      <c r="M43">
        <f>IF(H43=0,"",IF(I43&lt;0.2,"Check the item: fewer than one in five got it right",IF(AND(L43&lt;&gt;"",N(L43)&lt;0),"Check the item: the bottom third beat the top third","")))</f>
        <v/>
      </c>
      <c r="N43">
        <f>IF(H43=0,"",I43+ROW()/1000000)</f>
        <v/>
      </c>
    </row>
    <row r="44">
      <c r="A44" t="n">
        <v>40</v>
      </c>
      <c r="B44" t="n">
        <v>5</v>
      </c>
      <c r="C44" t="inlineStr">
        <is>
          <t>One correct option</t>
        </is>
      </c>
      <c r="D44" t="inlineStr">
        <is>
          <t>Medium</t>
        </is>
      </c>
      <c r="E44" t="inlineStr">
        <is>
          <t>[S]</t>
        </is>
      </c>
      <c r="F44" t="inlineStr">
        <is>
          <t>c</t>
        </is>
      </c>
      <c r="G44">
        <f>COUNTIF(Marks!AO$5:AO$39,1)</f>
        <v/>
      </c>
      <c r="H44">
        <f>COUNT(Marks!AO$5:AO$39)</f>
        <v/>
      </c>
      <c r="I44" s="6">
        <f>IF(H44=0,"",G44/H44)</f>
        <v/>
      </c>
      <c r="J44" s="6">
        <f>IF(SUMPRODUCT((Marks!$BG$5:$BG$39="top")*ISNUMBER(Marks!AO$5:AO$39))=0,"",SUMPRODUCT((Marks!$BG$5:$BG$39="top")*(Marks!AO$5:AO$39=1))/SUMPRODUCT((Marks!$BG$5:$BG$39="top")*ISNUMBER(Marks!AO$5:AO$39)))</f>
        <v/>
      </c>
      <c r="K44" s="6">
        <f>IF(SUMPRODUCT((Marks!$BG$5:$BG$39="bottom")*ISNUMBER(Marks!AO$5:AO$39))=0,"",SUMPRODUCT((Marks!$BG$5:$BG$39="bottom")*(Marks!AO$5:AO$39=1))/SUMPRODUCT((Marks!$BG$5:$BG$39="bottom")*ISNUMBER(Marks!AO$5:AO$39)))</f>
        <v/>
      </c>
      <c r="L44" s="6">
        <f>IF(OR(J44="",K44=""),"",J44-K44)</f>
        <v/>
      </c>
      <c r="M44">
        <f>IF(H44=0,"",IF(I44&lt;0.2,"Check the item: fewer than one in five got it right",IF(AND(L44&lt;&gt;"",N(L44)&lt;0),"Check the item: the bottom third beat the top third","")))</f>
        <v/>
      </c>
      <c r="N44">
        <f>IF(H44=0,"",I44+ROW()/1000000)</f>
        <v/>
      </c>
    </row>
    <row r="45">
      <c r="A45" t="n">
        <v>41</v>
      </c>
      <c r="B45" t="n">
        <v>5</v>
      </c>
      <c r="C45" t="inlineStr">
        <is>
          <t>One correct option</t>
        </is>
      </c>
      <c r="D45" t="inlineStr">
        <is>
          <t>Medium</t>
        </is>
      </c>
      <c r="E45" t="inlineStr">
        <is>
          <t>[F]</t>
        </is>
      </c>
      <c r="F45" t="inlineStr">
        <is>
          <t>b</t>
        </is>
      </c>
      <c r="G45">
        <f>COUNTIF(Marks!AP$5:AP$39,1)</f>
        <v/>
      </c>
      <c r="H45">
        <f>COUNT(Marks!AP$5:AP$39)</f>
        <v/>
      </c>
      <c r="I45" s="6">
        <f>IF(H45=0,"",G45/H45)</f>
        <v/>
      </c>
      <c r="J45" s="6">
        <f>IF(SUMPRODUCT((Marks!$BG$5:$BG$39="top")*ISNUMBER(Marks!AP$5:AP$39))=0,"",SUMPRODUCT((Marks!$BG$5:$BG$39="top")*(Marks!AP$5:AP$39=1))/SUMPRODUCT((Marks!$BG$5:$BG$39="top")*ISNUMBER(Marks!AP$5:AP$39)))</f>
        <v/>
      </c>
      <c r="K45" s="6">
        <f>IF(SUMPRODUCT((Marks!$BG$5:$BG$39="bottom")*ISNUMBER(Marks!AP$5:AP$39))=0,"",SUMPRODUCT((Marks!$BG$5:$BG$39="bottom")*(Marks!AP$5:AP$39=1))/SUMPRODUCT((Marks!$BG$5:$BG$39="bottom")*ISNUMBER(Marks!AP$5:AP$39)))</f>
        <v/>
      </c>
      <c r="L45" s="6">
        <f>IF(OR(J45="",K45=""),"",J45-K45)</f>
        <v/>
      </c>
      <c r="M45">
        <f>IF(H45=0,"",IF(I45&lt;0.2,"Check the item: fewer than one in five got it right",IF(AND(L45&lt;&gt;"",N(L45)&lt;0),"Check the item: the bottom third beat the top third","")))</f>
        <v/>
      </c>
      <c r="N45">
        <f>IF(H45=0,"",I45+ROW()/1000000)</f>
        <v/>
      </c>
    </row>
    <row r="46">
      <c r="A46" t="n">
        <v>42</v>
      </c>
      <c r="B46" t="n">
        <v>5</v>
      </c>
      <c r="C46" t="inlineStr">
        <is>
          <t>One correct option</t>
        </is>
      </c>
      <c r="D46" t="inlineStr">
        <is>
          <t>Medium</t>
        </is>
      </c>
      <c r="E46" t="inlineStr">
        <is>
          <t>[S]</t>
        </is>
      </c>
      <c r="F46" t="inlineStr">
        <is>
          <t>d</t>
        </is>
      </c>
      <c r="G46">
        <f>COUNTIF(Marks!AQ$5:AQ$39,1)</f>
        <v/>
      </c>
      <c r="H46">
        <f>COUNT(Marks!AQ$5:AQ$39)</f>
        <v/>
      </c>
      <c r="I46" s="6">
        <f>IF(H46=0,"",G46/H46)</f>
        <v/>
      </c>
      <c r="J46" s="6">
        <f>IF(SUMPRODUCT((Marks!$BG$5:$BG$39="top")*ISNUMBER(Marks!AQ$5:AQ$39))=0,"",SUMPRODUCT((Marks!$BG$5:$BG$39="top")*(Marks!AQ$5:AQ$39=1))/SUMPRODUCT((Marks!$BG$5:$BG$39="top")*ISNUMBER(Marks!AQ$5:AQ$39)))</f>
        <v/>
      </c>
      <c r="K46" s="6">
        <f>IF(SUMPRODUCT((Marks!$BG$5:$BG$39="bottom")*ISNUMBER(Marks!AQ$5:AQ$39))=0,"",SUMPRODUCT((Marks!$BG$5:$BG$39="bottom")*(Marks!AQ$5:AQ$39=1))/SUMPRODUCT((Marks!$BG$5:$BG$39="bottom")*ISNUMBER(Marks!AQ$5:AQ$39)))</f>
        <v/>
      </c>
      <c r="L46" s="6">
        <f>IF(OR(J46="",K46=""),"",J46-K46)</f>
        <v/>
      </c>
      <c r="M46">
        <f>IF(H46=0,"",IF(I46&lt;0.2,"Check the item: fewer than one in five got it right",IF(AND(L46&lt;&gt;"",N(L46)&lt;0),"Check the item: the bottom third beat the top third","")))</f>
        <v/>
      </c>
      <c r="N46">
        <f>IF(H46=0,"",I46+ROW()/1000000)</f>
        <v/>
      </c>
    </row>
    <row r="47">
      <c r="A47" t="n">
        <v>43</v>
      </c>
      <c r="B47" t="n">
        <v>5</v>
      </c>
      <c r="C47" t="inlineStr">
        <is>
          <t>One correct option</t>
        </is>
      </c>
      <c r="D47" t="inlineStr">
        <is>
          <t>Medium</t>
        </is>
      </c>
      <c r="E47" t="inlineStr">
        <is>
          <t>[S]</t>
        </is>
      </c>
      <c r="F47" t="inlineStr">
        <is>
          <t>a</t>
        </is>
      </c>
      <c r="G47">
        <f>COUNTIF(Marks!AR$5:AR$39,1)</f>
        <v/>
      </c>
      <c r="H47">
        <f>COUNT(Marks!AR$5:AR$39)</f>
        <v/>
      </c>
      <c r="I47" s="6">
        <f>IF(H47=0,"",G47/H47)</f>
        <v/>
      </c>
      <c r="J47" s="6">
        <f>IF(SUMPRODUCT((Marks!$BG$5:$BG$39="top")*ISNUMBER(Marks!AR$5:AR$39))=0,"",SUMPRODUCT((Marks!$BG$5:$BG$39="top")*(Marks!AR$5:AR$39=1))/SUMPRODUCT((Marks!$BG$5:$BG$39="top")*ISNUMBER(Marks!AR$5:AR$39)))</f>
        <v/>
      </c>
      <c r="K47" s="6">
        <f>IF(SUMPRODUCT((Marks!$BG$5:$BG$39="bottom")*ISNUMBER(Marks!AR$5:AR$39))=0,"",SUMPRODUCT((Marks!$BG$5:$BG$39="bottom")*(Marks!AR$5:AR$39=1))/SUMPRODUCT((Marks!$BG$5:$BG$39="bottom")*ISNUMBER(Marks!AR$5:AR$39)))</f>
        <v/>
      </c>
      <c r="L47" s="6">
        <f>IF(OR(J47="",K47=""),"",J47-K47)</f>
        <v/>
      </c>
      <c r="M47">
        <f>IF(H47=0,"",IF(I47&lt;0.2,"Check the item: fewer than one in five got it right",IF(AND(L47&lt;&gt;"",N(L47)&lt;0),"Check the item: the bottom third beat the top third","")))</f>
        <v/>
      </c>
      <c r="N47">
        <f>IF(H47=0,"",I47+ROW()/1000000)</f>
        <v/>
      </c>
    </row>
    <row r="48">
      <c r="A48" t="n">
        <v>44</v>
      </c>
      <c r="B48" t="n">
        <v>5</v>
      </c>
      <c r="C48" t="inlineStr">
        <is>
          <t>More than one correct</t>
        </is>
      </c>
      <c r="D48" t="inlineStr">
        <is>
          <t>Medium</t>
        </is>
      </c>
      <c r="E48" t="inlineStr">
        <is>
          <t>[F]</t>
        </is>
      </c>
      <c r="F48" t="inlineStr">
        <is>
          <t>a, b, d</t>
        </is>
      </c>
      <c r="G48">
        <f>COUNTIF(Marks!AS$5:AS$39,1)</f>
        <v/>
      </c>
      <c r="H48">
        <f>COUNT(Marks!AS$5:AS$39)</f>
        <v/>
      </c>
      <c r="I48" s="6">
        <f>IF(H48=0,"",G48/H48)</f>
        <v/>
      </c>
      <c r="J48" s="6">
        <f>IF(SUMPRODUCT((Marks!$BG$5:$BG$39="top")*ISNUMBER(Marks!AS$5:AS$39))=0,"",SUMPRODUCT((Marks!$BG$5:$BG$39="top")*(Marks!AS$5:AS$39=1))/SUMPRODUCT((Marks!$BG$5:$BG$39="top")*ISNUMBER(Marks!AS$5:AS$39)))</f>
        <v/>
      </c>
      <c r="K48" s="6">
        <f>IF(SUMPRODUCT((Marks!$BG$5:$BG$39="bottom")*ISNUMBER(Marks!AS$5:AS$39))=0,"",SUMPRODUCT((Marks!$BG$5:$BG$39="bottom")*(Marks!AS$5:AS$39=1))/SUMPRODUCT((Marks!$BG$5:$BG$39="bottom")*ISNUMBER(Marks!AS$5:AS$39)))</f>
        <v/>
      </c>
      <c r="L48" s="6">
        <f>IF(OR(J48="",K48=""),"",J48-K48)</f>
        <v/>
      </c>
      <c r="M48">
        <f>IF(H48=0,"",IF(I48&lt;0.2,"Check the item: fewer than one in five got it right",IF(AND(L48&lt;&gt;"",N(L48)&lt;0),"Check the item: the bottom third beat the top third","")))</f>
        <v/>
      </c>
      <c r="N48">
        <f>IF(H48=0,"",I48+ROW()/1000000)</f>
        <v/>
      </c>
    </row>
    <row r="49">
      <c r="A49" t="n">
        <v>45</v>
      </c>
      <c r="B49" t="n">
        <v>5</v>
      </c>
      <c r="C49" t="inlineStr">
        <is>
          <t>More than one correct</t>
        </is>
      </c>
      <c r="D49" t="inlineStr">
        <is>
          <t>Medium</t>
        </is>
      </c>
      <c r="E49" t="inlineStr">
        <is>
          <t>[S]</t>
        </is>
      </c>
      <c r="F49" t="inlineStr">
        <is>
          <t>a, b, c</t>
        </is>
      </c>
      <c r="G49">
        <f>COUNTIF(Marks!AT$5:AT$39,1)</f>
        <v/>
      </c>
      <c r="H49">
        <f>COUNT(Marks!AT$5:AT$39)</f>
        <v/>
      </c>
      <c r="I49" s="6">
        <f>IF(H49=0,"",G49/H49)</f>
        <v/>
      </c>
      <c r="J49" s="6">
        <f>IF(SUMPRODUCT((Marks!$BG$5:$BG$39="top")*ISNUMBER(Marks!AT$5:AT$39))=0,"",SUMPRODUCT((Marks!$BG$5:$BG$39="top")*(Marks!AT$5:AT$39=1))/SUMPRODUCT((Marks!$BG$5:$BG$39="top")*ISNUMBER(Marks!AT$5:AT$39)))</f>
        <v/>
      </c>
      <c r="K49" s="6">
        <f>IF(SUMPRODUCT((Marks!$BG$5:$BG$39="bottom")*ISNUMBER(Marks!AT$5:AT$39))=0,"",SUMPRODUCT((Marks!$BG$5:$BG$39="bottom")*(Marks!AT$5:AT$39=1))/SUMPRODUCT((Marks!$BG$5:$BG$39="bottom")*ISNUMBER(Marks!AT$5:AT$39)))</f>
        <v/>
      </c>
      <c r="L49" s="6">
        <f>IF(OR(J49="",K49=""),"",J49-K49)</f>
        <v/>
      </c>
      <c r="M49">
        <f>IF(H49=0,"",IF(I49&lt;0.2,"Check the item: fewer than one in five got it right",IF(AND(L49&lt;&gt;"",N(L49)&lt;0),"Check the item: the bottom third beat the top third","")))</f>
        <v/>
      </c>
      <c r="N49">
        <f>IF(H49=0,"",I49+ROW()/1000000)</f>
        <v/>
      </c>
    </row>
    <row r="50">
      <c r="A50" t="n">
        <v>46</v>
      </c>
      <c r="B50" t="n">
        <v>5</v>
      </c>
      <c r="C50" t="inlineStr">
        <is>
          <t>Scenario set</t>
        </is>
      </c>
      <c r="D50" t="inlineStr">
        <is>
          <t>Medium</t>
        </is>
      </c>
      <c r="E50" t="inlineStr">
        <is>
          <t>[F]</t>
        </is>
      </c>
      <c r="F50" t="inlineStr">
        <is>
          <t>1,060</t>
        </is>
      </c>
      <c r="G50">
        <f>COUNTIF(Marks!AU$5:AU$39,1)</f>
        <v/>
      </c>
      <c r="H50">
        <f>COUNT(Marks!AU$5:AU$39)</f>
        <v/>
      </c>
      <c r="I50" s="6">
        <f>IF(H50=0,"",G50/H50)</f>
        <v/>
      </c>
      <c r="J50" s="6">
        <f>IF(SUMPRODUCT((Marks!$BG$5:$BG$39="top")*ISNUMBER(Marks!AU$5:AU$39))=0,"",SUMPRODUCT((Marks!$BG$5:$BG$39="top")*(Marks!AU$5:AU$39=1))/SUMPRODUCT((Marks!$BG$5:$BG$39="top")*ISNUMBER(Marks!AU$5:AU$39)))</f>
        <v/>
      </c>
      <c r="K50" s="6">
        <f>IF(SUMPRODUCT((Marks!$BG$5:$BG$39="bottom")*ISNUMBER(Marks!AU$5:AU$39))=0,"",SUMPRODUCT((Marks!$BG$5:$BG$39="bottom")*(Marks!AU$5:AU$39=1))/SUMPRODUCT((Marks!$BG$5:$BG$39="bottom")*ISNUMBER(Marks!AU$5:AU$39)))</f>
        <v/>
      </c>
      <c r="L50" s="6">
        <f>IF(OR(J50="",K50=""),"",J50-K50)</f>
        <v/>
      </c>
      <c r="M50">
        <f>IF(H50=0,"",IF(I50&lt;0.2,"Check the item: fewer than one in five got it right",IF(AND(L50&lt;&gt;"",N(L50)&lt;0),"Check the item: the bottom third beat the top third","")))</f>
        <v/>
      </c>
      <c r="N50">
        <f>IF(H50=0,"",I50+ROW()/1000000)</f>
        <v/>
      </c>
    </row>
    <row r="51">
      <c r="A51" t="n">
        <v>47</v>
      </c>
      <c r="B51" t="n">
        <v>5</v>
      </c>
      <c r="C51" t="inlineStr">
        <is>
          <t>Scenario set</t>
        </is>
      </c>
      <c r="D51" t="inlineStr">
        <is>
          <t>Medium</t>
        </is>
      </c>
      <c r="E51" t="inlineStr">
        <is>
          <t>[F]</t>
        </is>
      </c>
      <c r="F51" t="inlineStr">
        <is>
          <t>d</t>
        </is>
      </c>
      <c r="G51">
        <f>COUNTIF(Marks!AV$5:AV$39,1)</f>
        <v/>
      </c>
      <c r="H51">
        <f>COUNT(Marks!AV$5:AV$39)</f>
        <v/>
      </c>
      <c r="I51" s="6">
        <f>IF(H51=0,"",G51/H51)</f>
        <v/>
      </c>
      <c r="J51" s="6">
        <f>IF(SUMPRODUCT((Marks!$BG$5:$BG$39="top")*ISNUMBER(Marks!AV$5:AV$39))=0,"",SUMPRODUCT((Marks!$BG$5:$BG$39="top")*(Marks!AV$5:AV$39=1))/SUMPRODUCT((Marks!$BG$5:$BG$39="top")*ISNUMBER(Marks!AV$5:AV$39)))</f>
        <v/>
      </c>
      <c r="K51" s="6">
        <f>IF(SUMPRODUCT((Marks!$BG$5:$BG$39="bottom")*ISNUMBER(Marks!AV$5:AV$39))=0,"",SUMPRODUCT((Marks!$BG$5:$BG$39="bottom")*(Marks!AV$5:AV$39=1))/SUMPRODUCT((Marks!$BG$5:$BG$39="bottom")*ISNUMBER(Marks!AV$5:AV$39)))</f>
        <v/>
      </c>
      <c r="L51" s="6">
        <f>IF(OR(J51="",K51=""),"",J51-K51)</f>
        <v/>
      </c>
      <c r="M51">
        <f>IF(H51=0,"",IF(I51&lt;0.2,"Check the item: fewer than one in five got it right",IF(AND(L51&lt;&gt;"",N(L51)&lt;0),"Check the item: the bottom third beat the top third","")))</f>
        <v/>
      </c>
      <c r="N51">
        <f>IF(H51=0,"",I51+ROW()/1000000)</f>
        <v/>
      </c>
    </row>
    <row r="52">
      <c r="A52" t="n">
        <v>48</v>
      </c>
      <c r="B52" t="n">
        <v>5</v>
      </c>
      <c r="C52" t="inlineStr">
        <is>
          <t>Scenario set</t>
        </is>
      </c>
      <c r="D52" t="inlineStr">
        <is>
          <t>Medium</t>
        </is>
      </c>
      <c r="E52" t="inlineStr">
        <is>
          <t>[S]</t>
        </is>
      </c>
      <c r="F52" t="inlineStr">
        <is>
          <t>True</t>
        </is>
      </c>
      <c r="G52">
        <f>COUNTIF(Marks!AW$5:AW$39,1)</f>
        <v/>
      </c>
      <c r="H52">
        <f>COUNT(Marks!AW$5:AW$39)</f>
        <v/>
      </c>
      <c r="I52" s="6">
        <f>IF(H52=0,"",G52/H52)</f>
        <v/>
      </c>
      <c r="J52" s="6">
        <f>IF(SUMPRODUCT((Marks!$BG$5:$BG$39="top")*ISNUMBER(Marks!AW$5:AW$39))=0,"",SUMPRODUCT((Marks!$BG$5:$BG$39="top")*(Marks!AW$5:AW$39=1))/SUMPRODUCT((Marks!$BG$5:$BG$39="top")*ISNUMBER(Marks!AW$5:AW$39)))</f>
        <v/>
      </c>
      <c r="K52" s="6">
        <f>IF(SUMPRODUCT((Marks!$BG$5:$BG$39="bottom")*ISNUMBER(Marks!AW$5:AW$39))=0,"",SUMPRODUCT((Marks!$BG$5:$BG$39="bottom")*(Marks!AW$5:AW$39=1))/SUMPRODUCT((Marks!$BG$5:$BG$39="bottom")*ISNUMBER(Marks!AW$5:AW$39)))</f>
        <v/>
      </c>
      <c r="L52" s="6">
        <f>IF(OR(J52="",K52=""),"",J52-K52)</f>
        <v/>
      </c>
      <c r="M52">
        <f>IF(H52=0,"",IF(I52&lt;0.2,"Check the item: fewer than one in five got it right",IF(AND(L52&lt;&gt;"",N(L52)&lt;0),"Check the item: the bottom third beat the top third","")))</f>
        <v/>
      </c>
      <c r="N52">
        <f>IF(H52=0,"",I52+ROW()/1000000)</f>
        <v/>
      </c>
    </row>
    <row r="53">
      <c r="A53" t="n">
        <v>49</v>
      </c>
      <c r="B53" t="n">
        <v>5</v>
      </c>
      <c r="C53" t="inlineStr">
        <is>
          <t>Scenario set</t>
        </is>
      </c>
      <c r="D53" t="inlineStr">
        <is>
          <t>Hard</t>
        </is>
      </c>
      <c r="E53" t="inlineStr">
        <is>
          <t>[D]</t>
        </is>
      </c>
      <c r="F53" t="inlineStr">
        <is>
          <t>b</t>
        </is>
      </c>
      <c r="G53">
        <f>COUNTIF(Marks!AX$5:AX$39,1)</f>
        <v/>
      </c>
      <c r="H53">
        <f>COUNT(Marks!AX$5:AX$39)</f>
        <v/>
      </c>
      <c r="I53" s="6">
        <f>IF(H53=0,"",G53/H53)</f>
        <v/>
      </c>
      <c r="J53" s="6">
        <f>IF(SUMPRODUCT((Marks!$BG$5:$BG$39="top")*ISNUMBER(Marks!AX$5:AX$39))=0,"",SUMPRODUCT((Marks!$BG$5:$BG$39="top")*(Marks!AX$5:AX$39=1))/SUMPRODUCT((Marks!$BG$5:$BG$39="top")*ISNUMBER(Marks!AX$5:AX$39)))</f>
        <v/>
      </c>
      <c r="K53" s="6">
        <f>IF(SUMPRODUCT((Marks!$BG$5:$BG$39="bottom")*ISNUMBER(Marks!AX$5:AX$39))=0,"",SUMPRODUCT((Marks!$BG$5:$BG$39="bottom")*(Marks!AX$5:AX$39=1))/SUMPRODUCT((Marks!$BG$5:$BG$39="bottom")*ISNUMBER(Marks!AX$5:AX$39)))</f>
        <v/>
      </c>
      <c r="L53" s="6">
        <f>IF(OR(J53="",K53=""),"",J53-K53)</f>
        <v/>
      </c>
      <c r="M53">
        <f>IF(H53=0,"",IF(I53&lt;0.2,"Check the item: fewer than one in five got it right",IF(AND(L53&lt;&gt;"",N(L53)&lt;0),"Check the item: the bottom third beat the top third","")))</f>
        <v/>
      </c>
      <c r="N53">
        <f>IF(H53=0,"",I53+ROW()/1000000)</f>
        <v/>
      </c>
    </row>
    <row r="54">
      <c r="A54" t="n">
        <v>50</v>
      </c>
      <c r="B54" t="n">
        <v>5</v>
      </c>
      <c r="C54" t="inlineStr">
        <is>
          <t>Applied maths</t>
        </is>
      </c>
      <c r="D54" t="inlineStr">
        <is>
          <t>Medium</t>
        </is>
      </c>
      <c r="E54" t="inlineStr">
        <is>
          <t>[F]</t>
        </is>
      </c>
      <c r="F54" t="inlineStr">
        <is>
          <t>400 rows; 2.5 orders per customer.</t>
        </is>
      </c>
      <c r="G54">
        <f>COUNTIF(Marks!AY$5:AY$39,1)</f>
        <v/>
      </c>
      <c r="H54">
        <f>COUNT(Marks!AY$5:AY$39)</f>
        <v/>
      </c>
      <c r="I54" s="6">
        <f>IF(H54=0,"",G54/H54)</f>
        <v/>
      </c>
      <c r="J54" s="6">
        <f>IF(SUMPRODUCT((Marks!$BG$5:$BG$39="top")*ISNUMBER(Marks!AY$5:AY$39))=0,"",SUMPRODUCT((Marks!$BG$5:$BG$39="top")*(Marks!AY$5:AY$39=1))/SUMPRODUCT((Marks!$BG$5:$BG$39="top")*ISNUMBER(Marks!AY$5:AY$39)))</f>
        <v/>
      </c>
      <c r="K54" s="6">
        <f>IF(SUMPRODUCT((Marks!$BG$5:$BG$39="bottom")*ISNUMBER(Marks!AY$5:AY$39))=0,"",SUMPRODUCT((Marks!$BG$5:$BG$39="bottom")*(Marks!AY$5:AY$39=1))/SUMPRODUCT((Marks!$BG$5:$BG$39="bottom")*ISNUMBER(Marks!AY$5:AY$39)))</f>
        <v/>
      </c>
      <c r="L54" s="6">
        <f>IF(OR(J54="",K54=""),"",J54-K54)</f>
        <v/>
      </c>
      <c r="M54">
        <f>IF(H54=0,"",IF(I54&lt;0.2,"Check the item: fewer than one in five got it right",IF(AND(L54&lt;&gt;"",N(L54)&lt;0),"Check the item: the bottom third beat the top third","")))</f>
        <v/>
      </c>
      <c r="N54">
        <f>IF(H54=0,"",I54+ROW()/1000000)</f>
        <v/>
      </c>
    </row>
    <row r="55">
      <c r="A55" t="n">
        <v>51</v>
      </c>
      <c r="B55" t="n">
        <v>5</v>
      </c>
      <c r="C55" t="inlineStr">
        <is>
          <t>Order the steps</t>
        </is>
      </c>
      <c r="D55" t="inlineStr">
        <is>
          <t>Medium</t>
        </is>
      </c>
      <c r="E55" t="inlineStr">
        <is>
          <t>[D]</t>
        </is>
      </c>
      <c r="F55" t="inlineStr">
        <is>
          <t>b, c, a</t>
        </is>
      </c>
      <c r="G55">
        <f>COUNTIF(Marks!AZ$5:AZ$39,1)</f>
        <v/>
      </c>
      <c r="H55">
        <f>COUNT(Marks!AZ$5:AZ$39)</f>
        <v/>
      </c>
      <c r="I55" s="6">
        <f>IF(H55=0,"",G55/H55)</f>
        <v/>
      </c>
      <c r="J55" s="6">
        <f>IF(SUMPRODUCT((Marks!$BG$5:$BG$39="top")*ISNUMBER(Marks!AZ$5:AZ$39))=0,"",SUMPRODUCT((Marks!$BG$5:$BG$39="top")*(Marks!AZ$5:AZ$39=1))/SUMPRODUCT((Marks!$BG$5:$BG$39="top")*ISNUMBER(Marks!AZ$5:AZ$39)))</f>
        <v/>
      </c>
      <c r="K55" s="6">
        <f>IF(SUMPRODUCT((Marks!$BG$5:$BG$39="bottom")*ISNUMBER(Marks!AZ$5:AZ$39))=0,"",SUMPRODUCT((Marks!$BG$5:$BG$39="bottom")*(Marks!AZ$5:AZ$39=1))/SUMPRODUCT((Marks!$BG$5:$BG$39="bottom")*ISNUMBER(Marks!AZ$5:AZ$39)))</f>
        <v/>
      </c>
      <c r="L55" s="6">
        <f>IF(OR(J55="",K55=""),"",J55-K55)</f>
        <v/>
      </c>
      <c r="M55">
        <f>IF(H55=0,"",IF(I55&lt;0.2,"Check the item: fewer than one in five got it right",IF(AND(L55&lt;&gt;"",N(L55)&lt;0),"Check the item: the bottom third beat the top third","")))</f>
        <v/>
      </c>
      <c r="N55">
        <f>IF(H55=0,"",I55+ROW()/1000000)</f>
        <v/>
      </c>
    </row>
    <row r="56">
      <c r="A56" t="n">
        <v>52</v>
      </c>
      <c r="B56" t="n">
        <v>6</v>
      </c>
      <c r="C56" t="inlineStr">
        <is>
          <t>One correct option</t>
        </is>
      </c>
      <c r="D56" t="inlineStr">
        <is>
          <t>Hard</t>
        </is>
      </c>
      <c r="E56" t="inlineStr">
        <is>
          <t>[D]</t>
        </is>
      </c>
      <c r="F56" t="inlineStr">
        <is>
          <t>c</t>
        </is>
      </c>
      <c r="G56">
        <f>COUNTIF(Marks!BA$5:BA$39,1)</f>
        <v/>
      </c>
      <c r="H56">
        <f>COUNT(Marks!BA$5:BA$39)</f>
        <v/>
      </c>
      <c r="I56" s="6">
        <f>IF(H56=0,"",G56/H56)</f>
        <v/>
      </c>
      <c r="J56" s="6">
        <f>IF(SUMPRODUCT((Marks!$BG$5:$BG$39="top")*ISNUMBER(Marks!BA$5:BA$39))=0,"",SUMPRODUCT((Marks!$BG$5:$BG$39="top")*(Marks!BA$5:BA$39=1))/SUMPRODUCT((Marks!$BG$5:$BG$39="top")*ISNUMBER(Marks!BA$5:BA$39)))</f>
        <v/>
      </c>
      <c r="K56" s="6">
        <f>IF(SUMPRODUCT((Marks!$BG$5:$BG$39="bottom")*ISNUMBER(Marks!BA$5:BA$39))=0,"",SUMPRODUCT((Marks!$BG$5:$BG$39="bottom")*(Marks!BA$5:BA$39=1))/SUMPRODUCT((Marks!$BG$5:$BG$39="bottom")*ISNUMBER(Marks!BA$5:BA$39)))</f>
        <v/>
      </c>
      <c r="L56" s="6">
        <f>IF(OR(J56="",K56=""),"",J56-K56)</f>
        <v/>
      </c>
      <c r="M56">
        <f>IF(H56=0,"",IF(I56&lt;0.2,"Check the item: fewer than one in five got it right",IF(AND(L56&lt;&gt;"",N(L56)&lt;0),"Check the item: the bottom third beat the top third","")))</f>
        <v/>
      </c>
      <c r="N56">
        <f>IF(H56=0,"",I56+ROW()/1000000)</f>
        <v/>
      </c>
    </row>
    <row r="57">
      <c r="A57" t="n">
        <v>53</v>
      </c>
      <c r="B57" t="n">
        <v>6</v>
      </c>
      <c r="C57" t="inlineStr">
        <is>
          <t>Scenario set</t>
        </is>
      </c>
      <c r="D57" t="inlineStr">
        <is>
          <t>Hard</t>
        </is>
      </c>
      <c r="E57" t="inlineStr">
        <is>
          <t>[S]</t>
        </is>
      </c>
      <c r="F57" t="inlineStr">
        <is>
          <t>b</t>
        </is>
      </c>
      <c r="G57">
        <f>COUNTIF(Marks!BB$5:BB$39,1)</f>
        <v/>
      </c>
      <c r="H57">
        <f>COUNT(Marks!BB$5:BB$39)</f>
        <v/>
      </c>
      <c r="I57" s="6">
        <f>IF(H57=0,"",G57/H57)</f>
        <v/>
      </c>
      <c r="J57" s="6">
        <f>IF(SUMPRODUCT((Marks!$BG$5:$BG$39="top")*ISNUMBER(Marks!BB$5:BB$39))=0,"",SUMPRODUCT((Marks!$BG$5:$BG$39="top")*(Marks!BB$5:BB$39=1))/SUMPRODUCT((Marks!$BG$5:$BG$39="top")*ISNUMBER(Marks!BB$5:BB$39)))</f>
        <v/>
      </c>
      <c r="K57" s="6">
        <f>IF(SUMPRODUCT((Marks!$BG$5:$BG$39="bottom")*ISNUMBER(Marks!BB$5:BB$39))=0,"",SUMPRODUCT((Marks!$BG$5:$BG$39="bottom")*(Marks!BB$5:BB$39=1))/SUMPRODUCT((Marks!$BG$5:$BG$39="bottom")*ISNUMBER(Marks!BB$5:BB$39)))</f>
        <v/>
      </c>
      <c r="L57" s="6">
        <f>IF(OR(J57="",K57=""),"",J57-K57)</f>
        <v/>
      </c>
      <c r="M57">
        <f>IF(H57=0,"",IF(I57&lt;0.2,"Check the item: fewer than one in five got it right",IF(AND(L57&lt;&gt;"",N(L57)&lt;0),"Check the item: the bottom third beat the top third","")))</f>
        <v/>
      </c>
      <c r="N57">
        <f>IF(H57=0,"",I57+ROW()/1000000)</f>
        <v/>
      </c>
    </row>
    <row r="58">
      <c r="A58" t="n">
        <v>54</v>
      </c>
      <c r="B58" t="n">
        <v>6</v>
      </c>
      <c r="C58" t="inlineStr">
        <is>
          <t>One correct option</t>
        </is>
      </c>
      <c r="D58" t="inlineStr">
        <is>
          <t>Hard</t>
        </is>
      </c>
      <c r="E58" t="inlineStr">
        <is>
          <t>[S]</t>
        </is>
      </c>
      <c r="F58" t="inlineStr">
        <is>
          <t>d</t>
        </is>
      </c>
      <c r="G58">
        <f>COUNTIF(Marks!BC$5:BC$39,1)</f>
        <v/>
      </c>
      <c r="H58">
        <f>COUNT(Marks!BC$5:BC$39)</f>
        <v/>
      </c>
      <c r="I58" s="6">
        <f>IF(H58=0,"",G58/H58)</f>
        <v/>
      </c>
      <c r="J58" s="6">
        <f>IF(SUMPRODUCT((Marks!$BG$5:$BG$39="top")*ISNUMBER(Marks!BC$5:BC$39))=0,"",SUMPRODUCT((Marks!$BG$5:$BG$39="top")*(Marks!BC$5:BC$39=1))/SUMPRODUCT((Marks!$BG$5:$BG$39="top")*ISNUMBER(Marks!BC$5:BC$39)))</f>
        <v/>
      </c>
      <c r="K58" s="6">
        <f>IF(SUMPRODUCT((Marks!$BG$5:$BG$39="bottom")*ISNUMBER(Marks!BC$5:BC$39))=0,"",SUMPRODUCT((Marks!$BG$5:$BG$39="bottom")*(Marks!BC$5:BC$39=1))/SUMPRODUCT((Marks!$BG$5:$BG$39="bottom")*ISNUMBER(Marks!BC$5:BC$39)))</f>
        <v/>
      </c>
      <c r="L58" s="6">
        <f>IF(OR(J58="",K58=""),"",J58-K58)</f>
        <v/>
      </c>
      <c r="M58">
        <f>IF(H58=0,"",IF(I58&lt;0.2,"Check the item: fewer than one in five got it right",IF(AND(L58&lt;&gt;"",N(L58)&lt;0),"Check the item: the bottom third beat the top third","")))</f>
        <v/>
      </c>
      <c r="N58">
        <f>IF(H58=0,"",I58+ROW()/1000000)</f>
        <v/>
      </c>
    </row>
    <row r="59">
      <c r="A59" t="n">
        <v>55</v>
      </c>
      <c r="B59" t="n">
        <v>6</v>
      </c>
      <c r="C59" t="inlineStr">
        <is>
          <t>One correct option</t>
        </is>
      </c>
      <c r="D59" t="inlineStr">
        <is>
          <t>Medium</t>
        </is>
      </c>
      <c r="E59" t="inlineStr">
        <is>
          <t>[S]</t>
        </is>
      </c>
      <c r="F59" t="inlineStr">
        <is>
          <t>a</t>
        </is>
      </c>
      <c r="G59">
        <f>COUNTIF(Marks!BD$5:BD$39,1)</f>
        <v/>
      </c>
      <c r="H59">
        <f>COUNT(Marks!BD$5:BD$39)</f>
        <v/>
      </c>
      <c r="I59" s="6">
        <f>IF(H59=0,"",G59/H59)</f>
        <v/>
      </c>
      <c r="J59" s="6">
        <f>IF(SUMPRODUCT((Marks!$BG$5:$BG$39="top")*ISNUMBER(Marks!BD$5:BD$39))=0,"",SUMPRODUCT((Marks!$BG$5:$BG$39="top")*(Marks!BD$5:BD$39=1))/SUMPRODUCT((Marks!$BG$5:$BG$39="top")*ISNUMBER(Marks!BD$5:BD$39)))</f>
        <v/>
      </c>
      <c r="K59" s="6">
        <f>IF(SUMPRODUCT((Marks!$BG$5:$BG$39="bottom")*ISNUMBER(Marks!BD$5:BD$39))=0,"",SUMPRODUCT((Marks!$BG$5:$BG$39="bottom")*(Marks!BD$5:BD$39=1))/SUMPRODUCT((Marks!$BG$5:$BG$39="bottom")*ISNUMBER(Marks!BD$5:BD$39)))</f>
        <v/>
      </c>
      <c r="L59" s="6">
        <f>IF(OR(J59="",K59=""),"",J59-K59)</f>
        <v/>
      </c>
      <c r="M59">
        <f>IF(H59=0,"",IF(I59&lt;0.2,"Check the item: fewer than one in five got it right",IF(AND(L59&lt;&gt;"",N(L59)&lt;0),"Check the item: the bottom third beat the top third","")))</f>
        <v/>
      </c>
      <c r="N59">
        <f>IF(H59=0,"",I59+ROW()/1000000)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selection activeCell="A1" sqref="A1"/>
    </sheetView>
  </sheetViews>
  <sheetFormatPr baseColWidth="8" defaultRowHeight="15"/>
  <cols>
    <col width="52" customWidth="1" min="6" max="6"/>
  </cols>
  <sheetData>
    <row r="1">
      <c r="A1" s="3" t="inlineStr">
        <is>
          <t>The solution discussion, from the most-missed item</t>
        </is>
      </c>
    </row>
    <row r="2">
      <c r="B2">
        <f>IF(SUM(Items!H5:H59)=0,"No marks entered yet.","Most-missed first: take the items from the top.")</f>
        <v/>
      </c>
    </row>
    <row r="4">
      <c r="A4" s="4" t="inlineStr">
        <is>
          <t>Order</t>
        </is>
      </c>
      <c r="B4" s="4" t="inlineStr">
        <is>
          <t>Q</t>
        </is>
      </c>
      <c r="C4" s="4" t="inlineStr">
        <is>
          <t>Right rate</t>
        </is>
      </c>
      <c r="D4" s="4" t="inlineStr">
        <is>
          <t>Part</t>
        </is>
      </c>
      <c r="E4" s="4" t="inlineStr">
        <is>
          <t>Tag</t>
        </is>
      </c>
      <c r="F4" s="4" t="inlineStr">
        <is>
          <t>Flag</t>
        </is>
      </c>
    </row>
    <row r="5">
      <c r="A5" t="n">
        <v>1</v>
      </c>
      <c r="B5">
        <f>IF(COUNT(Items!$N$5:$N$59)&lt;A5,"",INDEX(Items!$A$5:$A$59,MATCH(SMALL(Items!$N$5:$N$59,A5),Items!$N$5:$N$59,0)))</f>
        <v/>
      </c>
      <c r="C5" s="6">
        <f>IF(B5="","",INDEX(Items!$I$5:$I$59,MATCH(B5,Items!$A$5:$A$59,0)))</f>
        <v/>
      </c>
      <c r="D5">
        <f>IF(B5="","",INDEX(Items!$B$5:$B$59,MATCH(B5,Items!$A$5:$A$59,0)))</f>
        <v/>
      </c>
      <c r="E5">
        <f>IF(B5="","",INDEX(Items!$E$5:$E$59,MATCH(B5,Items!$A$5:$A$59,0)))</f>
        <v/>
      </c>
      <c r="F5">
        <f>IF(B5="","",INDEX(Items!$M$5:$M$59,MATCH(B5,Items!$A$5:$A$59,0)))</f>
        <v/>
      </c>
    </row>
    <row r="6">
      <c r="A6" t="n">
        <v>2</v>
      </c>
      <c r="B6">
        <f>IF(COUNT(Items!$N$5:$N$59)&lt;A6,"",INDEX(Items!$A$5:$A$59,MATCH(SMALL(Items!$N$5:$N$59,A6),Items!$N$5:$N$59,0)))</f>
        <v/>
      </c>
      <c r="C6" s="6">
        <f>IF(B6="","",INDEX(Items!$I$5:$I$59,MATCH(B6,Items!$A$5:$A$59,0)))</f>
        <v/>
      </c>
      <c r="D6">
        <f>IF(B6="","",INDEX(Items!$B$5:$B$59,MATCH(B6,Items!$A$5:$A$59,0)))</f>
        <v/>
      </c>
      <c r="E6">
        <f>IF(B6="","",INDEX(Items!$E$5:$E$59,MATCH(B6,Items!$A$5:$A$59,0)))</f>
        <v/>
      </c>
      <c r="F6">
        <f>IF(B6="","",INDEX(Items!$M$5:$M$59,MATCH(B6,Items!$A$5:$A$59,0)))</f>
        <v/>
      </c>
    </row>
    <row r="7">
      <c r="A7" t="n">
        <v>3</v>
      </c>
      <c r="B7">
        <f>IF(COUNT(Items!$N$5:$N$59)&lt;A7,"",INDEX(Items!$A$5:$A$59,MATCH(SMALL(Items!$N$5:$N$59,A7),Items!$N$5:$N$59,0)))</f>
        <v/>
      </c>
      <c r="C7" s="6">
        <f>IF(B7="","",INDEX(Items!$I$5:$I$59,MATCH(B7,Items!$A$5:$A$59,0)))</f>
        <v/>
      </c>
      <c r="D7">
        <f>IF(B7="","",INDEX(Items!$B$5:$B$59,MATCH(B7,Items!$A$5:$A$59,0)))</f>
        <v/>
      </c>
      <c r="E7">
        <f>IF(B7="","",INDEX(Items!$E$5:$E$59,MATCH(B7,Items!$A$5:$A$59,0)))</f>
        <v/>
      </c>
      <c r="F7">
        <f>IF(B7="","",INDEX(Items!$M$5:$M$59,MATCH(B7,Items!$A$5:$A$59,0)))</f>
        <v/>
      </c>
    </row>
    <row r="8">
      <c r="A8" t="n">
        <v>4</v>
      </c>
      <c r="B8">
        <f>IF(COUNT(Items!$N$5:$N$59)&lt;A8,"",INDEX(Items!$A$5:$A$59,MATCH(SMALL(Items!$N$5:$N$59,A8),Items!$N$5:$N$59,0)))</f>
        <v/>
      </c>
      <c r="C8" s="6">
        <f>IF(B8="","",INDEX(Items!$I$5:$I$59,MATCH(B8,Items!$A$5:$A$59,0)))</f>
        <v/>
      </c>
      <c r="D8">
        <f>IF(B8="","",INDEX(Items!$B$5:$B$59,MATCH(B8,Items!$A$5:$A$59,0)))</f>
        <v/>
      </c>
      <c r="E8">
        <f>IF(B8="","",INDEX(Items!$E$5:$E$59,MATCH(B8,Items!$A$5:$A$59,0)))</f>
        <v/>
      </c>
      <c r="F8">
        <f>IF(B8="","",INDEX(Items!$M$5:$M$59,MATCH(B8,Items!$A$5:$A$59,0)))</f>
        <v/>
      </c>
    </row>
    <row r="9">
      <c r="A9" t="n">
        <v>5</v>
      </c>
      <c r="B9">
        <f>IF(COUNT(Items!$N$5:$N$59)&lt;A9,"",INDEX(Items!$A$5:$A$59,MATCH(SMALL(Items!$N$5:$N$59,A9),Items!$N$5:$N$59,0)))</f>
        <v/>
      </c>
      <c r="C9" s="6">
        <f>IF(B9="","",INDEX(Items!$I$5:$I$59,MATCH(B9,Items!$A$5:$A$59,0)))</f>
        <v/>
      </c>
      <c r="D9">
        <f>IF(B9="","",INDEX(Items!$B$5:$B$59,MATCH(B9,Items!$A$5:$A$59,0)))</f>
        <v/>
      </c>
      <c r="E9">
        <f>IF(B9="","",INDEX(Items!$E$5:$E$59,MATCH(B9,Items!$A$5:$A$59,0)))</f>
        <v/>
      </c>
      <c r="F9">
        <f>IF(B9="","",INDEX(Items!$M$5:$M$59,MATCH(B9,Items!$A$5:$A$59,0)))</f>
        <v/>
      </c>
    </row>
    <row r="10">
      <c r="A10" t="n">
        <v>6</v>
      </c>
      <c r="B10">
        <f>IF(COUNT(Items!$N$5:$N$59)&lt;A10,"",INDEX(Items!$A$5:$A$59,MATCH(SMALL(Items!$N$5:$N$59,A10),Items!$N$5:$N$59,0)))</f>
        <v/>
      </c>
      <c r="C10" s="6">
        <f>IF(B10="","",INDEX(Items!$I$5:$I$59,MATCH(B10,Items!$A$5:$A$59,0)))</f>
        <v/>
      </c>
      <c r="D10">
        <f>IF(B10="","",INDEX(Items!$B$5:$B$59,MATCH(B10,Items!$A$5:$A$59,0)))</f>
        <v/>
      </c>
      <c r="E10">
        <f>IF(B10="","",INDEX(Items!$E$5:$E$59,MATCH(B10,Items!$A$5:$A$59,0)))</f>
        <v/>
      </c>
      <c r="F10">
        <f>IF(B10="","",INDEX(Items!$M$5:$M$59,MATCH(B10,Items!$A$5:$A$59,0)))</f>
        <v/>
      </c>
    </row>
    <row r="11">
      <c r="A11" t="n">
        <v>7</v>
      </c>
      <c r="B11">
        <f>IF(COUNT(Items!$N$5:$N$59)&lt;A11,"",INDEX(Items!$A$5:$A$59,MATCH(SMALL(Items!$N$5:$N$59,A11),Items!$N$5:$N$59,0)))</f>
        <v/>
      </c>
      <c r="C11" s="6">
        <f>IF(B11="","",INDEX(Items!$I$5:$I$59,MATCH(B11,Items!$A$5:$A$59,0)))</f>
        <v/>
      </c>
      <c r="D11">
        <f>IF(B11="","",INDEX(Items!$B$5:$B$59,MATCH(B11,Items!$A$5:$A$59,0)))</f>
        <v/>
      </c>
      <c r="E11">
        <f>IF(B11="","",INDEX(Items!$E$5:$E$59,MATCH(B11,Items!$A$5:$A$59,0)))</f>
        <v/>
      </c>
      <c r="F11">
        <f>IF(B11="","",INDEX(Items!$M$5:$M$59,MATCH(B11,Items!$A$5:$A$59,0)))</f>
        <v/>
      </c>
    </row>
    <row r="12">
      <c r="A12" t="n">
        <v>8</v>
      </c>
      <c r="B12">
        <f>IF(COUNT(Items!$N$5:$N$59)&lt;A12,"",INDEX(Items!$A$5:$A$59,MATCH(SMALL(Items!$N$5:$N$59,A12),Items!$N$5:$N$59,0)))</f>
        <v/>
      </c>
      <c r="C12" s="6">
        <f>IF(B12="","",INDEX(Items!$I$5:$I$59,MATCH(B12,Items!$A$5:$A$59,0)))</f>
        <v/>
      </c>
      <c r="D12">
        <f>IF(B12="","",INDEX(Items!$B$5:$B$59,MATCH(B12,Items!$A$5:$A$59,0)))</f>
        <v/>
      </c>
      <c r="E12">
        <f>IF(B12="","",INDEX(Items!$E$5:$E$59,MATCH(B12,Items!$A$5:$A$59,0)))</f>
        <v/>
      </c>
      <c r="F12">
        <f>IF(B12="","",INDEX(Items!$M$5:$M$59,MATCH(B12,Items!$A$5:$A$59,0)))</f>
        <v/>
      </c>
    </row>
    <row r="13">
      <c r="A13" t="n">
        <v>9</v>
      </c>
      <c r="B13">
        <f>IF(COUNT(Items!$N$5:$N$59)&lt;A13,"",INDEX(Items!$A$5:$A$59,MATCH(SMALL(Items!$N$5:$N$59,A13),Items!$N$5:$N$59,0)))</f>
        <v/>
      </c>
      <c r="C13" s="6">
        <f>IF(B13="","",INDEX(Items!$I$5:$I$59,MATCH(B13,Items!$A$5:$A$59,0)))</f>
        <v/>
      </c>
      <c r="D13">
        <f>IF(B13="","",INDEX(Items!$B$5:$B$59,MATCH(B13,Items!$A$5:$A$59,0)))</f>
        <v/>
      </c>
      <c r="E13">
        <f>IF(B13="","",INDEX(Items!$E$5:$E$59,MATCH(B13,Items!$A$5:$A$59,0)))</f>
        <v/>
      </c>
      <c r="F13">
        <f>IF(B13="","",INDEX(Items!$M$5:$M$59,MATCH(B13,Items!$A$5:$A$59,0)))</f>
        <v/>
      </c>
    </row>
    <row r="14">
      <c r="A14" t="n">
        <v>10</v>
      </c>
      <c r="B14">
        <f>IF(COUNT(Items!$N$5:$N$59)&lt;A14,"",INDEX(Items!$A$5:$A$59,MATCH(SMALL(Items!$N$5:$N$59,A14),Items!$N$5:$N$59,0)))</f>
        <v/>
      </c>
      <c r="C14" s="6">
        <f>IF(B14="","",INDEX(Items!$I$5:$I$59,MATCH(B14,Items!$A$5:$A$59,0)))</f>
        <v/>
      </c>
      <c r="D14">
        <f>IF(B14="","",INDEX(Items!$B$5:$B$59,MATCH(B14,Items!$A$5:$A$59,0)))</f>
        <v/>
      </c>
      <c r="E14">
        <f>IF(B14="","",INDEX(Items!$E$5:$E$59,MATCH(B14,Items!$A$5:$A$59,0)))</f>
        <v/>
      </c>
      <c r="F14">
        <f>IF(B14="","",INDEX(Items!$M$5:$M$59,MATCH(B14,Items!$A$5:$A$59,0)))</f>
        <v/>
      </c>
    </row>
    <row r="15">
      <c r="A15" t="n">
        <v>11</v>
      </c>
      <c r="B15">
        <f>IF(COUNT(Items!$N$5:$N$59)&lt;A15,"",INDEX(Items!$A$5:$A$59,MATCH(SMALL(Items!$N$5:$N$59,A15),Items!$N$5:$N$59,0)))</f>
        <v/>
      </c>
      <c r="C15" s="6">
        <f>IF(B15="","",INDEX(Items!$I$5:$I$59,MATCH(B15,Items!$A$5:$A$59,0)))</f>
        <v/>
      </c>
      <c r="D15">
        <f>IF(B15="","",INDEX(Items!$B$5:$B$59,MATCH(B15,Items!$A$5:$A$59,0)))</f>
        <v/>
      </c>
      <c r="E15">
        <f>IF(B15="","",INDEX(Items!$E$5:$E$59,MATCH(B15,Items!$A$5:$A$59,0)))</f>
        <v/>
      </c>
      <c r="F15">
        <f>IF(B15="","",INDEX(Items!$M$5:$M$59,MATCH(B15,Items!$A$5:$A$59,0)))</f>
        <v/>
      </c>
    </row>
    <row r="16">
      <c r="A16" t="n">
        <v>12</v>
      </c>
      <c r="B16">
        <f>IF(COUNT(Items!$N$5:$N$59)&lt;A16,"",INDEX(Items!$A$5:$A$59,MATCH(SMALL(Items!$N$5:$N$59,A16),Items!$N$5:$N$59,0)))</f>
        <v/>
      </c>
      <c r="C16" s="6">
        <f>IF(B16="","",INDEX(Items!$I$5:$I$59,MATCH(B16,Items!$A$5:$A$59,0)))</f>
        <v/>
      </c>
      <c r="D16">
        <f>IF(B16="","",INDEX(Items!$B$5:$B$59,MATCH(B16,Items!$A$5:$A$59,0)))</f>
        <v/>
      </c>
      <c r="E16">
        <f>IF(B16="","",INDEX(Items!$E$5:$E$59,MATCH(B16,Items!$A$5:$A$59,0)))</f>
        <v/>
      </c>
      <c r="F16">
        <f>IF(B16="","",INDEX(Items!$M$5:$M$59,MATCH(B16,Items!$A$5:$A$59,0)))</f>
        <v/>
      </c>
    </row>
    <row r="17">
      <c r="A17" t="n">
        <v>13</v>
      </c>
      <c r="B17">
        <f>IF(COUNT(Items!$N$5:$N$59)&lt;A17,"",INDEX(Items!$A$5:$A$59,MATCH(SMALL(Items!$N$5:$N$59,A17),Items!$N$5:$N$59,0)))</f>
        <v/>
      </c>
      <c r="C17" s="6">
        <f>IF(B17="","",INDEX(Items!$I$5:$I$59,MATCH(B17,Items!$A$5:$A$59,0)))</f>
        <v/>
      </c>
      <c r="D17">
        <f>IF(B17="","",INDEX(Items!$B$5:$B$59,MATCH(B17,Items!$A$5:$A$59,0)))</f>
        <v/>
      </c>
      <c r="E17">
        <f>IF(B17="","",INDEX(Items!$E$5:$E$59,MATCH(B17,Items!$A$5:$A$59,0)))</f>
        <v/>
      </c>
      <c r="F17">
        <f>IF(B17="","",INDEX(Items!$M$5:$M$59,MATCH(B17,Items!$A$5:$A$59,0)))</f>
        <v/>
      </c>
    </row>
    <row r="18">
      <c r="A18" t="n">
        <v>14</v>
      </c>
      <c r="B18">
        <f>IF(COUNT(Items!$N$5:$N$59)&lt;A18,"",INDEX(Items!$A$5:$A$59,MATCH(SMALL(Items!$N$5:$N$59,A18),Items!$N$5:$N$59,0)))</f>
        <v/>
      </c>
      <c r="C18" s="6">
        <f>IF(B18="","",INDEX(Items!$I$5:$I$59,MATCH(B18,Items!$A$5:$A$59,0)))</f>
        <v/>
      </c>
      <c r="D18">
        <f>IF(B18="","",INDEX(Items!$B$5:$B$59,MATCH(B18,Items!$A$5:$A$59,0)))</f>
        <v/>
      </c>
      <c r="E18">
        <f>IF(B18="","",INDEX(Items!$E$5:$E$59,MATCH(B18,Items!$A$5:$A$59,0)))</f>
        <v/>
      </c>
      <c r="F18">
        <f>IF(B18="","",INDEX(Items!$M$5:$M$59,MATCH(B18,Items!$A$5:$A$59,0)))</f>
        <v/>
      </c>
    </row>
    <row r="19">
      <c r="A19" t="n">
        <v>15</v>
      </c>
      <c r="B19">
        <f>IF(COUNT(Items!$N$5:$N$59)&lt;A19,"",INDEX(Items!$A$5:$A$59,MATCH(SMALL(Items!$N$5:$N$59,A19),Items!$N$5:$N$59,0)))</f>
        <v/>
      </c>
      <c r="C19" s="6">
        <f>IF(B19="","",INDEX(Items!$I$5:$I$59,MATCH(B19,Items!$A$5:$A$59,0)))</f>
        <v/>
      </c>
      <c r="D19">
        <f>IF(B19="","",INDEX(Items!$B$5:$B$59,MATCH(B19,Items!$A$5:$A$59,0)))</f>
        <v/>
      </c>
      <c r="E19">
        <f>IF(B19="","",INDEX(Items!$E$5:$E$59,MATCH(B19,Items!$A$5:$A$59,0)))</f>
        <v/>
      </c>
      <c r="F19">
        <f>IF(B19="","",INDEX(Items!$M$5:$M$59,MATCH(B19,Items!$A$5:$A$59,0)))</f>
        <v/>
      </c>
    </row>
    <row r="20">
      <c r="A20" t="n">
        <v>16</v>
      </c>
      <c r="B20">
        <f>IF(COUNT(Items!$N$5:$N$59)&lt;A20,"",INDEX(Items!$A$5:$A$59,MATCH(SMALL(Items!$N$5:$N$59,A20),Items!$N$5:$N$59,0)))</f>
        <v/>
      </c>
      <c r="C20" s="6">
        <f>IF(B20="","",INDEX(Items!$I$5:$I$59,MATCH(B20,Items!$A$5:$A$59,0)))</f>
        <v/>
      </c>
      <c r="D20">
        <f>IF(B20="","",INDEX(Items!$B$5:$B$59,MATCH(B20,Items!$A$5:$A$59,0)))</f>
        <v/>
      </c>
      <c r="E20">
        <f>IF(B20="","",INDEX(Items!$E$5:$E$59,MATCH(B20,Items!$A$5:$A$59,0)))</f>
        <v/>
      </c>
      <c r="F20">
        <f>IF(B20="","",INDEX(Items!$M$5:$M$59,MATCH(B20,Items!$A$5:$A$59,0)))</f>
        <v/>
      </c>
    </row>
    <row r="21">
      <c r="A21" t="n">
        <v>17</v>
      </c>
      <c r="B21">
        <f>IF(COUNT(Items!$N$5:$N$59)&lt;A21,"",INDEX(Items!$A$5:$A$59,MATCH(SMALL(Items!$N$5:$N$59,A21),Items!$N$5:$N$59,0)))</f>
        <v/>
      </c>
      <c r="C21" s="6">
        <f>IF(B21="","",INDEX(Items!$I$5:$I$59,MATCH(B21,Items!$A$5:$A$59,0)))</f>
        <v/>
      </c>
      <c r="D21">
        <f>IF(B21="","",INDEX(Items!$B$5:$B$59,MATCH(B21,Items!$A$5:$A$59,0)))</f>
        <v/>
      </c>
      <c r="E21">
        <f>IF(B21="","",INDEX(Items!$E$5:$E$59,MATCH(B21,Items!$A$5:$A$59,0)))</f>
        <v/>
      </c>
      <c r="F21">
        <f>IF(B21="","",INDEX(Items!$M$5:$M$59,MATCH(B21,Items!$A$5:$A$59,0)))</f>
        <v/>
      </c>
    </row>
    <row r="22">
      <c r="A22" t="n">
        <v>18</v>
      </c>
      <c r="B22">
        <f>IF(COUNT(Items!$N$5:$N$59)&lt;A22,"",INDEX(Items!$A$5:$A$59,MATCH(SMALL(Items!$N$5:$N$59,A22),Items!$N$5:$N$59,0)))</f>
        <v/>
      </c>
      <c r="C22" s="6">
        <f>IF(B22="","",INDEX(Items!$I$5:$I$59,MATCH(B22,Items!$A$5:$A$59,0)))</f>
        <v/>
      </c>
      <c r="D22">
        <f>IF(B22="","",INDEX(Items!$B$5:$B$59,MATCH(B22,Items!$A$5:$A$59,0)))</f>
        <v/>
      </c>
      <c r="E22">
        <f>IF(B22="","",INDEX(Items!$E$5:$E$59,MATCH(B22,Items!$A$5:$A$59,0)))</f>
        <v/>
      </c>
      <c r="F22">
        <f>IF(B22="","",INDEX(Items!$M$5:$M$59,MATCH(B22,Items!$A$5:$A$59,0)))</f>
        <v/>
      </c>
    </row>
    <row r="23">
      <c r="A23" t="n">
        <v>19</v>
      </c>
      <c r="B23">
        <f>IF(COUNT(Items!$N$5:$N$59)&lt;A23,"",INDEX(Items!$A$5:$A$59,MATCH(SMALL(Items!$N$5:$N$59,A23),Items!$N$5:$N$59,0)))</f>
        <v/>
      </c>
      <c r="C23" s="6">
        <f>IF(B23="","",INDEX(Items!$I$5:$I$59,MATCH(B23,Items!$A$5:$A$59,0)))</f>
        <v/>
      </c>
      <c r="D23">
        <f>IF(B23="","",INDEX(Items!$B$5:$B$59,MATCH(B23,Items!$A$5:$A$59,0)))</f>
        <v/>
      </c>
      <c r="E23">
        <f>IF(B23="","",INDEX(Items!$E$5:$E$59,MATCH(B23,Items!$A$5:$A$59,0)))</f>
        <v/>
      </c>
      <c r="F23">
        <f>IF(B23="","",INDEX(Items!$M$5:$M$59,MATCH(B23,Items!$A$5:$A$59,0)))</f>
        <v/>
      </c>
    </row>
    <row r="24">
      <c r="A24" t="n">
        <v>20</v>
      </c>
      <c r="B24">
        <f>IF(COUNT(Items!$N$5:$N$59)&lt;A24,"",INDEX(Items!$A$5:$A$59,MATCH(SMALL(Items!$N$5:$N$59,A24),Items!$N$5:$N$59,0)))</f>
        <v/>
      </c>
      <c r="C24" s="6">
        <f>IF(B24="","",INDEX(Items!$I$5:$I$59,MATCH(B24,Items!$A$5:$A$59,0)))</f>
        <v/>
      </c>
      <c r="D24">
        <f>IF(B24="","",INDEX(Items!$B$5:$B$59,MATCH(B24,Items!$A$5:$A$59,0)))</f>
        <v/>
      </c>
      <c r="E24">
        <f>IF(B24="","",INDEX(Items!$E$5:$E$59,MATCH(B24,Items!$A$5:$A$59,0)))</f>
        <v/>
      </c>
      <c r="F24">
        <f>IF(B24="","",INDEX(Items!$M$5:$M$59,MATCH(B24,Items!$A$5:$A$59,0)))</f>
        <v/>
      </c>
    </row>
    <row r="25">
      <c r="A25" t="n">
        <v>21</v>
      </c>
      <c r="B25">
        <f>IF(COUNT(Items!$N$5:$N$59)&lt;A25,"",INDEX(Items!$A$5:$A$59,MATCH(SMALL(Items!$N$5:$N$59,A25),Items!$N$5:$N$59,0)))</f>
        <v/>
      </c>
      <c r="C25" s="6">
        <f>IF(B25="","",INDEX(Items!$I$5:$I$59,MATCH(B25,Items!$A$5:$A$59,0)))</f>
        <v/>
      </c>
      <c r="D25">
        <f>IF(B25="","",INDEX(Items!$B$5:$B$59,MATCH(B25,Items!$A$5:$A$59,0)))</f>
        <v/>
      </c>
      <c r="E25">
        <f>IF(B25="","",INDEX(Items!$E$5:$E$59,MATCH(B25,Items!$A$5:$A$59,0)))</f>
        <v/>
      </c>
      <c r="F25">
        <f>IF(B25="","",INDEX(Items!$M$5:$M$59,MATCH(B25,Items!$A$5:$A$59,0)))</f>
        <v/>
      </c>
    </row>
    <row r="26">
      <c r="A26" t="n">
        <v>22</v>
      </c>
      <c r="B26">
        <f>IF(COUNT(Items!$N$5:$N$59)&lt;A26,"",INDEX(Items!$A$5:$A$59,MATCH(SMALL(Items!$N$5:$N$59,A26),Items!$N$5:$N$59,0)))</f>
        <v/>
      </c>
      <c r="C26" s="6">
        <f>IF(B26="","",INDEX(Items!$I$5:$I$59,MATCH(B26,Items!$A$5:$A$59,0)))</f>
        <v/>
      </c>
      <c r="D26">
        <f>IF(B26="","",INDEX(Items!$B$5:$B$59,MATCH(B26,Items!$A$5:$A$59,0)))</f>
        <v/>
      </c>
      <c r="E26">
        <f>IF(B26="","",INDEX(Items!$E$5:$E$59,MATCH(B26,Items!$A$5:$A$59,0)))</f>
        <v/>
      </c>
      <c r="F26">
        <f>IF(B26="","",INDEX(Items!$M$5:$M$59,MATCH(B26,Items!$A$5:$A$59,0)))</f>
        <v/>
      </c>
    </row>
    <row r="27">
      <c r="A27" t="n">
        <v>23</v>
      </c>
      <c r="B27">
        <f>IF(COUNT(Items!$N$5:$N$59)&lt;A27,"",INDEX(Items!$A$5:$A$59,MATCH(SMALL(Items!$N$5:$N$59,A27),Items!$N$5:$N$59,0)))</f>
        <v/>
      </c>
      <c r="C27" s="6">
        <f>IF(B27="","",INDEX(Items!$I$5:$I$59,MATCH(B27,Items!$A$5:$A$59,0)))</f>
        <v/>
      </c>
      <c r="D27">
        <f>IF(B27="","",INDEX(Items!$B$5:$B$59,MATCH(B27,Items!$A$5:$A$59,0)))</f>
        <v/>
      </c>
      <c r="E27">
        <f>IF(B27="","",INDEX(Items!$E$5:$E$59,MATCH(B27,Items!$A$5:$A$59,0)))</f>
        <v/>
      </c>
      <c r="F27">
        <f>IF(B27="","",INDEX(Items!$M$5:$M$59,MATCH(B27,Items!$A$5:$A$59,0)))</f>
        <v/>
      </c>
    </row>
    <row r="28">
      <c r="A28" t="n">
        <v>24</v>
      </c>
      <c r="B28">
        <f>IF(COUNT(Items!$N$5:$N$59)&lt;A28,"",INDEX(Items!$A$5:$A$59,MATCH(SMALL(Items!$N$5:$N$59,A28),Items!$N$5:$N$59,0)))</f>
        <v/>
      </c>
      <c r="C28" s="6">
        <f>IF(B28="","",INDEX(Items!$I$5:$I$59,MATCH(B28,Items!$A$5:$A$59,0)))</f>
        <v/>
      </c>
      <c r="D28">
        <f>IF(B28="","",INDEX(Items!$B$5:$B$59,MATCH(B28,Items!$A$5:$A$59,0)))</f>
        <v/>
      </c>
      <c r="E28">
        <f>IF(B28="","",INDEX(Items!$E$5:$E$59,MATCH(B28,Items!$A$5:$A$59,0)))</f>
        <v/>
      </c>
      <c r="F28">
        <f>IF(B28="","",INDEX(Items!$M$5:$M$59,MATCH(B28,Items!$A$5:$A$59,0)))</f>
        <v/>
      </c>
    </row>
    <row r="29">
      <c r="A29" t="n">
        <v>25</v>
      </c>
      <c r="B29">
        <f>IF(COUNT(Items!$N$5:$N$59)&lt;A29,"",INDEX(Items!$A$5:$A$59,MATCH(SMALL(Items!$N$5:$N$59,A29),Items!$N$5:$N$59,0)))</f>
        <v/>
      </c>
      <c r="C29" s="6">
        <f>IF(B29="","",INDEX(Items!$I$5:$I$59,MATCH(B29,Items!$A$5:$A$59,0)))</f>
        <v/>
      </c>
      <c r="D29">
        <f>IF(B29="","",INDEX(Items!$B$5:$B$59,MATCH(B29,Items!$A$5:$A$59,0)))</f>
        <v/>
      </c>
      <c r="E29">
        <f>IF(B29="","",INDEX(Items!$E$5:$E$59,MATCH(B29,Items!$A$5:$A$59,0)))</f>
        <v/>
      </c>
      <c r="F29">
        <f>IF(B29="","",INDEX(Items!$M$5:$M$59,MATCH(B29,Items!$A$5:$A$59,0)))</f>
        <v/>
      </c>
    </row>
    <row r="30">
      <c r="A30" t="n">
        <v>26</v>
      </c>
      <c r="B30">
        <f>IF(COUNT(Items!$N$5:$N$59)&lt;A30,"",INDEX(Items!$A$5:$A$59,MATCH(SMALL(Items!$N$5:$N$59,A30),Items!$N$5:$N$59,0)))</f>
        <v/>
      </c>
      <c r="C30" s="6">
        <f>IF(B30="","",INDEX(Items!$I$5:$I$59,MATCH(B30,Items!$A$5:$A$59,0)))</f>
        <v/>
      </c>
      <c r="D30">
        <f>IF(B30="","",INDEX(Items!$B$5:$B$59,MATCH(B30,Items!$A$5:$A$59,0)))</f>
        <v/>
      </c>
      <c r="E30">
        <f>IF(B30="","",INDEX(Items!$E$5:$E$59,MATCH(B30,Items!$A$5:$A$59,0)))</f>
        <v/>
      </c>
      <c r="F30">
        <f>IF(B30="","",INDEX(Items!$M$5:$M$59,MATCH(B30,Items!$A$5:$A$59,0)))</f>
        <v/>
      </c>
    </row>
    <row r="31">
      <c r="A31" t="n">
        <v>27</v>
      </c>
      <c r="B31">
        <f>IF(COUNT(Items!$N$5:$N$59)&lt;A31,"",INDEX(Items!$A$5:$A$59,MATCH(SMALL(Items!$N$5:$N$59,A31),Items!$N$5:$N$59,0)))</f>
        <v/>
      </c>
      <c r="C31" s="6">
        <f>IF(B31="","",INDEX(Items!$I$5:$I$59,MATCH(B31,Items!$A$5:$A$59,0)))</f>
        <v/>
      </c>
      <c r="D31">
        <f>IF(B31="","",INDEX(Items!$B$5:$B$59,MATCH(B31,Items!$A$5:$A$59,0)))</f>
        <v/>
      </c>
      <c r="E31">
        <f>IF(B31="","",INDEX(Items!$E$5:$E$59,MATCH(B31,Items!$A$5:$A$59,0)))</f>
        <v/>
      </c>
      <c r="F31">
        <f>IF(B31="","",INDEX(Items!$M$5:$M$59,MATCH(B31,Items!$A$5:$A$59,0)))</f>
        <v/>
      </c>
    </row>
    <row r="32">
      <c r="A32" t="n">
        <v>28</v>
      </c>
      <c r="B32">
        <f>IF(COUNT(Items!$N$5:$N$59)&lt;A32,"",INDEX(Items!$A$5:$A$59,MATCH(SMALL(Items!$N$5:$N$59,A32),Items!$N$5:$N$59,0)))</f>
        <v/>
      </c>
      <c r="C32" s="6">
        <f>IF(B32="","",INDEX(Items!$I$5:$I$59,MATCH(B32,Items!$A$5:$A$59,0)))</f>
        <v/>
      </c>
      <c r="D32">
        <f>IF(B32="","",INDEX(Items!$B$5:$B$59,MATCH(B32,Items!$A$5:$A$59,0)))</f>
        <v/>
      </c>
      <c r="E32">
        <f>IF(B32="","",INDEX(Items!$E$5:$E$59,MATCH(B32,Items!$A$5:$A$59,0)))</f>
        <v/>
      </c>
      <c r="F32">
        <f>IF(B32="","",INDEX(Items!$M$5:$M$59,MATCH(B32,Items!$A$5:$A$59,0)))</f>
        <v/>
      </c>
    </row>
    <row r="33">
      <c r="A33" t="n">
        <v>29</v>
      </c>
      <c r="B33">
        <f>IF(COUNT(Items!$N$5:$N$59)&lt;A33,"",INDEX(Items!$A$5:$A$59,MATCH(SMALL(Items!$N$5:$N$59,A33),Items!$N$5:$N$59,0)))</f>
        <v/>
      </c>
      <c r="C33" s="6">
        <f>IF(B33="","",INDEX(Items!$I$5:$I$59,MATCH(B33,Items!$A$5:$A$59,0)))</f>
        <v/>
      </c>
      <c r="D33">
        <f>IF(B33="","",INDEX(Items!$B$5:$B$59,MATCH(B33,Items!$A$5:$A$59,0)))</f>
        <v/>
      </c>
      <c r="E33">
        <f>IF(B33="","",INDEX(Items!$E$5:$E$59,MATCH(B33,Items!$A$5:$A$59,0)))</f>
        <v/>
      </c>
      <c r="F33">
        <f>IF(B33="","",INDEX(Items!$M$5:$M$59,MATCH(B33,Items!$A$5:$A$59,0)))</f>
        <v/>
      </c>
    </row>
    <row r="34">
      <c r="A34" t="n">
        <v>30</v>
      </c>
      <c r="B34">
        <f>IF(COUNT(Items!$N$5:$N$59)&lt;A34,"",INDEX(Items!$A$5:$A$59,MATCH(SMALL(Items!$N$5:$N$59,A34),Items!$N$5:$N$59,0)))</f>
        <v/>
      </c>
      <c r="C34" s="6">
        <f>IF(B34="","",INDEX(Items!$I$5:$I$59,MATCH(B34,Items!$A$5:$A$59,0)))</f>
        <v/>
      </c>
      <c r="D34">
        <f>IF(B34="","",INDEX(Items!$B$5:$B$59,MATCH(B34,Items!$A$5:$A$59,0)))</f>
        <v/>
      </c>
      <c r="E34">
        <f>IF(B34="","",INDEX(Items!$E$5:$E$59,MATCH(B34,Items!$A$5:$A$59,0)))</f>
        <v/>
      </c>
      <c r="F34">
        <f>IF(B34="","",INDEX(Items!$M$5:$M$59,MATCH(B34,Items!$A$5:$A$59,0)))</f>
        <v/>
      </c>
    </row>
    <row r="35">
      <c r="A35" t="n">
        <v>31</v>
      </c>
      <c r="B35">
        <f>IF(COUNT(Items!$N$5:$N$59)&lt;A35,"",INDEX(Items!$A$5:$A$59,MATCH(SMALL(Items!$N$5:$N$59,A35),Items!$N$5:$N$59,0)))</f>
        <v/>
      </c>
      <c r="C35" s="6">
        <f>IF(B35="","",INDEX(Items!$I$5:$I$59,MATCH(B35,Items!$A$5:$A$59,0)))</f>
        <v/>
      </c>
      <c r="D35">
        <f>IF(B35="","",INDEX(Items!$B$5:$B$59,MATCH(B35,Items!$A$5:$A$59,0)))</f>
        <v/>
      </c>
      <c r="E35">
        <f>IF(B35="","",INDEX(Items!$E$5:$E$59,MATCH(B35,Items!$A$5:$A$59,0)))</f>
        <v/>
      </c>
      <c r="F35">
        <f>IF(B35="","",INDEX(Items!$M$5:$M$59,MATCH(B35,Items!$A$5:$A$59,0)))</f>
        <v/>
      </c>
    </row>
    <row r="36">
      <c r="A36" t="n">
        <v>32</v>
      </c>
      <c r="B36">
        <f>IF(COUNT(Items!$N$5:$N$59)&lt;A36,"",INDEX(Items!$A$5:$A$59,MATCH(SMALL(Items!$N$5:$N$59,A36),Items!$N$5:$N$59,0)))</f>
        <v/>
      </c>
      <c r="C36" s="6">
        <f>IF(B36="","",INDEX(Items!$I$5:$I$59,MATCH(B36,Items!$A$5:$A$59,0)))</f>
        <v/>
      </c>
      <c r="D36">
        <f>IF(B36="","",INDEX(Items!$B$5:$B$59,MATCH(B36,Items!$A$5:$A$59,0)))</f>
        <v/>
      </c>
      <c r="E36">
        <f>IF(B36="","",INDEX(Items!$E$5:$E$59,MATCH(B36,Items!$A$5:$A$59,0)))</f>
        <v/>
      </c>
      <c r="F36">
        <f>IF(B36="","",INDEX(Items!$M$5:$M$59,MATCH(B36,Items!$A$5:$A$59,0)))</f>
        <v/>
      </c>
    </row>
    <row r="37">
      <c r="A37" t="n">
        <v>33</v>
      </c>
      <c r="B37">
        <f>IF(COUNT(Items!$N$5:$N$59)&lt;A37,"",INDEX(Items!$A$5:$A$59,MATCH(SMALL(Items!$N$5:$N$59,A37),Items!$N$5:$N$59,0)))</f>
        <v/>
      </c>
      <c r="C37" s="6">
        <f>IF(B37="","",INDEX(Items!$I$5:$I$59,MATCH(B37,Items!$A$5:$A$59,0)))</f>
        <v/>
      </c>
      <c r="D37">
        <f>IF(B37="","",INDEX(Items!$B$5:$B$59,MATCH(B37,Items!$A$5:$A$59,0)))</f>
        <v/>
      </c>
      <c r="E37">
        <f>IF(B37="","",INDEX(Items!$E$5:$E$59,MATCH(B37,Items!$A$5:$A$59,0)))</f>
        <v/>
      </c>
      <c r="F37">
        <f>IF(B37="","",INDEX(Items!$M$5:$M$59,MATCH(B37,Items!$A$5:$A$59,0)))</f>
        <v/>
      </c>
    </row>
    <row r="38">
      <c r="A38" t="n">
        <v>34</v>
      </c>
      <c r="B38">
        <f>IF(COUNT(Items!$N$5:$N$59)&lt;A38,"",INDEX(Items!$A$5:$A$59,MATCH(SMALL(Items!$N$5:$N$59,A38),Items!$N$5:$N$59,0)))</f>
        <v/>
      </c>
      <c r="C38" s="6">
        <f>IF(B38="","",INDEX(Items!$I$5:$I$59,MATCH(B38,Items!$A$5:$A$59,0)))</f>
        <v/>
      </c>
      <c r="D38">
        <f>IF(B38="","",INDEX(Items!$B$5:$B$59,MATCH(B38,Items!$A$5:$A$59,0)))</f>
        <v/>
      </c>
      <c r="E38">
        <f>IF(B38="","",INDEX(Items!$E$5:$E$59,MATCH(B38,Items!$A$5:$A$59,0)))</f>
        <v/>
      </c>
      <c r="F38">
        <f>IF(B38="","",INDEX(Items!$M$5:$M$59,MATCH(B38,Items!$A$5:$A$59,0)))</f>
        <v/>
      </c>
    </row>
    <row r="39">
      <c r="A39" t="n">
        <v>35</v>
      </c>
      <c r="B39">
        <f>IF(COUNT(Items!$N$5:$N$59)&lt;A39,"",INDEX(Items!$A$5:$A$59,MATCH(SMALL(Items!$N$5:$N$59,A39),Items!$N$5:$N$59,0)))</f>
        <v/>
      </c>
      <c r="C39" s="6">
        <f>IF(B39="","",INDEX(Items!$I$5:$I$59,MATCH(B39,Items!$A$5:$A$59,0)))</f>
        <v/>
      </c>
      <c r="D39">
        <f>IF(B39="","",INDEX(Items!$B$5:$B$59,MATCH(B39,Items!$A$5:$A$59,0)))</f>
        <v/>
      </c>
      <c r="E39">
        <f>IF(B39="","",INDEX(Items!$E$5:$E$59,MATCH(B39,Items!$A$5:$A$59,0)))</f>
        <v/>
      </c>
      <c r="F39">
        <f>IF(B39="","",INDEX(Items!$M$5:$M$59,MATCH(B39,Items!$A$5:$A$59,0)))</f>
        <v/>
      </c>
    </row>
    <row r="40">
      <c r="A40" t="n">
        <v>36</v>
      </c>
      <c r="B40">
        <f>IF(COUNT(Items!$N$5:$N$59)&lt;A40,"",INDEX(Items!$A$5:$A$59,MATCH(SMALL(Items!$N$5:$N$59,A40),Items!$N$5:$N$59,0)))</f>
        <v/>
      </c>
      <c r="C40" s="6">
        <f>IF(B40="","",INDEX(Items!$I$5:$I$59,MATCH(B40,Items!$A$5:$A$59,0)))</f>
        <v/>
      </c>
      <c r="D40">
        <f>IF(B40="","",INDEX(Items!$B$5:$B$59,MATCH(B40,Items!$A$5:$A$59,0)))</f>
        <v/>
      </c>
      <c r="E40">
        <f>IF(B40="","",INDEX(Items!$E$5:$E$59,MATCH(B40,Items!$A$5:$A$59,0)))</f>
        <v/>
      </c>
      <c r="F40">
        <f>IF(B40="","",INDEX(Items!$M$5:$M$59,MATCH(B40,Items!$A$5:$A$59,0)))</f>
        <v/>
      </c>
    </row>
    <row r="41">
      <c r="A41" t="n">
        <v>37</v>
      </c>
      <c r="B41">
        <f>IF(COUNT(Items!$N$5:$N$59)&lt;A41,"",INDEX(Items!$A$5:$A$59,MATCH(SMALL(Items!$N$5:$N$59,A41),Items!$N$5:$N$59,0)))</f>
        <v/>
      </c>
      <c r="C41" s="6">
        <f>IF(B41="","",INDEX(Items!$I$5:$I$59,MATCH(B41,Items!$A$5:$A$59,0)))</f>
        <v/>
      </c>
      <c r="D41">
        <f>IF(B41="","",INDEX(Items!$B$5:$B$59,MATCH(B41,Items!$A$5:$A$59,0)))</f>
        <v/>
      </c>
      <c r="E41">
        <f>IF(B41="","",INDEX(Items!$E$5:$E$59,MATCH(B41,Items!$A$5:$A$59,0)))</f>
        <v/>
      </c>
      <c r="F41">
        <f>IF(B41="","",INDEX(Items!$M$5:$M$59,MATCH(B41,Items!$A$5:$A$59,0)))</f>
        <v/>
      </c>
    </row>
    <row r="42">
      <c r="A42" t="n">
        <v>38</v>
      </c>
      <c r="B42">
        <f>IF(COUNT(Items!$N$5:$N$59)&lt;A42,"",INDEX(Items!$A$5:$A$59,MATCH(SMALL(Items!$N$5:$N$59,A42),Items!$N$5:$N$59,0)))</f>
        <v/>
      </c>
      <c r="C42" s="6">
        <f>IF(B42="","",INDEX(Items!$I$5:$I$59,MATCH(B42,Items!$A$5:$A$59,0)))</f>
        <v/>
      </c>
      <c r="D42">
        <f>IF(B42="","",INDEX(Items!$B$5:$B$59,MATCH(B42,Items!$A$5:$A$59,0)))</f>
        <v/>
      </c>
      <c r="E42">
        <f>IF(B42="","",INDEX(Items!$E$5:$E$59,MATCH(B42,Items!$A$5:$A$59,0)))</f>
        <v/>
      </c>
      <c r="F42">
        <f>IF(B42="","",INDEX(Items!$M$5:$M$59,MATCH(B42,Items!$A$5:$A$59,0)))</f>
        <v/>
      </c>
    </row>
    <row r="43">
      <c r="A43" t="n">
        <v>39</v>
      </c>
      <c r="B43">
        <f>IF(COUNT(Items!$N$5:$N$59)&lt;A43,"",INDEX(Items!$A$5:$A$59,MATCH(SMALL(Items!$N$5:$N$59,A43),Items!$N$5:$N$59,0)))</f>
        <v/>
      </c>
      <c r="C43" s="6">
        <f>IF(B43="","",INDEX(Items!$I$5:$I$59,MATCH(B43,Items!$A$5:$A$59,0)))</f>
        <v/>
      </c>
      <c r="D43">
        <f>IF(B43="","",INDEX(Items!$B$5:$B$59,MATCH(B43,Items!$A$5:$A$59,0)))</f>
        <v/>
      </c>
      <c r="E43">
        <f>IF(B43="","",INDEX(Items!$E$5:$E$59,MATCH(B43,Items!$A$5:$A$59,0)))</f>
        <v/>
      </c>
      <c r="F43">
        <f>IF(B43="","",INDEX(Items!$M$5:$M$59,MATCH(B43,Items!$A$5:$A$59,0)))</f>
        <v/>
      </c>
    </row>
    <row r="44">
      <c r="A44" t="n">
        <v>40</v>
      </c>
      <c r="B44">
        <f>IF(COUNT(Items!$N$5:$N$59)&lt;A44,"",INDEX(Items!$A$5:$A$59,MATCH(SMALL(Items!$N$5:$N$59,A44),Items!$N$5:$N$59,0)))</f>
        <v/>
      </c>
      <c r="C44" s="6">
        <f>IF(B44="","",INDEX(Items!$I$5:$I$59,MATCH(B44,Items!$A$5:$A$59,0)))</f>
        <v/>
      </c>
      <c r="D44">
        <f>IF(B44="","",INDEX(Items!$B$5:$B$59,MATCH(B44,Items!$A$5:$A$59,0)))</f>
        <v/>
      </c>
      <c r="E44">
        <f>IF(B44="","",INDEX(Items!$E$5:$E$59,MATCH(B44,Items!$A$5:$A$59,0)))</f>
        <v/>
      </c>
      <c r="F44">
        <f>IF(B44="","",INDEX(Items!$M$5:$M$59,MATCH(B44,Items!$A$5:$A$59,0)))</f>
        <v/>
      </c>
    </row>
    <row r="45">
      <c r="A45" t="n">
        <v>41</v>
      </c>
      <c r="B45">
        <f>IF(COUNT(Items!$N$5:$N$59)&lt;A45,"",INDEX(Items!$A$5:$A$59,MATCH(SMALL(Items!$N$5:$N$59,A45),Items!$N$5:$N$59,0)))</f>
        <v/>
      </c>
      <c r="C45" s="6">
        <f>IF(B45="","",INDEX(Items!$I$5:$I$59,MATCH(B45,Items!$A$5:$A$59,0)))</f>
        <v/>
      </c>
      <c r="D45">
        <f>IF(B45="","",INDEX(Items!$B$5:$B$59,MATCH(B45,Items!$A$5:$A$59,0)))</f>
        <v/>
      </c>
      <c r="E45">
        <f>IF(B45="","",INDEX(Items!$E$5:$E$59,MATCH(B45,Items!$A$5:$A$59,0)))</f>
        <v/>
      </c>
      <c r="F45">
        <f>IF(B45="","",INDEX(Items!$M$5:$M$59,MATCH(B45,Items!$A$5:$A$59,0)))</f>
        <v/>
      </c>
    </row>
    <row r="46">
      <c r="A46" t="n">
        <v>42</v>
      </c>
      <c r="B46">
        <f>IF(COUNT(Items!$N$5:$N$59)&lt;A46,"",INDEX(Items!$A$5:$A$59,MATCH(SMALL(Items!$N$5:$N$59,A46),Items!$N$5:$N$59,0)))</f>
        <v/>
      </c>
      <c r="C46" s="6">
        <f>IF(B46="","",INDEX(Items!$I$5:$I$59,MATCH(B46,Items!$A$5:$A$59,0)))</f>
        <v/>
      </c>
      <c r="D46">
        <f>IF(B46="","",INDEX(Items!$B$5:$B$59,MATCH(B46,Items!$A$5:$A$59,0)))</f>
        <v/>
      </c>
      <c r="E46">
        <f>IF(B46="","",INDEX(Items!$E$5:$E$59,MATCH(B46,Items!$A$5:$A$59,0)))</f>
        <v/>
      </c>
      <c r="F46">
        <f>IF(B46="","",INDEX(Items!$M$5:$M$59,MATCH(B46,Items!$A$5:$A$59,0)))</f>
        <v/>
      </c>
    </row>
    <row r="47">
      <c r="A47" t="n">
        <v>43</v>
      </c>
      <c r="B47">
        <f>IF(COUNT(Items!$N$5:$N$59)&lt;A47,"",INDEX(Items!$A$5:$A$59,MATCH(SMALL(Items!$N$5:$N$59,A47),Items!$N$5:$N$59,0)))</f>
        <v/>
      </c>
      <c r="C47" s="6">
        <f>IF(B47="","",INDEX(Items!$I$5:$I$59,MATCH(B47,Items!$A$5:$A$59,0)))</f>
        <v/>
      </c>
      <c r="D47">
        <f>IF(B47="","",INDEX(Items!$B$5:$B$59,MATCH(B47,Items!$A$5:$A$59,0)))</f>
        <v/>
      </c>
      <c r="E47">
        <f>IF(B47="","",INDEX(Items!$E$5:$E$59,MATCH(B47,Items!$A$5:$A$59,0)))</f>
        <v/>
      </c>
      <c r="F47">
        <f>IF(B47="","",INDEX(Items!$M$5:$M$59,MATCH(B47,Items!$A$5:$A$59,0)))</f>
        <v/>
      </c>
    </row>
    <row r="48">
      <c r="A48" t="n">
        <v>44</v>
      </c>
      <c r="B48">
        <f>IF(COUNT(Items!$N$5:$N$59)&lt;A48,"",INDEX(Items!$A$5:$A$59,MATCH(SMALL(Items!$N$5:$N$59,A48),Items!$N$5:$N$59,0)))</f>
        <v/>
      </c>
      <c r="C48" s="6">
        <f>IF(B48="","",INDEX(Items!$I$5:$I$59,MATCH(B48,Items!$A$5:$A$59,0)))</f>
        <v/>
      </c>
      <c r="D48">
        <f>IF(B48="","",INDEX(Items!$B$5:$B$59,MATCH(B48,Items!$A$5:$A$59,0)))</f>
        <v/>
      </c>
      <c r="E48">
        <f>IF(B48="","",INDEX(Items!$E$5:$E$59,MATCH(B48,Items!$A$5:$A$59,0)))</f>
        <v/>
      </c>
      <c r="F48">
        <f>IF(B48="","",INDEX(Items!$M$5:$M$59,MATCH(B48,Items!$A$5:$A$59,0)))</f>
        <v/>
      </c>
    </row>
    <row r="49">
      <c r="A49" t="n">
        <v>45</v>
      </c>
      <c r="B49">
        <f>IF(COUNT(Items!$N$5:$N$59)&lt;A49,"",INDEX(Items!$A$5:$A$59,MATCH(SMALL(Items!$N$5:$N$59,A49),Items!$N$5:$N$59,0)))</f>
        <v/>
      </c>
      <c r="C49" s="6">
        <f>IF(B49="","",INDEX(Items!$I$5:$I$59,MATCH(B49,Items!$A$5:$A$59,0)))</f>
        <v/>
      </c>
      <c r="D49">
        <f>IF(B49="","",INDEX(Items!$B$5:$B$59,MATCH(B49,Items!$A$5:$A$59,0)))</f>
        <v/>
      </c>
      <c r="E49">
        <f>IF(B49="","",INDEX(Items!$E$5:$E$59,MATCH(B49,Items!$A$5:$A$59,0)))</f>
        <v/>
      </c>
      <c r="F49">
        <f>IF(B49="","",INDEX(Items!$M$5:$M$59,MATCH(B49,Items!$A$5:$A$59,0)))</f>
        <v/>
      </c>
    </row>
    <row r="50">
      <c r="A50" t="n">
        <v>46</v>
      </c>
      <c r="B50">
        <f>IF(COUNT(Items!$N$5:$N$59)&lt;A50,"",INDEX(Items!$A$5:$A$59,MATCH(SMALL(Items!$N$5:$N$59,A50),Items!$N$5:$N$59,0)))</f>
        <v/>
      </c>
      <c r="C50" s="6">
        <f>IF(B50="","",INDEX(Items!$I$5:$I$59,MATCH(B50,Items!$A$5:$A$59,0)))</f>
        <v/>
      </c>
      <c r="D50">
        <f>IF(B50="","",INDEX(Items!$B$5:$B$59,MATCH(B50,Items!$A$5:$A$59,0)))</f>
        <v/>
      </c>
      <c r="E50">
        <f>IF(B50="","",INDEX(Items!$E$5:$E$59,MATCH(B50,Items!$A$5:$A$59,0)))</f>
        <v/>
      </c>
      <c r="F50">
        <f>IF(B50="","",INDEX(Items!$M$5:$M$59,MATCH(B50,Items!$A$5:$A$59,0)))</f>
        <v/>
      </c>
    </row>
    <row r="51">
      <c r="A51" t="n">
        <v>47</v>
      </c>
      <c r="B51">
        <f>IF(COUNT(Items!$N$5:$N$59)&lt;A51,"",INDEX(Items!$A$5:$A$59,MATCH(SMALL(Items!$N$5:$N$59,A51),Items!$N$5:$N$59,0)))</f>
        <v/>
      </c>
      <c r="C51" s="6">
        <f>IF(B51="","",INDEX(Items!$I$5:$I$59,MATCH(B51,Items!$A$5:$A$59,0)))</f>
        <v/>
      </c>
      <c r="D51">
        <f>IF(B51="","",INDEX(Items!$B$5:$B$59,MATCH(B51,Items!$A$5:$A$59,0)))</f>
        <v/>
      </c>
      <c r="E51">
        <f>IF(B51="","",INDEX(Items!$E$5:$E$59,MATCH(B51,Items!$A$5:$A$59,0)))</f>
        <v/>
      </c>
      <c r="F51">
        <f>IF(B51="","",INDEX(Items!$M$5:$M$59,MATCH(B51,Items!$A$5:$A$59,0)))</f>
        <v/>
      </c>
    </row>
    <row r="52">
      <c r="A52" t="n">
        <v>48</v>
      </c>
      <c r="B52">
        <f>IF(COUNT(Items!$N$5:$N$59)&lt;A52,"",INDEX(Items!$A$5:$A$59,MATCH(SMALL(Items!$N$5:$N$59,A52),Items!$N$5:$N$59,0)))</f>
        <v/>
      </c>
      <c r="C52" s="6">
        <f>IF(B52="","",INDEX(Items!$I$5:$I$59,MATCH(B52,Items!$A$5:$A$59,0)))</f>
        <v/>
      </c>
      <c r="D52">
        <f>IF(B52="","",INDEX(Items!$B$5:$B$59,MATCH(B52,Items!$A$5:$A$59,0)))</f>
        <v/>
      </c>
      <c r="E52">
        <f>IF(B52="","",INDEX(Items!$E$5:$E$59,MATCH(B52,Items!$A$5:$A$59,0)))</f>
        <v/>
      </c>
      <c r="F52">
        <f>IF(B52="","",INDEX(Items!$M$5:$M$59,MATCH(B52,Items!$A$5:$A$59,0)))</f>
        <v/>
      </c>
    </row>
    <row r="53">
      <c r="A53" t="n">
        <v>49</v>
      </c>
      <c r="B53">
        <f>IF(COUNT(Items!$N$5:$N$59)&lt;A53,"",INDEX(Items!$A$5:$A$59,MATCH(SMALL(Items!$N$5:$N$59,A53),Items!$N$5:$N$59,0)))</f>
        <v/>
      </c>
      <c r="C53" s="6">
        <f>IF(B53="","",INDEX(Items!$I$5:$I$59,MATCH(B53,Items!$A$5:$A$59,0)))</f>
        <v/>
      </c>
      <c r="D53">
        <f>IF(B53="","",INDEX(Items!$B$5:$B$59,MATCH(B53,Items!$A$5:$A$59,0)))</f>
        <v/>
      </c>
      <c r="E53">
        <f>IF(B53="","",INDEX(Items!$E$5:$E$59,MATCH(B53,Items!$A$5:$A$59,0)))</f>
        <v/>
      </c>
      <c r="F53">
        <f>IF(B53="","",INDEX(Items!$M$5:$M$59,MATCH(B53,Items!$A$5:$A$59,0)))</f>
        <v/>
      </c>
    </row>
    <row r="54">
      <c r="A54" t="n">
        <v>50</v>
      </c>
      <c r="B54">
        <f>IF(COUNT(Items!$N$5:$N$59)&lt;A54,"",INDEX(Items!$A$5:$A$59,MATCH(SMALL(Items!$N$5:$N$59,A54),Items!$N$5:$N$59,0)))</f>
        <v/>
      </c>
      <c r="C54" s="6">
        <f>IF(B54="","",INDEX(Items!$I$5:$I$59,MATCH(B54,Items!$A$5:$A$59,0)))</f>
        <v/>
      </c>
      <c r="D54">
        <f>IF(B54="","",INDEX(Items!$B$5:$B$59,MATCH(B54,Items!$A$5:$A$59,0)))</f>
        <v/>
      </c>
      <c r="E54">
        <f>IF(B54="","",INDEX(Items!$E$5:$E$59,MATCH(B54,Items!$A$5:$A$59,0)))</f>
        <v/>
      </c>
      <c r="F54">
        <f>IF(B54="","",INDEX(Items!$M$5:$M$59,MATCH(B54,Items!$A$5:$A$59,0)))</f>
        <v/>
      </c>
    </row>
    <row r="55">
      <c r="A55" t="n">
        <v>51</v>
      </c>
      <c r="B55">
        <f>IF(COUNT(Items!$N$5:$N$59)&lt;A55,"",INDEX(Items!$A$5:$A$59,MATCH(SMALL(Items!$N$5:$N$59,A55),Items!$N$5:$N$59,0)))</f>
        <v/>
      </c>
      <c r="C55" s="6">
        <f>IF(B55="","",INDEX(Items!$I$5:$I$59,MATCH(B55,Items!$A$5:$A$59,0)))</f>
        <v/>
      </c>
      <c r="D55">
        <f>IF(B55="","",INDEX(Items!$B$5:$B$59,MATCH(B55,Items!$A$5:$A$59,0)))</f>
        <v/>
      </c>
      <c r="E55">
        <f>IF(B55="","",INDEX(Items!$E$5:$E$59,MATCH(B55,Items!$A$5:$A$59,0)))</f>
        <v/>
      </c>
      <c r="F55">
        <f>IF(B55="","",INDEX(Items!$M$5:$M$59,MATCH(B55,Items!$A$5:$A$59,0)))</f>
        <v/>
      </c>
    </row>
    <row r="56">
      <c r="A56" t="n">
        <v>52</v>
      </c>
      <c r="B56">
        <f>IF(COUNT(Items!$N$5:$N$59)&lt;A56,"",INDEX(Items!$A$5:$A$59,MATCH(SMALL(Items!$N$5:$N$59,A56),Items!$N$5:$N$59,0)))</f>
        <v/>
      </c>
      <c r="C56" s="6">
        <f>IF(B56="","",INDEX(Items!$I$5:$I$59,MATCH(B56,Items!$A$5:$A$59,0)))</f>
        <v/>
      </c>
      <c r="D56">
        <f>IF(B56="","",INDEX(Items!$B$5:$B$59,MATCH(B56,Items!$A$5:$A$59,0)))</f>
        <v/>
      </c>
      <c r="E56">
        <f>IF(B56="","",INDEX(Items!$E$5:$E$59,MATCH(B56,Items!$A$5:$A$59,0)))</f>
        <v/>
      </c>
      <c r="F56">
        <f>IF(B56="","",INDEX(Items!$M$5:$M$59,MATCH(B56,Items!$A$5:$A$59,0)))</f>
        <v/>
      </c>
    </row>
    <row r="57">
      <c r="A57" t="n">
        <v>53</v>
      </c>
      <c r="B57">
        <f>IF(COUNT(Items!$N$5:$N$59)&lt;A57,"",INDEX(Items!$A$5:$A$59,MATCH(SMALL(Items!$N$5:$N$59,A57),Items!$N$5:$N$59,0)))</f>
        <v/>
      </c>
      <c r="C57" s="6">
        <f>IF(B57="","",INDEX(Items!$I$5:$I$59,MATCH(B57,Items!$A$5:$A$59,0)))</f>
        <v/>
      </c>
      <c r="D57">
        <f>IF(B57="","",INDEX(Items!$B$5:$B$59,MATCH(B57,Items!$A$5:$A$59,0)))</f>
        <v/>
      </c>
      <c r="E57">
        <f>IF(B57="","",INDEX(Items!$E$5:$E$59,MATCH(B57,Items!$A$5:$A$59,0)))</f>
        <v/>
      </c>
      <c r="F57">
        <f>IF(B57="","",INDEX(Items!$M$5:$M$59,MATCH(B57,Items!$A$5:$A$59,0)))</f>
        <v/>
      </c>
    </row>
    <row r="58">
      <c r="A58" t="n">
        <v>54</v>
      </c>
      <c r="B58">
        <f>IF(COUNT(Items!$N$5:$N$59)&lt;A58,"",INDEX(Items!$A$5:$A$59,MATCH(SMALL(Items!$N$5:$N$59,A58),Items!$N$5:$N$59,0)))</f>
        <v/>
      </c>
      <c r="C58" s="6">
        <f>IF(B58="","",INDEX(Items!$I$5:$I$59,MATCH(B58,Items!$A$5:$A$59,0)))</f>
        <v/>
      </c>
      <c r="D58">
        <f>IF(B58="","",INDEX(Items!$B$5:$B$59,MATCH(B58,Items!$A$5:$A$59,0)))</f>
        <v/>
      </c>
      <c r="E58">
        <f>IF(B58="","",INDEX(Items!$E$5:$E$59,MATCH(B58,Items!$A$5:$A$59,0)))</f>
        <v/>
      </c>
      <c r="F58">
        <f>IF(B58="","",INDEX(Items!$M$5:$M$59,MATCH(B58,Items!$A$5:$A$59,0)))</f>
        <v/>
      </c>
    </row>
    <row r="59">
      <c r="A59" t="n">
        <v>55</v>
      </c>
      <c r="B59">
        <f>IF(COUNT(Items!$N$5:$N$59)&lt;A59,"",INDEX(Items!$A$5:$A$59,MATCH(SMALL(Items!$N$5:$N$59,A59),Items!$N$5:$N$59,0)))</f>
        <v/>
      </c>
      <c r="C59" s="6">
        <f>IF(B59="","",INDEX(Items!$I$5:$I$59,MATCH(B59,Items!$A$5:$A$59,0)))</f>
        <v/>
      </c>
      <c r="D59">
        <f>IF(B59="","",INDEX(Items!$B$5:$B$59,MATCH(B59,Items!$A$5:$A$59,0)))</f>
        <v/>
      </c>
      <c r="E59">
        <f>IF(B59="","",INDEX(Items!$E$5:$E$59,MATCH(B59,Items!$A$5:$A$59,0)))</f>
        <v/>
      </c>
      <c r="F59">
        <f>IF(B59="","",INDEX(Items!$M$5:$M$59,MATCH(B59,Items!$A$5:$A$59,0)))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40" customWidth="1" min="2" max="2"/>
  </cols>
  <sheetData>
    <row r="1">
      <c r="A1" s="3" t="inlineStr">
        <is>
          <t>The room's rate by tag and by part</t>
        </is>
      </c>
    </row>
    <row r="4">
      <c r="A4" s="4" t="inlineStr">
        <is>
          <t>Tag or part</t>
        </is>
      </c>
      <c r="B4" s="4" t="inlineStr">
        <is>
          <t>Name</t>
        </is>
      </c>
      <c r="C4" s="4" t="inlineStr">
        <is>
          <t>Items</t>
        </is>
      </c>
      <c r="D4" s="4" t="inlineStr">
        <is>
          <t>Right rate</t>
        </is>
      </c>
    </row>
    <row r="5">
      <c r="A5" t="inlineStr">
        <is>
          <t>[S]</t>
        </is>
      </c>
      <c r="B5" t="inlineStr">
        <is>
          <t>tag</t>
        </is>
      </c>
      <c r="C5">
        <f>COUNTIF(Items!$E$5:$E$59,A5)</f>
        <v/>
      </c>
      <c r="D5" s="6">
        <f>IF(SUMPRODUCT((Items!$E$5:$E$59=A5)*Items!$H$5:$H$59)=0,"",SUMPRODUCT((Items!$E$5:$E$59=A5)*Items!$G$5:$G$59)/SUMPRODUCT((Items!$E$5:$E$59=A5)*Items!$H$5:$H$59))</f>
        <v/>
      </c>
    </row>
    <row r="6">
      <c r="A6" t="inlineStr">
        <is>
          <t>[F]</t>
        </is>
      </c>
      <c r="B6" t="inlineStr">
        <is>
          <t>tag</t>
        </is>
      </c>
      <c r="C6">
        <f>COUNTIF(Items!$E$5:$E$59,A6)</f>
        <v/>
      </c>
      <c r="D6" s="6">
        <f>IF(SUMPRODUCT((Items!$E$5:$E$59=A6)*Items!$H$5:$H$59)=0,"",SUMPRODUCT((Items!$E$5:$E$59=A6)*Items!$G$5:$G$59)/SUMPRODUCT((Items!$E$5:$E$59=A6)*Items!$H$5:$H$59))</f>
        <v/>
      </c>
    </row>
    <row r="7">
      <c r="A7" t="inlineStr">
        <is>
          <t>[D]</t>
        </is>
      </c>
      <c r="B7" t="inlineStr">
        <is>
          <t>tag</t>
        </is>
      </c>
      <c r="C7">
        <f>COUNTIF(Items!$E$5:$E$59,A7)</f>
        <v/>
      </c>
      <c r="D7" s="6">
        <f>IF(SUMPRODUCT((Items!$E$5:$E$59=A7)*Items!$H$5:$H$59)=0,"",SUMPRODUCT((Items!$E$5:$E$59=A7)*Items!$G$5:$G$59)/SUMPRODUCT((Items!$E$5:$E$59=A7)*Items!$H$5:$H$59))</f>
        <v/>
      </c>
    </row>
    <row r="8">
      <c r="A8" t="n">
        <v>1</v>
      </c>
      <c r="B8" t="inlineStr">
        <is>
          <t>Part 1. The week's rules, cold</t>
        </is>
      </c>
      <c r="C8">
        <f>COUNTIF(Items!$B$5:$B$59,A8)</f>
        <v/>
      </c>
      <c r="D8" s="6">
        <f>IF(SUMPRODUCT((Items!$B$5:$B$59=A8)*Items!$H$5:$H$59)=0,"",SUMPRODUCT((Items!$B$5:$B$59=A8)*Items!$G$5:$G$59)/SUMPRODUCT((Items!$B$5:$B$59=A8)*Items!$H$5:$H$59))</f>
        <v/>
      </c>
    </row>
    <row r="9">
      <c r="A9" t="n">
        <v>2</v>
      </c>
      <c r="B9" t="inlineStr">
        <is>
          <t>Part 2. Asking the warehouse</t>
        </is>
      </c>
      <c r="C9">
        <f>COUNTIF(Items!$B$5:$B$59,A9)</f>
        <v/>
      </c>
      <c r="D9" s="6">
        <f>IF(SUMPRODUCT((Items!$B$5:$B$59=A9)*Items!$H$5:$H$59)=0,"",SUMPRODUCT((Items!$B$5:$B$59=A9)*Items!$G$5:$G$59)/SUMPRODUCT((Items!$B$5:$B$59=A9)*Items!$H$5:$H$59))</f>
        <v/>
      </c>
    </row>
    <row r="10">
      <c r="A10" t="n">
        <v>3</v>
      </c>
      <c r="B10" t="inlineStr">
        <is>
          <t>Part 3. Joins that keep their rows</t>
        </is>
      </c>
      <c r="C10">
        <f>COUNTIF(Items!$B$5:$B$59,A10)</f>
        <v/>
      </c>
      <c r="D10" s="6">
        <f>IF(SUMPRODUCT((Items!$B$5:$B$59=A10)*Items!$H$5:$H$59)=0,"",SUMPRODUCT((Items!$B$5:$B$59=A10)*Items!$G$5:$G$59)/SUMPRODUCT((Items!$B$5:$B$59=A10)*Items!$H$5:$H$59))</f>
        <v/>
      </c>
    </row>
    <row r="11">
      <c r="A11" t="n">
        <v>4</v>
      </c>
      <c r="B11" t="inlineStr">
        <is>
          <t>Part 4. Windows: rank, lag and running totals</t>
        </is>
      </c>
      <c r="C11">
        <f>COUNTIF(Items!$B$5:$B$59,A11)</f>
        <v/>
      </c>
      <c r="D11" s="6">
        <f>IF(SUMPRODUCT((Items!$B$5:$B$59=A11)*Items!$H$5:$H$59)=0,"",SUMPRODUCT((Items!$B$5:$B$59=A11)*Items!$G$5:$G$59)/SUMPRODUCT((Items!$B$5:$B$59=A11)*Items!$H$5:$H$59))</f>
        <v/>
      </c>
    </row>
    <row r="12">
      <c r="A12" t="n">
        <v>5</v>
      </c>
      <c r="B12" t="inlineStr">
        <is>
          <t>Part 5. pandas and the last mile to Excel</t>
        </is>
      </c>
      <c r="C12">
        <f>COUNTIF(Items!$B$5:$B$59,A12)</f>
        <v/>
      </c>
      <c r="D12" s="6">
        <f>IF(SUMPRODUCT((Items!$B$5:$B$59=A12)*Items!$H$5:$H$59)=0,"",SUMPRODUCT((Items!$B$5:$B$59=A12)*Items!$G$5:$G$59)/SUMPRODUCT((Items!$B$5:$B$59=A12)*Items!$H$5:$H$59))</f>
        <v/>
      </c>
    </row>
    <row r="13">
      <c r="A13" t="n">
        <v>6</v>
      </c>
      <c r="B13" t="inlineStr">
        <is>
          <t>Part 6. Read the code, read the data</t>
        </is>
      </c>
      <c r="C13">
        <f>COUNTIF(Items!$B$5:$B$59,A13)</f>
        <v/>
      </c>
      <c r="D13" s="6">
        <f>IF(SUMPRODUCT((Items!$B$5:$B$59=A13)*Items!$H$5:$H$59)=0,"",SUMPRODUCT((Items!$B$5:$B$59=A13)*Items!$G$5:$G$59)/SUMPRODUCT((Items!$B$5:$B$59=A13)*Items!$H$5:$H$59))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39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Each seat's rate by tag, for Monday's remediation read</t>
        </is>
      </c>
    </row>
    <row r="4">
      <c r="A4" s="4" t="inlineStr">
        <is>
          <t>Seat</t>
        </is>
      </c>
      <c r="B4" s="4" t="inlineStr">
        <is>
          <t>[S]</t>
        </is>
      </c>
      <c r="C4" s="4" t="inlineStr">
        <is>
          <t>[F]</t>
        </is>
      </c>
      <c r="D4" s="4" t="inlineStr">
        <is>
          <t>[D]</t>
        </is>
      </c>
    </row>
    <row r="5">
      <c r="A5" t="n">
        <v>1</v>
      </c>
      <c r="B5" s="6">
        <f>IF(SUMPRODUCT((Marks!$B$3:$BD$3=B$4)*ISNUMBER(Marks!$B$5:$BD$5))=0,"",SUMPRODUCT((Marks!$B$3:$BD$3=B$4)*(Marks!$B$5:$BD$5=1))/SUMPRODUCT((Marks!$B$3:$BD$3=B$4)*ISNUMBER(Marks!$B$5:$BD$5)))</f>
        <v/>
      </c>
      <c r="C5" s="6">
        <f>IF(SUMPRODUCT((Marks!$B$3:$BD$3=C$4)*ISNUMBER(Marks!$B$5:$BD$5))=0,"",SUMPRODUCT((Marks!$B$3:$BD$3=C$4)*(Marks!$B$5:$BD$5=1))/SUMPRODUCT((Marks!$B$3:$BD$3=C$4)*ISNUMBER(Marks!$B$5:$BD$5)))</f>
        <v/>
      </c>
      <c r="D5" s="6">
        <f>IF(SUMPRODUCT((Marks!$B$3:$BD$3=D$4)*ISNUMBER(Marks!$B$5:$BD$5))=0,"",SUMPRODUCT((Marks!$B$3:$BD$3=D$4)*(Marks!$B$5:$BD$5=1))/SUMPRODUCT((Marks!$B$3:$BD$3=D$4)*ISNUMBER(Marks!$B$5:$BD$5)))</f>
        <v/>
      </c>
    </row>
    <row r="6">
      <c r="A6" t="n">
        <v>2</v>
      </c>
      <c r="B6" s="6">
        <f>IF(SUMPRODUCT((Marks!$B$3:$BD$3=B$4)*ISNUMBER(Marks!$B$6:$BD$6))=0,"",SUMPRODUCT((Marks!$B$3:$BD$3=B$4)*(Marks!$B$6:$BD$6=1))/SUMPRODUCT((Marks!$B$3:$BD$3=B$4)*ISNUMBER(Marks!$B$6:$BD$6)))</f>
        <v/>
      </c>
      <c r="C6" s="6">
        <f>IF(SUMPRODUCT((Marks!$B$3:$BD$3=C$4)*ISNUMBER(Marks!$B$6:$BD$6))=0,"",SUMPRODUCT((Marks!$B$3:$BD$3=C$4)*(Marks!$B$6:$BD$6=1))/SUMPRODUCT((Marks!$B$3:$BD$3=C$4)*ISNUMBER(Marks!$B$6:$BD$6)))</f>
        <v/>
      </c>
      <c r="D6" s="6">
        <f>IF(SUMPRODUCT((Marks!$B$3:$BD$3=D$4)*ISNUMBER(Marks!$B$6:$BD$6))=0,"",SUMPRODUCT((Marks!$B$3:$BD$3=D$4)*(Marks!$B$6:$BD$6=1))/SUMPRODUCT((Marks!$B$3:$BD$3=D$4)*ISNUMBER(Marks!$B$6:$BD$6)))</f>
        <v/>
      </c>
    </row>
    <row r="7">
      <c r="A7" t="n">
        <v>3</v>
      </c>
      <c r="B7" s="6">
        <f>IF(SUMPRODUCT((Marks!$B$3:$BD$3=B$4)*ISNUMBER(Marks!$B$7:$BD$7))=0,"",SUMPRODUCT((Marks!$B$3:$BD$3=B$4)*(Marks!$B$7:$BD$7=1))/SUMPRODUCT((Marks!$B$3:$BD$3=B$4)*ISNUMBER(Marks!$B$7:$BD$7)))</f>
        <v/>
      </c>
      <c r="C7" s="6">
        <f>IF(SUMPRODUCT((Marks!$B$3:$BD$3=C$4)*ISNUMBER(Marks!$B$7:$BD$7))=0,"",SUMPRODUCT((Marks!$B$3:$BD$3=C$4)*(Marks!$B$7:$BD$7=1))/SUMPRODUCT((Marks!$B$3:$BD$3=C$4)*ISNUMBER(Marks!$B$7:$BD$7)))</f>
        <v/>
      </c>
      <c r="D7" s="6">
        <f>IF(SUMPRODUCT((Marks!$B$3:$BD$3=D$4)*ISNUMBER(Marks!$B$7:$BD$7))=0,"",SUMPRODUCT((Marks!$B$3:$BD$3=D$4)*(Marks!$B$7:$BD$7=1))/SUMPRODUCT((Marks!$B$3:$BD$3=D$4)*ISNUMBER(Marks!$B$7:$BD$7)))</f>
        <v/>
      </c>
    </row>
    <row r="8">
      <c r="A8" t="n">
        <v>4</v>
      </c>
      <c r="B8" s="6">
        <f>IF(SUMPRODUCT((Marks!$B$3:$BD$3=B$4)*ISNUMBER(Marks!$B$8:$BD$8))=0,"",SUMPRODUCT((Marks!$B$3:$BD$3=B$4)*(Marks!$B$8:$BD$8=1))/SUMPRODUCT((Marks!$B$3:$BD$3=B$4)*ISNUMBER(Marks!$B$8:$BD$8)))</f>
        <v/>
      </c>
      <c r="C8" s="6">
        <f>IF(SUMPRODUCT((Marks!$B$3:$BD$3=C$4)*ISNUMBER(Marks!$B$8:$BD$8))=0,"",SUMPRODUCT((Marks!$B$3:$BD$3=C$4)*(Marks!$B$8:$BD$8=1))/SUMPRODUCT((Marks!$B$3:$BD$3=C$4)*ISNUMBER(Marks!$B$8:$BD$8)))</f>
        <v/>
      </c>
      <c r="D8" s="6">
        <f>IF(SUMPRODUCT((Marks!$B$3:$BD$3=D$4)*ISNUMBER(Marks!$B$8:$BD$8))=0,"",SUMPRODUCT((Marks!$B$3:$BD$3=D$4)*(Marks!$B$8:$BD$8=1))/SUMPRODUCT((Marks!$B$3:$BD$3=D$4)*ISNUMBER(Marks!$B$8:$BD$8)))</f>
        <v/>
      </c>
    </row>
    <row r="9">
      <c r="A9" t="n">
        <v>5</v>
      </c>
      <c r="B9" s="6">
        <f>IF(SUMPRODUCT((Marks!$B$3:$BD$3=B$4)*ISNUMBER(Marks!$B$9:$BD$9))=0,"",SUMPRODUCT((Marks!$B$3:$BD$3=B$4)*(Marks!$B$9:$BD$9=1))/SUMPRODUCT((Marks!$B$3:$BD$3=B$4)*ISNUMBER(Marks!$B$9:$BD$9)))</f>
        <v/>
      </c>
      <c r="C9" s="6">
        <f>IF(SUMPRODUCT((Marks!$B$3:$BD$3=C$4)*ISNUMBER(Marks!$B$9:$BD$9))=0,"",SUMPRODUCT((Marks!$B$3:$BD$3=C$4)*(Marks!$B$9:$BD$9=1))/SUMPRODUCT((Marks!$B$3:$BD$3=C$4)*ISNUMBER(Marks!$B$9:$BD$9)))</f>
        <v/>
      </c>
      <c r="D9" s="6">
        <f>IF(SUMPRODUCT((Marks!$B$3:$BD$3=D$4)*ISNUMBER(Marks!$B$9:$BD$9))=0,"",SUMPRODUCT((Marks!$B$3:$BD$3=D$4)*(Marks!$B$9:$BD$9=1))/SUMPRODUCT((Marks!$B$3:$BD$3=D$4)*ISNUMBER(Marks!$B$9:$BD$9)))</f>
        <v/>
      </c>
    </row>
    <row r="10">
      <c r="A10" t="n">
        <v>6</v>
      </c>
      <c r="B10" s="6">
        <f>IF(SUMPRODUCT((Marks!$B$3:$BD$3=B$4)*ISNUMBER(Marks!$B$10:$BD$10))=0,"",SUMPRODUCT((Marks!$B$3:$BD$3=B$4)*(Marks!$B$10:$BD$10=1))/SUMPRODUCT((Marks!$B$3:$BD$3=B$4)*ISNUMBER(Marks!$B$10:$BD$10)))</f>
        <v/>
      </c>
      <c r="C10" s="6">
        <f>IF(SUMPRODUCT((Marks!$B$3:$BD$3=C$4)*ISNUMBER(Marks!$B$10:$BD$10))=0,"",SUMPRODUCT((Marks!$B$3:$BD$3=C$4)*(Marks!$B$10:$BD$10=1))/SUMPRODUCT((Marks!$B$3:$BD$3=C$4)*ISNUMBER(Marks!$B$10:$BD$10)))</f>
        <v/>
      </c>
      <c r="D10" s="6">
        <f>IF(SUMPRODUCT((Marks!$B$3:$BD$3=D$4)*ISNUMBER(Marks!$B$10:$BD$10))=0,"",SUMPRODUCT((Marks!$B$3:$BD$3=D$4)*(Marks!$B$10:$BD$10=1))/SUMPRODUCT((Marks!$B$3:$BD$3=D$4)*ISNUMBER(Marks!$B$10:$BD$10)))</f>
        <v/>
      </c>
    </row>
    <row r="11">
      <c r="A11" t="n">
        <v>7</v>
      </c>
      <c r="B11" s="6">
        <f>IF(SUMPRODUCT((Marks!$B$3:$BD$3=B$4)*ISNUMBER(Marks!$B$11:$BD$11))=0,"",SUMPRODUCT((Marks!$B$3:$BD$3=B$4)*(Marks!$B$11:$BD$11=1))/SUMPRODUCT((Marks!$B$3:$BD$3=B$4)*ISNUMBER(Marks!$B$11:$BD$11)))</f>
        <v/>
      </c>
      <c r="C11" s="6">
        <f>IF(SUMPRODUCT((Marks!$B$3:$BD$3=C$4)*ISNUMBER(Marks!$B$11:$BD$11))=0,"",SUMPRODUCT((Marks!$B$3:$BD$3=C$4)*(Marks!$B$11:$BD$11=1))/SUMPRODUCT((Marks!$B$3:$BD$3=C$4)*ISNUMBER(Marks!$B$11:$BD$11)))</f>
        <v/>
      </c>
      <c r="D11" s="6">
        <f>IF(SUMPRODUCT((Marks!$B$3:$BD$3=D$4)*ISNUMBER(Marks!$B$11:$BD$11))=0,"",SUMPRODUCT((Marks!$B$3:$BD$3=D$4)*(Marks!$B$11:$BD$11=1))/SUMPRODUCT((Marks!$B$3:$BD$3=D$4)*ISNUMBER(Marks!$B$11:$BD$11)))</f>
        <v/>
      </c>
    </row>
    <row r="12">
      <c r="A12" t="n">
        <v>8</v>
      </c>
      <c r="B12" s="6">
        <f>IF(SUMPRODUCT((Marks!$B$3:$BD$3=B$4)*ISNUMBER(Marks!$B$12:$BD$12))=0,"",SUMPRODUCT((Marks!$B$3:$BD$3=B$4)*(Marks!$B$12:$BD$12=1))/SUMPRODUCT((Marks!$B$3:$BD$3=B$4)*ISNUMBER(Marks!$B$12:$BD$12)))</f>
        <v/>
      </c>
      <c r="C12" s="6">
        <f>IF(SUMPRODUCT((Marks!$B$3:$BD$3=C$4)*ISNUMBER(Marks!$B$12:$BD$12))=0,"",SUMPRODUCT((Marks!$B$3:$BD$3=C$4)*(Marks!$B$12:$BD$12=1))/SUMPRODUCT((Marks!$B$3:$BD$3=C$4)*ISNUMBER(Marks!$B$12:$BD$12)))</f>
        <v/>
      </c>
      <c r="D12" s="6">
        <f>IF(SUMPRODUCT((Marks!$B$3:$BD$3=D$4)*ISNUMBER(Marks!$B$12:$BD$12))=0,"",SUMPRODUCT((Marks!$B$3:$BD$3=D$4)*(Marks!$B$12:$BD$12=1))/SUMPRODUCT((Marks!$B$3:$BD$3=D$4)*ISNUMBER(Marks!$B$12:$BD$12)))</f>
        <v/>
      </c>
    </row>
    <row r="13">
      <c r="A13" t="n">
        <v>9</v>
      </c>
      <c r="B13" s="6">
        <f>IF(SUMPRODUCT((Marks!$B$3:$BD$3=B$4)*ISNUMBER(Marks!$B$13:$BD$13))=0,"",SUMPRODUCT((Marks!$B$3:$BD$3=B$4)*(Marks!$B$13:$BD$13=1))/SUMPRODUCT((Marks!$B$3:$BD$3=B$4)*ISNUMBER(Marks!$B$13:$BD$13)))</f>
        <v/>
      </c>
      <c r="C13" s="6">
        <f>IF(SUMPRODUCT((Marks!$B$3:$BD$3=C$4)*ISNUMBER(Marks!$B$13:$BD$13))=0,"",SUMPRODUCT((Marks!$B$3:$BD$3=C$4)*(Marks!$B$13:$BD$13=1))/SUMPRODUCT((Marks!$B$3:$BD$3=C$4)*ISNUMBER(Marks!$B$13:$BD$13)))</f>
        <v/>
      </c>
      <c r="D13" s="6">
        <f>IF(SUMPRODUCT((Marks!$B$3:$BD$3=D$4)*ISNUMBER(Marks!$B$13:$BD$13))=0,"",SUMPRODUCT((Marks!$B$3:$BD$3=D$4)*(Marks!$B$13:$BD$13=1))/SUMPRODUCT((Marks!$B$3:$BD$3=D$4)*ISNUMBER(Marks!$B$13:$BD$13)))</f>
        <v/>
      </c>
    </row>
    <row r="14">
      <c r="A14" t="n">
        <v>10</v>
      </c>
      <c r="B14" s="6">
        <f>IF(SUMPRODUCT((Marks!$B$3:$BD$3=B$4)*ISNUMBER(Marks!$B$14:$BD$14))=0,"",SUMPRODUCT((Marks!$B$3:$BD$3=B$4)*(Marks!$B$14:$BD$14=1))/SUMPRODUCT((Marks!$B$3:$BD$3=B$4)*ISNUMBER(Marks!$B$14:$BD$14)))</f>
        <v/>
      </c>
      <c r="C14" s="6">
        <f>IF(SUMPRODUCT((Marks!$B$3:$BD$3=C$4)*ISNUMBER(Marks!$B$14:$BD$14))=0,"",SUMPRODUCT((Marks!$B$3:$BD$3=C$4)*(Marks!$B$14:$BD$14=1))/SUMPRODUCT((Marks!$B$3:$BD$3=C$4)*ISNUMBER(Marks!$B$14:$BD$14)))</f>
        <v/>
      </c>
      <c r="D14" s="6">
        <f>IF(SUMPRODUCT((Marks!$B$3:$BD$3=D$4)*ISNUMBER(Marks!$B$14:$BD$14))=0,"",SUMPRODUCT((Marks!$B$3:$BD$3=D$4)*(Marks!$B$14:$BD$14=1))/SUMPRODUCT((Marks!$B$3:$BD$3=D$4)*ISNUMBER(Marks!$B$14:$BD$14)))</f>
        <v/>
      </c>
    </row>
    <row r="15">
      <c r="A15" t="n">
        <v>11</v>
      </c>
      <c r="B15" s="6">
        <f>IF(SUMPRODUCT((Marks!$B$3:$BD$3=B$4)*ISNUMBER(Marks!$B$15:$BD$15))=0,"",SUMPRODUCT((Marks!$B$3:$BD$3=B$4)*(Marks!$B$15:$BD$15=1))/SUMPRODUCT((Marks!$B$3:$BD$3=B$4)*ISNUMBER(Marks!$B$15:$BD$15)))</f>
        <v/>
      </c>
      <c r="C15" s="6">
        <f>IF(SUMPRODUCT((Marks!$B$3:$BD$3=C$4)*ISNUMBER(Marks!$B$15:$BD$15))=0,"",SUMPRODUCT((Marks!$B$3:$BD$3=C$4)*(Marks!$B$15:$BD$15=1))/SUMPRODUCT((Marks!$B$3:$BD$3=C$4)*ISNUMBER(Marks!$B$15:$BD$15)))</f>
        <v/>
      </c>
      <c r="D15" s="6">
        <f>IF(SUMPRODUCT((Marks!$B$3:$BD$3=D$4)*ISNUMBER(Marks!$B$15:$BD$15))=0,"",SUMPRODUCT((Marks!$B$3:$BD$3=D$4)*(Marks!$B$15:$BD$15=1))/SUMPRODUCT((Marks!$B$3:$BD$3=D$4)*ISNUMBER(Marks!$B$15:$BD$15)))</f>
        <v/>
      </c>
    </row>
    <row r="16">
      <c r="A16" t="n">
        <v>12</v>
      </c>
      <c r="B16" s="6">
        <f>IF(SUMPRODUCT((Marks!$B$3:$BD$3=B$4)*ISNUMBER(Marks!$B$16:$BD$16))=0,"",SUMPRODUCT((Marks!$B$3:$BD$3=B$4)*(Marks!$B$16:$BD$16=1))/SUMPRODUCT((Marks!$B$3:$BD$3=B$4)*ISNUMBER(Marks!$B$16:$BD$16)))</f>
        <v/>
      </c>
      <c r="C16" s="6">
        <f>IF(SUMPRODUCT((Marks!$B$3:$BD$3=C$4)*ISNUMBER(Marks!$B$16:$BD$16))=0,"",SUMPRODUCT((Marks!$B$3:$BD$3=C$4)*(Marks!$B$16:$BD$16=1))/SUMPRODUCT((Marks!$B$3:$BD$3=C$4)*ISNUMBER(Marks!$B$16:$BD$16)))</f>
        <v/>
      </c>
      <c r="D16" s="6">
        <f>IF(SUMPRODUCT((Marks!$B$3:$BD$3=D$4)*ISNUMBER(Marks!$B$16:$BD$16))=0,"",SUMPRODUCT((Marks!$B$3:$BD$3=D$4)*(Marks!$B$16:$BD$16=1))/SUMPRODUCT((Marks!$B$3:$BD$3=D$4)*ISNUMBER(Marks!$B$16:$BD$16)))</f>
        <v/>
      </c>
    </row>
    <row r="17">
      <c r="A17" t="n">
        <v>13</v>
      </c>
      <c r="B17" s="6">
        <f>IF(SUMPRODUCT((Marks!$B$3:$BD$3=B$4)*ISNUMBER(Marks!$B$17:$BD$17))=0,"",SUMPRODUCT((Marks!$B$3:$BD$3=B$4)*(Marks!$B$17:$BD$17=1))/SUMPRODUCT((Marks!$B$3:$BD$3=B$4)*ISNUMBER(Marks!$B$17:$BD$17)))</f>
        <v/>
      </c>
      <c r="C17" s="6">
        <f>IF(SUMPRODUCT((Marks!$B$3:$BD$3=C$4)*ISNUMBER(Marks!$B$17:$BD$17))=0,"",SUMPRODUCT((Marks!$B$3:$BD$3=C$4)*(Marks!$B$17:$BD$17=1))/SUMPRODUCT((Marks!$B$3:$BD$3=C$4)*ISNUMBER(Marks!$B$17:$BD$17)))</f>
        <v/>
      </c>
      <c r="D17" s="6">
        <f>IF(SUMPRODUCT((Marks!$B$3:$BD$3=D$4)*ISNUMBER(Marks!$B$17:$BD$17))=0,"",SUMPRODUCT((Marks!$B$3:$BD$3=D$4)*(Marks!$B$17:$BD$17=1))/SUMPRODUCT((Marks!$B$3:$BD$3=D$4)*ISNUMBER(Marks!$B$17:$BD$17)))</f>
        <v/>
      </c>
    </row>
    <row r="18">
      <c r="A18" t="n">
        <v>14</v>
      </c>
      <c r="B18" s="6">
        <f>IF(SUMPRODUCT((Marks!$B$3:$BD$3=B$4)*ISNUMBER(Marks!$B$18:$BD$18))=0,"",SUMPRODUCT((Marks!$B$3:$BD$3=B$4)*(Marks!$B$18:$BD$18=1))/SUMPRODUCT((Marks!$B$3:$BD$3=B$4)*ISNUMBER(Marks!$B$18:$BD$18)))</f>
        <v/>
      </c>
      <c r="C18" s="6">
        <f>IF(SUMPRODUCT((Marks!$B$3:$BD$3=C$4)*ISNUMBER(Marks!$B$18:$BD$18))=0,"",SUMPRODUCT((Marks!$B$3:$BD$3=C$4)*(Marks!$B$18:$BD$18=1))/SUMPRODUCT((Marks!$B$3:$BD$3=C$4)*ISNUMBER(Marks!$B$18:$BD$18)))</f>
        <v/>
      </c>
      <c r="D18" s="6">
        <f>IF(SUMPRODUCT((Marks!$B$3:$BD$3=D$4)*ISNUMBER(Marks!$B$18:$BD$18))=0,"",SUMPRODUCT((Marks!$B$3:$BD$3=D$4)*(Marks!$B$18:$BD$18=1))/SUMPRODUCT((Marks!$B$3:$BD$3=D$4)*ISNUMBER(Marks!$B$18:$BD$18)))</f>
        <v/>
      </c>
    </row>
    <row r="19">
      <c r="A19" t="n">
        <v>15</v>
      </c>
      <c r="B19" s="6">
        <f>IF(SUMPRODUCT((Marks!$B$3:$BD$3=B$4)*ISNUMBER(Marks!$B$19:$BD$19))=0,"",SUMPRODUCT((Marks!$B$3:$BD$3=B$4)*(Marks!$B$19:$BD$19=1))/SUMPRODUCT((Marks!$B$3:$BD$3=B$4)*ISNUMBER(Marks!$B$19:$BD$19)))</f>
        <v/>
      </c>
      <c r="C19" s="6">
        <f>IF(SUMPRODUCT((Marks!$B$3:$BD$3=C$4)*ISNUMBER(Marks!$B$19:$BD$19))=0,"",SUMPRODUCT((Marks!$B$3:$BD$3=C$4)*(Marks!$B$19:$BD$19=1))/SUMPRODUCT((Marks!$B$3:$BD$3=C$4)*ISNUMBER(Marks!$B$19:$BD$19)))</f>
        <v/>
      </c>
      <c r="D19" s="6">
        <f>IF(SUMPRODUCT((Marks!$B$3:$BD$3=D$4)*ISNUMBER(Marks!$B$19:$BD$19))=0,"",SUMPRODUCT((Marks!$B$3:$BD$3=D$4)*(Marks!$B$19:$BD$19=1))/SUMPRODUCT((Marks!$B$3:$BD$3=D$4)*ISNUMBER(Marks!$B$19:$BD$19)))</f>
        <v/>
      </c>
    </row>
    <row r="20">
      <c r="A20" t="n">
        <v>16</v>
      </c>
      <c r="B20" s="6">
        <f>IF(SUMPRODUCT((Marks!$B$3:$BD$3=B$4)*ISNUMBER(Marks!$B$20:$BD$20))=0,"",SUMPRODUCT((Marks!$B$3:$BD$3=B$4)*(Marks!$B$20:$BD$20=1))/SUMPRODUCT((Marks!$B$3:$BD$3=B$4)*ISNUMBER(Marks!$B$20:$BD$20)))</f>
        <v/>
      </c>
      <c r="C20" s="6">
        <f>IF(SUMPRODUCT((Marks!$B$3:$BD$3=C$4)*ISNUMBER(Marks!$B$20:$BD$20))=0,"",SUMPRODUCT((Marks!$B$3:$BD$3=C$4)*(Marks!$B$20:$BD$20=1))/SUMPRODUCT((Marks!$B$3:$BD$3=C$4)*ISNUMBER(Marks!$B$20:$BD$20)))</f>
        <v/>
      </c>
      <c r="D20" s="6">
        <f>IF(SUMPRODUCT((Marks!$B$3:$BD$3=D$4)*ISNUMBER(Marks!$B$20:$BD$20))=0,"",SUMPRODUCT((Marks!$B$3:$BD$3=D$4)*(Marks!$B$20:$BD$20=1))/SUMPRODUCT((Marks!$B$3:$BD$3=D$4)*ISNUMBER(Marks!$B$20:$BD$20)))</f>
        <v/>
      </c>
    </row>
    <row r="21">
      <c r="A21" t="n">
        <v>17</v>
      </c>
      <c r="B21" s="6">
        <f>IF(SUMPRODUCT((Marks!$B$3:$BD$3=B$4)*ISNUMBER(Marks!$B$21:$BD$21))=0,"",SUMPRODUCT((Marks!$B$3:$BD$3=B$4)*(Marks!$B$21:$BD$21=1))/SUMPRODUCT((Marks!$B$3:$BD$3=B$4)*ISNUMBER(Marks!$B$21:$BD$21)))</f>
        <v/>
      </c>
      <c r="C21" s="6">
        <f>IF(SUMPRODUCT((Marks!$B$3:$BD$3=C$4)*ISNUMBER(Marks!$B$21:$BD$21))=0,"",SUMPRODUCT((Marks!$B$3:$BD$3=C$4)*(Marks!$B$21:$BD$21=1))/SUMPRODUCT((Marks!$B$3:$BD$3=C$4)*ISNUMBER(Marks!$B$21:$BD$21)))</f>
        <v/>
      </c>
      <c r="D21" s="6">
        <f>IF(SUMPRODUCT((Marks!$B$3:$BD$3=D$4)*ISNUMBER(Marks!$B$21:$BD$21))=0,"",SUMPRODUCT((Marks!$B$3:$BD$3=D$4)*(Marks!$B$21:$BD$21=1))/SUMPRODUCT((Marks!$B$3:$BD$3=D$4)*ISNUMBER(Marks!$B$21:$BD$21)))</f>
        <v/>
      </c>
    </row>
    <row r="22">
      <c r="A22" t="n">
        <v>18</v>
      </c>
      <c r="B22" s="6">
        <f>IF(SUMPRODUCT((Marks!$B$3:$BD$3=B$4)*ISNUMBER(Marks!$B$22:$BD$22))=0,"",SUMPRODUCT((Marks!$B$3:$BD$3=B$4)*(Marks!$B$22:$BD$22=1))/SUMPRODUCT((Marks!$B$3:$BD$3=B$4)*ISNUMBER(Marks!$B$22:$BD$22)))</f>
        <v/>
      </c>
      <c r="C22" s="6">
        <f>IF(SUMPRODUCT((Marks!$B$3:$BD$3=C$4)*ISNUMBER(Marks!$B$22:$BD$22))=0,"",SUMPRODUCT((Marks!$B$3:$BD$3=C$4)*(Marks!$B$22:$BD$22=1))/SUMPRODUCT((Marks!$B$3:$BD$3=C$4)*ISNUMBER(Marks!$B$22:$BD$22)))</f>
        <v/>
      </c>
      <c r="D22" s="6">
        <f>IF(SUMPRODUCT((Marks!$B$3:$BD$3=D$4)*ISNUMBER(Marks!$B$22:$BD$22))=0,"",SUMPRODUCT((Marks!$B$3:$BD$3=D$4)*(Marks!$B$22:$BD$22=1))/SUMPRODUCT((Marks!$B$3:$BD$3=D$4)*ISNUMBER(Marks!$B$22:$BD$22)))</f>
        <v/>
      </c>
    </row>
    <row r="23">
      <c r="A23" t="n">
        <v>19</v>
      </c>
      <c r="B23" s="6">
        <f>IF(SUMPRODUCT((Marks!$B$3:$BD$3=B$4)*ISNUMBER(Marks!$B$23:$BD$23))=0,"",SUMPRODUCT((Marks!$B$3:$BD$3=B$4)*(Marks!$B$23:$BD$23=1))/SUMPRODUCT((Marks!$B$3:$BD$3=B$4)*ISNUMBER(Marks!$B$23:$BD$23)))</f>
        <v/>
      </c>
      <c r="C23" s="6">
        <f>IF(SUMPRODUCT((Marks!$B$3:$BD$3=C$4)*ISNUMBER(Marks!$B$23:$BD$23))=0,"",SUMPRODUCT((Marks!$B$3:$BD$3=C$4)*(Marks!$B$23:$BD$23=1))/SUMPRODUCT((Marks!$B$3:$BD$3=C$4)*ISNUMBER(Marks!$B$23:$BD$23)))</f>
        <v/>
      </c>
      <c r="D23" s="6">
        <f>IF(SUMPRODUCT((Marks!$B$3:$BD$3=D$4)*ISNUMBER(Marks!$B$23:$BD$23))=0,"",SUMPRODUCT((Marks!$B$3:$BD$3=D$4)*(Marks!$B$23:$BD$23=1))/SUMPRODUCT((Marks!$B$3:$BD$3=D$4)*ISNUMBER(Marks!$B$23:$BD$23)))</f>
        <v/>
      </c>
    </row>
    <row r="24">
      <c r="A24" t="n">
        <v>20</v>
      </c>
      <c r="B24" s="6">
        <f>IF(SUMPRODUCT((Marks!$B$3:$BD$3=B$4)*ISNUMBER(Marks!$B$24:$BD$24))=0,"",SUMPRODUCT((Marks!$B$3:$BD$3=B$4)*(Marks!$B$24:$BD$24=1))/SUMPRODUCT((Marks!$B$3:$BD$3=B$4)*ISNUMBER(Marks!$B$24:$BD$24)))</f>
        <v/>
      </c>
      <c r="C24" s="6">
        <f>IF(SUMPRODUCT((Marks!$B$3:$BD$3=C$4)*ISNUMBER(Marks!$B$24:$BD$24))=0,"",SUMPRODUCT((Marks!$B$3:$BD$3=C$4)*(Marks!$B$24:$BD$24=1))/SUMPRODUCT((Marks!$B$3:$BD$3=C$4)*ISNUMBER(Marks!$B$24:$BD$24)))</f>
        <v/>
      </c>
      <c r="D24" s="6">
        <f>IF(SUMPRODUCT((Marks!$B$3:$BD$3=D$4)*ISNUMBER(Marks!$B$24:$BD$24))=0,"",SUMPRODUCT((Marks!$B$3:$BD$3=D$4)*(Marks!$B$24:$BD$24=1))/SUMPRODUCT((Marks!$B$3:$BD$3=D$4)*ISNUMBER(Marks!$B$24:$BD$24)))</f>
        <v/>
      </c>
    </row>
    <row r="25">
      <c r="A25" t="n">
        <v>21</v>
      </c>
      <c r="B25" s="6">
        <f>IF(SUMPRODUCT((Marks!$B$3:$BD$3=B$4)*ISNUMBER(Marks!$B$25:$BD$25))=0,"",SUMPRODUCT((Marks!$B$3:$BD$3=B$4)*(Marks!$B$25:$BD$25=1))/SUMPRODUCT((Marks!$B$3:$BD$3=B$4)*ISNUMBER(Marks!$B$25:$BD$25)))</f>
        <v/>
      </c>
      <c r="C25" s="6">
        <f>IF(SUMPRODUCT((Marks!$B$3:$BD$3=C$4)*ISNUMBER(Marks!$B$25:$BD$25))=0,"",SUMPRODUCT((Marks!$B$3:$BD$3=C$4)*(Marks!$B$25:$BD$25=1))/SUMPRODUCT((Marks!$B$3:$BD$3=C$4)*ISNUMBER(Marks!$B$25:$BD$25)))</f>
        <v/>
      </c>
      <c r="D25" s="6">
        <f>IF(SUMPRODUCT((Marks!$B$3:$BD$3=D$4)*ISNUMBER(Marks!$B$25:$BD$25))=0,"",SUMPRODUCT((Marks!$B$3:$BD$3=D$4)*(Marks!$B$25:$BD$25=1))/SUMPRODUCT((Marks!$B$3:$BD$3=D$4)*ISNUMBER(Marks!$B$25:$BD$25)))</f>
        <v/>
      </c>
    </row>
    <row r="26">
      <c r="A26" t="n">
        <v>22</v>
      </c>
      <c r="B26" s="6">
        <f>IF(SUMPRODUCT((Marks!$B$3:$BD$3=B$4)*ISNUMBER(Marks!$B$26:$BD$26))=0,"",SUMPRODUCT((Marks!$B$3:$BD$3=B$4)*(Marks!$B$26:$BD$26=1))/SUMPRODUCT((Marks!$B$3:$BD$3=B$4)*ISNUMBER(Marks!$B$26:$BD$26)))</f>
        <v/>
      </c>
      <c r="C26" s="6">
        <f>IF(SUMPRODUCT((Marks!$B$3:$BD$3=C$4)*ISNUMBER(Marks!$B$26:$BD$26))=0,"",SUMPRODUCT((Marks!$B$3:$BD$3=C$4)*(Marks!$B$26:$BD$26=1))/SUMPRODUCT((Marks!$B$3:$BD$3=C$4)*ISNUMBER(Marks!$B$26:$BD$26)))</f>
        <v/>
      </c>
      <c r="D26" s="6">
        <f>IF(SUMPRODUCT((Marks!$B$3:$BD$3=D$4)*ISNUMBER(Marks!$B$26:$BD$26))=0,"",SUMPRODUCT((Marks!$B$3:$BD$3=D$4)*(Marks!$B$26:$BD$26=1))/SUMPRODUCT((Marks!$B$3:$BD$3=D$4)*ISNUMBER(Marks!$B$26:$BD$26)))</f>
        <v/>
      </c>
    </row>
    <row r="27">
      <c r="A27" t="n">
        <v>23</v>
      </c>
      <c r="B27" s="6">
        <f>IF(SUMPRODUCT((Marks!$B$3:$BD$3=B$4)*ISNUMBER(Marks!$B$27:$BD$27))=0,"",SUMPRODUCT((Marks!$B$3:$BD$3=B$4)*(Marks!$B$27:$BD$27=1))/SUMPRODUCT((Marks!$B$3:$BD$3=B$4)*ISNUMBER(Marks!$B$27:$BD$27)))</f>
        <v/>
      </c>
      <c r="C27" s="6">
        <f>IF(SUMPRODUCT((Marks!$B$3:$BD$3=C$4)*ISNUMBER(Marks!$B$27:$BD$27))=0,"",SUMPRODUCT((Marks!$B$3:$BD$3=C$4)*(Marks!$B$27:$BD$27=1))/SUMPRODUCT((Marks!$B$3:$BD$3=C$4)*ISNUMBER(Marks!$B$27:$BD$27)))</f>
        <v/>
      </c>
      <c r="D27" s="6">
        <f>IF(SUMPRODUCT((Marks!$B$3:$BD$3=D$4)*ISNUMBER(Marks!$B$27:$BD$27))=0,"",SUMPRODUCT((Marks!$B$3:$BD$3=D$4)*(Marks!$B$27:$BD$27=1))/SUMPRODUCT((Marks!$B$3:$BD$3=D$4)*ISNUMBER(Marks!$B$27:$BD$27)))</f>
        <v/>
      </c>
    </row>
    <row r="28">
      <c r="A28" t="n">
        <v>24</v>
      </c>
      <c r="B28" s="6">
        <f>IF(SUMPRODUCT((Marks!$B$3:$BD$3=B$4)*ISNUMBER(Marks!$B$28:$BD$28))=0,"",SUMPRODUCT((Marks!$B$3:$BD$3=B$4)*(Marks!$B$28:$BD$28=1))/SUMPRODUCT((Marks!$B$3:$BD$3=B$4)*ISNUMBER(Marks!$B$28:$BD$28)))</f>
        <v/>
      </c>
      <c r="C28" s="6">
        <f>IF(SUMPRODUCT((Marks!$B$3:$BD$3=C$4)*ISNUMBER(Marks!$B$28:$BD$28))=0,"",SUMPRODUCT((Marks!$B$3:$BD$3=C$4)*(Marks!$B$28:$BD$28=1))/SUMPRODUCT((Marks!$B$3:$BD$3=C$4)*ISNUMBER(Marks!$B$28:$BD$28)))</f>
        <v/>
      </c>
      <c r="D28" s="6">
        <f>IF(SUMPRODUCT((Marks!$B$3:$BD$3=D$4)*ISNUMBER(Marks!$B$28:$BD$28))=0,"",SUMPRODUCT((Marks!$B$3:$BD$3=D$4)*(Marks!$B$28:$BD$28=1))/SUMPRODUCT((Marks!$B$3:$BD$3=D$4)*ISNUMBER(Marks!$B$28:$BD$28)))</f>
        <v/>
      </c>
    </row>
    <row r="29">
      <c r="A29" t="n">
        <v>25</v>
      </c>
      <c r="B29" s="6">
        <f>IF(SUMPRODUCT((Marks!$B$3:$BD$3=B$4)*ISNUMBER(Marks!$B$29:$BD$29))=0,"",SUMPRODUCT((Marks!$B$3:$BD$3=B$4)*(Marks!$B$29:$BD$29=1))/SUMPRODUCT((Marks!$B$3:$BD$3=B$4)*ISNUMBER(Marks!$B$29:$BD$29)))</f>
        <v/>
      </c>
      <c r="C29" s="6">
        <f>IF(SUMPRODUCT((Marks!$B$3:$BD$3=C$4)*ISNUMBER(Marks!$B$29:$BD$29))=0,"",SUMPRODUCT((Marks!$B$3:$BD$3=C$4)*(Marks!$B$29:$BD$29=1))/SUMPRODUCT((Marks!$B$3:$BD$3=C$4)*ISNUMBER(Marks!$B$29:$BD$29)))</f>
        <v/>
      </c>
      <c r="D29" s="6">
        <f>IF(SUMPRODUCT((Marks!$B$3:$BD$3=D$4)*ISNUMBER(Marks!$B$29:$BD$29))=0,"",SUMPRODUCT((Marks!$B$3:$BD$3=D$4)*(Marks!$B$29:$BD$29=1))/SUMPRODUCT((Marks!$B$3:$BD$3=D$4)*ISNUMBER(Marks!$B$29:$BD$29)))</f>
        <v/>
      </c>
    </row>
    <row r="30">
      <c r="A30" t="n">
        <v>26</v>
      </c>
      <c r="B30" s="6">
        <f>IF(SUMPRODUCT((Marks!$B$3:$BD$3=B$4)*ISNUMBER(Marks!$B$30:$BD$30))=0,"",SUMPRODUCT((Marks!$B$3:$BD$3=B$4)*(Marks!$B$30:$BD$30=1))/SUMPRODUCT((Marks!$B$3:$BD$3=B$4)*ISNUMBER(Marks!$B$30:$BD$30)))</f>
        <v/>
      </c>
      <c r="C30" s="6">
        <f>IF(SUMPRODUCT((Marks!$B$3:$BD$3=C$4)*ISNUMBER(Marks!$B$30:$BD$30))=0,"",SUMPRODUCT((Marks!$B$3:$BD$3=C$4)*(Marks!$B$30:$BD$30=1))/SUMPRODUCT((Marks!$B$3:$BD$3=C$4)*ISNUMBER(Marks!$B$30:$BD$30)))</f>
        <v/>
      </c>
      <c r="D30" s="6">
        <f>IF(SUMPRODUCT((Marks!$B$3:$BD$3=D$4)*ISNUMBER(Marks!$B$30:$BD$30))=0,"",SUMPRODUCT((Marks!$B$3:$BD$3=D$4)*(Marks!$B$30:$BD$30=1))/SUMPRODUCT((Marks!$B$3:$BD$3=D$4)*ISNUMBER(Marks!$B$30:$BD$30)))</f>
        <v/>
      </c>
    </row>
    <row r="31">
      <c r="A31" t="n">
        <v>27</v>
      </c>
      <c r="B31" s="6">
        <f>IF(SUMPRODUCT((Marks!$B$3:$BD$3=B$4)*ISNUMBER(Marks!$B$31:$BD$31))=0,"",SUMPRODUCT((Marks!$B$3:$BD$3=B$4)*(Marks!$B$31:$BD$31=1))/SUMPRODUCT((Marks!$B$3:$BD$3=B$4)*ISNUMBER(Marks!$B$31:$BD$31)))</f>
        <v/>
      </c>
      <c r="C31" s="6">
        <f>IF(SUMPRODUCT((Marks!$B$3:$BD$3=C$4)*ISNUMBER(Marks!$B$31:$BD$31))=0,"",SUMPRODUCT((Marks!$B$3:$BD$3=C$4)*(Marks!$B$31:$BD$31=1))/SUMPRODUCT((Marks!$B$3:$BD$3=C$4)*ISNUMBER(Marks!$B$31:$BD$31)))</f>
        <v/>
      </c>
      <c r="D31" s="6">
        <f>IF(SUMPRODUCT((Marks!$B$3:$BD$3=D$4)*ISNUMBER(Marks!$B$31:$BD$31))=0,"",SUMPRODUCT((Marks!$B$3:$BD$3=D$4)*(Marks!$B$31:$BD$31=1))/SUMPRODUCT((Marks!$B$3:$BD$3=D$4)*ISNUMBER(Marks!$B$31:$BD$31)))</f>
        <v/>
      </c>
    </row>
    <row r="32">
      <c r="A32" t="n">
        <v>28</v>
      </c>
      <c r="B32" s="6">
        <f>IF(SUMPRODUCT((Marks!$B$3:$BD$3=B$4)*ISNUMBER(Marks!$B$32:$BD$32))=0,"",SUMPRODUCT((Marks!$B$3:$BD$3=B$4)*(Marks!$B$32:$BD$32=1))/SUMPRODUCT((Marks!$B$3:$BD$3=B$4)*ISNUMBER(Marks!$B$32:$BD$32)))</f>
        <v/>
      </c>
      <c r="C32" s="6">
        <f>IF(SUMPRODUCT((Marks!$B$3:$BD$3=C$4)*ISNUMBER(Marks!$B$32:$BD$32))=0,"",SUMPRODUCT((Marks!$B$3:$BD$3=C$4)*(Marks!$B$32:$BD$32=1))/SUMPRODUCT((Marks!$B$3:$BD$3=C$4)*ISNUMBER(Marks!$B$32:$BD$32)))</f>
        <v/>
      </c>
      <c r="D32" s="6">
        <f>IF(SUMPRODUCT((Marks!$B$3:$BD$3=D$4)*ISNUMBER(Marks!$B$32:$BD$32))=0,"",SUMPRODUCT((Marks!$B$3:$BD$3=D$4)*(Marks!$B$32:$BD$32=1))/SUMPRODUCT((Marks!$B$3:$BD$3=D$4)*ISNUMBER(Marks!$B$32:$BD$32)))</f>
        <v/>
      </c>
    </row>
    <row r="33">
      <c r="A33" t="n">
        <v>29</v>
      </c>
      <c r="B33" s="6">
        <f>IF(SUMPRODUCT((Marks!$B$3:$BD$3=B$4)*ISNUMBER(Marks!$B$33:$BD$33))=0,"",SUMPRODUCT((Marks!$B$3:$BD$3=B$4)*(Marks!$B$33:$BD$33=1))/SUMPRODUCT((Marks!$B$3:$BD$3=B$4)*ISNUMBER(Marks!$B$33:$BD$33)))</f>
        <v/>
      </c>
      <c r="C33" s="6">
        <f>IF(SUMPRODUCT((Marks!$B$3:$BD$3=C$4)*ISNUMBER(Marks!$B$33:$BD$33))=0,"",SUMPRODUCT((Marks!$B$3:$BD$3=C$4)*(Marks!$B$33:$BD$33=1))/SUMPRODUCT((Marks!$B$3:$BD$3=C$4)*ISNUMBER(Marks!$B$33:$BD$33)))</f>
        <v/>
      </c>
      <c r="D33" s="6">
        <f>IF(SUMPRODUCT((Marks!$B$3:$BD$3=D$4)*ISNUMBER(Marks!$B$33:$BD$33))=0,"",SUMPRODUCT((Marks!$B$3:$BD$3=D$4)*(Marks!$B$33:$BD$33=1))/SUMPRODUCT((Marks!$B$3:$BD$3=D$4)*ISNUMBER(Marks!$B$33:$BD$33)))</f>
        <v/>
      </c>
    </row>
    <row r="34">
      <c r="A34" t="n">
        <v>30</v>
      </c>
      <c r="B34" s="6">
        <f>IF(SUMPRODUCT((Marks!$B$3:$BD$3=B$4)*ISNUMBER(Marks!$B$34:$BD$34))=0,"",SUMPRODUCT((Marks!$B$3:$BD$3=B$4)*(Marks!$B$34:$BD$34=1))/SUMPRODUCT((Marks!$B$3:$BD$3=B$4)*ISNUMBER(Marks!$B$34:$BD$34)))</f>
        <v/>
      </c>
      <c r="C34" s="6">
        <f>IF(SUMPRODUCT((Marks!$B$3:$BD$3=C$4)*ISNUMBER(Marks!$B$34:$BD$34))=0,"",SUMPRODUCT((Marks!$B$3:$BD$3=C$4)*(Marks!$B$34:$BD$34=1))/SUMPRODUCT((Marks!$B$3:$BD$3=C$4)*ISNUMBER(Marks!$B$34:$BD$34)))</f>
        <v/>
      </c>
      <c r="D34" s="6">
        <f>IF(SUMPRODUCT((Marks!$B$3:$BD$3=D$4)*ISNUMBER(Marks!$B$34:$BD$34))=0,"",SUMPRODUCT((Marks!$B$3:$BD$3=D$4)*(Marks!$B$34:$BD$34=1))/SUMPRODUCT((Marks!$B$3:$BD$3=D$4)*ISNUMBER(Marks!$B$34:$BD$34)))</f>
        <v/>
      </c>
    </row>
    <row r="35">
      <c r="A35" t="n">
        <v>31</v>
      </c>
      <c r="B35" s="6">
        <f>IF(SUMPRODUCT((Marks!$B$3:$BD$3=B$4)*ISNUMBER(Marks!$B$35:$BD$35))=0,"",SUMPRODUCT((Marks!$B$3:$BD$3=B$4)*(Marks!$B$35:$BD$35=1))/SUMPRODUCT((Marks!$B$3:$BD$3=B$4)*ISNUMBER(Marks!$B$35:$BD$35)))</f>
        <v/>
      </c>
      <c r="C35" s="6">
        <f>IF(SUMPRODUCT((Marks!$B$3:$BD$3=C$4)*ISNUMBER(Marks!$B$35:$BD$35))=0,"",SUMPRODUCT((Marks!$B$3:$BD$3=C$4)*(Marks!$B$35:$BD$35=1))/SUMPRODUCT((Marks!$B$3:$BD$3=C$4)*ISNUMBER(Marks!$B$35:$BD$35)))</f>
        <v/>
      </c>
      <c r="D35" s="6">
        <f>IF(SUMPRODUCT((Marks!$B$3:$BD$3=D$4)*ISNUMBER(Marks!$B$35:$BD$35))=0,"",SUMPRODUCT((Marks!$B$3:$BD$3=D$4)*(Marks!$B$35:$BD$35=1))/SUMPRODUCT((Marks!$B$3:$BD$3=D$4)*ISNUMBER(Marks!$B$35:$BD$35)))</f>
        <v/>
      </c>
    </row>
    <row r="36">
      <c r="A36" t="n">
        <v>32</v>
      </c>
      <c r="B36" s="6">
        <f>IF(SUMPRODUCT((Marks!$B$3:$BD$3=B$4)*ISNUMBER(Marks!$B$36:$BD$36))=0,"",SUMPRODUCT((Marks!$B$3:$BD$3=B$4)*(Marks!$B$36:$BD$36=1))/SUMPRODUCT((Marks!$B$3:$BD$3=B$4)*ISNUMBER(Marks!$B$36:$BD$36)))</f>
        <v/>
      </c>
      <c r="C36" s="6">
        <f>IF(SUMPRODUCT((Marks!$B$3:$BD$3=C$4)*ISNUMBER(Marks!$B$36:$BD$36))=0,"",SUMPRODUCT((Marks!$B$3:$BD$3=C$4)*(Marks!$B$36:$BD$36=1))/SUMPRODUCT((Marks!$B$3:$BD$3=C$4)*ISNUMBER(Marks!$B$36:$BD$36)))</f>
        <v/>
      </c>
      <c r="D36" s="6">
        <f>IF(SUMPRODUCT((Marks!$B$3:$BD$3=D$4)*ISNUMBER(Marks!$B$36:$BD$36))=0,"",SUMPRODUCT((Marks!$B$3:$BD$3=D$4)*(Marks!$B$36:$BD$36=1))/SUMPRODUCT((Marks!$B$3:$BD$3=D$4)*ISNUMBER(Marks!$B$36:$BD$36)))</f>
        <v/>
      </c>
    </row>
    <row r="37">
      <c r="A37" t="n">
        <v>33</v>
      </c>
      <c r="B37" s="6">
        <f>IF(SUMPRODUCT((Marks!$B$3:$BD$3=B$4)*ISNUMBER(Marks!$B$37:$BD$37))=0,"",SUMPRODUCT((Marks!$B$3:$BD$3=B$4)*(Marks!$B$37:$BD$37=1))/SUMPRODUCT((Marks!$B$3:$BD$3=B$4)*ISNUMBER(Marks!$B$37:$BD$37)))</f>
        <v/>
      </c>
      <c r="C37" s="6">
        <f>IF(SUMPRODUCT((Marks!$B$3:$BD$3=C$4)*ISNUMBER(Marks!$B$37:$BD$37))=0,"",SUMPRODUCT((Marks!$B$3:$BD$3=C$4)*(Marks!$B$37:$BD$37=1))/SUMPRODUCT((Marks!$B$3:$BD$3=C$4)*ISNUMBER(Marks!$B$37:$BD$37)))</f>
        <v/>
      </c>
      <c r="D37" s="6">
        <f>IF(SUMPRODUCT((Marks!$B$3:$BD$3=D$4)*ISNUMBER(Marks!$B$37:$BD$37))=0,"",SUMPRODUCT((Marks!$B$3:$BD$3=D$4)*(Marks!$B$37:$BD$37=1))/SUMPRODUCT((Marks!$B$3:$BD$3=D$4)*ISNUMBER(Marks!$B$37:$BD$37)))</f>
        <v/>
      </c>
    </row>
    <row r="38">
      <c r="A38" t="n">
        <v>34</v>
      </c>
      <c r="B38" s="6">
        <f>IF(SUMPRODUCT((Marks!$B$3:$BD$3=B$4)*ISNUMBER(Marks!$B$38:$BD$38))=0,"",SUMPRODUCT((Marks!$B$3:$BD$3=B$4)*(Marks!$B$38:$BD$38=1))/SUMPRODUCT((Marks!$B$3:$BD$3=B$4)*ISNUMBER(Marks!$B$38:$BD$38)))</f>
        <v/>
      </c>
      <c r="C38" s="6">
        <f>IF(SUMPRODUCT((Marks!$B$3:$BD$3=C$4)*ISNUMBER(Marks!$B$38:$BD$38))=0,"",SUMPRODUCT((Marks!$B$3:$BD$3=C$4)*(Marks!$B$38:$BD$38=1))/SUMPRODUCT((Marks!$B$3:$BD$3=C$4)*ISNUMBER(Marks!$B$38:$BD$38)))</f>
        <v/>
      </c>
      <c r="D38" s="6">
        <f>IF(SUMPRODUCT((Marks!$B$3:$BD$3=D$4)*ISNUMBER(Marks!$B$38:$BD$38))=0,"",SUMPRODUCT((Marks!$B$3:$BD$3=D$4)*(Marks!$B$38:$BD$38=1))/SUMPRODUCT((Marks!$B$3:$BD$3=D$4)*ISNUMBER(Marks!$B$38:$BD$38)))</f>
        <v/>
      </c>
    </row>
    <row r="39">
      <c r="A39" t="n">
        <v>35</v>
      </c>
      <c r="B39" s="6">
        <f>IF(SUMPRODUCT((Marks!$B$3:$BD$3=B$4)*ISNUMBER(Marks!$B$39:$BD$39))=0,"",SUMPRODUCT((Marks!$B$3:$BD$3=B$4)*(Marks!$B$39:$BD$39=1))/SUMPRODUCT((Marks!$B$3:$BD$3=B$4)*ISNUMBER(Marks!$B$39:$BD$39)))</f>
        <v/>
      </c>
      <c r="C39" s="6">
        <f>IF(SUMPRODUCT((Marks!$B$3:$BD$3=C$4)*ISNUMBER(Marks!$B$39:$BD$39))=0,"",SUMPRODUCT((Marks!$B$3:$BD$3=C$4)*(Marks!$B$39:$BD$39=1))/SUMPRODUCT((Marks!$B$3:$BD$3=C$4)*ISNUMBER(Marks!$B$39:$BD$39)))</f>
        <v/>
      </c>
      <c r="D39" s="6">
        <f>IF(SUMPRODUCT((Marks!$B$3:$BD$3=D$4)*ISNUMBER(Marks!$B$39:$BD$39))=0,"",SUMPRODUCT((Marks!$B$3:$BD$3=D$4)*(Marks!$B$39:$BD$39=1))/SUMPRODUCT((Marks!$B$3:$BD$3=D$4)*ISNUMBER(Marks!$B$39:$BD$39)))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4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</cols>
  <sheetData>
    <row r="1">
      <c r="A1" s="3" t="inlineStr">
        <is>
          <t>Step one: each part's rating beside its score</t>
        </is>
      </c>
    </row>
    <row r="2">
      <c r="A2" t="inlineStr">
        <is>
          <t>Type each seat's ratings, 1 to 4, from the answer sheet; the rates on the right are computed.</t>
        </is>
      </c>
    </row>
    <row r="3">
      <c r="B3" t="n">
        <v>1</v>
      </c>
      <c r="C3" t="n">
        <v>2</v>
      </c>
      <c r="D3" t="n">
        <v>3</v>
      </c>
      <c r="E3" t="n">
        <v>4</v>
      </c>
      <c r="F3" t="n">
        <v>5</v>
      </c>
      <c r="G3" t="n">
        <v>6</v>
      </c>
      <c r="I3" t="n">
        <v>1</v>
      </c>
      <c r="J3" t="n">
        <v>2</v>
      </c>
      <c r="K3" t="n">
        <v>3</v>
      </c>
      <c r="L3" t="n">
        <v>4</v>
      </c>
      <c r="M3" t="n">
        <v>5</v>
      </c>
      <c r="N3" t="n">
        <v>6</v>
      </c>
    </row>
    <row r="4">
      <c r="A4" s="4" t="inlineStr">
        <is>
          <t>Seat</t>
        </is>
      </c>
      <c r="B4" s="4" t="inlineStr">
        <is>
          <t>Rating, part 1</t>
        </is>
      </c>
      <c r="C4" s="4" t="inlineStr">
        <is>
          <t>Rating, part 2</t>
        </is>
      </c>
      <c r="D4" s="4" t="inlineStr">
        <is>
          <t>Rating, part 3</t>
        </is>
      </c>
      <c r="E4" s="4" t="inlineStr">
        <is>
          <t>Rating, part 4</t>
        </is>
      </c>
      <c r="F4" s="4" t="inlineStr">
        <is>
          <t>Rating, part 5</t>
        </is>
      </c>
      <c r="G4" s="4" t="inlineStr">
        <is>
          <t>Rating, part 6</t>
        </is>
      </c>
      <c r="I4" s="4" t="inlineStr">
        <is>
          <t>Right rate, part 1</t>
        </is>
      </c>
      <c r="J4" s="4" t="inlineStr">
        <is>
          <t>Right rate, part 2</t>
        </is>
      </c>
      <c r="K4" s="4" t="inlineStr">
        <is>
          <t>Right rate, part 3</t>
        </is>
      </c>
      <c r="L4" s="4" t="inlineStr">
        <is>
          <t>Right rate, part 4</t>
        </is>
      </c>
      <c r="M4" s="4" t="inlineStr">
        <is>
          <t>Right rate, part 5</t>
        </is>
      </c>
      <c r="N4" s="4" t="inlineStr">
        <is>
          <t>Right rate, part 6</t>
        </is>
      </c>
    </row>
    <row r="5">
      <c r="A5" t="n">
        <v>1</v>
      </c>
      <c r="B5" s="5" t="n"/>
      <c r="C5" s="5" t="n"/>
      <c r="D5" s="5" t="n"/>
      <c r="E5" s="5" t="n"/>
      <c r="F5" s="5" t="n"/>
      <c r="G5" s="5" t="n"/>
      <c r="I5" s="6">
        <f>IF(SUMPRODUCT((Marks!$B$2:$BD$2=I$3)*ISNUMBER(Marks!$B$5:$BD$5))=0,"",SUMPRODUCT((Marks!$B$2:$BD$2=I$3)*(Marks!$B$5:$BD$5=1))/SUMPRODUCT((Marks!$B$2:$BD$2=I$3)*ISNUMBER(Marks!$B$5:$BD$5)))</f>
        <v/>
      </c>
      <c r="J5" s="6">
        <f>IF(SUMPRODUCT((Marks!$B$2:$BD$2=J$3)*ISNUMBER(Marks!$B$5:$BD$5))=0,"",SUMPRODUCT((Marks!$B$2:$BD$2=J$3)*(Marks!$B$5:$BD$5=1))/SUMPRODUCT((Marks!$B$2:$BD$2=J$3)*ISNUMBER(Marks!$B$5:$BD$5)))</f>
        <v/>
      </c>
      <c r="K5" s="6">
        <f>IF(SUMPRODUCT((Marks!$B$2:$BD$2=K$3)*ISNUMBER(Marks!$B$5:$BD$5))=0,"",SUMPRODUCT((Marks!$B$2:$BD$2=K$3)*(Marks!$B$5:$BD$5=1))/SUMPRODUCT((Marks!$B$2:$BD$2=K$3)*ISNUMBER(Marks!$B$5:$BD$5)))</f>
        <v/>
      </c>
      <c r="L5" s="6">
        <f>IF(SUMPRODUCT((Marks!$B$2:$BD$2=L$3)*ISNUMBER(Marks!$B$5:$BD$5))=0,"",SUMPRODUCT((Marks!$B$2:$BD$2=L$3)*(Marks!$B$5:$BD$5=1))/SUMPRODUCT((Marks!$B$2:$BD$2=L$3)*ISNUMBER(Marks!$B$5:$BD$5)))</f>
        <v/>
      </c>
      <c r="M5" s="6">
        <f>IF(SUMPRODUCT((Marks!$B$2:$BD$2=M$3)*ISNUMBER(Marks!$B$5:$BD$5))=0,"",SUMPRODUCT((Marks!$B$2:$BD$2=M$3)*(Marks!$B$5:$BD$5=1))/SUMPRODUCT((Marks!$B$2:$BD$2=M$3)*ISNUMBER(Marks!$B$5:$BD$5)))</f>
        <v/>
      </c>
      <c r="N5" s="6">
        <f>IF(SUMPRODUCT((Marks!$B$2:$BD$2=N$3)*ISNUMBER(Marks!$B$5:$BD$5))=0,"",SUMPRODUCT((Marks!$B$2:$BD$2=N$3)*(Marks!$B$5:$BD$5=1))/SUMPRODUCT((Marks!$B$2:$BD$2=N$3)*ISNUMBER(Marks!$B$5:$BD$5)))</f>
        <v/>
      </c>
    </row>
    <row r="6">
      <c r="A6" t="n">
        <v>2</v>
      </c>
      <c r="B6" s="5" t="n"/>
      <c r="C6" s="5" t="n"/>
      <c r="D6" s="5" t="n"/>
      <c r="E6" s="5" t="n"/>
      <c r="F6" s="5" t="n"/>
      <c r="G6" s="5" t="n"/>
      <c r="I6" s="6">
        <f>IF(SUMPRODUCT((Marks!$B$2:$BD$2=I$3)*ISNUMBER(Marks!$B$6:$BD$6))=0,"",SUMPRODUCT((Marks!$B$2:$BD$2=I$3)*(Marks!$B$6:$BD$6=1))/SUMPRODUCT((Marks!$B$2:$BD$2=I$3)*ISNUMBER(Marks!$B$6:$BD$6)))</f>
        <v/>
      </c>
      <c r="J6" s="6">
        <f>IF(SUMPRODUCT((Marks!$B$2:$BD$2=J$3)*ISNUMBER(Marks!$B$6:$BD$6))=0,"",SUMPRODUCT((Marks!$B$2:$BD$2=J$3)*(Marks!$B$6:$BD$6=1))/SUMPRODUCT((Marks!$B$2:$BD$2=J$3)*ISNUMBER(Marks!$B$6:$BD$6)))</f>
        <v/>
      </c>
      <c r="K6" s="6">
        <f>IF(SUMPRODUCT((Marks!$B$2:$BD$2=K$3)*ISNUMBER(Marks!$B$6:$BD$6))=0,"",SUMPRODUCT((Marks!$B$2:$BD$2=K$3)*(Marks!$B$6:$BD$6=1))/SUMPRODUCT((Marks!$B$2:$BD$2=K$3)*ISNUMBER(Marks!$B$6:$BD$6)))</f>
        <v/>
      </c>
      <c r="L6" s="6">
        <f>IF(SUMPRODUCT((Marks!$B$2:$BD$2=L$3)*ISNUMBER(Marks!$B$6:$BD$6))=0,"",SUMPRODUCT((Marks!$B$2:$BD$2=L$3)*(Marks!$B$6:$BD$6=1))/SUMPRODUCT((Marks!$B$2:$BD$2=L$3)*ISNUMBER(Marks!$B$6:$BD$6)))</f>
        <v/>
      </c>
      <c r="M6" s="6">
        <f>IF(SUMPRODUCT((Marks!$B$2:$BD$2=M$3)*ISNUMBER(Marks!$B$6:$BD$6))=0,"",SUMPRODUCT((Marks!$B$2:$BD$2=M$3)*(Marks!$B$6:$BD$6=1))/SUMPRODUCT((Marks!$B$2:$BD$2=M$3)*ISNUMBER(Marks!$B$6:$BD$6)))</f>
        <v/>
      </c>
      <c r="N6" s="6">
        <f>IF(SUMPRODUCT((Marks!$B$2:$BD$2=N$3)*ISNUMBER(Marks!$B$6:$BD$6))=0,"",SUMPRODUCT((Marks!$B$2:$BD$2=N$3)*(Marks!$B$6:$BD$6=1))/SUMPRODUCT((Marks!$B$2:$BD$2=N$3)*ISNUMBER(Marks!$B$6:$BD$6)))</f>
        <v/>
      </c>
    </row>
    <row r="7">
      <c r="A7" t="n">
        <v>3</v>
      </c>
      <c r="B7" s="5" t="n"/>
      <c r="C7" s="5" t="n"/>
      <c r="D7" s="5" t="n"/>
      <c r="E7" s="5" t="n"/>
      <c r="F7" s="5" t="n"/>
      <c r="G7" s="5" t="n"/>
      <c r="I7" s="6">
        <f>IF(SUMPRODUCT((Marks!$B$2:$BD$2=I$3)*ISNUMBER(Marks!$B$7:$BD$7))=0,"",SUMPRODUCT((Marks!$B$2:$BD$2=I$3)*(Marks!$B$7:$BD$7=1))/SUMPRODUCT((Marks!$B$2:$BD$2=I$3)*ISNUMBER(Marks!$B$7:$BD$7)))</f>
        <v/>
      </c>
      <c r="J7" s="6">
        <f>IF(SUMPRODUCT((Marks!$B$2:$BD$2=J$3)*ISNUMBER(Marks!$B$7:$BD$7))=0,"",SUMPRODUCT((Marks!$B$2:$BD$2=J$3)*(Marks!$B$7:$BD$7=1))/SUMPRODUCT((Marks!$B$2:$BD$2=J$3)*ISNUMBER(Marks!$B$7:$BD$7)))</f>
        <v/>
      </c>
      <c r="K7" s="6">
        <f>IF(SUMPRODUCT((Marks!$B$2:$BD$2=K$3)*ISNUMBER(Marks!$B$7:$BD$7))=0,"",SUMPRODUCT((Marks!$B$2:$BD$2=K$3)*(Marks!$B$7:$BD$7=1))/SUMPRODUCT((Marks!$B$2:$BD$2=K$3)*ISNUMBER(Marks!$B$7:$BD$7)))</f>
        <v/>
      </c>
      <c r="L7" s="6">
        <f>IF(SUMPRODUCT((Marks!$B$2:$BD$2=L$3)*ISNUMBER(Marks!$B$7:$BD$7))=0,"",SUMPRODUCT((Marks!$B$2:$BD$2=L$3)*(Marks!$B$7:$BD$7=1))/SUMPRODUCT((Marks!$B$2:$BD$2=L$3)*ISNUMBER(Marks!$B$7:$BD$7)))</f>
        <v/>
      </c>
      <c r="M7" s="6">
        <f>IF(SUMPRODUCT((Marks!$B$2:$BD$2=M$3)*ISNUMBER(Marks!$B$7:$BD$7))=0,"",SUMPRODUCT((Marks!$B$2:$BD$2=M$3)*(Marks!$B$7:$BD$7=1))/SUMPRODUCT((Marks!$B$2:$BD$2=M$3)*ISNUMBER(Marks!$B$7:$BD$7)))</f>
        <v/>
      </c>
      <c r="N7" s="6">
        <f>IF(SUMPRODUCT((Marks!$B$2:$BD$2=N$3)*ISNUMBER(Marks!$B$7:$BD$7))=0,"",SUMPRODUCT((Marks!$B$2:$BD$2=N$3)*(Marks!$B$7:$BD$7=1))/SUMPRODUCT((Marks!$B$2:$BD$2=N$3)*ISNUMBER(Marks!$B$7:$BD$7)))</f>
        <v/>
      </c>
    </row>
    <row r="8">
      <c r="A8" t="n">
        <v>4</v>
      </c>
      <c r="B8" s="5" t="n"/>
      <c r="C8" s="5" t="n"/>
      <c r="D8" s="5" t="n"/>
      <c r="E8" s="5" t="n"/>
      <c r="F8" s="5" t="n"/>
      <c r="G8" s="5" t="n"/>
      <c r="I8" s="6">
        <f>IF(SUMPRODUCT((Marks!$B$2:$BD$2=I$3)*ISNUMBER(Marks!$B$8:$BD$8))=0,"",SUMPRODUCT((Marks!$B$2:$BD$2=I$3)*(Marks!$B$8:$BD$8=1))/SUMPRODUCT((Marks!$B$2:$BD$2=I$3)*ISNUMBER(Marks!$B$8:$BD$8)))</f>
        <v/>
      </c>
      <c r="J8" s="6">
        <f>IF(SUMPRODUCT((Marks!$B$2:$BD$2=J$3)*ISNUMBER(Marks!$B$8:$BD$8))=0,"",SUMPRODUCT((Marks!$B$2:$BD$2=J$3)*(Marks!$B$8:$BD$8=1))/SUMPRODUCT((Marks!$B$2:$BD$2=J$3)*ISNUMBER(Marks!$B$8:$BD$8)))</f>
        <v/>
      </c>
      <c r="K8" s="6">
        <f>IF(SUMPRODUCT((Marks!$B$2:$BD$2=K$3)*ISNUMBER(Marks!$B$8:$BD$8))=0,"",SUMPRODUCT((Marks!$B$2:$BD$2=K$3)*(Marks!$B$8:$BD$8=1))/SUMPRODUCT((Marks!$B$2:$BD$2=K$3)*ISNUMBER(Marks!$B$8:$BD$8)))</f>
        <v/>
      </c>
      <c r="L8" s="6">
        <f>IF(SUMPRODUCT((Marks!$B$2:$BD$2=L$3)*ISNUMBER(Marks!$B$8:$BD$8))=0,"",SUMPRODUCT((Marks!$B$2:$BD$2=L$3)*(Marks!$B$8:$BD$8=1))/SUMPRODUCT((Marks!$B$2:$BD$2=L$3)*ISNUMBER(Marks!$B$8:$BD$8)))</f>
        <v/>
      </c>
      <c r="M8" s="6">
        <f>IF(SUMPRODUCT((Marks!$B$2:$BD$2=M$3)*ISNUMBER(Marks!$B$8:$BD$8))=0,"",SUMPRODUCT((Marks!$B$2:$BD$2=M$3)*(Marks!$B$8:$BD$8=1))/SUMPRODUCT((Marks!$B$2:$BD$2=M$3)*ISNUMBER(Marks!$B$8:$BD$8)))</f>
        <v/>
      </c>
      <c r="N8" s="6">
        <f>IF(SUMPRODUCT((Marks!$B$2:$BD$2=N$3)*ISNUMBER(Marks!$B$8:$BD$8))=0,"",SUMPRODUCT((Marks!$B$2:$BD$2=N$3)*(Marks!$B$8:$BD$8=1))/SUMPRODUCT((Marks!$B$2:$BD$2=N$3)*ISNUMBER(Marks!$B$8:$BD$8)))</f>
        <v/>
      </c>
    </row>
    <row r="9">
      <c r="A9" t="n">
        <v>5</v>
      </c>
      <c r="B9" s="5" t="n"/>
      <c r="C9" s="5" t="n"/>
      <c r="D9" s="5" t="n"/>
      <c r="E9" s="5" t="n"/>
      <c r="F9" s="5" t="n"/>
      <c r="G9" s="5" t="n"/>
      <c r="I9" s="6">
        <f>IF(SUMPRODUCT((Marks!$B$2:$BD$2=I$3)*ISNUMBER(Marks!$B$9:$BD$9))=0,"",SUMPRODUCT((Marks!$B$2:$BD$2=I$3)*(Marks!$B$9:$BD$9=1))/SUMPRODUCT((Marks!$B$2:$BD$2=I$3)*ISNUMBER(Marks!$B$9:$BD$9)))</f>
        <v/>
      </c>
      <c r="J9" s="6">
        <f>IF(SUMPRODUCT((Marks!$B$2:$BD$2=J$3)*ISNUMBER(Marks!$B$9:$BD$9))=0,"",SUMPRODUCT((Marks!$B$2:$BD$2=J$3)*(Marks!$B$9:$BD$9=1))/SUMPRODUCT((Marks!$B$2:$BD$2=J$3)*ISNUMBER(Marks!$B$9:$BD$9)))</f>
        <v/>
      </c>
      <c r="K9" s="6">
        <f>IF(SUMPRODUCT((Marks!$B$2:$BD$2=K$3)*ISNUMBER(Marks!$B$9:$BD$9))=0,"",SUMPRODUCT((Marks!$B$2:$BD$2=K$3)*(Marks!$B$9:$BD$9=1))/SUMPRODUCT((Marks!$B$2:$BD$2=K$3)*ISNUMBER(Marks!$B$9:$BD$9)))</f>
        <v/>
      </c>
      <c r="L9" s="6">
        <f>IF(SUMPRODUCT((Marks!$B$2:$BD$2=L$3)*ISNUMBER(Marks!$B$9:$BD$9))=0,"",SUMPRODUCT((Marks!$B$2:$BD$2=L$3)*(Marks!$B$9:$BD$9=1))/SUMPRODUCT((Marks!$B$2:$BD$2=L$3)*ISNUMBER(Marks!$B$9:$BD$9)))</f>
        <v/>
      </c>
      <c r="M9" s="6">
        <f>IF(SUMPRODUCT((Marks!$B$2:$BD$2=M$3)*ISNUMBER(Marks!$B$9:$BD$9))=0,"",SUMPRODUCT((Marks!$B$2:$BD$2=M$3)*(Marks!$B$9:$BD$9=1))/SUMPRODUCT((Marks!$B$2:$BD$2=M$3)*ISNUMBER(Marks!$B$9:$BD$9)))</f>
        <v/>
      </c>
      <c r="N9" s="6">
        <f>IF(SUMPRODUCT((Marks!$B$2:$BD$2=N$3)*ISNUMBER(Marks!$B$9:$BD$9))=0,"",SUMPRODUCT((Marks!$B$2:$BD$2=N$3)*(Marks!$B$9:$BD$9=1))/SUMPRODUCT((Marks!$B$2:$BD$2=N$3)*ISNUMBER(Marks!$B$9:$BD$9)))</f>
        <v/>
      </c>
    </row>
    <row r="10">
      <c r="A10" t="n">
        <v>6</v>
      </c>
      <c r="B10" s="5" t="n"/>
      <c r="C10" s="5" t="n"/>
      <c r="D10" s="5" t="n"/>
      <c r="E10" s="5" t="n"/>
      <c r="F10" s="5" t="n"/>
      <c r="G10" s="5" t="n"/>
      <c r="I10" s="6">
        <f>IF(SUMPRODUCT((Marks!$B$2:$BD$2=I$3)*ISNUMBER(Marks!$B$10:$BD$10))=0,"",SUMPRODUCT((Marks!$B$2:$BD$2=I$3)*(Marks!$B$10:$BD$10=1))/SUMPRODUCT((Marks!$B$2:$BD$2=I$3)*ISNUMBER(Marks!$B$10:$BD$10)))</f>
        <v/>
      </c>
      <c r="J10" s="6">
        <f>IF(SUMPRODUCT((Marks!$B$2:$BD$2=J$3)*ISNUMBER(Marks!$B$10:$BD$10))=0,"",SUMPRODUCT((Marks!$B$2:$BD$2=J$3)*(Marks!$B$10:$BD$10=1))/SUMPRODUCT((Marks!$B$2:$BD$2=J$3)*ISNUMBER(Marks!$B$10:$BD$10)))</f>
        <v/>
      </c>
      <c r="K10" s="6">
        <f>IF(SUMPRODUCT((Marks!$B$2:$BD$2=K$3)*ISNUMBER(Marks!$B$10:$BD$10))=0,"",SUMPRODUCT((Marks!$B$2:$BD$2=K$3)*(Marks!$B$10:$BD$10=1))/SUMPRODUCT((Marks!$B$2:$BD$2=K$3)*ISNUMBER(Marks!$B$10:$BD$10)))</f>
        <v/>
      </c>
      <c r="L10" s="6">
        <f>IF(SUMPRODUCT((Marks!$B$2:$BD$2=L$3)*ISNUMBER(Marks!$B$10:$BD$10))=0,"",SUMPRODUCT((Marks!$B$2:$BD$2=L$3)*(Marks!$B$10:$BD$10=1))/SUMPRODUCT((Marks!$B$2:$BD$2=L$3)*ISNUMBER(Marks!$B$10:$BD$10)))</f>
        <v/>
      </c>
      <c r="M10" s="6">
        <f>IF(SUMPRODUCT((Marks!$B$2:$BD$2=M$3)*ISNUMBER(Marks!$B$10:$BD$10))=0,"",SUMPRODUCT((Marks!$B$2:$BD$2=M$3)*(Marks!$B$10:$BD$10=1))/SUMPRODUCT((Marks!$B$2:$BD$2=M$3)*ISNUMBER(Marks!$B$10:$BD$10)))</f>
        <v/>
      </c>
      <c r="N10" s="6">
        <f>IF(SUMPRODUCT((Marks!$B$2:$BD$2=N$3)*ISNUMBER(Marks!$B$10:$BD$10))=0,"",SUMPRODUCT((Marks!$B$2:$BD$2=N$3)*(Marks!$B$10:$BD$10=1))/SUMPRODUCT((Marks!$B$2:$BD$2=N$3)*ISNUMBER(Marks!$B$10:$BD$10)))</f>
        <v/>
      </c>
    </row>
    <row r="11">
      <c r="A11" t="n">
        <v>7</v>
      </c>
      <c r="B11" s="5" t="n"/>
      <c r="C11" s="5" t="n"/>
      <c r="D11" s="5" t="n"/>
      <c r="E11" s="5" t="n"/>
      <c r="F11" s="5" t="n"/>
      <c r="G11" s="5" t="n"/>
      <c r="I11" s="6">
        <f>IF(SUMPRODUCT((Marks!$B$2:$BD$2=I$3)*ISNUMBER(Marks!$B$11:$BD$11))=0,"",SUMPRODUCT((Marks!$B$2:$BD$2=I$3)*(Marks!$B$11:$BD$11=1))/SUMPRODUCT((Marks!$B$2:$BD$2=I$3)*ISNUMBER(Marks!$B$11:$BD$11)))</f>
        <v/>
      </c>
      <c r="J11" s="6">
        <f>IF(SUMPRODUCT((Marks!$B$2:$BD$2=J$3)*ISNUMBER(Marks!$B$11:$BD$11))=0,"",SUMPRODUCT((Marks!$B$2:$BD$2=J$3)*(Marks!$B$11:$BD$11=1))/SUMPRODUCT((Marks!$B$2:$BD$2=J$3)*ISNUMBER(Marks!$B$11:$BD$11)))</f>
        <v/>
      </c>
      <c r="K11" s="6">
        <f>IF(SUMPRODUCT((Marks!$B$2:$BD$2=K$3)*ISNUMBER(Marks!$B$11:$BD$11))=0,"",SUMPRODUCT((Marks!$B$2:$BD$2=K$3)*(Marks!$B$11:$BD$11=1))/SUMPRODUCT((Marks!$B$2:$BD$2=K$3)*ISNUMBER(Marks!$B$11:$BD$11)))</f>
        <v/>
      </c>
      <c r="L11" s="6">
        <f>IF(SUMPRODUCT((Marks!$B$2:$BD$2=L$3)*ISNUMBER(Marks!$B$11:$BD$11))=0,"",SUMPRODUCT((Marks!$B$2:$BD$2=L$3)*(Marks!$B$11:$BD$11=1))/SUMPRODUCT((Marks!$B$2:$BD$2=L$3)*ISNUMBER(Marks!$B$11:$BD$11)))</f>
        <v/>
      </c>
      <c r="M11" s="6">
        <f>IF(SUMPRODUCT((Marks!$B$2:$BD$2=M$3)*ISNUMBER(Marks!$B$11:$BD$11))=0,"",SUMPRODUCT((Marks!$B$2:$BD$2=M$3)*(Marks!$B$11:$BD$11=1))/SUMPRODUCT((Marks!$B$2:$BD$2=M$3)*ISNUMBER(Marks!$B$11:$BD$11)))</f>
        <v/>
      </c>
      <c r="N11" s="6">
        <f>IF(SUMPRODUCT((Marks!$B$2:$BD$2=N$3)*ISNUMBER(Marks!$B$11:$BD$11))=0,"",SUMPRODUCT((Marks!$B$2:$BD$2=N$3)*(Marks!$B$11:$BD$11=1))/SUMPRODUCT((Marks!$B$2:$BD$2=N$3)*ISNUMBER(Marks!$B$11:$BD$11)))</f>
        <v/>
      </c>
    </row>
    <row r="12">
      <c r="A12" t="n">
        <v>8</v>
      </c>
      <c r="B12" s="5" t="n"/>
      <c r="C12" s="5" t="n"/>
      <c r="D12" s="5" t="n"/>
      <c r="E12" s="5" t="n"/>
      <c r="F12" s="5" t="n"/>
      <c r="G12" s="5" t="n"/>
      <c r="I12" s="6">
        <f>IF(SUMPRODUCT((Marks!$B$2:$BD$2=I$3)*ISNUMBER(Marks!$B$12:$BD$12))=0,"",SUMPRODUCT((Marks!$B$2:$BD$2=I$3)*(Marks!$B$12:$BD$12=1))/SUMPRODUCT((Marks!$B$2:$BD$2=I$3)*ISNUMBER(Marks!$B$12:$BD$12)))</f>
        <v/>
      </c>
      <c r="J12" s="6">
        <f>IF(SUMPRODUCT((Marks!$B$2:$BD$2=J$3)*ISNUMBER(Marks!$B$12:$BD$12))=0,"",SUMPRODUCT((Marks!$B$2:$BD$2=J$3)*(Marks!$B$12:$BD$12=1))/SUMPRODUCT((Marks!$B$2:$BD$2=J$3)*ISNUMBER(Marks!$B$12:$BD$12)))</f>
        <v/>
      </c>
      <c r="K12" s="6">
        <f>IF(SUMPRODUCT((Marks!$B$2:$BD$2=K$3)*ISNUMBER(Marks!$B$12:$BD$12))=0,"",SUMPRODUCT((Marks!$B$2:$BD$2=K$3)*(Marks!$B$12:$BD$12=1))/SUMPRODUCT((Marks!$B$2:$BD$2=K$3)*ISNUMBER(Marks!$B$12:$BD$12)))</f>
        <v/>
      </c>
      <c r="L12" s="6">
        <f>IF(SUMPRODUCT((Marks!$B$2:$BD$2=L$3)*ISNUMBER(Marks!$B$12:$BD$12))=0,"",SUMPRODUCT((Marks!$B$2:$BD$2=L$3)*(Marks!$B$12:$BD$12=1))/SUMPRODUCT((Marks!$B$2:$BD$2=L$3)*ISNUMBER(Marks!$B$12:$BD$12)))</f>
        <v/>
      </c>
      <c r="M12" s="6">
        <f>IF(SUMPRODUCT((Marks!$B$2:$BD$2=M$3)*ISNUMBER(Marks!$B$12:$BD$12))=0,"",SUMPRODUCT((Marks!$B$2:$BD$2=M$3)*(Marks!$B$12:$BD$12=1))/SUMPRODUCT((Marks!$B$2:$BD$2=M$3)*ISNUMBER(Marks!$B$12:$BD$12)))</f>
        <v/>
      </c>
      <c r="N12" s="6">
        <f>IF(SUMPRODUCT((Marks!$B$2:$BD$2=N$3)*ISNUMBER(Marks!$B$12:$BD$12))=0,"",SUMPRODUCT((Marks!$B$2:$BD$2=N$3)*(Marks!$B$12:$BD$12=1))/SUMPRODUCT((Marks!$B$2:$BD$2=N$3)*ISNUMBER(Marks!$B$12:$BD$12)))</f>
        <v/>
      </c>
    </row>
    <row r="13">
      <c r="A13" t="n">
        <v>9</v>
      </c>
      <c r="B13" s="5" t="n"/>
      <c r="C13" s="5" t="n"/>
      <c r="D13" s="5" t="n"/>
      <c r="E13" s="5" t="n"/>
      <c r="F13" s="5" t="n"/>
      <c r="G13" s="5" t="n"/>
      <c r="I13" s="6">
        <f>IF(SUMPRODUCT((Marks!$B$2:$BD$2=I$3)*ISNUMBER(Marks!$B$13:$BD$13))=0,"",SUMPRODUCT((Marks!$B$2:$BD$2=I$3)*(Marks!$B$13:$BD$13=1))/SUMPRODUCT((Marks!$B$2:$BD$2=I$3)*ISNUMBER(Marks!$B$13:$BD$13)))</f>
        <v/>
      </c>
      <c r="J13" s="6">
        <f>IF(SUMPRODUCT((Marks!$B$2:$BD$2=J$3)*ISNUMBER(Marks!$B$13:$BD$13))=0,"",SUMPRODUCT((Marks!$B$2:$BD$2=J$3)*(Marks!$B$13:$BD$13=1))/SUMPRODUCT((Marks!$B$2:$BD$2=J$3)*ISNUMBER(Marks!$B$13:$BD$13)))</f>
        <v/>
      </c>
      <c r="K13" s="6">
        <f>IF(SUMPRODUCT((Marks!$B$2:$BD$2=K$3)*ISNUMBER(Marks!$B$13:$BD$13))=0,"",SUMPRODUCT((Marks!$B$2:$BD$2=K$3)*(Marks!$B$13:$BD$13=1))/SUMPRODUCT((Marks!$B$2:$BD$2=K$3)*ISNUMBER(Marks!$B$13:$BD$13)))</f>
        <v/>
      </c>
      <c r="L13" s="6">
        <f>IF(SUMPRODUCT((Marks!$B$2:$BD$2=L$3)*ISNUMBER(Marks!$B$13:$BD$13))=0,"",SUMPRODUCT((Marks!$B$2:$BD$2=L$3)*(Marks!$B$13:$BD$13=1))/SUMPRODUCT((Marks!$B$2:$BD$2=L$3)*ISNUMBER(Marks!$B$13:$BD$13)))</f>
        <v/>
      </c>
      <c r="M13" s="6">
        <f>IF(SUMPRODUCT((Marks!$B$2:$BD$2=M$3)*ISNUMBER(Marks!$B$13:$BD$13))=0,"",SUMPRODUCT((Marks!$B$2:$BD$2=M$3)*(Marks!$B$13:$BD$13=1))/SUMPRODUCT((Marks!$B$2:$BD$2=M$3)*ISNUMBER(Marks!$B$13:$BD$13)))</f>
        <v/>
      </c>
      <c r="N13" s="6">
        <f>IF(SUMPRODUCT((Marks!$B$2:$BD$2=N$3)*ISNUMBER(Marks!$B$13:$BD$13))=0,"",SUMPRODUCT((Marks!$B$2:$BD$2=N$3)*(Marks!$B$13:$BD$13=1))/SUMPRODUCT((Marks!$B$2:$BD$2=N$3)*ISNUMBER(Marks!$B$13:$BD$13)))</f>
        <v/>
      </c>
    </row>
    <row r="14">
      <c r="A14" t="n">
        <v>10</v>
      </c>
      <c r="B14" s="5" t="n"/>
      <c r="C14" s="5" t="n"/>
      <c r="D14" s="5" t="n"/>
      <c r="E14" s="5" t="n"/>
      <c r="F14" s="5" t="n"/>
      <c r="G14" s="5" t="n"/>
      <c r="I14" s="6">
        <f>IF(SUMPRODUCT((Marks!$B$2:$BD$2=I$3)*ISNUMBER(Marks!$B$14:$BD$14))=0,"",SUMPRODUCT((Marks!$B$2:$BD$2=I$3)*(Marks!$B$14:$BD$14=1))/SUMPRODUCT((Marks!$B$2:$BD$2=I$3)*ISNUMBER(Marks!$B$14:$BD$14)))</f>
        <v/>
      </c>
      <c r="J14" s="6">
        <f>IF(SUMPRODUCT((Marks!$B$2:$BD$2=J$3)*ISNUMBER(Marks!$B$14:$BD$14))=0,"",SUMPRODUCT((Marks!$B$2:$BD$2=J$3)*(Marks!$B$14:$BD$14=1))/SUMPRODUCT((Marks!$B$2:$BD$2=J$3)*ISNUMBER(Marks!$B$14:$BD$14)))</f>
        <v/>
      </c>
      <c r="K14" s="6">
        <f>IF(SUMPRODUCT((Marks!$B$2:$BD$2=K$3)*ISNUMBER(Marks!$B$14:$BD$14))=0,"",SUMPRODUCT((Marks!$B$2:$BD$2=K$3)*(Marks!$B$14:$BD$14=1))/SUMPRODUCT((Marks!$B$2:$BD$2=K$3)*ISNUMBER(Marks!$B$14:$BD$14)))</f>
        <v/>
      </c>
      <c r="L14" s="6">
        <f>IF(SUMPRODUCT((Marks!$B$2:$BD$2=L$3)*ISNUMBER(Marks!$B$14:$BD$14))=0,"",SUMPRODUCT((Marks!$B$2:$BD$2=L$3)*(Marks!$B$14:$BD$14=1))/SUMPRODUCT((Marks!$B$2:$BD$2=L$3)*ISNUMBER(Marks!$B$14:$BD$14)))</f>
        <v/>
      </c>
      <c r="M14" s="6">
        <f>IF(SUMPRODUCT((Marks!$B$2:$BD$2=M$3)*ISNUMBER(Marks!$B$14:$BD$14))=0,"",SUMPRODUCT((Marks!$B$2:$BD$2=M$3)*(Marks!$B$14:$BD$14=1))/SUMPRODUCT((Marks!$B$2:$BD$2=M$3)*ISNUMBER(Marks!$B$14:$BD$14)))</f>
        <v/>
      </c>
      <c r="N14" s="6">
        <f>IF(SUMPRODUCT((Marks!$B$2:$BD$2=N$3)*ISNUMBER(Marks!$B$14:$BD$14))=0,"",SUMPRODUCT((Marks!$B$2:$BD$2=N$3)*(Marks!$B$14:$BD$14=1))/SUMPRODUCT((Marks!$B$2:$BD$2=N$3)*ISNUMBER(Marks!$B$14:$BD$14)))</f>
        <v/>
      </c>
    </row>
    <row r="15">
      <c r="A15" t="n">
        <v>11</v>
      </c>
      <c r="B15" s="5" t="n"/>
      <c r="C15" s="5" t="n"/>
      <c r="D15" s="5" t="n"/>
      <c r="E15" s="5" t="n"/>
      <c r="F15" s="5" t="n"/>
      <c r="G15" s="5" t="n"/>
      <c r="I15" s="6">
        <f>IF(SUMPRODUCT((Marks!$B$2:$BD$2=I$3)*ISNUMBER(Marks!$B$15:$BD$15))=0,"",SUMPRODUCT((Marks!$B$2:$BD$2=I$3)*(Marks!$B$15:$BD$15=1))/SUMPRODUCT((Marks!$B$2:$BD$2=I$3)*ISNUMBER(Marks!$B$15:$BD$15)))</f>
        <v/>
      </c>
      <c r="J15" s="6">
        <f>IF(SUMPRODUCT((Marks!$B$2:$BD$2=J$3)*ISNUMBER(Marks!$B$15:$BD$15))=0,"",SUMPRODUCT((Marks!$B$2:$BD$2=J$3)*(Marks!$B$15:$BD$15=1))/SUMPRODUCT((Marks!$B$2:$BD$2=J$3)*ISNUMBER(Marks!$B$15:$BD$15)))</f>
        <v/>
      </c>
      <c r="K15" s="6">
        <f>IF(SUMPRODUCT((Marks!$B$2:$BD$2=K$3)*ISNUMBER(Marks!$B$15:$BD$15))=0,"",SUMPRODUCT((Marks!$B$2:$BD$2=K$3)*(Marks!$B$15:$BD$15=1))/SUMPRODUCT((Marks!$B$2:$BD$2=K$3)*ISNUMBER(Marks!$B$15:$BD$15)))</f>
        <v/>
      </c>
      <c r="L15" s="6">
        <f>IF(SUMPRODUCT((Marks!$B$2:$BD$2=L$3)*ISNUMBER(Marks!$B$15:$BD$15))=0,"",SUMPRODUCT((Marks!$B$2:$BD$2=L$3)*(Marks!$B$15:$BD$15=1))/SUMPRODUCT((Marks!$B$2:$BD$2=L$3)*ISNUMBER(Marks!$B$15:$BD$15)))</f>
        <v/>
      </c>
      <c r="M15" s="6">
        <f>IF(SUMPRODUCT((Marks!$B$2:$BD$2=M$3)*ISNUMBER(Marks!$B$15:$BD$15))=0,"",SUMPRODUCT((Marks!$B$2:$BD$2=M$3)*(Marks!$B$15:$BD$15=1))/SUMPRODUCT((Marks!$B$2:$BD$2=M$3)*ISNUMBER(Marks!$B$15:$BD$15)))</f>
        <v/>
      </c>
      <c r="N15" s="6">
        <f>IF(SUMPRODUCT((Marks!$B$2:$BD$2=N$3)*ISNUMBER(Marks!$B$15:$BD$15))=0,"",SUMPRODUCT((Marks!$B$2:$BD$2=N$3)*(Marks!$B$15:$BD$15=1))/SUMPRODUCT((Marks!$B$2:$BD$2=N$3)*ISNUMBER(Marks!$B$15:$BD$15)))</f>
        <v/>
      </c>
    </row>
    <row r="16">
      <c r="A16" t="n">
        <v>12</v>
      </c>
      <c r="B16" s="5" t="n"/>
      <c r="C16" s="5" t="n"/>
      <c r="D16" s="5" t="n"/>
      <c r="E16" s="5" t="n"/>
      <c r="F16" s="5" t="n"/>
      <c r="G16" s="5" t="n"/>
      <c r="I16" s="6">
        <f>IF(SUMPRODUCT((Marks!$B$2:$BD$2=I$3)*ISNUMBER(Marks!$B$16:$BD$16))=0,"",SUMPRODUCT((Marks!$B$2:$BD$2=I$3)*(Marks!$B$16:$BD$16=1))/SUMPRODUCT((Marks!$B$2:$BD$2=I$3)*ISNUMBER(Marks!$B$16:$BD$16)))</f>
        <v/>
      </c>
      <c r="J16" s="6">
        <f>IF(SUMPRODUCT((Marks!$B$2:$BD$2=J$3)*ISNUMBER(Marks!$B$16:$BD$16))=0,"",SUMPRODUCT((Marks!$B$2:$BD$2=J$3)*(Marks!$B$16:$BD$16=1))/SUMPRODUCT((Marks!$B$2:$BD$2=J$3)*ISNUMBER(Marks!$B$16:$BD$16)))</f>
        <v/>
      </c>
      <c r="K16" s="6">
        <f>IF(SUMPRODUCT((Marks!$B$2:$BD$2=K$3)*ISNUMBER(Marks!$B$16:$BD$16))=0,"",SUMPRODUCT((Marks!$B$2:$BD$2=K$3)*(Marks!$B$16:$BD$16=1))/SUMPRODUCT((Marks!$B$2:$BD$2=K$3)*ISNUMBER(Marks!$B$16:$BD$16)))</f>
        <v/>
      </c>
      <c r="L16" s="6">
        <f>IF(SUMPRODUCT((Marks!$B$2:$BD$2=L$3)*ISNUMBER(Marks!$B$16:$BD$16))=0,"",SUMPRODUCT((Marks!$B$2:$BD$2=L$3)*(Marks!$B$16:$BD$16=1))/SUMPRODUCT((Marks!$B$2:$BD$2=L$3)*ISNUMBER(Marks!$B$16:$BD$16)))</f>
        <v/>
      </c>
      <c r="M16" s="6">
        <f>IF(SUMPRODUCT((Marks!$B$2:$BD$2=M$3)*ISNUMBER(Marks!$B$16:$BD$16))=0,"",SUMPRODUCT((Marks!$B$2:$BD$2=M$3)*(Marks!$B$16:$BD$16=1))/SUMPRODUCT((Marks!$B$2:$BD$2=M$3)*ISNUMBER(Marks!$B$16:$BD$16)))</f>
        <v/>
      </c>
      <c r="N16" s="6">
        <f>IF(SUMPRODUCT((Marks!$B$2:$BD$2=N$3)*ISNUMBER(Marks!$B$16:$BD$16))=0,"",SUMPRODUCT((Marks!$B$2:$BD$2=N$3)*(Marks!$B$16:$BD$16=1))/SUMPRODUCT((Marks!$B$2:$BD$2=N$3)*ISNUMBER(Marks!$B$16:$BD$16)))</f>
        <v/>
      </c>
    </row>
    <row r="17">
      <c r="A17" t="n">
        <v>13</v>
      </c>
      <c r="B17" s="5" t="n"/>
      <c r="C17" s="5" t="n"/>
      <c r="D17" s="5" t="n"/>
      <c r="E17" s="5" t="n"/>
      <c r="F17" s="5" t="n"/>
      <c r="G17" s="5" t="n"/>
      <c r="I17" s="6">
        <f>IF(SUMPRODUCT((Marks!$B$2:$BD$2=I$3)*ISNUMBER(Marks!$B$17:$BD$17))=0,"",SUMPRODUCT((Marks!$B$2:$BD$2=I$3)*(Marks!$B$17:$BD$17=1))/SUMPRODUCT((Marks!$B$2:$BD$2=I$3)*ISNUMBER(Marks!$B$17:$BD$17)))</f>
        <v/>
      </c>
      <c r="J17" s="6">
        <f>IF(SUMPRODUCT((Marks!$B$2:$BD$2=J$3)*ISNUMBER(Marks!$B$17:$BD$17))=0,"",SUMPRODUCT((Marks!$B$2:$BD$2=J$3)*(Marks!$B$17:$BD$17=1))/SUMPRODUCT((Marks!$B$2:$BD$2=J$3)*ISNUMBER(Marks!$B$17:$BD$17)))</f>
        <v/>
      </c>
      <c r="K17" s="6">
        <f>IF(SUMPRODUCT((Marks!$B$2:$BD$2=K$3)*ISNUMBER(Marks!$B$17:$BD$17))=0,"",SUMPRODUCT((Marks!$B$2:$BD$2=K$3)*(Marks!$B$17:$BD$17=1))/SUMPRODUCT((Marks!$B$2:$BD$2=K$3)*ISNUMBER(Marks!$B$17:$BD$17)))</f>
        <v/>
      </c>
      <c r="L17" s="6">
        <f>IF(SUMPRODUCT((Marks!$B$2:$BD$2=L$3)*ISNUMBER(Marks!$B$17:$BD$17))=0,"",SUMPRODUCT((Marks!$B$2:$BD$2=L$3)*(Marks!$B$17:$BD$17=1))/SUMPRODUCT((Marks!$B$2:$BD$2=L$3)*ISNUMBER(Marks!$B$17:$BD$17)))</f>
        <v/>
      </c>
      <c r="M17" s="6">
        <f>IF(SUMPRODUCT((Marks!$B$2:$BD$2=M$3)*ISNUMBER(Marks!$B$17:$BD$17))=0,"",SUMPRODUCT((Marks!$B$2:$BD$2=M$3)*(Marks!$B$17:$BD$17=1))/SUMPRODUCT((Marks!$B$2:$BD$2=M$3)*ISNUMBER(Marks!$B$17:$BD$17)))</f>
        <v/>
      </c>
      <c r="N17" s="6">
        <f>IF(SUMPRODUCT((Marks!$B$2:$BD$2=N$3)*ISNUMBER(Marks!$B$17:$BD$17))=0,"",SUMPRODUCT((Marks!$B$2:$BD$2=N$3)*(Marks!$B$17:$BD$17=1))/SUMPRODUCT((Marks!$B$2:$BD$2=N$3)*ISNUMBER(Marks!$B$17:$BD$17)))</f>
        <v/>
      </c>
    </row>
    <row r="18">
      <c r="A18" t="n">
        <v>14</v>
      </c>
      <c r="B18" s="5" t="n"/>
      <c r="C18" s="5" t="n"/>
      <c r="D18" s="5" t="n"/>
      <c r="E18" s="5" t="n"/>
      <c r="F18" s="5" t="n"/>
      <c r="G18" s="5" t="n"/>
      <c r="I18" s="6">
        <f>IF(SUMPRODUCT((Marks!$B$2:$BD$2=I$3)*ISNUMBER(Marks!$B$18:$BD$18))=0,"",SUMPRODUCT((Marks!$B$2:$BD$2=I$3)*(Marks!$B$18:$BD$18=1))/SUMPRODUCT((Marks!$B$2:$BD$2=I$3)*ISNUMBER(Marks!$B$18:$BD$18)))</f>
        <v/>
      </c>
      <c r="J18" s="6">
        <f>IF(SUMPRODUCT((Marks!$B$2:$BD$2=J$3)*ISNUMBER(Marks!$B$18:$BD$18))=0,"",SUMPRODUCT((Marks!$B$2:$BD$2=J$3)*(Marks!$B$18:$BD$18=1))/SUMPRODUCT((Marks!$B$2:$BD$2=J$3)*ISNUMBER(Marks!$B$18:$BD$18)))</f>
        <v/>
      </c>
      <c r="K18" s="6">
        <f>IF(SUMPRODUCT((Marks!$B$2:$BD$2=K$3)*ISNUMBER(Marks!$B$18:$BD$18))=0,"",SUMPRODUCT((Marks!$B$2:$BD$2=K$3)*(Marks!$B$18:$BD$18=1))/SUMPRODUCT((Marks!$B$2:$BD$2=K$3)*ISNUMBER(Marks!$B$18:$BD$18)))</f>
        <v/>
      </c>
      <c r="L18" s="6">
        <f>IF(SUMPRODUCT((Marks!$B$2:$BD$2=L$3)*ISNUMBER(Marks!$B$18:$BD$18))=0,"",SUMPRODUCT((Marks!$B$2:$BD$2=L$3)*(Marks!$B$18:$BD$18=1))/SUMPRODUCT((Marks!$B$2:$BD$2=L$3)*ISNUMBER(Marks!$B$18:$BD$18)))</f>
        <v/>
      </c>
      <c r="M18" s="6">
        <f>IF(SUMPRODUCT((Marks!$B$2:$BD$2=M$3)*ISNUMBER(Marks!$B$18:$BD$18))=0,"",SUMPRODUCT((Marks!$B$2:$BD$2=M$3)*(Marks!$B$18:$BD$18=1))/SUMPRODUCT((Marks!$B$2:$BD$2=M$3)*ISNUMBER(Marks!$B$18:$BD$18)))</f>
        <v/>
      </c>
      <c r="N18" s="6">
        <f>IF(SUMPRODUCT((Marks!$B$2:$BD$2=N$3)*ISNUMBER(Marks!$B$18:$BD$18))=0,"",SUMPRODUCT((Marks!$B$2:$BD$2=N$3)*(Marks!$B$18:$BD$18=1))/SUMPRODUCT((Marks!$B$2:$BD$2=N$3)*ISNUMBER(Marks!$B$18:$BD$18)))</f>
        <v/>
      </c>
    </row>
    <row r="19">
      <c r="A19" t="n">
        <v>15</v>
      </c>
      <c r="B19" s="5" t="n"/>
      <c r="C19" s="5" t="n"/>
      <c r="D19" s="5" t="n"/>
      <c r="E19" s="5" t="n"/>
      <c r="F19" s="5" t="n"/>
      <c r="G19" s="5" t="n"/>
      <c r="I19" s="6">
        <f>IF(SUMPRODUCT((Marks!$B$2:$BD$2=I$3)*ISNUMBER(Marks!$B$19:$BD$19))=0,"",SUMPRODUCT((Marks!$B$2:$BD$2=I$3)*(Marks!$B$19:$BD$19=1))/SUMPRODUCT((Marks!$B$2:$BD$2=I$3)*ISNUMBER(Marks!$B$19:$BD$19)))</f>
        <v/>
      </c>
      <c r="J19" s="6">
        <f>IF(SUMPRODUCT((Marks!$B$2:$BD$2=J$3)*ISNUMBER(Marks!$B$19:$BD$19))=0,"",SUMPRODUCT((Marks!$B$2:$BD$2=J$3)*(Marks!$B$19:$BD$19=1))/SUMPRODUCT((Marks!$B$2:$BD$2=J$3)*ISNUMBER(Marks!$B$19:$BD$19)))</f>
        <v/>
      </c>
      <c r="K19" s="6">
        <f>IF(SUMPRODUCT((Marks!$B$2:$BD$2=K$3)*ISNUMBER(Marks!$B$19:$BD$19))=0,"",SUMPRODUCT((Marks!$B$2:$BD$2=K$3)*(Marks!$B$19:$BD$19=1))/SUMPRODUCT((Marks!$B$2:$BD$2=K$3)*ISNUMBER(Marks!$B$19:$BD$19)))</f>
        <v/>
      </c>
      <c r="L19" s="6">
        <f>IF(SUMPRODUCT((Marks!$B$2:$BD$2=L$3)*ISNUMBER(Marks!$B$19:$BD$19))=0,"",SUMPRODUCT((Marks!$B$2:$BD$2=L$3)*(Marks!$B$19:$BD$19=1))/SUMPRODUCT((Marks!$B$2:$BD$2=L$3)*ISNUMBER(Marks!$B$19:$BD$19)))</f>
        <v/>
      </c>
      <c r="M19" s="6">
        <f>IF(SUMPRODUCT((Marks!$B$2:$BD$2=M$3)*ISNUMBER(Marks!$B$19:$BD$19))=0,"",SUMPRODUCT((Marks!$B$2:$BD$2=M$3)*(Marks!$B$19:$BD$19=1))/SUMPRODUCT((Marks!$B$2:$BD$2=M$3)*ISNUMBER(Marks!$B$19:$BD$19)))</f>
        <v/>
      </c>
      <c r="N19" s="6">
        <f>IF(SUMPRODUCT((Marks!$B$2:$BD$2=N$3)*ISNUMBER(Marks!$B$19:$BD$19))=0,"",SUMPRODUCT((Marks!$B$2:$BD$2=N$3)*(Marks!$B$19:$BD$19=1))/SUMPRODUCT((Marks!$B$2:$BD$2=N$3)*ISNUMBER(Marks!$B$19:$BD$19)))</f>
        <v/>
      </c>
    </row>
    <row r="20">
      <c r="A20" t="n">
        <v>16</v>
      </c>
      <c r="B20" s="5" t="n"/>
      <c r="C20" s="5" t="n"/>
      <c r="D20" s="5" t="n"/>
      <c r="E20" s="5" t="n"/>
      <c r="F20" s="5" t="n"/>
      <c r="G20" s="5" t="n"/>
      <c r="I20" s="6">
        <f>IF(SUMPRODUCT((Marks!$B$2:$BD$2=I$3)*ISNUMBER(Marks!$B$20:$BD$20))=0,"",SUMPRODUCT((Marks!$B$2:$BD$2=I$3)*(Marks!$B$20:$BD$20=1))/SUMPRODUCT((Marks!$B$2:$BD$2=I$3)*ISNUMBER(Marks!$B$20:$BD$20)))</f>
        <v/>
      </c>
      <c r="J20" s="6">
        <f>IF(SUMPRODUCT((Marks!$B$2:$BD$2=J$3)*ISNUMBER(Marks!$B$20:$BD$20))=0,"",SUMPRODUCT((Marks!$B$2:$BD$2=J$3)*(Marks!$B$20:$BD$20=1))/SUMPRODUCT((Marks!$B$2:$BD$2=J$3)*ISNUMBER(Marks!$B$20:$BD$20)))</f>
        <v/>
      </c>
      <c r="K20" s="6">
        <f>IF(SUMPRODUCT((Marks!$B$2:$BD$2=K$3)*ISNUMBER(Marks!$B$20:$BD$20))=0,"",SUMPRODUCT((Marks!$B$2:$BD$2=K$3)*(Marks!$B$20:$BD$20=1))/SUMPRODUCT((Marks!$B$2:$BD$2=K$3)*ISNUMBER(Marks!$B$20:$BD$20)))</f>
        <v/>
      </c>
      <c r="L20" s="6">
        <f>IF(SUMPRODUCT((Marks!$B$2:$BD$2=L$3)*ISNUMBER(Marks!$B$20:$BD$20))=0,"",SUMPRODUCT((Marks!$B$2:$BD$2=L$3)*(Marks!$B$20:$BD$20=1))/SUMPRODUCT((Marks!$B$2:$BD$2=L$3)*ISNUMBER(Marks!$B$20:$BD$20)))</f>
        <v/>
      </c>
      <c r="M20" s="6">
        <f>IF(SUMPRODUCT((Marks!$B$2:$BD$2=M$3)*ISNUMBER(Marks!$B$20:$BD$20))=0,"",SUMPRODUCT((Marks!$B$2:$BD$2=M$3)*(Marks!$B$20:$BD$20=1))/SUMPRODUCT((Marks!$B$2:$BD$2=M$3)*ISNUMBER(Marks!$B$20:$BD$20)))</f>
        <v/>
      </c>
      <c r="N20" s="6">
        <f>IF(SUMPRODUCT((Marks!$B$2:$BD$2=N$3)*ISNUMBER(Marks!$B$20:$BD$20))=0,"",SUMPRODUCT((Marks!$B$2:$BD$2=N$3)*(Marks!$B$20:$BD$20=1))/SUMPRODUCT((Marks!$B$2:$BD$2=N$3)*ISNUMBER(Marks!$B$20:$BD$20)))</f>
        <v/>
      </c>
    </row>
    <row r="21">
      <c r="A21" t="n">
        <v>17</v>
      </c>
      <c r="B21" s="5" t="n"/>
      <c r="C21" s="5" t="n"/>
      <c r="D21" s="5" t="n"/>
      <c r="E21" s="5" t="n"/>
      <c r="F21" s="5" t="n"/>
      <c r="G21" s="5" t="n"/>
      <c r="I21" s="6">
        <f>IF(SUMPRODUCT((Marks!$B$2:$BD$2=I$3)*ISNUMBER(Marks!$B$21:$BD$21))=0,"",SUMPRODUCT((Marks!$B$2:$BD$2=I$3)*(Marks!$B$21:$BD$21=1))/SUMPRODUCT((Marks!$B$2:$BD$2=I$3)*ISNUMBER(Marks!$B$21:$BD$21)))</f>
        <v/>
      </c>
      <c r="J21" s="6">
        <f>IF(SUMPRODUCT((Marks!$B$2:$BD$2=J$3)*ISNUMBER(Marks!$B$21:$BD$21))=0,"",SUMPRODUCT((Marks!$B$2:$BD$2=J$3)*(Marks!$B$21:$BD$21=1))/SUMPRODUCT((Marks!$B$2:$BD$2=J$3)*ISNUMBER(Marks!$B$21:$BD$21)))</f>
        <v/>
      </c>
      <c r="K21" s="6">
        <f>IF(SUMPRODUCT((Marks!$B$2:$BD$2=K$3)*ISNUMBER(Marks!$B$21:$BD$21))=0,"",SUMPRODUCT((Marks!$B$2:$BD$2=K$3)*(Marks!$B$21:$BD$21=1))/SUMPRODUCT((Marks!$B$2:$BD$2=K$3)*ISNUMBER(Marks!$B$21:$BD$21)))</f>
        <v/>
      </c>
      <c r="L21" s="6">
        <f>IF(SUMPRODUCT((Marks!$B$2:$BD$2=L$3)*ISNUMBER(Marks!$B$21:$BD$21))=0,"",SUMPRODUCT((Marks!$B$2:$BD$2=L$3)*(Marks!$B$21:$BD$21=1))/SUMPRODUCT((Marks!$B$2:$BD$2=L$3)*ISNUMBER(Marks!$B$21:$BD$21)))</f>
        <v/>
      </c>
      <c r="M21" s="6">
        <f>IF(SUMPRODUCT((Marks!$B$2:$BD$2=M$3)*ISNUMBER(Marks!$B$21:$BD$21))=0,"",SUMPRODUCT((Marks!$B$2:$BD$2=M$3)*(Marks!$B$21:$BD$21=1))/SUMPRODUCT((Marks!$B$2:$BD$2=M$3)*ISNUMBER(Marks!$B$21:$BD$21)))</f>
        <v/>
      </c>
      <c r="N21" s="6">
        <f>IF(SUMPRODUCT((Marks!$B$2:$BD$2=N$3)*ISNUMBER(Marks!$B$21:$BD$21))=0,"",SUMPRODUCT((Marks!$B$2:$BD$2=N$3)*(Marks!$B$21:$BD$21=1))/SUMPRODUCT((Marks!$B$2:$BD$2=N$3)*ISNUMBER(Marks!$B$21:$BD$21)))</f>
        <v/>
      </c>
    </row>
    <row r="22">
      <c r="A22" t="n">
        <v>18</v>
      </c>
      <c r="B22" s="5" t="n"/>
      <c r="C22" s="5" t="n"/>
      <c r="D22" s="5" t="n"/>
      <c r="E22" s="5" t="n"/>
      <c r="F22" s="5" t="n"/>
      <c r="G22" s="5" t="n"/>
      <c r="I22" s="6">
        <f>IF(SUMPRODUCT((Marks!$B$2:$BD$2=I$3)*ISNUMBER(Marks!$B$22:$BD$22))=0,"",SUMPRODUCT((Marks!$B$2:$BD$2=I$3)*(Marks!$B$22:$BD$22=1))/SUMPRODUCT((Marks!$B$2:$BD$2=I$3)*ISNUMBER(Marks!$B$22:$BD$22)))</f>
        <v/>
      </c>
      <c r="J22" s="6">
        <f>IF(SUMPRODUCT((Marks!$B$2:$BD$2=J$3)*ISNUMBER(Marks!$B$22:$BD$22))=0,"",SUMPRODUCT((Marks!$B$2:$BD$2=J$3)*(Marks!$B$22:$BD$22=1))/SUMPRODUCT((Marks!$B$2:$BD$2=J$3)*ISNUMBER(Marks!$B$22:$BD$22)))</f>
        <v/>
      </c>
      <c r="K22" s="6">
        <f>IF(SUMPRODUCT((Marks!$B$2:$BD$2=K$3)*ISNUMBER(Marks!$B$22:$BD$22))=0,"",SUMPRODUCT((Marks!$B$2:$BD$2=K$3)*(Marks!$B$22:$BD$22=1))/SUMPRODUCT((Marks!$B$2:$BD$2=K$3)*ISNUMBER(Marks!$B$22:$BD$22)))</f>
        <v/>
      </c>
      <c r="L22" s="6">
        <f>IF(SUMPRODUCT((Marks!$B$2:$BD$2=L$3)*ISNUMBER(Marks!$B$22:$BD$22))=0,"",SUMPRODUCT((Marks!$B$2:$BD$2=L$3)*(Marks!$B$22:$BD$22=1))/SUMPRODUCT((Marks!$B$2:$BD$2=L$3)*ISNUMBER(Marks!$B$22:$BD$22)))</f>
        <v/>
      </c>
      <c r="M22" s="6">
        <f>IF(SUMPRODUCT((Marks!$B$2:$BD$2=M$3)*ISNUMBER(Marks!$B$22:$BD$22))=0,"",SUMPRODUCT((Marks!$B$2:$BD$2=M$3)*(Marks!$B$22:$BD$22=1))/SUMPRODUCT((Marks!$B$2:$BD$2=M$3)*ISNUMBER(Marks!$B$22:$BD$22)))</f>
        <v/>
      </c>
      <c r="N22" s="6">
        <f>IF(SUMPRODUCT((Marks!$B$2:$BD$2=N$3)*ISNUMBER(Marks!$B$22:$BD$22))=0,"",SUMPRODUCT((Marks!$B$2:$BD$2=N$3)*(Marks!$B$22:$BD$22=1))/SUMPRODUCT((Marks!$B$2:$BD$2=N$3)*ISNUMBER(Marks!$B$22:$BD$22)))</f>
        <v/>
      </c>
    </row>
    <row r="23">
      <c r="A23" t="n">
        <v>19</v>
      </c>
      <c r="B23" s="5" t="n"/>
      <c r="C23" s="5" t="n"/>
      <c r="D23" s="5" t="n"/>
      <c r="E23" s="5" t="n"/>
      <c r="F23" s="5" t="n"/>
      <c r="G23" s="5" t="n"/>
      <c r="I23" s="6">
        <f>IF(SUMPRODUCT((Marks!$B$2:$BD$2=I$3)*ISNUMBER(Marks!$B$23:$BD$23))=0,"",SUMPRODUCT((Marks!$B$2:$BD$2=I$3)*(Marks!$B$23:$BD$23=1))/SUMPRODUCT((Marks!$B$2:$BD$2=I$3)*ISNUMBER(Marks!$B$23:$BD$23)))</f>
        <v/>
      </c>
      <c r="J23" s="6">
        <f>IF(SUMPRODUCT((Marks!$B$2:$BD$2=J$3)*ISNUMBER(Marks!$B$23:$BD$23))=0,"",SUMPRODUCT((Marks!$B$2:$BD$2=J$3)*(Marks!$B$23:$BD$23=1))/SUMPRODUCT((Marks!$B$2:$BD$2=J$3)*ISNUMBER(Marks!$B$23:$BD$23)))</f>
        <v/>
      </c>
      <c r="K23" s="6">
        <f>IF(SUMPRODUCT((Marks!$B$2:$BD$2=K$3)*ISNUMBER(Marks!$B$23:$BD$23))=0,"",SUMPRODUCT((Marks!$B$2:$BD$2=K$3)*(Marks!$B$23:$BD$23=1))/SUMPRODUCT((Marks!$B$2:$BD$2=K$3)*ISNUMBER(Marks!$B$23:$BD$23)))</f>
        <v/>
      </c>
      <c r="L23" s="6">
        <f>IF(SUMPRODUCT((Marks!$B$2:$BD$2=L$3)*ISNUMBER(Marks!$B$23:$BD$23))=0,"",SUMPRODUCT((Marks!$B$2:$BD$2=L$3)*(Marks!$B$23:$BD$23=1))/SUMPRODUCT((Marks!$B$2:$BD$2=L$3)*ISNUMBER(Marks!$B$23:$BD$23)))</f>
        <v/>
      </c>
      <c r="M23" s="6">
        <f>IF(SUMPRODUCT((Marks!$B$2:$BD$2=M$3)*ISNUMBER(Marks!$B$23:$BD$23))=0,"",SUMPRODUCT((Marks!$B$2:$BD$2=M$3)*(Marks!$B$23:$BD$23=1))/SUMPRODUCT((Marks!$B$2:$BD$2=M$3)*ISNUMBER(Marks!$B$23:$BD$23)))</f>
        <v/>
      </c>
      <c r="N23" s="6">
        <f>IF(SUMPRODUCT((Marks!$B$2:$BD$2=N$3)*ISNUMBER(Marks!$B$23:$BD$23))=0,"",SUMPRODUCT((Marks!$B$2:$BD$2=N$3)*(Marks!$B$23:$BD$23=1))/SUMPRODUCT((Marks!$B$2:$BD$2=N$3)*ISNUMBER(Marks!$B$23:$BD$23)))</f>
        <v/>
      </c>
    </row>
    <row r="24">
      <c r="A24" t="n">
        <v>20</v>
      </c>
      <c r="B24" s="5" t="n"/>
      <c r="C24" s="5" t="n"/>
      <c r="D24" s="5" t="n"/>
      <c r="E24" s="5" t="n"/>
      <c r="F24" s="5" t="n"/>
      <c r="G24" s="5" t="n"/>
      <c r="I24" s="6">
        <f>IF(SUMPRODUCT((Marks!$B$2:$BD$2=I$3)*ISNUMBER(Marks!$B$24:$BD$24))=0,"",SUMPRODUCT((Marks!$B$2:$BD$2=I$3)*(Marks!$B$24:$BD$24=1))/SUMPRODUCT((Marks!$B$2:$BD$2=I$3)*ISNUMBER(Marks!$B$24:$BD$24)))</f>
        <v/>
      </c>
      <c r="J24" s="6">
        <f>IF(SUMPRODUCT((Marks!$B$2:$BD$2=J$3)*ISNUMBER(Marks!$B$24:$BD$24))=0,"",SUMPRODUCT((Marks!$B$2:$BD$2=J$3)*(Marks!$B$24:$BD$24=1))/SUMPRODUCT((Marks!$B$2:$BD$2=J$3)*ISNUMBER(Marks!$B$24:$BD$24)))</f>
        <v/>
      </c>
      <c r="K24" s="6">
        <f>IF(SUMPRODUCT((Marks!$B$2:$BD$2=K$3)*ISNUMBER(Marks!$B$24:$BD$24))=0,"",SUMPRODUCT((Marks!$B$2:$BD$2=K$3)*(Marks!$B$24:$BD$24=1))/SUMPRODUCT((Marks!$B$2:$BD$2=K$3)*ISNUMBER(Marks!$B$24:$BD$24)))</f>
        <v/>
      </c>
      <c r="L24" s="6">
        <f>IF(SUMPRODUCT((Marks!$B$2:$BD$2=L$3)*ISNUMBER(Marks!$B$24:$BD$24))=0,"",SUMPRODUCT((Marks!$B$2:$BD$2=L$3)*(Marks!$B$24:$BD$24=1))/SUMPRODUCT((Marks!$B$2:$BD$2=L$3)*ISNUMBER(Marks!$B$24:$BD$24)))</f>
        <v/>
      </c>
      <c r="M24" s="6">
        <f>IF(SUMPRODUCT((Marks!$B$2:$BD$2=M$3)*ISNUMBER(Marks!$B$24:$BD$24))=0,"",SUMPRODUCT((Marks!$B$2:$BD$2=M$3)*(Marks!$B$24:$BD$24=1))/SUMPRODUCT((Marks!$B$2:$BD$2=M$3)*ISNUMBER(Marks!$B$24:$BD$24)))</f>
        <v/>
      </c>
      <c r="N24" s="6">
        <f>IF(SUMPRODUCT((Marks!$B$2:$BD$2=N$3)*ISNUMBER(Marks!$B$24:$BD$24))=0,"",SUMPRODUCT((Marks!$B$2:$BD$2=N$3)*(Marks!$B$24:$BD$24=1))/SUMPRODUCT((Marks!$B$2:$BD$2=N$3)*ISNUMBER(Marks!$B$24:$BD$24)))</f>
        <v/>
      </c>
    </row>
    <row r="25">
      <c r="A25" t="n">
        <v>21</v>
      </c>
      <c r="B25" s="5" t="n"/>
      <c r="C25" s="5" t="n"/>
      <c r="D25" s="5" t="n"/>
      <c r="E25" s="5" t="n"/>
      <c r="F25" s="5" t="n"/>
      <c r="G25" s="5" t="n"/>
      <c r="I25" s="6">
        <f>IF(SUMPRODUCT((Marks!$B$2:$BD$2=I$3)*ISNUMBER(Marks!$B$25:$BD$25))=0,"",SUMPRODUCT((Marks!$B$2:$BD$2=I$3)*(Marks!$B$25:$BD$25=1))/SUMPRODUCT((Marks!$B$2:$BD$2=I$3)*ISNUMBER(Marks!$B$25:$BD$25)))</f>
        <v/>
      </c>
      <c r="J25" s="6">
        <f>IF(SUMPRODUCT((Marks!$B$2:$BD$2=J$3)*ISNUMBER(Marks!$B$25:$BD$25))=0,"",SUMPRODUCT((Marks!$B$2:$BD$2=J$3)*(Marks!$B$25:$BD$25=1))/SUMPRODUCT((Marks!$B$2:$BD$2=J$3)*ISNUMBER(Marks!$B$25:$BD$25)))</f>
        <v/>
      </c>
      <c r="K25" s="6">
        <f>IF(SUMPRODUCT((Marks!$B$2:$BD$2=K$3)*ISNUMBER(Marks!$B$25:$BD$25))=0,"",SUMPRODUCT((Marks!$B$2:$BD$2=K$3)*(Marks!$B$25:$BD$25=1))/SUMPRODUCT((Marks!$B$2:$BD$2=K$3)*ISNUMBER(Marks!$B$25:$BD$25)))</f>
        <v/>
      </c>
      <c r="L25" s="6">
        <f>IF(SUMPRODUCT((Marks!$B$2:$BD$2=L$3)*ISNUMBER(Marks!$B$25:$BD$25))=0,"",SUMPRODUCT((Marks!$B$2:$BD$2=L$3)*(Marks!$B$25:$BD$25=1))/SUMPRODUCT((Marks!$B$2:$BD$2=L$3)*ISNUMBER(Marks!$B$25:$BD$25)))</f>
        <v/>
      </c>
      <c r="M25" s="6">
        <f>IF(SUMPRODUCT((Marks!$B$2:$BD$2=M$3)*ISNUMBER(Marks!$B$25:$BD$25))=0,"",SUMPRODUCT((Marks!$B$2:$BD$2=M$3)*(Marks!$B$25:$BD$25=1))/SUMPRODUCT((Marks!$B$2:$BD$2=M$3)*ISNUMBER(Marks!$B$25:$BD$25)))</f>
        <v/>
      </c>
      <c r="N25" s="6">
        <f>IF(SUMPRODUCT((Marks!$B$2:$BD$2=N$3)*ISNUMBER(Marks!$B$25:$BD$25))=0,"",SUMPRODUCT((Marks!$B$2:$BD$2=N$3)*(Marks!$B$25:$BD$25=1))/SUMPRODUCT((Marks!$B$2:$BD$2=N$3)*ISNUMBER(Marks!$B$25:$BD$25)))</f>
        <v/>
      </c>
    </row>
    <row r="26">
      <c r="A26" t="n">
        <v>22</v>
      </c>
      <c r="B26" s="5" t="n"/>
      <c r="C26" s="5" t="n"/>
      <c r="D26" s="5" t="n"/>
      <c r="E26" s="5" t="n"/>
      <c r="F26" s="5" t="n"/>
      <c r="G26" s="5" t="n"/>
      <c r="I26" s="6">
        <f>IF(SUMPRODUCT((Marks!$B$2:$BD$2=I$3)*ISNUMBER(Marks!$B$26:$BD$26))=0,"",SUMPRODUCT((Marks!$B$2:$BD$2=I$3)*(Marks!$B$26:$BD$26=1))/SUMPRODUCT((Marks!$B$2:$BD$2=I$3)*ISNUMBER(Marks!$B$26:$BD$26)))</f>
        <v/>
      </c>
      <c r="J26" s="6">
        <f>IF(SUMPRODUCT((Marks!$B$2:$BD$2=J$3)*ISNUMBER(Marks!$B$26:$BD$26))=0,"",SUMPRODUCT((Marks!$B$2:$BD$2=J$3)*(Marks!$B$26:$BD$26=1))/SUMPRODUCT((Marks!$B$2:$BD$2=J$3)*ISNUMBER(Marks!$B$26:$BD$26)))</f>
        <v/>
      </c>
      <c r="K26" s="6">
        <f>IF(SUMPRODUCT((Marks!$B$2:$BD$2=K$3)*ISNUMBER(Marks!$B$26:$BD$26))=0,"",SUMPRODUCT((Marks!$B$2:$BD$2=K$3)*(Marks!$B$26:$BD$26=1))/SUMPRODUCT((Marks!$B$2:$BD$2=K$3)*ISNUMBER(Marks!$B$26:$BD$26)))</f>
        <v/>
      </c>
      <c r="L26" s="6">
        <f>IF(SUMPRODUCT((Marks!$B$2:$BD$2=L$3)*ISNUMBER(Marks!$B$26:$BD$26))=0,"",SUMPRODUCT((Marks!$B$2:$BD$2=L$3)*(Marks!$B$26:$BD$26=1))/SUMPRODUCT((Marks!$B$2:$BD$2=L$3)*ISNUMBER(Marks!$B$26:$BD$26)))</f>
        <v/>
      </c>
      <c r="M26" s="6">
        <f>IF(SUMPRODUCT((Marks!$B$2:$BD$2=M$3)*ISNUMBER(Marks!$B$26:$BD$26))=0,"",SUMPRODUCT((Marks!$B$2:$BD$2=M$3)*(Marks!$B$26:$BD$26=1))/SUMPRODUCT((Marks!$B$2:$BD$2=M$3)*ISNUMBER(Marks!$B$26:$BD$26)))</f>
        <v/>
      </c>
      <c r="N26" s="6">
        <f>IF(SUMPRODUCT((Marks!$B$2:$BD$2=N$3)*ISNUMBER(Marks!$B$26:$BD$26))=0,"",SUMPRODUCT((Marks!$B$2:$BD$2=N$3)*(Marks!$B$26:$BD$26=1))/SUMPRODUCT((Marks!$B$2:$BD$2=N$3)*ISNUMBER(Marks!$B$26:$BD$26)))</f>
        <v/>
      </c>
    </row>
    <row r="27">
      <c r="A27" t="n">
        <v>23</v>
      </c>
      <c r="B27" s="5" t="n"/>
      <c r="C27" s="5" t="n"/>
      <c r="D27" s="5" t="n"/>
      <c r="E27" s="5" t="n"/>
      <c r="F27" s="5" t="n"/>
      <c r="G27" s="5" t="n"/>
      <c r="I27" s="6">
        <f>IF(SUMPRODUCT((Marks!$B$2:$BD$2=I$3)*ISNUMBER(Marks!$B$27:$BD$27))=0,"",SUMPRODUCT((Marks!$B$2:$BD$2=I$3)*(Marks!$B$27:$BD$27=1))/SUMPRODUCT((Marks!$B$2:$BD$2=I$3)*ISNUMBER(Marks!$B$27:$BD$27)))</f>
        <v/>
      </c>
      <c r="J27" s="6">
        <f>IF(SUMPRODUCT((Marks!$B$2:$BD$2=J$3)*ISNUMBER(Marks!$B$27:$BD$27))=0,"",SUMPRODUCT((Marks!$B$2:$BD$2=J$3)*(Marks!$B$27:$BD$27=1))/SUMPRODUCT((Marks!$B$2:$BD$2=J$3)*ISNUMBER(Marks!$B$27:$BD$27)))</f>
        <v/>
      </c>
      <c r="K27" s="6">
        <f>IF(SUMPRODUCT((Marks!$B$2:$BD$2=K$3)*ISNUMBER(Marks!$B$27:$BD$27))=0,"",SUMPRODUCT((Marks!$B$2:$BD$2=K$3)*(Marks!$B$27:$BD$27=1))/SUMPRODUCT((Marks!$B$2:$BD$2=K$3)*ISNUMBER(Marks!$B$27:$BD$27)))</f>
        <v/>
      </c>
      <c r="L27" s="6">
        <f>IF(SUMPRODUCT((Marks!$B$2:$BD$2=L$3)*ISNUMBER(Marks!$B$27:$BD$27))=0,"",SUMPRODUCT((Marks!$B$2:$BD$2=L$3)*(Marks!$B$27:$BD$27=1))/SUMPRODUCT((Marks!$B$2:$BD$2=L$3)*ISNUMBER(Marks!$B$27:$BD$27)))</f>
        <v/>
      </c>
      <c r="M27" s="6">
        <f>IF(SUMPRODUCT((Marks!$B$2:$BD$2=M$3)*ISNUMBER(Marks!$B$27:$BD$27))=0,"",SUMPRODUCT((Marks!$B$2:$BD$2=M$3)*(Marks!$B$27:$BD$27=1))/SUMPRODUCT((Marks!$B$2:$BD$2=M$3)*ISNUMBER(Marks!$B$27:$BD$27)))</f>
        <v/>
      </c>
      <c r="N27" s="6">
        <f>IF(SUMPRODUCT((Marks!$B$2:$BD$2=N$3)*ISNUMBER(Marks!$B$27:$BD$27))=0,"",SUMPRODUCT((Marks!$B$2:$BD$2=N$3)*(Marks!$B$27:$BD$27=1))/SUMPRODUCT((Marks!$B$2:$BD$2=N$3)*ISNUMBER(Marks!$B$27:$BD$27)))</f>
        <v/>
      </c>
    </row>
    <row r="28">
      <c r="A28" t="n">
        <v>24</v>
      </c>
      <c r="B28" s="5" t="n"/>
      <c r="C28" s="5" t="n"/>
      <c r="D28" s="5" t="n"/>
      <c r="E28" s="5" t="n"/>
      <c r="F28" s="5" t="n"/>
      <c r="G28" s="5" t="n"/>
      <c r="I28" s="6">
        <f>IF(SUMPRODUCT((Marks!$B$2:$BD$2=I$3)*ISNUMBER(Marks!$B$28:$BD$28))=0,"",SUMPRODUCT((Marks!$B$2:$BD$2=I$3)*(Marks!$B$28:$BD$28=1))/SUMPRODUCT((Marks!$B$2:$BD$2=I$3)*ISNUMBER(Marks!$B$28:$BD$28)))</f>
        <v/>
      </c>
      <c r="J28" s="6">
        <f>IF(SUMPRODUCT((Marks!$B$2:$BD$2=J$3)*ISNUMBER(Marks!$B$28:$BD$28))=0,"",SUMPRODUCT((Marks!$B$2:$BD$2=J$3)*(Marks!$B$28:$BD$28=1))/SUMPRODUCT((Marks!$B$2:$BD$2=J$3)*ISNUMBER(Marks!$B$28:$BD$28)))</f>
        <v/>
      </c>
      <c r="K28" s="6">
        <f>IF(SUMPRODUCT((Marks!$B$2:$BD$2=K$3)*ISNUMBER(Marks!$B$28:$BD$28))=0,"",SUMPRODUCT((Marks!$B$2:$BD$2=K$3)*(Marks!$B$28:$BD$28=1))/SUMPRODUCT((Marks!$B$2:$BD$2=K$3)*ISNUMBER(Marks!$B$28:$BD$28)))</f>
        <v/>
      </c>
      <c r="L28" s="6">
        <f>IF(SUMPRODUCT((Marks!$B$2:$BD$2=L$3)*ISNUMBER(Marks!$B$28:$BD$28))=0,"",SUMPRODUCT((Marks!$B$2:$BD$2=L$3)*(Marks!$B$28:$BD$28=1))/SUMPRODUCT((Marks!$B$2:$BD$2=L$3)*ISNUMBER(Marks!$B$28:$BD$28)))</f>
        <v/>
      </c>
      <c r="M28" s="6">
        <f>IF(SUMPRODUCT((Marks!$B$2:$BD$2=M$3)*ISNUMBER(Marks!$B$28:$BD$28))=0,"",SUMPRODUCT((Marks!$B$2:$BD$2=M$3)*(Marks!$B$28:$BD$28=1))/SUMPRODUCT((Marks!$B$2:$BD$2=M$3)*ISNUMBER(Marks!$B$28:$BD$28)))</f>
        <v/>
      </c>
      <c r="N28" s="6">
        <f>IF(SUMPRODUCT((Marks!$B$2:$BD$2=N$3)*ISNUMBER(Marks!$B$28:$BD$28))=0,"",SUMPRODUCT((Marks!$B$2:$BD$2=N$3)*(Marks!$B$28:$BD$28=1))/SUMPRODUCT((Marks!$B$2:$BD$2=N$3)*ISNUMBER(Marks!$B$28:$BD$28)))</f>
        <v/>
      </c>
    </row>
    <row r="29">
      <c r="A29" t="n">
        <v>25</v>
      </c>
      <c r="B29" s="5" t="n"/>
      <c r="C29" s="5" t="n"/>
      <c r="D29" s="5" t="n"/>
      <c r="E29" s="5" t="n"/>
      <c r="F29" s="5" t="n"/>
      <c r="G29" s="5" t="n"/>
      <c r="I29" s="6">
        <f>IF(SUMPRODUCT((Marks!$B$2:$BD$2=I$3)*ISNUMBER(Marks!$B$29:$BD$29))=0,"",SUMPRODUCT((Marks!$B$2:$BD$2=I$3)*(Marks!$B$29:$BD$29=1))/SUMPRODUCT((Marks!$B$2:$BD$2=I$3)*ISNUMBER(Marks!$B$29:$BD$29)))</f>
        <v/>
      </c>
      <c r="J29" s="6">
        <f>IF(SUMPRODUCT((Marks!$B$2:$BD$2=J$3)*ISNUMBER(Marks!$B$29:$BD$29))=0,"",SUMPRODUCT((Marks!$B$2:$BD$2=J$3)*(Marks!$B$29:$BD$29=1))/SUMPRODUCT((Marks!$B$2:$BD$2=J$3)*ISNUMBER(Marks!$B$29:$BD$29)))</f>
        <v/>
      </c>
      <c r="K29" s="6">
        <f>IF(SUMPRODUCT((Marks!$B$2:$BD$2=K$3)*ISNUMBER(Marks!$B$29:$BD$29))=0,"",SUMPRODUCT((Marks!$B$2:$BD$2=K$3)*(Marks!$B$29:$BD$29=1))/SUMPRODUCT((Marks!$B$2:$BD$2=K$3)*ISNUMBER(Marks!$B$29:$BD$29)))</f>
        <v/>
      </c>
      <c r="L29" s="6">
        <f>IF(SUMPRODUCT((Marks!$B$2:$BD$2=L$3)*ISNUMBER(Marks!$B$29:$BD$29))=0,"",SUMPRODUCT((Marks!$B$2:$BD$2=L$3)*(Marks!$B$29:$BD$29=1))/SUMPRODUCT((Marks!$B$2:$BD$2=L$3)*ISNUMBER(Marks!$B$29:$BD$29)))</f>
        <v/>
      </c>
      <c r="M29" s="6">
        <f>IF(SUMPRODUCT((Marks!$B$2:$BD$2=M$3)*ISNUMBER(Marks!$B$29:$BD$29))=0,"",SUMPRODUCT((Marks!$B$2:$BD$2=M$3)*(Marks!$B$29:$BD$29=1))/SUMPRODUCT((Marks!$B$2:$BD$2=M$3)*ISNUMBER(Marks!$B$29:$BD$29)))</f>
        <v/>
      </c>
      <c r="N29" s="6">
        <f>IF(SUMPRODUCT((Marks!$B$2:$BD$2=N$3)*ISNUMBER(Marks!$B$29:$BD$29))=0,"",SUMPRODUCT((Marks!$B$2:$BD$2=N$3)*(Marks!$B$29:$BD$29=1))/SUMPRODUCT((Marks!$B$2:$BD$2=N$3)*ISNUMBER(Marks!$B$29:$BD$29)))</f>
        <v/>
      </c>
    </row>
    <row r="30">
      <c r="A30" t="n">
        <v>26</v>
      </c>
      <c r="B30" s="5" t="n"/>
      <c r="C30" s="5" t="n"/>
      <c r="D30" s="5" t="n"/>
      <c r="E30" s="5" t="n"/>
      <c r="F30" s="5" t="n"/>
      <c r="G30" s="5" t="n"/>
      <c r="I30" s="6">
        <f>IF(SUMPRODUCT((Marks!$B$2:$BD$2=I$3)*ISNUMBER(Marks!$B$30:$BD$30))=0,"",SUMPRODUCT((Marks!$B$2:$BD$2=I$3)*(Marks!$B$30:$BD$30=1))/SUMPRODUCT((Marks!$B$2:$BD$2=I$3)*ISNUMBER(Marks!$B$30:$BD$30)))</f>
        <v/>
      </c>
      <c r="J30" s="6">
        <f>IF(SUMPRODUCT((Marks!$B$2:$BD$2=J$3)*ISNUMBER(Marks!$B$30:$BD$30))=0,"",SUMPRODUCT((Marks!$B$2:$BD$2=J$3)*(Marks!$B$30:$BD$30=1))/SUMPRODUCT((Marks!$B$2:$BD$2=J$3)*ISNUMBER(Marks!$B$30:$BD$30)))</f>
        <v/>
      </c>
      <c r="K30" s="6">
        <f>IF(SUMPRODUCT((Marks!$B$2:$BD$2=K$3)*ISNUMBER(Marks!$B$30:$BD$30))=0,"",SUMPRODUCT((Marks!$B$2:$BD$2=K$3)*(Marks!$B$30:$BD$30=1))/SUMPRODUCT((Marks!$B$2:$BD$2=K$3)*ISNUMBER(Marks!$B$30:$BD$30)))</f>
        <v/>
      </c>
      <c r="L30" s="6">
        <f>IF(SUMPRODUCT((Marks!$B$2:$BD$2=L$3)*ISNUMBER(Marks!$B$30:$BD$30))=0,"",SUMPRODUCT((Marks!$B$2:$BD$2=L$3)*(Marks!$B$30:$BD$30=1))/SUMPRODUCT((Marks!$B$2:$BD$2=L$3)*ISNUMBER(Marks!$B$30:$BD$30)))</f>
        <v/>
      </c>
      <c r="M30" s="6">
        <f>IF(SUMPRODUCT((Marks!$B$2:$BD$2=M$3)*ISNUMBER(Marks!$B$30:$BD$30))=0,"",SUMPRODUCT((Marks!$B$2:$BD$2=M$3)*(Marks!$B$30:$BD$30=1))/SUMPRODUCT((Marks!$B$2:$BD$2=M$3)*ISNUMBER(Marks!$B$30:$BD$30)))</f>
        <v/>
      </c>
      <c r="N30" s="6">
        <f>IF(SUMPRODUCT((Marks!$B$2:$BD$2=N$3)*ISNUMBER(Marks!$B$30:$BD$30))=0,"",SUMPRODUCT((Marks!$B$2:$BD$2=N$3)*(Marks!$B$30:$BD$30=1))/SUMPRODUCT((Marks!$B$2:$BD$2=N$3)*ISNUMBER(Marks!$B$30:$BD$30)))</f>
        <v/>
      </c>
    </row>
    <row r="31">
      <c r="A31" t="n">
        <v>27</v>
      </c>
      <c r="B31" s="5" t="n"/>
      <c r="C31" s="5" t="n"/>
      <c r="D31" s="5" t="n"/>
      <c r="E31" s="5" t="n"/>
      <c r="F31" s="5" t="n"/>
      <c r="G31" s="5" t="n"/>
      <c r="I31" s="6">
        <f>IF(SUMPRODUCT((Marks!$B$2:$BD$2=I$3)*ISNUMBER(Marks!$B$31:$BD$31))=0,"",SUMPRODUCT((Marks!$B$2:$BD$2=I$3)*(Marks!$B$31:$BD$31=1))/SUMPRODUCT((Marks!$B$2:$BD$2=I$3)*ISNUMBER(Marks!$B$31:$BD$31)))</f>
        <v/>
      </c>
      <c r="J31" s="6">
        <f>IF(SUMPRODUCT((Marks!$B$2:$BD$2=J$3)*ISNUMBER(Marks!$B$31:$BD$31))=0,"",SUMPRODUCT((Marks!$B$2:$BD$2=J$3)*(Marks!$B$31:$BD$31=1))/SUMPRODUCT((Marks!$B$2:$BD$2=J$3)*ISNUMBER(Marks!$B$31:$BD$31)))</f>
        <v/>
      </c>
      <c r="K31" s="6">
        <f>IF(SUMPRODUCT((Marks!$B$2:$BD$2=K$3)*ISNUMBER(Marks!$B$31:$BD$31))=0,"",SUMPRODUCT((Marks!$B$2:$BD$2=K$3)*(Marks!$B$31:$BD$31=1))/SUMPRODUCT((Marks!$B$2:$BD$2=K$3)*ISNUMBER(Marks!$B$31:$BD$31)))</f>
        <v/>
      </c>
      <c r="L31" s="6">
        <f>IF(SUMPRODUCT((Marks!$B$2:$BD$2=L$3)*ISNUMBER(Marks!$B$31:$BD$31))=0,"",SUMPRODUCT((Marks!$B$2:$BD$2=L$3)*(Marks!$B$31:$BD$31=1))/SUMPRODUCT((Marks!$B$2:$BD$2=L$3)*ISNUMBER(Marks!$B$31:$BD$31)))</f>
        <v/>
      </c>
      <c r="M31" s="6">
        <f>IF(SUMPRODUCT((Marks!$B$2:$BD$2=M$3)*ISNUMBER(Marks!$B$31:$BD$31))=0,"",SUMPRODUCT((Marks!$B$2:$BD$2=M$3)*(Marks!$B$31:$BD$31=1))/SUMPRODUCT((Marks!$B$2:$BD$2=M$3)*ISNUMBER(Marks!$B$31:$BD$31)))</f>
        <v/>
      </c>
      <c r="N31" s="6">
        <f>IF(SUMPRODUCT((Marks!$B$2:$BD$2=N$3)*ISNUMBER(Marks!$B$31:$BD$31))=0,"",SUMPRODUCT((Marks!$B$2:$BD$2=N$3)*(Marks!$B$31:$BD$31=1))/SUMPRODUCT((Marks!$B$2:$BD$2=N$3)*ISNUMBER(Marks!$B$31:$BD$31)))</f>
        <v/>
      </c>
    </row>
    <row r="32">
      <c r="A32" t="n">
        <v>28</v>
      </c>
      <c r="B32" s="5" t="n"/>
      <c r="C32" s="5" t="n"/>
      <c r="D32" s="5" t="n"/>
      <c r="E32" s="5" t="n"/>
      <c r="F32" s="5" t="n"/>
      <c r="G32" s="5" t="n"/>
      <c r="I32" s="6">
        <f>IF(SUMPRODUCT((Marks!$B$2:$BD$2=I$3)*ISNUMBER(Marks!$B$32:$BD$32))=0,"",SUMPRODUCT((Marks!$B$2:$BD$2=I$3)*(Marks!$B$32:$BD$32=1))/SUMPRODUCT((Marks!$B$2:$BD$2=I$3)*ISNUMBER(Marks!$B$32:$BD$32)))</f>
        <v/>
      </c>
      <c r="J32" s="6">
        <f>IF(SUMPRODUCT((Marks!$B$2:$BD$2=J$3)*ISNUMBER(Marks!$B$32:$BD$32))=0,"",SUMPRODUCT((Marks!$B$2:$BD$2=J$3)*(Marks!$B$32:$BD$32=1))/SUMPRODUCT((Marks!$B$2:$BD$2=J$3)*ISNUMBER(Marks!$B$32:$BD$32)))</f>
        <v/>
      </c>
      <c r="K32" s="6">
        <f>IF(SUMPRODUCT((Marks!$B$2:$BD$2=K$3)*ISNUMBER(Marks!$B$32:$BD$32))=0,"",SUMPRODUCT((Marks!$B$2:$BD$2=K$3)*(Marks!$B$32:$BD$32=1))/SUMPRODUCT((Marks!$B$2:$BD$2=K$3)*ISNUMBER(Marks!$B$32:$BD$32)))</f>
        <v/>
      </c>
      <c r="L32" s="6">
        <f>IF(SUMPRODUCT((Marks!$B$2:$BD$2=L$3)*ISNUMBER(Marks!$B$32:$BD$32))=0,"",SUMPRODUCT((Marks!$B$2:$BD$2=L$3)*(Marks!$B$32:$BD$32=1))/SUMPRODUCT((Marks!$B$2:$BD$2=L$3)*ISNUMBER(Marks!$B$32:$BD$32)))</f>
        <v/>
      </c>
      <c r="M32" s="6">
        <f>IF(SUMPRODUCT((Marks!$B$2:$BD$2=M$3)*ISNUMBER(Marks!$B$32:$BD$32))=0,"",SUMPRODUCT((Marks!$B$2:$BD$2=M$3)*(Marks!$B$32:$BD$32=1))/SUMPRODUCT((Marks!$B$2:$BD$2=M$3)*ISNUMBER(Marks!$B$32:$BD$32)))</f>
        <v/>
      </c>
      <c r="N32" s="6">
        <f>IF(SUMPRODUCT((Marks!$B$2:$BD$2=N$3)*ISNUMBER(Marks!$B$32:$BD$32))=0,"",SUMPRODUCT((Marks!$B$2:$BD$2=N$3)*(Marks!$B$32:$BD$32=1))/SUMPRODUCT((Marks!$B$2:$BD$2=N$3)*ISNUMBER(Marks!$B$32:$BD$32)))</f>
        <v/>
      </c>
    </row>
    <row r="33">
      <c r="A33" t="n">
        <v>29</v>
      </c>
      <c r="B33" s="5" t="n"/>
      <c r="C33" s="5" t="n"/>
      <c r="D33" s="5" t="n"/>
      <c r="E33" s="5" t="n"/>
      <c r="F33" s="5" t="n"/>
      <c r="G33" s="5" t="n"/>
      <c r="I33" s="6">
        <f>IF(SUMPRODUCT((Marks!$B$2:$BD$2=I$3)*ISNUMBER(Marks!$B$33:$BD$33))=0,"",SUMPRODUCT((Marks!$B$2:$BD$2=I$3)*(Marks!$B$33:$BD$33=1))/SUMPRODUCT((Marks!$B$2:$BD$2=I$3)*ISNUMBER(Marks!$B$33:$BD$33)))</f>
        <v/>
      </c>
      <c r="J33" s="6">
        <f>IF(SUMPRODUCT((Marks!$B$2:$BD$2=J$3)*ISNUMBER(Marks!$B$33:$BD$33))=0,"",SUMPRODUCT((Marks!$B$2:$BD$2=J$3)*(Marks!$B$33:$BD$33=1))/SUMPRODUCT((Marks!$B$2:$BD$2=J$3)*ISNUMBER(Marks!$B$33:$BD$33)))</f>
        <v/>
      </c>
      <c r="K33" s="6">
        <f>IF(SUMPRODUCT((Marks!$B$2:$BD$2=K$3)*ISNUMBER(Marks!$B$33:$BD$33))=0,"",SUMPRODUCT((Marks!$B$2:$BD$2=K$3)*(Marks!$B$33:$BD$33=1))/SUMPRODUCT((Marks!$B$2:$BD$2=K$3)*ISNUMBER(Marks!$B$33:$BD$33)))</f>
        <v/>
      </c>
      <c r="L33" s="6">
        <f>IF(SUMPRODUCT((Marks!$B$2:$BD$2=L$3)*ISNUMBER(Marks!$B$33:$BD$33))=0,"",SUMPRODUCT((Marks!$B$2:$BD$2=L$3)*(Marks!$B$33:$BD$33=1))/SUMPRODUCT((Marks!$B$2:$BD$2=L$3)*ISNUMBER(Marks!$B$33:$BD$33)))</f>
        <v/>
      </c>
      <c r="M33" s="6">
        <f>IF(SUMPRODUCT((Marks!$B$2:$BD$2=M$3)*ISNUMBER(Marks!$B$33:$BD$33))=0,"",SUMPRODUCT((Marks!$B$2:$BD$2=M$3)*(Marks!$B$33:$BD$33=1))/SUMPRODUCT((Marks!$B$2:$BD$2=M$3)*ISNUMBER(Marks!$B$33:$BD$33)))</f>
        <v/>
      </c>
      <c r="N33" s="6">
        <f>IF(SUMPRODUCT((Marks!$B$2:$BD$2=N$3)*ISNUMBER(Marks!$B$33:$BD$33))=0,"",SUMPRODUCT((Marks!$B$2:$BD$2=N$3)*(Marks!$B$33:$BD$33=1))/SUMPRODUCT((Marks!$B$2:$BD$2=N$3)*ISNUMBER(Marks!$B$33:$BD$33)))</f>
        <v/>
      </c>
    </row>
    <row r="34">
      <c r="A34" t="n">
        <v>30</v>
      </c>
      <c r="B34" s="5" t="n"/>
      <c r="C34" s="5" t="n"/>
      <c r="D34" s="5" t="n"/>
      <c r="E34" s="5" t="n"/>
      <c r="F34" s="5" t="n"/>
      <c r="G34" s="5" t="n"/>
      <c r="I34" s="6">
        <f>IF(SUMPRODUCT((Marks!$B$2:$BD$2=I$3)*ISNUMBER(Marks!$B$34:$BD$34))=0,"",SUMPRODUCT((Marks!$B$2:$BD$2=I$3)*(Marks!$B$34:$BD$34=1))/SUMPRODUCT((Marks!$B$2:$BD$2=I$3)*ISNUMBER(Marks!$B$34:$BD$34)))</f>
        <v/>
      </c>
      <c r="J34" s="6">
        <f>IF(SUMPRODUCT((Marks!$B$2:$BD$2=J$3)*ISNUMBER(Marks!$B$34:$BD$34))=0,"",SUMPRODUCT((Marks!$B$2:$BD$2=J$3)*(Marks!$B$34:$BD$34=1))/SUMPRODUCT((Marks!$B$2:$BD$2=J$3)*ISNUMBER(Marks!$B$34:$BD$34)))</f>
        <v/>
      </c>
      <c r="K34" s="6">
        <f>IF(SUMPRODUCT((Marks!$B$2:$BD$2=K$3)*ISNUMBER(Marks!$B$34:$BD$34))=0,"",SUMPRODUCT((Marks!$B$2:$BD$2=K$3)*(Marks!$B$34:$BD$34=1))/SUMPRODUCT((Marks!$B$2:$BD$2=K$3)*ISNUMBER(Marks!$B$34:$BD$34)))</f>
        <v/>
      </c>
      <c r="L34" s="6">
        <f>IF(SUMPRODUCT((Marks!$B$2:$BD$2=L$3)*ISNUMBER(Marks!$B$34:$BD$34))=0,"",SUMPRODUCT((Marks!$B$2:$BD$2=L$3)*(Marks!$B$34:$BD$34=1))/SUMPRODUCT((Marks!$B$2:$BD$2=L$3)*ISNUMBER(Marks!$B$34:$BD$34)))</f>
        <v/>
      </c>
      <c r="M34" s="6">
        <f>IF(SUMPRODUCT((Marks!$B$2:$BD$2=M$3)*ISNUMBER(Marks!$B$34:$BD$34))=0,"",SUMPRODUCT((Marks!$B$2:$BD$2=M$3)*(Marks!$B$34:$BD$34=1))/SUMPRODUCT((Marks!$B$2:$BD$2=M$3)*ISNUMBER(Marks!$B$34:$BD$34)))</f>
        <v/>
      </c>
      <c r="N34" s="6">
        <f>IF(SUMPRODUCT((Marks!$B$2:$BD$2=N$3)*ISNUMBER(Marks!$B$34:$BD$34))=0,"",SUMPRODUCT((Marks!$B$2:$BD$2=N$3)*(Marks!$B$34:$BD$34=1))/SUMPRODUCT((Marks!$B$2:$BD$2=N$3)*ISNUMBER(Marks!$B$34:$BD$34)))</f>
        <v/>
      </c>
    </row>
    <row r="35">
      <c r="A35" t="n">
        <v>31</v>
      </c>
      <c r="B35" s="5" t="n"/>
      <c r="C35" s="5" t="n"/>
      <c r="D35" s="5" t="n"/>
      <c r="E35" s="5" t="n"/>
      <c r="F35" s="5" t="n"/>
      <c r="G35" s="5" t="n"/>
      <c r="I35" s="6">
        <f>IF(SUMPRODUCT((Marks!$B$2:$BD$2=I$3)*ISNUMBER(Marks!$B$35:$BD$35))=0,"",SUMPRODUCT((Marks!$B$2:$BD$2=I$3)*(Marks!$B$35:$BD$35=1))/SUMPRODUCT((Marks!$B$2:$BD$2=I$3)*ISNUMBER(Marks!$B$35:$BD$35)))</f>
        <v/>
      </c>
      <c r="J35" s="6">
        <f>IF(SUMPRODUCT((Marks!$B$2:$BD$2=J$3)*ISNUMBER(Marks!$B$35:$BD$35))=0,"",SUMPRODUCT((Marks!$B$2:$BD$2=J$3)*(Marks!$B$35:$BD$35=1))/SUMPRODUCT((Marks!$B$2:$BD$2=J$3)*ISNUMBER(Marks!$B$35:$BD$35)))</f>
        <v/>
      </c>
      <c r="K35" s="6">
        <f>IF(SUMPRODUCT((Marks!$B$2:$BD$2=K$3)*ISNUMBER(Marks!$B$35:$BD$35))=0,"",SUMPRODUCT((Marks!$B$2:$BD$2=K$3)*(Marks!$B$35:$BD$35=1))/SUMPRODUCT((Marks!$B$2:$BD$2=K$3)*ISNUMBER(Marks!$B$35:$BD$35)))</f>
        <v/>
      </c>
      <c r="L35" s="6">
        <f>IF(SUMPRODUCT((Marks!$B$2:$BD$2=L$3)*ISNUMBER(Marks!$B$35:$BD$35))=0,"",SUMPRODUCT((Marks!$B$2:$BD$2=L$3)*(Marks!$B$35:$BD$35=1))/SUMPRODUCT((Marks!$B$2:$BD$2=L$3)*ISNUMBER(Marks!$B$35:$BD$35)))</f>
        <v/>
      </c>
      <c r="M35" s="6">
        <f>IF(SUMPRODUCT((Marks!$B$2:$BD$2=M$3)*ISNUMBER(Marks!$B$35:$BD$35))=0,"",SUMPRODUCT((Marks!$B$2:$BD$2=M$3)*(Marks!$B$35:$BD$35=1))/SUMPRODUCT((Marks!$B$2:$BD$2=M$3)*ISNUMBER(Marks!$B$35:$BD$35)))</f>
        <v/>
      </c>
      <c r="N35" s="6">
        <f>IF(SUMPRODUCT((Marks!$B$2:$BD$2=N$3)*ISNUMBER(Marks!$B$35:$BD$35))=0,"",SUMPRODUCT((Marks!$B$2:$BD$2=N$3)*(Marks!$B$35:$BD$35=1))/SUMPRODUCT((Marks!$B$2:$BD$2=N$3)*ISNUMBER(Marks!$B$35:$BD$35)))</f>
        <v/>
      </c>
    </row>
    <row r="36">
      <c r="A36" t="n">
        <v>32</v>
      </c>
      <c r="B36" s="5" t="n"/>
      <c r="C36" s="5" t="n"/>
      <c r="D36" s="5" t="n"/>
      <c r="E36" s="5" t="n"/>
      <c r="F36" s="5" t="n"/>
      <c r="G36" s="5" t="n"/>
      <c r="I36" s="6">
        <f>IF(SUMPRODUCT((Marks!$B$2:$BD$2=I$3)*ISNUMBER(Marks!$B$36:$BD$36))=0,"",SUMPRODUCT((Marks!$B$2:$BD$2=I$3)*(Marks!$B$36:$BD$36=1))/SUMPRODUCT((Marks!$B$2:$BD$2=I$3)*ISNUMBER(Marks!$B$36:$BD$36)))</f>
        <v/>
      </c>
      <c r="J36" s="6">
        <f>IF(SUMPRODUCT((Marks!$B$2:$BD$2=J$3)*ISNUMBER(Marks!$B$36:$BD$36))=0,"",SUMPRODUCT((Marks!$B$2:$BD$2=J$3)*(Marks!$B$36:$BD$36=1))/SUMPRODUCT((Marks!$B$2:$BD$2=J$3)*ISNUMBER(Marks!$B$36:$BD$36)))</f>
        <v/>
      </c>
      <c r="K36" s="6">
        <f>IF(SUMPRODUCT((Marks!$B$2:$BD$2=K$3)*ISNUMBER(Marks!$B$36:$BD$36))=0,"",SUMPRODUCT((Marks!$B$2:$BD$2=K$3)*(Marks!$B$36:$BD$36=1))/SUMPRODUCT((Marks!$B$2:$BD$2=K$3)*ISNUMBER(Marks!$B$36:$BD$36)))</f>
        <v/>
      </c>
      <c r="L36" s="6">
        <f>IF(SUMPRODUCT((Marks!$B$2:$BD$2=L$3)*ISNUMBER(Marks!$B$36:$BD$36))=0,"",SUMPRODUCT((Marks!$B$2:$BD$2=L$3)*(Marks!$B$36:$BD$36=1))/SUMPRODUCT((Marks!$B$2:$BD$2=L$3)*ISNUMBER(Marks!$B$36:$BD$36)))</f>
        <v/>
      </c>
      <c r="M36" s="6">
        <f>IF(SUMPRODUCT((Marks!$B$2:$BD$2=M$3)*ISNUMBER(Marks!$B$36:$BD$36))=0,"",SUMPRODUCT((Marks!$B$2:$BD$2=M$3)*(Marks!$B$36:$BD$36=1))/SUMPRODUCT((Marks!$B$2:$BD$2=M$3)*ISNUMBER(Marks!$B$36:$BD$36)))</f>
        <v/>
      </c>
      <c r="N36" s="6">
        <f>IF(SUMPRODUCT((Marks!$B$2:$BD$2=N$3)*ISNUMBER(Marks!$B$36:$BD$36))=0,"",SUMPRODUCT((Marks!$B$2:$BD$2=N$3)*(Marks!$B$36:$BD$36=1))/SUMPRODUCT((Marks!$B$2:$BD$2=N$3)*ISNUMBER(Marks!$B$36:$BD$36)))</f>
        <v/>
      </c>
    </row>
    <row r="37">
      <c r="A37" t="n">
        <v>33</v>
      </c>
      <c r="B37" s="5" t="n"/>
      <c r="C37" s="5" t="n"/>
      <c r="D37" s="5" t="n"/>
      <c r="E37" s="5" t="n"/>
      <c r="F37" s="5" t="n"/>
      <c r="G37" s="5" t="n"/>
      <c r="I37" s="6">
        <f>IF(SUMPRODUCT((Marks!$B$2:$BD$2=I$3)*ISNUMBER(Marks!$B$37:$BD$37))=0,"",SUMPRODUCT((Marks!$B$2:$BD$2=I$3)*(Marks!$B$37:$BD$37=1))/SUMPRODUCT((Marks!$B$2:$BD$2=I$3)*ISNUMBER(Marks!$B$37:$BD$37)))</f>
        <v/>
      </c>
      <c r="J37" s="6">
        <f>IF(SUMPRODUCT((Marks!$B$2:$BD$2=J$3)*ISNUMBER(Marks!$B$37:$BD$37))=0,"",SUMPRODUCT((Marks!$B$2:$BD$2=J$3)*(Marks!$B$37:$BD$37=1))/SUMPRODUCT((Marks!$B$2:$BD$2=J$3)*ISNUMBER(Marks!$B$37:$BD$37)))</f>
        <v/>
      </c>
      <c r="K37" s="6">
        <f>IF(SUMPRODUCT((Marks!$B$2:$BD$2=K$3)*ISNUMBER(Marks!$B$37:$BD$37))=0,"",SUMPRODUCT((Marks!$B$2:$BD$2=K$3)*(Marks!$B$37:$BD$37=1))/SUMPRODUCT((Marks!$B$2:$BD$2=K$3)*ISNUMBER(Marks!$B$37:$BD$37)))</f>
        <v/>
      </c>
      <c r="L37" s="6">
        <f>IF(SUMPRODUCT((Marks!$B$2:$BD$2=L$3)*ISNUMBER(Marks!$B$37:$BD$37))=0,"",SUMPRODUCT((Marks!$B$2:$BD$2=L$3)*(Marks!$B$37:$BD$37=1))/SUMPRODUCT((Marks!$B$2:$BD$2=L$3)*ISNUMBER(Marks!$B$37:$BD$37)))</f>
        <v/>
      </c>
      <c r="M37" s="6">
        <f>IF(SUMPRODUCT((Marks!$B$2:$BD$2=M$3)*ISNUMBER(Marks!$B$37:$BD$37))=0,"",SUMPRODUCT((Marks!$B$2:$BD$2=M$3)*(Marks!$B$37:$BD$37=1))/SUMPRODUCT((Marks!$B$2:$BD$2=M$3)*ISNUMBER(Marks!$B$37:$BD$37)))</f>
        <v/>
      </c>
      <c r="N37" s="6">
        <f>IF(SUMPRODUCT((Marks!$B$2:$BD$2=N$3)*ISNUMBER(Marks!$B$37:$BD$37))=0,"",SUMPRODUCT((Marks!$B$2:$BD$2=N$3)*(Marks!$B$37:$BD$37=1))/SUMPRODUCT((Marks!$B$2:$BD$2=N$3)*ISNUMBER(Marks!$B$37:$BD$37)))</f>
        <v/>
      </c>
    </row>
    <row r="38">
      <c r="A38" t="n">
        <v>34</v>
      </c>
      <c r="B38" s="5" t="n"/>
      <c r="C38" s="5" t="n"/>
      <c r="D38" s="5" t="n"/>
      <c r="E38" s="5" t="n"/>
      <c r="F38" s="5" t="n"/>
      <c r="G38" s="5" t="n"/>
      <c r="I38" s="6">
        <f>IF(SUMPRODUCT((Marks!$B$2:$BD$2=I$3)*ISNUMBER(Marks!$B$38:$BD$38))=0,"",SUMPRODUCT((Marks!$B$2:$BD$2=I$3)*(Marks!$B$38:$BD$38=1))/SUMPRODUCT((Marks!$B$2:$BD$2=I$3)*ISNUMBER(Marks!$B$38:$BD$38)))</f>
        <v/>
      </c>
      <c r="J38" s="6">
        <f>IF(SUMPRODUCT((Marks!$B$2:$BD$2=J$3)*ISNUMBER(Marks!$B$38:$BD$38))=0,"",SUMPRODUCT((Marks!$B$2:$BD$2=J$3)*(Marks!$B$38:$BD$38=1))/SUMPRODUCT((Marks!$B$2:$BD$2=J$3)*ISNUMBER(Marks!$B$38:$BD$38)))</f>
        <v/>
      </c>
      <c r="K38" s="6">
        <f>IF(SUMPRODUCT((Marks!$B$2:$BD$2=K$3)*ISNUMBER(Marks!$B$38:$BD$38))=0,"",SUMPRODUCT((Marks!$B$2:$BD$2=K$3)*(Marks!$B$38:$BD$38=1))/SUMPRODUCT((Marks!$B$2:$BD$2=K$3)*ISNUMBER(Marks!$B$38:$BD$38)))</f>
        <v/>
      </c>
      <c r="L38" s="6">
        <f>IF(SUMPRODUCT((Marks!$B$2:$BD$2=L$3)*ISNUMBER(Marks!$B$38:$BD$38))=0,"",SUMPRODUCT((Marks!$B$2:$BD$2=L$3)*(Marks!$B$38:$BD$38=1))/SUMPRODUCT((Marks!$B$2:$BD$2=L$3)*ISNUMBER(Marks!$B$38:$BD$38)))</f>
        <v/>
      </c>
      <c r="M38" s="6">
        <f>IF(SUMPRODUCT((Marks!$B$2:$BD$2=M$3)*ISNUMBER(Marks!$B$38:$BD$38))=0,"",SUMPRODUCT((Marks!$B$2:$BD$2=M$3)*(Marks!$B$38:$BD$38=1))/SUMPRODUCT((Marks!$B$2:$BD$2=M$3)*ISNUMBER(Marks!$B$38:$BD$38)))</f>
        <v/>
      </c>
      <c r="N38" s="6">
        <f>IF(SUMPRODUCT((Marks!$B$2:$BD$2=N$3)*ISNUMBER(Marks!$B$38:$BD$38))=0,"",SUMPRODUCT((Marks!$B$2:$BD$2=N$3)*(Marks!$B$38:$BD$38=1))/SUMPRODUCT((Marks!$B$2:$BD$2=N$3)*ISNUMBER(Marks!$B$38:$BD$38)))</f>
        <v/>
      </c>
    </row>
    <row r="39">
      <c r="A39" t="n">
        <v>35</v>
      </c>
      <c r="B39" s="5" t="n"/>
      <c r="C39" s="5" t="n"/>
      <c r="D39" s="5" t="n"/>
      <c r="E39" s="5" t="n"/>
      <c r="F39" s="5" t="n"/>
      <c r="G39" s="5" t="n"/>
      <c r="I39" s="6">
        <f>IF(SUMPRODUCT((Marks!$B$2:$BD$2=I$3)*ISNUMBER(Marks!$B$39:$BD$39))=0,"",SUMPRODUCT((Marks!$B$2:$BD$2=I$3)*(Marks!$B$39:$BD$39=1))/SUMPRODUCT((Marks!$B$2:$BD$2=I$3)*ISNUMBER(Marks!$B$39:$BD$39)))</f>
        <v/>
      </c>
      <c r="J39" s="6">
        <f>IF(SUMPRODUCT((Marks!$B$2:$BD$2=J$3)*ISNUMBER(Marks!$B$39:$BD$39))=0,"",SUMPRODUCT((Marks!$B$2:$BD$2=J$3)*(Marks!$B$39:$BD$39=1))/SUMPRODUCT((Marks!$B$2:$BD$2=J$3)*ISNUMBER(Marks!$B$39:$BD$39)))</f>
        <v/>
      </c>
      <c r="K39" s="6">
        <f>IF(SUMPRODUCT((Marks!$B$2:$BD$2=K$3)*ISNUMBER(Marks!$B$39:$BD$39))=0,"",SUMPRODUCT((Marks!$B$2:$BD$2=K$3)*(Marks!$B$39:$BD$39=1))/SUMPRODUCT((Marks!$B$2:$BD$2=K$3)*ISNUMBER(Marks!$B$39:$BD$39)))</f>
        <v/>
      </c>
      <c r="L39" s="6">
        <f>IF(SUMPRODUCT((Marks!$B$2:$BD$2=L$3)*ISNUMBER(Marks!$B$39:$BD$39))=0,"",SUMPRODUCT((Marks!$B$2:$BD$2=L$3)*(Marks!$B$39:$BD$39=1))/SUMPRODUCT((Marks!$B$2:$BD$2=L$3)*ISNUMBER(Marks!$B$39:$BD$39)))</f>
        <v/>
      </c>
      <c r="M39" s="6">
        <f>IF(SUMPRODUCT((Marks!$B$2:$BD$2=M$3)*ISNUMBER(Marks!$B$39:$BD$39))=0,"",SUMPRODUCT((Marks!$B$2:$BD$2=M$3)*(Marks!$B$39:$BD$39=1))/SUMPRODUCT((Marks!$B$2:$BD$2=M$3)*ISNUMBER(Marks!$B$39:$BD$39)))</f>
        <v/>
      </c>
      <c r="N39" s="6">
        <f>IF(SUMPRODUCT((Marks!$B$2:$BD$2=N$3)*ISNUMBER(Marks!$B$39:$BD$39))=0,"",SUMPRODUCT((Marks!$B$2:$BD$2=N$3)*(Marks!$B$39:$BD$39=1))/SUMPRODUCT((Marks!$B$2:$BD$2=N$3)*ISNUMBER(Marks!$B$39:$BD$39)))</f>
        <v/>
      </c>
    </row>
    <row r="41">
      <c r="A41" s="3" t="inlineStr">
        <is>
          <t>The room</t>
        </is>
      </c>
    </row>
    <row r="42">
      <c r="A42" s="4" t="inlineStr">
        <is>
          <t>Part</t>
        </is>
      </c>
      <c r="B42" s="4" t="inlineStr">
        <is>
          <t>Mean rating</t>
        </is>
      </c>
      <c r="C42" s="4" t="inlineStr">
        <is>
          <t>Right rate</t>
        </is>
      </c>
      <c r="D42" s="4" t="inlineStr">
        <is>
          <t>Rated 3 or 4, under half right</t>
        </is>
      </c>
    </row>
    <row r="43">
      <c r="A43" t="inlineStr">
        <is>
          <t>Part 1. The week's rules, cold</t>
        </is>
      </c>
      <c r="B43" s="7">
        <f>IF(COUNT(B5:B39)=0,"",AVERAGE(B5:B39))</f>
        <v/>
      </c>
      <c r="C43" s="6">
        <f>IFERROR(INDEX(Tags!$D$5:$D$13,MATCH(1,Tags!$A$5:$A$13,0)),"")</f>
        <v/>
      </c>
      <c r="D43">
        <f>SUMPRODUCT((B5:B39&gt;=3)*ISNUMBER(I5:I39)*(I5:I39&lt;0.5))</f>
        <v/>
      </c>
    </row>
    <row r="44">
      <c r="A44" t="inlineStr">
        <is>
          <t>Part 2. Asking the warehouse</t>
        </is>
      </c>
      <c r="B44" s="7">
        <f>IF(COUNT(C5:C39)=0,"",AVERAGE(C5:C39))</f>
        <v/>
      </c>
      <c r="C44" s="6">
        <f>IFERROR(INDEX(Tags!$D$5:$D$13,MATCH(2,Tags!$A$5:$A$13,0)),"")</f>
        <v/>
      </c>
      <c r="D44">
        <f>SUMPRODUCT((C5:C39&gt;=3)*ISNUMBER(J5:J39)*(J5:J39&lt;0.5))</f>
        <v/>
      </c>
    </row>
    <row r="45">
      <c r="A45" t="inlineStr">
        <is>
          <t>Part 3. Joins that keep their rows</t>
        </is>
      </c>
      <c r="B45" s="7">
        <f>IF(COUNT(D5:D39)=0,"",AVERAGE(D5:D39))</f>
        <v/>
      </c>
      <c r="C45" s="6">
        <f>IFERROR(INDEX(Tags!$D$5:$D$13,MATCH(3,Tags!$A$5:$A$13,0)),"")</f>
        <v/>
      </c>
      <c r="D45">
        <f>SUMPRODUCT((D5:D39&gt;=3)*ISNUMBER(K5:K39)*(K5:K39&lt;0.5))</f>
        <v/>
      </c>
    </row>
    <row r="46">
      <c r="A46" t="inlineStr">
        <is>
          <t>Part 4. Windows: rank, lag and running totals</t>
        </is>
      </c>
      <c r="B46" s="7">
        <f>IF(COUNT(E5:E39)=0,"",AVERAGE(E5:E39))</f>
        <v/>
      </c>
      <c r="C46" s="6">
        <f>IFERROR(INDEX(Tags!$D$5:$D$13,MATCH(4,Tags!$A$5:$A$13,0)),"")</f>
        <v/>
      </c>
      <c r="D46">
        <f>SUMPRODUCT((E5:E39&gt;=3)*ISNUMBER(L5:L39)*(L5:L39&lt;0.5))</f>
        <v/>
      </c>
    </row>
    <row r="47">
      <c r="A47" t="inlineStr">
        <is>
          <t>Part 5. pandas and the last mile to Excel</t>
        </is>
      </c>
      <c r="B47" s="7">
        <f>IF(COUNT(F5:F39)=0,"",AVERAGE(F5:F39))</f>
        <v/>
      </c>
      <c r="C47" s="6">
        <f>IFERROR(INDEX(Tags!$D$5:$D$13,MATCH(5,Tags!$A$5:$A$13,0)),"")</f>
        <v/>
      </c>
      <c r="D47">
        <f>SUMPRODUCT((F5:F39&gt;=3)*ISNUMBER(M5:M39)*(M5:M39&lt;0.5))</f>
        <v/>
      </c>
    </row>
    <row r="48">
      <c r="A48" t="inlineStr">
        <is>
          <t>Part 6. Read the code, read the data</t>
        </is>
      </c>
      <c r="B48" s="7">
        <f>IF(COUNT(G5:G39)=0,"",AVERAGE(G5:G39))</f>
        <v/>
      </c>
      <c r="C48" s="6">
        <f>IFERROR(INDEX(Tags!$D$5:$D$13,MATCH(6,Tags!$A$5:$A$13,0)),"")</f>
        <v/>
      </c>
      <c r="D48">
        <f>SUMPRODUCT((G5:G39&gt;=3)*ISNUMBER(N5:N39)*(N5:N39&lt;0.5))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2026-09-30T11:36:31Z</dcterms:created>
  <dcterms:modified xmlns:dcterms="http://purl.org/dc/terms/" xmlns:xsi="http://www.w3.org/2001/XMLSchema-instance" xsi:type="dcterms:W3CDTF">2026-09-30T11:36:31Z</dcterms:modified>
</cp:coreProperties>
</file>