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Rubric" sheetId="2" state="visible" r:id="rId2"/>
    <sheet xmlns:r="http://schemas.openxmlformats.org/officeDocument/2006/relationships" name="Demos" sheetId="3" state="visible" r:id="rId3"/>
    <sheet xmlns:r="http://schemas.openxmlformats.org/officeDocument/2006/relationships" name="Scores" sheetId="4" state="visible" r:id="rId4"/>
    <sheet xmlns:r="http://schemas.openxmlformats.org/officeDocument/2006/relationships" name="By group" sheetId="5" state="visible" r:id="rId5"/>
    <sheet xmlns:r="http://schemas.openxmlformats.org/officeDocument/2006/relationships" name="Checks" sheetId="6" state="visible" r:id="rId6"/>
    <sheet xmlns:r="http://schemas.openxmlformats.org/officeDocument/2006/relationships" name="Sign-off" sheetId="7" state="visible" r:id="rId7"/>
  </sheets>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Arial"/>
      <b val="1"/>
      <color rgb="001A0F5C"/>
      <sz val="14"/>
    </font>
    <font>
      <name val="Arial"/>
      <i val="1"/>
      <color rgb="00000000"/>
      <sz val="10"/>
    </font>
    <font>
      <name val="Arial"/>
      <b val="1"/>
      <color rgb="001A0F5C"/>
      <sz val="10"/>
    </font>
    <font>
      <name val="Arial"/>
      <color rgb="00000000"/>
      <sz val="10"/>
    </font>
    <font>
      <name val="Arial"/>
      <b val="1"/>
      <color rgb="001A0F5C"/>
      <sz val="13"/>
    </font>
    <font>
      <name val="Arial"/>
      <b val="1"/>
      <color rgb="00FFFFFF"/>
      <sz val="10"/>
    </font>
    <font>
      <name val="Arial"/>
      <b val="1"/>
      <color rgb="00000000"/>
      <sz val="10"/>
    </font>
    <font>
      <name val="Arial"/>
      <color rgb="000000FF"/>
      <sz val="10"/>
    </font>
    <font>
      <name val="Arial"/>
      <b val="1"/>
      <color rgb="001A0F5C"/>
      <sz val="12"/>
    </font>
    <font>
      <name val="Arial"/>
      <b val="1"/>
      <color rgb="00000000"/>
      <sz val="12"/>
    </font>
  </fonts>
  <fills count="4">
    <fill>
      <patternFill/>
    </fill>
    <fill>
      <patternFill patternType="gray125"/>
    </fill>
    <fill>
      <patternFill patternType="solid">
        <fgColor rgb="001A0F5C"/>
      </patternFill>
    </fill>
    <fill>
      <patternFill patternType="solid">
        <fgColor rgb="00FFF4C2"/>
      </patternFill>
    </fill>
  </fills>
  <borders count="2">
    <border>
      <left/>
      <right/>
      <top/>
      <bottom/>
      <diagonal/>
    </border>
    <border>
      <left style="thin">
        <color rgb="00C9C3E6"/>
      </left>
      <right style="thin">
        <color rgb="00C9C3E6"/>
      </right>
      <top style="thin">
        <color rgb="00C9C3E6"/>
      </top>
      <bottom style="thin">
        <color rgb="00C9C3E6"/>
      </bottom>
    </border>
  </borders>
  <cellStyleXfs count="1">
    <xf numFmtId="0" fontId="0" fillId="0" borderId="0"/>
  </cellStyleXfs>
  <cellXfs count="1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6" fillId="2" borderId="1" applyAlignment="1" pivotButton="0" quotePrefix="0" xfId="0">
      <alignment vertical="center" wrapText="1"/>
    </xf>
    <xf numFmtId="0" fontId="4" fillId="0" borderId="1" applyAlignment="1" pivotButton="0" quotePrefix="0" xfId="0">
      <alignment vertical="top" wrapText="1"/>
    </xf>
    <xf numFmtId="0" fontId="7" fillId="0" borderId="0" pivotButton="0" quotePrefix="0" xfId="0"/>
    <xf numFmtId="0" fontId="4" fillId="0" borderId="1" pivotButton="0" quotePrefix="0" xfId="0"/>
    <xf numFmtId="0" fontId="8" fillId="3" borderId="1" pivotButton="0" quotePrefix="0" xfId="0"/>
    <xf numFmtId="0" fontId="4" fillId="0" borderId="0" pivotButton="0" quotePrefix="0" xfId="0"/>
    <xf numFmtId="0" fontId="7" fillId="0" borderId="1" pivotButton="0" quotePrefix="0" xfId="0"/>
    <xf numFmtId="0" fontId="7" fillId="0" borderId="1" applyAlignment="1" pivotButton="0" quotePrefix="0" xfId="0">
      <alignment vertical="top" wrapText="1"/>
    </xf>
    <xf numFmtId="0" fontId="9" fillId="0" borderId="0" pivotButton="0" quotePrefix="0" xfId="0"/>
    <xf numFmtId="0" fontId="10" fillId="0" borderId="0" pivotButton="0" quotePrefix="0" xfId="0"/>
  </cellXfs>
  <cellStyles count="1">
    <cellStyle name="Normal" xfId="0" builtinId="0" hidden="0"/>
  </cellStyles>
  <dxfs count="2">
    <dxf>
      <fill>
        <patternFill patternType="solid">
          <fgColor rgb="00D9F2E3"/>
        </patternFill>
      </fill>
    </dxf>
    <dxf>
      <fill>
        <patternFill patternType="solid">
          <fgColor rgb="00FBE0D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C2</author>
  </authors>
  <commentList>
    <comment ref="E4" authorId="0" shapeId="0">
      <text>
        <t>Locked marks per event, data/programme/facts.yaml, evaluation.</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cols>
    <col width="26" customWidth="1" min="1" max="1"/>
    <col width="100" customWidth="1" min="2" max="2"/>
  </cols>
  <sheetData>
    <row r="1">
      <c r="A1" s="1" t="inlineStr">
        <is>
          <t>Does every Build 1 learner hold all their scores, inside the rubric and the demo rule? (TRAINER ONLY)</t>
        </is>
      </c>
    </row>
    <row r="2">
      <c r="A2" s="2" t="inlineStr">
        <is>
          <t>The committed file is the empty template; a filled copy holds learners' scores and is never committed.</t>
        </is>
      </c>
    </row>
    <row r="4" ht="64" customHeight="1">
      <c r="A4" s="3" t="inlineStr">
        <is>
          <t>What it closes</t>
        </is>
      </c>
      <c r="B4" s="4" t="inlineStr">
        <is>
          <t>Four scores per learner, three events: the GD out of 30, the mini project out of 40 in its two parts (34 for the group's four criteria, which every member receives, and 6 for the learner's own presentation and defence), and Mock R1 out of 30. The marks per event are locked and the rubrics were approved on 29 September 2026 (data/programme/facts.yaml); the Rubric sheet copies the mini project's. Each score is copied from its scoring sheet: the GD from content/W03/D5/rubrics/C2_W03_D05_gd_scoring_sheet_TRAINER.xlsx, the mini project and each group's demo outcome from C2_W03_SAT_mini_project_scoring_TRAINER.xlsx beside this file, and the mock from content/W03/D4/rubrics/C2_W03_D04_mock_scoring_sheet_TRAINER.xlsx.</t>
        </is>
      </c>
    </row>
    <row r="5" ht="64" customHeight="1">
      <c r="A5" s="3" t="inlineStr">
        <is>
          <t>Where to type</t>
        </is>
      </c>
      <c r="B5" s="4" t="inlineStr">
        <is>
          <t>Only the yellow cells: the demo outcomes on Demos, columns C to H and M on Scores, and Signed on Sign-off. Every other cell is a formula.</t>
        </is>
      </c>
    </row>
    <row r="6" ht="64" customHeight="1">
      <c r="A6" s="3" t="inlineStr">
        <is>
          <t>Entered once</t>
        </is>
      </c>
      <c r="B6" s="4" t="inlineStr">
        <is>
          <t>Each score is typed once, by the scribe the run sheet names, from the assessor's signed sheet. A correction replaces the one cell and is never typed in a second place.</t>
        </is>
      </c>
    </row>
    <row r="7" ht="64" customHeight="1">
      <c r="A7" s="3" t="inlineStr">
        <is>
          <t>The demo rule</t>
        </is>
      </c>
      <c r="B7" s="4" t="inlineStr">
        <is>
          <t>A group's demo runs once, cold, on its raw files. If it fails, the group has two minutes to recover it live, as it would in front of a client. If it still fails, the group presents from its executed notebook, and the panel scores the live demo in presentation and defence as not run cold. The other 34 marks of the mini project are scored from the executed run, so a failed demo costs its own marks and never the analysis. Here: every group needs a final demo outcome on Demos; a seat whose group's demo still failed reads DEMO RULE if its presentation and defence is at full marks; and the group part is required whatever the outcome.</t>
        </is>
      </c>
    </row>
    <row r="8" ht="64" customHeight="1">
      <c r="A8" s="3" t="inlineStr">
        <is>
          <t>Seats, never names</t>
        </is>
      </c>
      <c r="B8" s="4" t="inlineStr">
        <is>
          <t>Seats are labelled by group and seat (G1-S1). The Programme Head keeps the seat-to-learner key outside this repository. Eight groups hold four seats and G9 holds three; relabel the seats if Monday's allocation put the group of three elsewhere.</t>
        </is>
      </c>
    </row>
    <row r="9" ht="64" customHeight="1">
      <c r="A9" s="3" t="inlineStr">
        <is>
          <t>Status, per seat</t>
        </is>
      </c>
      <c r="B9" s="4" t="inlineStr">
        <is>
          <t>COMPLETE when all four scores are in, within their maximums and within the demo rule. NOT A SCORE means text other than ABSENT, or a negative number. OVER MAX means a score above its maximum. DEMO RULE means full marks on presentation and defence for a group whose demo still failed. MISSING names the scores still to enter. ABSENT names the events the learner missed when every other score is in.</t>
        </is>
      </c>
    </row>
    <row r="10" ht="64" customHeight="1">
      <c r="A10" s="3" t="inlineStr">
        <is>
          <t>The verdict</t>
        </is>
      </c>
      <c r="B10" s="4" t="inlineStr">
        <is>
          <t>The Checks sheet reads READY TO SIGN only when every seat is COMPLETE or ABSENT, no seat label repeats, and every group's demo outcome is final. It lists the seats still short and the seats with an absence, by seat. The Sign-off sheet reads CLOSED only after that, with every role signed.</t>
        </is>
      </c>
    </row>
    <row r="11" ht="64" customHeight="1">
      <c r="A11" s="3" t="inlineStr">
        <is>
          <t>An absence</t>
        </is>
      </c>
      <c r="B11" s="4" t="inlineStr">
        <is>
          <t>A learner who missed an event has ABSENT typed in that event's cell and the Programme Head's decision in Notes. The seat then counts as closed, carries no total, and is listed on the Checks sheet. No make-up rule is published, so this workbook sets none.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30" customWidth="1" min="1" max="1"/>
    <col width="8" customWidth="1" min="2" max="2"/>
    <col width="90" customWidth="1" min="3" max="3"/>
    <col width="16" customWidth="1" min="4" max="4"/>
  </cols>
  <sheetData>
    <row r="1">
      <c r="A1" s="5" t="inlineStr">
        <is>
          <t>The mini project rubric, 40 marks, and the marks per event</t>
        </is>
      </c>
    </row>
    <row r="2">
      <c r="A2" s="6" t="inlineStr">
        <is>
          <t>Criterion</t>
        </is>
      </c>
      <c r="B2" s="6" t="inlineStr">
        <is>
          <t>Marks</t>
        </is>
      </c>
      <c r="C2" s="6" t="inlineStr">
        <is>
          <t>What full marks look like</t>
        </is>
      </c>
      <c r="D2" s="6" t="inlineStr">
        <is>
          <t>Scored</t>
        </is>
      </c>
    </row>
    <row r="3">
      <c r="A3" s="7" t="inlineStr">
        <is>
          <t>The question translated</t>
        </is>
      </c>
      <c r="B3" s="7" t="n">
        <v>8</v>
      </c>
      <c r="C3" s="7" t="inlineStr">
        <is>
          <t>Dr Menon's words are mapped to the right Weeks 1 and 2 method, with the metric defined and the decision it feeds named.</t>
        </is>
      </c>
      <c r="D3" s="7" t="inlineStr">
        <is>
          <t>once per group</t>
        </is>
      </c>
    </row>
    <row r="4">
      <c r="A4" s="7" t="inlineStr">
        <is>
          <t>The data made trustworthy</t>
        </is>
      </c>
      <c r="B4" s="7" t="n">
        <v>10</v>
      </c>
      <c r="C4" s="7" t="inlineStr">
        <is>
          <t>The data is profiled before it is touched, every cleaning call is in the decisions log with its reason, and counts and dollars reconcile across files.</t>
        </is>
      </c>
      <c r="D4" s="7" t="inlineStr">
        <is>
          <t>once per group</t>
        </is>
      </c>
    </row>
    <row r="5">
      <c r="A5" s="7" t="inlineStr">
        <is>
          <t>The analysis</t>
        </is>
      </c>
      <c r="B5" s="7" t="n">
        <v>10</v>
      </c>
      <c r="C5" s="7" t="inlineStr">
        <is>
          <t>The tree, ladder or fair comparison reaches the branch that explains the symptom, on the right denominator, with a chance test where one is needed.</t>
        </is>
      </c>
      <c r="D5" s="7" t="inlineStr">
        <is>
          <t>once per group</t>
        </is>
      </c>
    </row>
    <row r="6">
      <c r="A6" s="7" t="inlineStr">
        <is>
          <t>The claim</t>
        </is>
      </c>
      <c r="B6" s="7" t="n">
        <v>6</v>
      </c>
      <c r="C6" s="7" t="inlineStr">
        <is>
          <t>One sentence carries its number, denominator, period and caveat, plus an action Dr Menon can take.</t>
        </is>
      </c>
      <c r="D6" s="7" t="inlineStr">
        <is>
          <t>once per group</t>
        </is>
      </c>
    </row>
    <row r="7">
      <c r="A7" s="7" t="inlineStr">
        <is>
          <t>Presentation and defence</t>
        </is>
      </c>
      <c r="B7" s="7" t="n">
        <v>6</v>
      </c>
      <c r="C7" s="7" t="inlineStr">
        <is>
          <t>The live demo runs cold, and every member answers a challenge on the caveat.</t>
        </is>
      </c>
      <c r="D7" s="7" t="inlineStr">
        <is>
          <t>per learner</t>
        </is>
      </c>
    </row>
    <row r="9">
      <c r="A9" s="8" t="inlineStr">
        <is>
          <t>Group part</t>
        </is>
      </c>
      <c r="B9" s="8">
        <f>SUM(B3:B6)</f>
        <v/>
      </c>
    </row>
    <row r="10">
      <c r="A10" s="8" t="inlineStr">
        <is>
          <t>Presentation and defence</t>
        </is>
      </c>
      <c r="B10" s="8">
        <f>B7</f>
        <v/>
      </c>
    </row>
    <row r="11">
      <c r="A11" s="8" t="inlineStr">
        <is>
          <t>Mini project</t>
        </is>
      </c>
      <c r="B11" s="8">
        <f>B9+B10</f>
        <v/>
      </c>
    </row>
    <row r="12">
      <c r="A12" s="8" t="inlineStr">
        <is>
          <t>GD</t>
        </is>
      </c>
      <c r="B12" s="8" t="n">
        <v>30</v>
      </c>
    </row>
    <row r="13">
      <c r="A13" s="8" t="inlineStr">
        <is>
          <t>Mock R1</t>
        </is>
      </c>
      <c r="B13" s="8" t="n">
        <v>30</v>
      </c>
    </row>
    <row r="14">
      <c r="A14" s="8" t="inlineStr">
        <is>
          <t>All three events</t>
        </is>
      </c>
      <c r="B14" s="8">
        <f>B11+B12+B13</f>
        <v/>
      </c>
    </row>
    <row r="16">
      <c r="A16" s="2" t="inlineStr">
        <is>
          <t>Source: data/programme/facts.yaml, evaluation.rubrics.W03.events, approved 29 September 2026.</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10" customWidth="1" min="1" max="1"/>
    <col width="44" customWidth="1" min="2" max="2"/>
    <col width="70" customWidth="1" min="3" max="3"/>
  </cols>
  <sheetData>
    <row r="1">
      <c r="A1" s="5" t="inlineStr">
        <is>
          <t>Demos: each group's live demo, as the panel recorded it</t>
        </is>
      </c>
    </row>
    <row r="3">
      <c r="A3" s="6" t="inlineStr">
        <is>
          <t>Group</t>
        </is>
      </c>
      <c r="B3" s="6" t="inlineStr">
        <is>
          <t>Demo on the day</t>
        </is>
      </c>
      <c r="C3" s="6" t="inlineStr">
        <is>
          <t>What the rule leaves standing</t>
        </is>
      </c>
    </row>
    <row r="4">
      <c r="A4" s="9" t="inlineStr">
        <is>
          <t>G1</t>
        </is>
      </c>
      <c r="B4" s="10" t="n"/>
      <c r="C4" s="9">
        <f>IF(B4="","record the outcome from the scoring sheet",IF(B4="still failed: presented from the executed notebook","the group's 34 stand on the executed run; presentation and defence cannot be full marks",IF(B4="machine failed: demo waits for the reserve","not final: the demo runs cold in the reserve first","no change: the live demo counts as run cold")))</f>
        <v/>
      </c>
    </row>
    <row r="5">
      <c r="A5" s="9" t="inlineStr">
        <is>
          <t>G2</t>
        </is>
      </c>
      <c r="B5" s="10" t="n"/>
      <c r="C5" s="9">
        <f>IF(B5="","record the outcome from the scoring sheet",IF(B5="still failed: presented from the executed notebook","the group's 34 stand on the executed run; presentation and defence cannot be full marks",IF(B5="machine failed: demo waits for the reserve","not final: the demo runs cold in the reserve first","no change: the live demo counts as run cold")))</f>
        <v/>
      </c>
    </row>
    <row r="6">
      <c r="A6" s="9" t="inlineStr">
        <is>
          <t>G3</t>
        </is>
      </c>
      <c r="B6" s="10" t="n"/>
      <c r="C6" s="9">
        <f>IF(B6="","record the outcome from the scoring sheet",IF(B6="still failed: presented from the executed notebook","the group's 34 stand on the executed run; presentation and defence cannot be full marks",IF(B6="machine failed: demo waits for the reserve","not final: the demo runs cold in the reserve first","no change: the live demo counts as run cold")))</f>
        <v/>
      </c>
    </row>
    <row r="7">
      <c r="A7" s="9" t="inlineStr">
        <is>
          <t>G4</t>
        </is>
      </c>
      <c r="B7" s="10" t="n"/>
      <c r="C7" s="9">
        <f>IF(B7="","record the outcome from the scoring sheet",IF(B7="still failed: presented from the executed notebook","the group's 34 stand on the executed run; presentation and defence cannot be full marks",IF(B7="machine failed: demo waits for the reserve","not final: the demo runs cold in the reserve first","no change: the live demo counts as run cold")))</f>
        <v/>
      </c>
    </row>
    <row r="8">
      <c r="A8" s="9" t="inlineStr">
        <is>
          <t>G5</t>
        </is>
      </c>
      <c r="B8" s="10" t="n"/>
      <c r="C8" s="9">
        <f>IF(B8="","record the outcome from the scoring sheet",IF(B8="still failed: presented from the executed notebook","the group's 34 stand on the executed run; presentation and defence cannot be full marks",IF(B8="machine failed: demo waits for the reserve","not final: the demo runs cold in the reserve first","no change: the live demo counts as run cold")))</f>
        <v/>
      </c>
    </row>
    <row r="9">
      <c r="A9" s="9" t="inlineStr">
        <is>
          <t>G6</t>
        </is>
      </c>
      <c r="B9" s="10" t="n"/>
      <c r="C9" s="9">
        <f>IF(B9="","record the outcome from the scoring sheet",IF(B9="still failed: presented from the executed notebook","the group's 34 stand on the executed run; presentation and defence cannot be full marks",IF(B9="machine failed: demo waits for the reserve","not final: the demo runs cold in the reserve first","no change: the live demo counts as run cold")))</f>
        <v/>
      </c>
    </row>
    <row r="10">
      <c r="A10" s="9" t="inlineStr">
        <is>
          <t>G7</t>
        </is>
      </c>
      <c r="B10" s="10" t="n"/>
      <c r="C10" s="9">
        <f>IF(B10="","record the outcome from the scoring sheet",IF(B10="still failed: presented from the executed notebook","the group's 34 stand on the executed run; presentation and defence cannot be full marks",IF(B10="machine failed: demo waits for the reserve","not final: the demo runs cold in the reserve first","no change: the live demo counts as run cold")))</f>
        <v/>
      </c>
    </row>
    <row r="11">
      <c r="A11" s="9" t="inlineStr">
        <is>
          <t>G8</t>
        </is>
      </c>
      <c r="B11" s="10" t="n"/>
      <c r="C11" s="9">
        <f>IF(B11="","record the outcome from the scoring sheet",IF(B11="still failed: presented from the executed notebook","the group's 34 stand on the executed run; presentation and defence cannot be full marks",IF(B11="machine failed: demo waits for the reserve","not final: the demo runs cold in the reserve first","no change: the live demo counts as run cold")))</f>
        <v/>
      </c>
    </row>
    <row r="12">
      <c r="A12" s="9" t="inlineStr">
        <is>
          <t>G9</t>
        </is>
      </c>
      <c r="B12" s="10" t="n"/>
      <c r="C12" s="9">
        <f>IF(B12="","record the outcome from the scoring sheet",IF(B12="still failed: presented from the executed notebook","the group's 34 stand on the executed run; presentation and defence cannot be full marks",IF(B12="machine failed: demo waits for the reserve","not final: the demo runs cold in the reserve first","no change: the live demo counts as run cold")))</f>
        <v/>
      </c>
    </row>
    <row r="14">
      <c r="A14" s="8" t="inlineStr">
        <is>
          <t>Final outcomes recorded</t>
        </is>
      </c>
      <c r="B14" s="8">
        <f>COUNTIF(B4:B12,"ran cold")+COUNTIF(B4:B12,"recovered within two minutes")+COUNTIF(B4:B12,"still failed: presented from the executed notebook")</f>
        <v/>
      </c>
    </row>
  </sheetData>
  <dataValidations count="1">
    <dataValidation sqref="B4 B5 B6 B7 B8 B9 B10 B11 B12" showDropDown="0" showInputMessage="0" showErrorMessage="0" allowBlank="1" type="list">
      <formula1>"ran cold,recovered within two minutes,still failed: presented from the executed notebook,machine failed: demo waits for the reserve"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40"/>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0" customWidth="1" min="1" max="1"/>
    <col width="8" customWidth="1" min="2" max="2"/>
    <col width="15" customWidth="1" min="3" max="3"/>
    <col width="24" customWidth="1" min="4" max="4"/>
    <col width="10" customWidth="1" min="5" max="5"/>
    <col width="12" customWidth="1" min="6" max="6"/>
    <col width="15" customWidth="1" min="7" max="7"/>
    <col width="10" customWidth="1" min="8" max="8"/>
    <col width="13" customWidth="1" min="9" max="9"/>
    <col width="11" customWidth="1" min="10" max="10"/>
    <col width="30" customWidth="1" min="11" max="11"/>
    <col width="34" customWidth="1" min="12" max="12"/>
    <col width="40" customWidth="1" min="13" max="13"/>
    <col width="12" customWidth="1" min="14" max="14"/>
    <col width="12" customWidth="1" min="15" max="15"/>
  </cols>
  <sheetData>
    <row r="1">
      <c r="A1" s="5" t="inlineStr">
        <is>
          <t>Scores: one row per learner seat</t>
        </is>
      </c>
    </row>
    <row r="2">
      <c r="A2" s="2" t="inlineStr">
        <is>
          <t>Type only in the yellow cells. Row 4 holds each score's maximum, read from the Rubric sheet.</t>
        </is>
      </c>
    </row>
    <row r="4">
      <c r="A4" s="8" t="inlineStr">
        <is>
          <t>Maximum</t>
        </is>
      </c>
      <c r="E4" s="8">
        <f>Rubric!B12</f>
        <v/>
      </c>
      <c r="F4" s="8">
        <f>Rubric!B9</f>
        <v/>
      </c>
      <c r="G4" s="8">
        <f>Rubric!B10</f>
        <v/>
      </c>
      <c r="H4" s="8">
        <f>Rubric!B13</f>
        <v/>
      </c>
      <c r="I4" s="8">
        <f>Rubric!B11</f>
        <v/>
      </c>
      <c r="J4" s="8">
        <f>Rubric!B14</f>
        <v/>
      </c>
    </row>
    <row r="5">
      <c r="A5" s="6" t="inlineStr">
        <is>
          <t>Seat</t>
        </is>
      </c>
      <c r="B5" s="6" t="inlineStr">
        <is>
          <t>Group</t>
        </is>
      </c>
      <c r="C5" s="6" t="inlineStr">
        <is>
          <t>Sub-problem</t>
        </is>
      </c>
      <c r="D5" s="6" t="inlineStr">
        <is>
          <t>Panel</t>
        </is>
      </c>
      <c r="E5" s="6" t="inlineStr">
        <is>
          <t>GD (of 30)</t>
        </is>
      </c>
      <c r="F5" s="6" t="inlineStr">
        <is>
          <t>Group part (of 34)</t>
        </is>
      </c>
      <c r="G5" s="6" t="inlineStr">
        <is>
          <t>Presentation and defence (of 6)</t>
        </is>
      </c>
      <c r="H5" s="6" t="inlineStr">
        <is>
          <t>Mock (of 30)</t>
        </is>
      </c>
      <c r="I5" s="6" t="inlineStr">
        <is>
          <t>Mini project (of 40)</t>
        </is>
      </c>
      <c r="J5" s="6" t="inlineStr">
        <is>
          <t>Total (of 100)</t>
        </is>
      </c>
      <c r="K5" s="6" t="inlineStr">
        <is>
          <t>Demo on the day</t>
        </is>
      </c>
      <c r="L5" s="6" t="inlineStr">
        <is>
          <t>Status</t>
        </is>
      </c>
      <c r="M5" s="6" t="inlineStr">
        <is>
          <t>Notes</t>
        </is>
      </c>
      <c r="N5" s="6" t="inlineStr">
        <is>
          <t>Short (helper)</t>
        </is>
      </c>
      <c r="O5" s="6" t="inlineStr">
        <is>
          <t>Absent (helper)</t>
        </is>
      </c>
    </row>
    <row r="6">
      <c r="A6" s="9" t="inlineStr">
        <is>
          <t>G1-S1</t>
        </is>
      </c>
      <c r="B6" s="9" t="inlineStr">
        <is>
          <t>G1</t>
        </is>
      </c>
      <c r="C6" s="10" t="n"/>
      <c r="D6" s="10" t="n"/>
      <c r="E6" s="10" t="n"/>
      <c r="F6" s="10" t="n"/>
      <c r="G6" s="10" t="n"/>
      <c r="H6" s="10" t="n"/>
      <c r="I6" s="9">
        <f>IF(AND(ISNUMBER(F6),ISNUMBER(G6)),F6+G6,"")</f>
        <v/>
      </c>
      <c r="J6" s="9">
        <f>IF(L6="COMPLETE",E6+F6+G6+H6,"")</f>
        <v/>
      </c>
      <c r="K6" s="9">
        <f>IF(INDEX(Demos!$B$4:$B$12,MATCH(B6,Demos!$A$4:$A$12,0))="","",INDEX(Demos!$B$4:$B$12,MATCH(B6,Demos!$A$4:$A$12,0)))</f>
        <v/>
      </c>
      <c r="L6" s="9">
        <f>IF(OR(AND(E6&lt;&gt;"",NOT(ISNUMBER(E6)),E6&lt;&gt;"ABSENT"),AND(F6&lt;&gt;"",NOT(ISNUMBER(F6)),F6&lt;&gt;"ABSENT"),AND(G6&lt;&gt;"",NOT(ISNUMBER(G6)),G6&lt;&gt;"ABSENT"),AND(H6&lt;&gt;"",NOT(ISNUMBER(H6)),H6&lt;&gt;"ABSENT"),AND(ISNUMBER(E6),E6&lt;0),AND(ISNUMBER(F6),F6&lt;0),AND(ISNUMBER(G6),G6&lt;0),AND(ISNUMBER(H6),H6&lt;0)),"NOT A SCORE",IF(OR(AND(ISNUMBER(E6),E6&gt;E$4),AND(ISNUMBER(F6),F6&gt;F$4),AND(ISNUMBER(G6),G6&gt;G$4),AND(ISNUMBER(H6),H6&gt;H$4)),"OVER MAX",IF(AND(ISNUMBER(G6),K6="still failed: presented from the executed notebook",G6&gt;=$G$4),"DEMO RULE",IF(COUNT(E6:H6)+COUNTIF(E6:H6,"ABSENT")&lt;4,"MISSING "&amp;TRIM(IF(E6="","GD ","")&amp;IF(F6="","group part ","")&amp;IF(G6="","presentation and defence ","")&amp;IF(H6="","mock","")),IF(COUNTIF(E6:H6,"ABSENT")&gt;0,"ABSENT "&amp;TRIM(IF(E6="ABSENT","GD ","")&amp;IF(F6="ABSENT","group part ","")&amp;IF(G6="ABSENT","presentation and defence ","")&amp;IF(H6="ABSENT","mock","")),"COMPLETE")))))</f>
        <v/>
      </c>
      <c r="M6" s="10" t="n"/>
      <c r="N6" s="11">
        <f>IF(AND(L6&lt;&gt;"COMPLETE",LEFT(L6,6)&lt;&gt;"ABSENT"),A6&amp;", ","")</f>
        <v/>
      </c>
      <c r="O6" s="11">
        <f>IF(LEFT(L6,6)="ABSENT",A6&amp;", ","")</f>
        <v/>
      </c>
    </row>
    <row r="7">
      <c r="A7" s="9" t="inlineStr">
        <is>
          <t>G1-S2</t>
        </is>
      </c>
      <c r="B7" s="9" t="inlineStr">
        <is>
          <t>G1</t>
        </is>
      </c>
      <c r="C7" s="10" t="n"/>
      <c r="D7" s="10" t="n"/>
      <c r="E7" s="10" t="n"/>
      <c r="F7" s="10" t="n"/>
      <c r="G7" s="10" t="n"/>
      <c r="H7" s="10" t="n"/>
      <c r="I7" s="9">
        <f>IF(AND(ISNUMBER(F7),ISNUMBER(G7)),F7+G7,"")</f>
        <v/>
      </c>
      <c r="J7" s="9">
        <f>IF(L7="COMPLETE",E7+F7+G7+H7,"")</f>
        <v/>
      </c>
      <c r="K7" s="9">
        <f>IF(INDEX(Demos!$B$4:$B$12,MATCH(B7,Demos!$A$4:$A$12,0))="","",INDEX(Demos!$B$4:$B$12,MATCH(B7,Demos!$A$4:$A$12,0)))</f>
        <v/>
      </c>
      <c r="L7" s="9">
        <f>IF(OR(AND(E7&lt;&gt;"",NOT(ISNUMBER(E7)),E7&lt;&gt;"ABSENT"),AND(F7&lt;&gt;"",NOT(ISNUMBER(F7)),F7&lt;&gt;"ABSENT"),AND(G7&lt;&gt;"",NOT(ISNUMBER(G7)),G7&lt;&gt;"ABSENT"),AND(H7&lt;&gt;"",NOT(ISNUMBER(H7)),H7&lt;&gt;"ABSENT"),AND(ISNUMBER(E7),E7&lt;0),AND(ISNUMBER(F7),F7&lt;0),AND(ISNUMBER(G7),G7&lt;0),AND(ISNUMBER(H7),H7&lt;0)),"NOT A SCORE",IF(OR(AND(ISNUMBER(E7),E7&gt;E$4),AND(ISNUMBER(F7),F7&gt;F$4),AND(ISNUMBER(G7),G7&gt;G$4),AND(ISNUMBER(H7),H7&gt;H$4)),"OVER MAX",IF(AND(ISNUMBER(G7),K7="still failed: presented from the executed notebook",G7&gt;=$G$4),"DEMO RULE",IF(COUNT(E7:H7)+COUNTIF(E7:H7,"ABSENT")&lt;4,"MISSING "&amp;TRIM(IF(E7="","GD ","")&amp;IF(F7="","group part ","")&amp;IF(G7="","presentation and defence ","")&amp;IF(H7="","mock","")),IF(COUNTIF(E7:H7,"ABSENT")&gt;0,"ABSENT "&amp;TRIM(IF(E7="ABSENT","GD ","")&amp;IF(F7="ABSENT","group part ","")&amp;IF(G7="ABSENT","presentation and defence ","")&amp;IF(H7="ABSENT","mock","")),"COMPLETE")))))</f>
        <v/>
      </c>
      <c r="M7" s="10" t="n"/>
      <c r="N7" s="11">
        <f>IF(AND(L7&lt;&gt;"COMPLETE",LEFT(L7,6)&lt;&gt;"ABSENT"),A7&amp;", ","")</f>
        <v/>
      </c>
      <c r="O7" s="11">
        <f>IF(LEFT(L7,6)="ABSENT",A7&amp;", ","")</f>
        <v/>
      </c>
    </row>
    <row r="8">
      <c r="A8" s="9" t="inlineStr">
        <is>
          <t>G1-S3</t>
        </is>
      </c>
      <c r="B8" s="9" t="inlineStr">
        <is>
          <t>G1</t>
        </is>
      </c>
      <c r="C8" s="10" t="n"/>
      <c r="D8" s="10" t="n"/>
      <c r="E8" s="10" t="n"/>
      <c r="F8" s="10" t="n"/>
      <c r="G8" s="10" t="n"/>
      <c r="H8" s="10" t="n"/>
      <c r="I8" s="9">
        <f>IF(AND(ISNUMBER(F8),ISNUMBER(G8)),F8+G8,"")</f>
        <v/>
      </c>
      <c r="J8" s="9">
        <f>IF(L8="COMPLETE",E8+F8+G8+H8,"")</f>
        <v/>
      </c>
      <c r="K8" s="9">
        <f>IF(INDEX(Demos!$B$4:$B$12,MATCH(B8,Demos!$A$4:$A$12,0))="","",INDEX(Demos!$B$4:$B$12,MATCH(B8,Demos!$A$4:$A$12,0)))</f>
        <v/>
      </c>
      <c r="L8" s="9">
        <f>IF(OR(AND(E8&lt;&gt;"",NOT(ISNUMBER(E8)),E8&lt;&gt;"ABSENT"),AND(F8&lt;&gt;"",NOT(ISNUMBER(F8)),F8&lt;&gt;"ABSENT"),AND(G8&lt;&gt;"",NOT(ISNUMBER(G8)),G8&lt;&gt;"ABSENT"),AND(H8&lt;&gt;"",NOT(ISNUMBER(H8)),H8&lt;&gt;"ABSENT"),AND(ISNUMBER(E8),E8&lt;0),AND(ISNUMBER(F8),F8&lt;0),AND(ISNUMBER(G8),G8&lt;0),AND(ISNUMBER(H8),H8&lt;0)),"NOT A SCORE",IF(OR(AND(ISNUMBER(E8),E8&gt;E$4),AND(ISNUMBER(F8),F8&gt;F$4),AND(ISNUMBER(G8),G8&gt;G$4),AND(ISNUMBER(H8),H8&gt;H$4)),"OVER MAX",IF(AND(ISNUMBER(G8),K8="still failed: presented from the executed notebook",G8&gt;=$G$4),"DEMO RULE",IF(COUNT(E8:H8)+COUNTIF(E8:H8,"ABSENT")&lt;4,"MISSING "&amp;TRIM(IF(E8="","GD ","")&amp;IF(F8="","group part ","")&amp;IF(G8="","presentation and defence ","")&amp;IF(H8="","mock","")),IF(COUNTIF(E8:H8,"ABSENT")&gt;0,"ABSENT "&amp;TRIM(IF(E8="ABSENT","GD ","")&amp;IF(F8="ABSENT","group part ","")&amp;IF(G8="ABSENT","presentation and defence ","")&amp;IF(H8="ABSENT","mock","")),"COMPLETE")))))</f>
        <v/>
      </c>
      <c r="M8" s="10" t="n"/>
      <c r="N8" s="11">
        <f>IF(AND(L8&lt;&gt;"COMPLETE",LEFT(L8,6)&lt;&gt;"ABSENT"),A8&amp;", ","")</f>
        <v/>
      </c>
      <c r="O8" s="11">
        <f>IF(LEFT(L8,6)="ABSENT",A8&amp;", ","")</f>
        <v/>
      </c>
    </row>
    <row r="9">
      <c r="A9" s="9" t="inlineStr">
        <is>
          <t>G1-S4</t>
        </is>
      </c>
      <c r="B9" s="9" t="inlineStr">
        <is>
          <t>G1</t>
        </is>
      </c>
      <c r="C9" s="10" t="n"/>
      <c r="D9" s="10" t="n"/>
      <c r="E9" s="10" t="n"/>
      <c r="F9" s="10" t="n"/>
      <c r="G9" s="10" t="n"/>
      <c r="H9" s="10" t="n"/>
      <c r="I9" s="9">
        <f>IF(AND(ISNUMBER(F9),ISNUMBER(G9)),F9+G9,"")</f>
        <v/>
      </c>
      <c r="J9" s="9">
        <f>IF(L9="COMPLETE",E9+F9+G9+H9,"")</f>
        <v/>
      </c>
      <c r="K9" s="9">
        <f>IF(INDEX(Demos!$B$4:$B$12,MATCH(B9,Demos!$A$4:$A$12,0))="","",INDEX(Demos!$B$4:$B$12,MATCH(B9,Demos!$A$4:$A$12,0)))</f>
        <v/>
      </c>
      <c r="L9" s="9">
        <f>IF(OR(AND(E9&lt;&gt;"",NOT(ISNUMBER(E9)),E9&lt;&gt;"ABSENT"),AND(F9&lt;&gt;"",NOT(ISNUMBER(F9)),F9&lt;&gt;"ABSENT"),AND(G9&lt;&gt;"",NOT(ISNUMBER(G9)),G9&lt;&gt;"ABSENT"),AND(H9&lt;&gt;"",NOT(ISNUMBER(H9)),H9&lt;&gt;"ABSENT"),AND(ISNUMBER(E9),E9&lt;0),AND(ISNUMBER(F9),F9&lt;0),AND(ISNUMBER(G9),G9&lt;0),AND(ISNUMBER(H9),H9&lt;0)),"NOT A SCORE",IF(OR(AND(ISNUMBER(E9),E9&gt;E$4),AND(ISNUMBER(F9),F9&gt;F$4),AND(ISNUMBER(G9),G9&gt;G$4),AND(ISNUMBER(H9),H9&gt;H$4)),"OVER MAX",IF(AND(ISNUMBER(G9),K9="still failed: presented from the executed notebook",G9&gt;=$G$4),"DEMO RULE",IF(COUNT(E9:H9)+COUNTIF(E9:H9,"ABSENT")&lt;4,"MISSING "&amp;TRIM(IF(E9="","GD ","")&amp;IF(F9="","group part ","")&amp;IF(G9="","presentation and defence ","")&amp;IF(H9="","mock","")),IF(COUNTIF(E9:H9,"ABSENT")&gt;0,"ABSENT "&amp;TRIM(IF(E9="ABSENT","GD ","")&amp;IF(F9="ABSENT","group part ","")&amp;IF(G9="ABSENT","presentation and defence ","")&amp;IF(H9="ABSENT","mock","")),"COMPLETE")))))</f>
        <v/>
      </c>
      <c r="M9" s="10" t="n"/>
      <c r="N9" s="11">
        <f>IF(AND(L9&lt;&gt;"COMPLETE",LEFT(L9,6)&lt;&gt;"ABSENT"),A9&amp;", ","")</f>
        <v/>
      </c>
      <c r="O9" s="11">
        <f>IF(LEFT(L9,6)="ABSENT",A9&amp;", ","")</f>
        <v/>
      </c>
    </row>
    <row r="10">
      <c r="A10" s="9" t="inlineStr">
        <is>
          <t>G2-S1</t>
        </is>
      </c>
      <c r="B10" s="9" t="inlineStr">
        <is>
          <t>G2</t>
        </is>
      </c>
      <c r="C10" s="10" t="n"/>
      <c r="D10" s="10" t="n"/>
      <c r="E10" s="10" t="n"/>
      <c r="F10" s="10" t="n"/>
      <c r="G10" s="10" t="n"/>
      <c r="H10" s="10" t="n"/>
      <c r="I10" s="9">
        <f>IF(AND(ISNUMBER(F10),ISNUMBER(G10)),F10+G10,"")</f>
        <v/>
      </c>
      <c r="J10" s="9">
        <f>IF(L10="COMPLETE",E10+F10+G10+H10,"")</f>
        <v/>
      </c>
      <c r="K10" s="9">
        <f>IF(INDEX(Demos!$B$4:$B$12,MATCH(B10,Demos!$A$4:$A$12,0))="","",INDEX(Demos!$B$4:$B$12,MATCH(B10,Demos!$A$4:$A$12,0)))</f>
        <v/>
      </c>
      <c r="L10" s="9">
        <f>IF(OR(AND(E10&lt;&gt;"",NOT(ISNUMBER(E10)),E10&lt;&gt;"ABSENT"),AND(F10&lt;&gt;"",NOT(ISNUMBER(F10)),F10&lt;&gt;"ABSENT"),AND(G10&lt;&gt;"",NOT(ISNUMBER(G10)),G10&lt;&gt;"ABSENT"),AND(H10&lt;&gt;"",NOT(ISNUMBER(H10)),H10&lt;&gt;"ABSENT"),AND(ISNUMBER(E10),E10&lt;0),AND(ISNUMBER(F10),F10&lt;0),AND(ISNUMBER(G10),G10&lt;0),AND(ISNUMBER(H10),H10&lt;0)),"NOT A SCORE",IF(OR(AND(ISNUMBER(E10),E10&gt;E$4),AND(ISNUMBER(F10),F10&gt;F$4),AND(ISNUMBER(G10),G10&gt;G$4),AND(ISNUMBER(H10),H10&gt;H$4)),"OVER MAX",IF(AND(ISNUMBER(G10),K10="still failed: presented from the executed notebook",G10&gt;=$G$4),"DEMO RULE",IF(COUNT(E10:H10)+COUNTIF(E10:H10,"ABSENT")&lt;4,"MISSING "&amp;TRIM(IF(E10="","GD ","")&amp;IF(F10="","group part ","")&amp;IF(G10="","presentation and defence ","")&amp;IF(H10="","mock","")),IF(COUNTIF(E10:H10,"ABSENT")&gt;0,"ABSENT "&amp;TRIM(IF(E10="ABSENT","GD ","")&amp;IF(F10="ABSENT","group part ","")&amp;IF(G10="ABSENT","presentation and defence ","")&amp;IF(H10="ABSENT","mock","")),"COMPLETE")))))</f>
        <v/>
      </c>
      <c r="M10" s="10" t="n"/>
      <c r="N10" s="11">
        <f>IF(AND(L10&lt;&gt;"COMPLETE",LEFT(L10,6)&lt;&gt;"ABSENT"),A10&amp;", ","")</f>
        <v/>
      </c>
      <c r="O10" s="11">
        <f>IF(LEFT(L10,6)="ABSENT",A10&amp;", ","")</f>
        <v/>
      </c>
    </row>
    <row r="11">
      <c r="A11" s="9" t="inlineStr">
        <is>
          <t>G2-S2</t>
        </is>
      </c>
      <c r="B11" s="9" t="inlineStr">
        <is>
          <t>G2</t>
        </is>
      </c>
      <c r="C11" s="10" t="n"/>
      <c r="D11" s="10" t="n"/>
      <c r="E11" s="10" t="n"/>
      <c r="F11" s="10" t="n"/>
      <c r="G11" s="10" t="n"/>
      <c r="H11" s="10" t="n"/>
      <c r="I11" s="9">
        <f>IF(AND(ISNUMBER(F11),ISNUMBER(G11)),F11+G11,"")</f>
        <v/>
      </c>
      <c r="J11" s="9">
        <f>IF(L11="COMPLETE",E11+F11+G11+H11,"")</f>
        <v/>
      </c>
      <c r="K11" s="9">
        <f>IF(INDEX(Demos!$B$4:$B$12,MATCH(B11,Demos!$A$4:$A$12,0))="","",INDEX(Demos!$B$4:$B$12,MATCH(B11,Demos!$A$4:$A$12,0)))</f>
        <v/>
      </c>
      <c r="L11" s="9">
        <f>IF(OR(AND(E11&lt;&gt;"",NOT(ISNUMBER(E11)),E11&lt;&gt;"ABSENT"),AND(F11&lt;&gt;"",NOT(ISNUMBER(F11)),F11&lt;&gt;"ABSENT"),AND(G11&lt;&gt;"",NOT(ISNUMBER(G11)),G11&lt;&gt;"ABSENT"),AND(H11&lt;&gt;"",NOT(ISNUMBER(H11)),H11&lt;&gt;"ABSENT"),AND(ISNUMBER(E11),E11&lt;0),AND(ISNUMBER(F11),F11&lt;0),AND(ISNUMBER(G11),G11&lt;0),AND(ISNUMBER(H11),H11&lt;0)),"NOT A SCORE",IF(OR(AND(ISNUMBER(E11),E11&gt;E$4),AND(ISNUMBER(F11),F11&gt;F$4),AND(ISNUMBER(G11),G11&gt;G$4),AND(ISNUMBER(H11),H11&gt;H$4)),"OVER MAX",IF(AND(ISNUMBER(G11),K11="still failed: presented from the executed notebook",G11&gt;=$G$4),"DEMO RULE",IF(COUNT(E11:H11)+COUNTIF(E11:H11,"ABSENT")&lt;4,"MISSING "&amp;TRIM(IF(E11="","GD ","")&amp;IF(F11="","group part ","")&amp;IF(G11="","presentation and defence ","")&amp;IF(H11="","mock","")),IF(COUNTIF(E11:H11,"ABSENT")&gt;0,"ABSENT "&amp;TRIM(IF(E11="ABSENT","GD ","")&amp;IF(F11="ABSENT","group part ","")&amp;IF(G11="ABSENT","presentation and defence ","")&amp;IF(H11="ABSENT","mock","")),"COMPLETE")))))</f>
        <v/>
      </c>
      <c r="M11" s="10" t="n"/>
      <c r="N11" s="11">
        <f>IF(AND(L11&lt;&gt;"COMPLETE",LEFT(L11,6)&lt;&gt;"ABSENT"),A11&amp;", ","")</f>
        <v/>
      </c>
      <c r="O11" s="11">
        <f>IF(LEFT(L11,6)="ABSENT",A11&amp;", ","")</f>
        <v/>
      </c>
    </row>
    <row r="12">
      <c r="A12" s="9" t="inlineStr">
        <is>
          <t>G2-S3</t>
        </is>
      </c>
      <c r="B12" s="9" t="inlineStr">
        <is>
          <t>G2</t>
        </is>
      </c>
      <c r="C12" s="10" t="n"/>
      <c r="D12" s="10" t="n"/>
      <c r="E12" s="10" t="n"/>
      <c r="F12" s="10" t="n"/>
      <c r="G12" s="10" t="n"/>
      <c r="H12" s="10" t="n"/>
      <c r="I12" s="9">
        <f>IF(AND(ISNUMBER(F12),ISNUMBER(G12)),F12+G12,"")</f>
        <v/>
      </c>
      <c r="J12" s="9">
        <f>IF(L12="COMPLETE",E12+F12+G12+H12,"")</f>
        <v/>
      </c>
      <c r="K12" s="9">
        <f>IF(INDEX(Demos!$B$4:$B$12,MATCH(B12,Demos!$A$4:$A$12,0))="","",INDEX(Demos!$B$4:$B$12,MATCH(B12,Demos!$A$4:$A$12,0)))</f>
        <v/>
      </c>
      <c r="L12" s="9">
        <f>IF(OR(AND(E12&lt;&gt;"",NOT(ISNUMBER(E12)),E12&lt;&gt;"ABSENT"),AND(F12&lt;&gt;"",NOT(ISNUMBER(F12)),F12&lt;&gt;"ABSENT"),AND(G12&lt;&gt;"",NOT(ISNUMBER(G12)),G12&lt;&gt;"ABSENT"),AND(H12&lt;&gt;"",NOT(ISNUMBER(H12)),H12&lt;&gt;"ABSENT"),AND(ISNUMBER(E12),E12&lt;0),AND(ISNUMBER(F12),F12&lt;0),AND(ISNUMBER(G12),G12&lt;0),AND(ISNUMBER(H12),H12&lt;0)),"NOT A SCORE",IF(OR(AND(ISNUMBER(E12),E12&gt;E$4),AND(ISNUMBER(F12),F12&gt;F$4),AND(ISNUMBER(G12),G12&gt;G$4),AND(ISNUMBER(H12),H12&gt;H$4)),"OVER MAX",IF(AND(ISNUMBER(G12),K12="still failed: presented from the executed notebook",G12&gt;=$G$4),"DEMO RULE",IF(COUNT(E12:H12)+COUNTIF(E12:H12,"ABSENT")&lt;4,"MISSING "&amp;TRIM(IF(E12="","GD ","")&amp;IF(F12="","group part ","")&amp;IF(G12="","presentation and defence ","")&amp;IF(H12="","mock","")),IF(COUNTIF(E12:H12,"ABSENT")&gt;0,"ABSENT "&amp;TRIM(IF(E12="ABSENT","GD ","")&amp;IF(F12="ABSENT","group part ","")&amp;IF(G12="ABSENT","presentation and defence ","")&amp;IF(H12="ABSENT","mock","")),"COMPLETE")))))</f>
        <v/>
      </c>
      <c r="M12" s="10" t="n"/>
      <c r="N12" s="11">
        <f>IF(AND(L12&lt;&gt;"COMPLETE",LEFT(L12,6)&lt;&gt;"ABSENT"),A12&amp;", ","")</f>
        <v/>
      </c>
      <c r="O12" s="11">
        <f>IF(LEFT(L12,6)="ABSENT",A12&amp;", ","")</f>
        <v/>
      </c>
    </row>
    <row r="13">
      <c r="A13" s="9" t="inlineStr">
        <is>
          <t>G2-S4</t>
        </is>
      </c>
      <c r="B13" s="9" t="inlineStr">
        <is>
          <t>G2</t>
        </is>
      </c>
      <c r="C13" s="10" t="n"/>
      <c r="D13" s="10" t="n"/>
      <c r="E13" s="10" t="n"/>
      <c r="F13" s="10" t="n"/>
      <c r="G13" s="10" t="n"/>
      <c r="H13" s="10" t="n"/>
      <c r="I13" s="9">
        <f>IF(AND(ISNUMBER(F13),ISNUMBER(G13)),F13+G13,"")</f>
        <v/>
      </c>
      <c r="J13" s="9">
        <f>IF(L13="COMPLETE",E13+F13+G13+H13,"")</f>
        <v/>
      </c>
      <c r="K13" s="9">
        <f>IF(INDEX(Demos!$B$4:$B$12,MATCH(B13,Demos!$A$4:$A$12,0))="","",INDEX(Demos!$B$4:$B$12,MATCH(B13,Demos!$A$4:$A$12,0)))</f>
        <v/>
      </c>
      <c r="L13" s="9">
        <f>IF(OR(AND(E13&lt;&gt;"",NOT(ISNUMBER(E13)),E13&lt;&gt;"ABSENT"),AND(F13&lt;&gt;"",NOT(ISNUMBER(F13)),F13&lt;&gt;"ABSENT"),AND(G13&lt;&gt;"",NOT(ISNUMBER(G13)),G13&lt;&gt;"ABSENT"),AND(H13&lt;&gt;"",NOT(ISNUMBER(H13)),H13&lt;&gt;"ABSENT"),AND(ISNUMBER(E13),E13&lt;0),AND(ISNUMBER(F13),F13&lt;0),AND(ISNUMBER(G13),G13&lt;0),AND(ISNUMBER(H13),H13&lt;0)),"NOT A SCORE",IF(OR(AND(ISNUMBER(E13),E13&gt;E$4),AND(ISNUMBER(F13),F13&gt;F$4),AND(ISNUMBER(G13),G13&gt;G$4),AND(ISNUMBER(H13),H13&gt;H$4)),"OVER MAX",IF(AND(ISNUMBER(G13),K13="still failed: presented from the executed notebook",G13&gt;=$G$4),"DEMO RULE",IF(COUNT(E13:H13)+COUNTIF(E13:H13,"ABSENT")&lt;4,"MISSING "&amp;TRIM(IF(E13="","GD ","")&amp;IF(F13="","group part ","")&amp;IF(G13="","presentation and defence ","")&amp;IF(H13="","mock","")),IF(COUNTIF(E13:H13,"ABSENT")&gt;0,"ABSENT "&amp;TRIM(IF(E13="ABSENT","GD ","")&amp;IF(F13="ABSENT","group part ","")&amp;IF(G13="ABSENT","presentation and defence ","")&amp;IF(H13="ABSENT","mock","")),"COMPLETE")))))</f>
        <v/>
      </c>
      <c r="M13" s="10" t="n"/>
      <c r="N13" s="11">
        <f>IF(AND(L13&lt;&gt;"COMPLETE",LEFT(L13,6)&lt;&gt;"ABSENT"),A13&amp;", ","")</f>
        <v/>
      </c>
      <c r="O13" s="11">
        <f>IF(LEFT(L13,6)="ABSENT",A13&amp;", ","")</f>
        <v/>
      </c>
    </row>
    <row r="14">
      <c r="A14" s="9" t="inlineStr">
        <is>
          <t>G3-S1</t>
        </is>
      </c>
      <c r="B14" s="9" t="inlineStr">
        <is>
          <t>G3</t>
        </is>
      </c>
      <c r="C14" s="10" t="n"/>
      <c r="D14" s="10" t="n"/>
      <c r="E14" s="10" t="n"/>
      <c r="F14" s="10" t="n"/>
      <c r="G14" s="10" t="n"/>
      <c r="H14" s="10" t="n"/>
      <c r="I14" s="9">
        <f>IF(AND(ISNUMBER(F14),ISNUMBER(G14)),F14+G14,"")</f>
        <v/>
      </c>
      <c r="J14" s="9">
        <f>IF(L14="COMPLETE",E14+F14+G14+H14,"")</f>
        <v/>
      </c>
      <c r="K14" s="9">
        <f>IF(INDEX(Demos!$B$4:$B$12,MATCH(B14,Demos!$A$4:$A$12,0))="","",INDEX(Demos!$B$4:$B$12,MATCH(B14,Demos!$A$4:$A$12,0)))</f>
        <v/>
      </c>
      <c r="L14" s="9">
        <f>IF(OR(AND(E14&lt;&gt;"",NOT(ISNUMBER(E14)),E14&lt;&gt;"ABSENT"),AND(F14&lt;&gt;"",NOT(ISNUMBER(F14)),F14&lt;&gt;"ABSENT"),AND(G14&lt;&gt;"",NOT(ISNUMBER(G14)),G14&lt;&gt;"ABSENT"),AND(H14&lt;&gt;"",NOT(ISNUMBER(H14)),H14&lt;&gt;"ABSENT"),AND(ISNUMBER(E14),E14&lt;0),AND(ISNUMBER(F14),F14&lt;0),AND(ISNUMBER(G14),G14&lt;0),AND(ISNUMBER(H14),H14&lt;0)),"NOT A SCORE",IF(OR(AND(ISNUMBER(E14),E14&gt;E$4),AND(ISNUMBER(F14),F14&gt;F$4),AND(ISNUMBER(G14),G14&gt;G$4),AND(ISNUMBER(H14),H14&gt;H$4)),"OVER MAX",IF(AND(ISNUMBER(G14),K14="still failed: presented from the executed notebook",G14&gt;=$G$4),"DEMO RULE",IF(COUNT(E14:H14)+COUNTIF(E14:H14,"ABSENT")&lt;4,"MISSING "&amp;TRIM(IF(E14="","GD ","")&amp;IF(F14="","group part ","")&amp;IF(G14="","presentation and defence ","")&amp;IF(H14="","mock","")),IF(COUNTIF(E14:H14,"ABSENT")&gt;0,"ABSENT "&amp;TRIM(IF(E14="ABSENT","GD ","")&amp;IF(F14="ABSENT","group part ","")&amp;IF(G14="ABSENT","presentation and defence ","")&amp;IF(H14="ABSENT","mock","")),"COMPLETE")))))</f>
        <v/>
      </c>
      <c r="M14" s="10" t="n"/>
      <c r="N14" s="11">
        <f>IF(AND(L14&lt;&gt;"COMPLETE",LEFT(L14,6)&lt;&gt;"ABSENT"),A14&amp;", ","")</f>
        <v/>
      </c>
      <c r="O14" s="11">
        <f>IF(LEFT(L14,6)="ABSENT",A14&amp;", ","")</f>
        <v/>
      </c>
    </row>
    <row r="15">
      <c r="A15" s="9" t="inlineStr">
        <is>
          <t>G3-S2</t>
        </is>
      </c>
      <c r="B15" s="9" t="inlineStr">
        <is>
          <t>G3</t>
        </is>
      </c>
      <c r="C15" s="10" t="n"/>
      <c r="D15" s="10" t="n"/>
      <c r="E15" s="10" t="n"/>
      <c r="F15" s="10" t="n"/>
      <c r="G15" s="10" t="n"/>
      <c r="H15" s="10" t="n"/>
      <c r="I15" s="9">
        <f>IF(AND(ISNUMBER(F15),ISNUMBER(G15)),F15+G15,"")</f>
        <v/>
      </c>
      <c r="J15" s="9">
        <f>IF(L15="COMPLETE",E15+F15+G15+H15,"")</f>
        <v/>
      </c>
      <c r="K15" s="9">
        <f>IF(INDEX(Demos!$B$4:$B$12,MATCH(B15,Demos!$A$4:$A$12,0))="","",INDEX(Demos!$B$4:$B$12,MATCH(B15,Demos!$A$4:$A$12,0)))</f>
        <v/>
      </c>
      <c r="L15" s="9">
        <f>IF(OR(AND(E15&lt;&gt;"",NOT(ISNUMBER(E15)),E15&lt;&gt;"ABSENT"),AND(F15&lt;&gt;"",NOT(ISNUMBER(F15)),F15&lt;&gt;"ABSENT"),AND(G15&lt;&gt;"",NOT(ISNUMBER(G15)),G15&lt;&gt;"ABSENT"),AND(H15&lt;&gt;"",NOT(ISNUMBER(H15)),H15&lt;&gt;"ABSENT"),AND(ISNUMBER(E15),E15&lt;0),AND(ISNUMBER(F15),F15&lt;0),AND(ISNUMBER(G15),G15&lt;0),AND(ISNUMBER(H15),H15&lt;0)),"NOT A SCORE",IF(OR(AND(ISNUMBER(E15),E15&gt;E$4),AND(ISNUMBER(F15),F15&gt;F$4),AND(ISNUMBER(G15),G15&gt;G$4),AND(ISNUMBER(H15),H15&gt;H$4)),"OVER MAX",IF(AND(ISNUMBER(G15),K15="still failed: presented from the executed notebook",G15&gt;=$G$4),"DEMO RULE",IF(COUNT(E15:H15)+COUNTIF(E15:H15,"ABSENT")&lt;4,"MISSING "&amp;TRIM(IF(E15="","GD ","")&amp;IF(F15="","group part ","")&amp;IF(G15="","presentation and defence ","")&amp;IF(H15="","mock","")),IF(COUNTIF(E15:H15,"ABSENT")&gt;0,"ABSENT "&amp;TRIM(IF(E15="ABSENT","GD ","")&amp;IF(F15="ABSENT","group part ","")&amp;IF(G15="ABSENT","presentation and defence ","")&amp;IF(H15="ABSENT","mock","")),"COMPLETE")))))</f>
        <v/>
      </c>
      <c r="M15" s="10" t="n"/>
      <c r="N15" s="11">
        <f>IF(AND(L15&lt;&gt;"COMPLETE",LEFT(L15,6)&lt;&gt;"ABSENT"),A15&amp;", ","")</f>
        <v/>
      </c>
      <c r="O15" s="11">
        <f>IF(LEFT(L15,6)="ABSENT",A15&amp;", ","")</f>
        <v/>
      </c>
    </row>
    <row r="16">
      <c r="A16" s="9" t="inlineStr">
        <is>
          <t>G3-S3</t>
        </is>
      </c>
      <c r="B16" s="9" t="inlineStr">
        <is>
          <t>G3</t>
        </is>
      </c>
      <c r="C16" s="10" t="n"/>
      <c r="D16" s="10" t="n"/>
      <c r="E16" s="10" t="n"/>
      <c r="F16" s="10" t="n"/>
      <c r="G16" s="10" t="n"/>
      <c r="H16" s="10" t="n"/>
      <c r="I16" s="9">
        <f>IF(AND(ISNUMBER(F16),ISNUMBER(G16)),F16+G16,"")</f>
        <v/>
      </c>
      <c r="J16" s="9">
        <f>IF(L16="COMPLETE",E16+F16+G16+H16,"")</f>
        <v/>
      </c>
      <c r="K16" s="9">
        <f>IF(INDEX(Demos!$B$4:$B$12,MATCH(B16,Demos!$A$4:$A$12,0))="","",INDEX(Demos!$B$4:$B$12,MATCH(B16,Demos!$A$4:$A$12,0)))</f>
        <v/>
      </c>
      <c r="L16" s="9">
        <f>IF(OR(AND(E16&lt;&gt;"",NOT(ISNUMBER(E16)),E16&lt;&gt;"ABSENT"),AND(F16&lt;&gt;"",NOT(ISNUMBER(F16)),F16&lt;&gt;"ABSENT"),AND(G16&lt;&gt;"",NOT(ISNUMBER(G16)),G16&lt;&gt;"ABSENT"),AND(H16&lt;&gt;"",NOT(ISNUMBER(H16)),H16&lt;&gt;"ABSENT"),AND(ISNUMBER(E16),E16&lt;0),AND(ISNUMBER(F16),F16&lt;0),AND(ISNUMBER(G16),G16&lt;0),AND(ISNUMBER(H16),H16&lt;0)),"NOT A SCORE",IF(OR(AND(ISNUMBER(E16),E16&gt;E$4),AND(ISNUMBER(F16),F16&gt;F$4),AND(ISNUMBER(G16),G16&gt;G$4),AND(ISNUMBER(H16),H16&gt;H$4)),"OVER MAX",IF(AND(ISNUMBER(G16),K16="still failed: presented from the executed notebook",G16&gt;=$G$4),"DEMO RULE",IF(COUNT(E16:H16)+COUNTIF(E16:H16,"ABSENT")&lt;4,"MISSING "&amp;TRIM(IF(E16="","GD ","")&amp;IF(F16="","group part ","")&amp;IF(G16="","presentation and defence ","")&amp;IF(H16="","mock","")),IF(COUNTIF(E16:H16,"ABSENT")&gt;0,"ABSENT "&amp;TRIM(IF(E16="ABSENT","GD ","")&amp;IF(F16="ABSENT","group part ","")&amp;IF(G16="ABSENT","presentation and defence ","")&amp;IF(H16="ABSENT","mock","")),"COMPLETE")))))</f>
        <v/>
      </c>
      <c r="M16" s="10" t="n"/>
      <c r="N16" s="11">
        <f>IF(AND(L16&lt;&gt;"COMPLETE",LEFT(L16,6)&lt;&gt;"ABSENT"),A16&amp;", ","")</f>
        <v/>
      </c>
      <c r="O16" s="11">
        <f>IF(LEFT(L16,6)="ABSENT",A16&amp;", ","")</f>
        <v/>
      </c>
    </row>
    <row r="17">
      <c r="A17" s="9" t="inlineStr">
        <is>
          <t>G3-S4</t>
        </is>
      </c>
      <c r="B17" s="9" t="inlineStr">
        <is>
          <t>G3</t>
        </is>
      </c>
      <c r="C17" s="10" t="n"/>
      <c r="D17" s="10" t="n"/>
      <c r="E17" s="10" t="n"/>
      <c r="F17" s="10" t="n"/>
      <c r="G17" s="10" t="n"/>
      <c r="H17" s="10" t="n"/>
      <c r="I17" s="9">
        <f>IF(AND(ISNUMBER(F17),ISNUMBER(G17)),F17+G17,"")</f>
        <v/>
      </c>
      <c r="J17" s="9">
        <f>IF(L17="COMPLETE",E17+F17+G17+H17,"")</f>
        <v/>
      </c>
      <c r="K17" s="9">
        <f>IF(INDEX(Demos!$B$4:$B$12,MATCH(B17,Demos!$A$4:$A$12,0))="","",INDEX(Demos!$B$4:$B$12,MATCH(B17,Demos!$A$4:$A$12,0)))</f>
        <v/>
      </c>
      <c r="L17" s="9">
        <f>IF(OR(AND(E17&lt;&gt;"",NOT(ISNUMBER(E17)),E17&lt;&gt;"ABSENT"),AND(F17&lt;&gt;"",NOT(ISNUMBER(F17)),F17&lt;&gt;"ABSENT"),AND(G17&lt;&gt;"",NOT(ISNUMBER(G17)),G17&lt;&gt;"ABSENT"),AND(H17&lt;&gt;"",NOT(ISNUMBER(H17)),H17&lt;&gt;"ABSENT"),AND(ISNUMBER(E17),E17&lt;0),AND(ISNUMBER(F17),F17&lt;0),AND(ISNUMBER(G17),G17&lt;0),AND(ISNUMBER(H17),H17&lt;0)),"NOT A SCORE",IF(OR(AND(ISNUMBER(E17),E17&gt;E$4),AND(ISNUMBER(F17),F17&gt;F$4),AND(ISNUMBER(G17),G17&gt;G$4),AND(ISNUMBER(H17),H17&gt;H$4)),"OVER MAX",IF(AND(ISNUMBER(G17),K17="still failed: presented from the executed notebook",G17&gt;=$G$4),"DEMO RULE",IF(COUNT(E17:H17)+COUNTIF(E17:H17,"ABSENT")&lt;4,"MISSING "&amp;TRIM(IF(E17="","GD ","")&amp;IF(F17="","group part ","")&amp;IF(G17="","presentation and defence ","")&amp;IF(H17="","mock","")),IF(COUNTIF(E17:H17,"ABSENT")&gt;0,"ABSENT "&amp;TRIM(IF(E17="ABSENT","GD ","")&amp;IF(F17="ABSENT","group part ","")&amp;IF(G17="ABSENT","presentation and defence ","")&amp;IF(H17="ABSENT","mock","")),"COMPLETE")))))</f>
        <v/>
      </c>
      <c r="M17" s="10" t="n"/>
      <c r="N17" s="11">
        <f>IF(AND(L17&lt;&gt;"COMPLETE",LEFT(L17,6)&lt;&gt;"ABSENT"),A17&amp;", ","")</f>
        <v/>
      </c>
      <c r="O17" s="11">
        <f>IF(LEFT(L17,6)="ABSENT",A17&amp;", ","")</f>
        <v/>
      </c>
    </row>
    <row r="18">
      <c r="A18" s="9" t="inlineStr">
        <is>
          <t>G4-S1</t>
        </is>
      </c>
      <c r="B18" s="9" t="inlineStr">
        <is>
          <t>G4</t>
        </is>
      </c>
      <c r="C18" s="10" t="n"/>
      <c r="D18" s="10" t="n"/>
      <c r="E18" s="10" t="n"/>
      <c r="F18" s="10" t="n"/>
      <c r="G18" s="10" t="n"/>
      <c r="H18" s="10" t="n"/>
      <c r="I18" s="9">
        <f>IF(AND(ISNUMBER(F18),ISNUMBER(G18)),F18+G18,"")</f>
        <v/>
      </c>
      <c r="J18" s="9">
        <f>IF(L18="COMPLETE",E18+F18+G18+H18,"")</f>
        <v/>
      </c>
      <c r="K18" s="9">
        <f>IF(INDEX(Demos!$B$4:$B$12,MATCH(B18,Demos!$A$4:$A$12,0))="","",INDEX(Demos!$B$4:$B$12,MATCH(B18,Demos!$A$4:$A$12,0)))</f>
        <v/>
      </c>
      <c r="L18" s="9">
        <f>IF(OR(AND(E18&lt;&gt;"",NOT(ISNUMBER(E18)),E18&lt;&gt;"ABSENT"),AND(F18&lt;&gt;"",NOT(ISNUMBER(F18)),F18&lt;&gt;"ABSENT"),AND(G18&lt;&gt;"",NOT(ISNUMBER(G18)),G18&lt;&gt;"ABSENT"),AND(H18&lt;&gt;"",NOT(ISNUMBER(H18)),H18&lt;&gt;"ABSENT"),AND(ISNUMBER(E18),E18&lt;0),AND(ISNUMBER(F18),F18&lt;0),AND(ISNUMBER(G18),G18&lt;0),AND(ISNUMBER(H18),H18&lt;0)),"NOT A SCORE",IF(OR(AND(ISNUMBER(E18),E18&gt;E$4),AND(ISNUMBER(F18),F18&gt;F$4),AND(ISNUMBER(G18),G18&gt;G$4),AND(ISNUMBER(H18),H18&gt;H$4)),"OVER MAX",IF(AND(ISNUMBER(G18),K18="still failed: presented from the executed notebook",G18&gt;=$G$4),"DEMO RULE",IF(COUNT(E18:H18)+COUNTIF(E18:H18,"ABSENT")&lt;4,"MISSING "&amp;TRIM(IF(E18="","GD ","")&amp;IF(F18="","group part ","")&amp;IF(G18="","presentation and defence ","")&amp;IF(H18="","mock","")),IF(COUNTIF(E18:H18,"ABSENT")&gt;0,"ABSENT "&amp;TRIM(IF(E18="ABSENT","GD ","")&amp;IF(F18="ABSENT","group part ","")&amp;IF(G18="ABSENT","presentation and defence ","")&amp;IF(H18="ABSENT","mock","")),"COMPLETE")))))</f>
        <v/>
      </c>
      <c r="M18" s="10" t="n"/>
      <c r="N18" s="11">
        <f>IF(AND(L18&lt;&gt;"COMPLETE",LEFT(L18,6)&lt;&gt;"ABSENT"),A18&amp;", ","")</f>
        <v/>
      </c>
      <c r="O18" s="11">
        <f>IF(LEFT(L18,6)="ABSENT",A18&amp;", ","")</f>
        <v/>
      </c>
    </row>
    <row r="19">
      <c r="A19" s="9" t="inlineStr">
        <is>
          <t>G4-S2</t>
        </is>
      </c>
      <c r="B19" s="9" t="inlineStr">
        <is>
          <t>G4</t>
        </is>
      </c>
      <c r="C19" s="10" t="n"/>
      <c r="D19" s="10" t="n"/>
      <c r="E19" s="10" t="n"/>
      <c r="F19" s="10" t="n"/>
      <c r="G19" s="10" t="n"/>
      <c r="H19" s="10" t="n"/>
      <c r="I19" s="9">
        <f>IF(AND(ISNUMBER(F19),ISNUMBER(G19)),F19+G19,"")</f>
        <v/>
      </c>
      <c r="J19" s="9">
        <f>IF(L19="COMPLETE",E19+F19+G19+H19,"")</f>
        <v/>
      </c>
      <c r="K19" s="9">
        <f>IF(INDEX(Demos!$B$4:$B$12,MATCH(B19,Demos!$A$4:$A$12,0))="","",INDEX(Demos!$B$4:$B$12,MATCH(B19,Demos!$A$4:$A$12,0)))</f>
        <v/>
      </c>
      <c r="L19" s="9">
        <f>IF(OR(AND(E19&lt;&gt;"",NOT(ISNUMBER(E19)),E19&lt;&gt;"ABSENT"),AND(F19&lt;&gt;"",NOT(ISNUMBER(F19)),F19&lt;&gt;"ABSENT"),AND(G19&lt;&gt;"",NOT(ISNUMBER(G19)),G19&lt;&gt;"ABSENT"),AND(H19&lt;&gt;"",NOT(ISNUMBER(H19)),H19&lt;&gt;"ABSENT"),AND(ISNUMBER(E19),E19&lt;0),AND(ISNUMBER(F19),F19&lt;0),AND(ISNUMBER(G19),G19&lt;0),AND(ISNUMBER(H19),H19&lt;0)),"NOT A SCORE",IF(OR(AND(ISNUMBER(E19),E19&gt;E$4),AND(ISNUMBER(F19),F19&gt;F$4),AND(ISNUMBER(G19),G19&gt;G$4),AND(ISNUMBER(H19),H19&gt;H$4)),"OVER MAX",IF(AND(ISNUMBER(G19),K19="still failed: presented from the executed notebook",G19&gt;=$G$4),"DEMO RULE",IF(COUNT(E19:H19)+COUNTIF(E19:H19,"ABSENT")&lt;4,"MISSING "&amp;TRIM(IF(E19="","GD ","")&amp;IF(F19="","group part ","")&amp;IF(G19="","presentation and defence ","")&amp;IF(H19="","mock","")),IF(COUNTIF(E19:H19,"ABSENT")&gt;0,"ABSENT "&amp;TRIM(IF(E19="ABSENT","GD ","")&amp;IF(F19="ABSENT","group part ","")&amp;IF(G19="ABSENT","presentation and defence ","")&amp;IF(H19="ABSENT","mock","")),"COMPLETE")))))</f>
        <v/>
      </c>
      <c r="M19" s="10" t="n"/>
      <c r="N19" s="11">
        <f>IF(AND(L19&lt;&gt;"COMPLETE",LEFT(L19,6)&lt;&gt;"ABSENT"),A19&amp;", ","")</f>
        <v/>
      </c>
      <c r="O19" s="11">
        <f>IF(LEFT(L19,6)="ABSENT",A19&amp;", ","")</f>
        <v/>
      </c>
    </row>
    <row r="20">
      <c r="A20" s="9" t="inlineStr">
        <is>
          <t>G4-S3</t>
        </is>
      </c>
      <c r="B20" s="9" t="inlineStr">
        <is>
          <t>G4</t>
        </is>
      </c>
      <c r="C20" s="10" t="n"/>
      <c r="D20" s="10" t="n"/>
      <c r="E20" s="10" t="n"/>
      <c r="F20" s="10" t="n"/>
      <c r="G20" s="10" t="n"/>
      <c r="H20" s="10" t="n"/>
      <c r="I20" s="9">
        <f>IF(AND(ISNUMBER(F20),ISNUMBER(G20)),F20+G20,"")</f>
        <v/>
      </c>
      <c r="J20" s="9">
        <f>IF(L20="COMPLETE",E20+F20+G20+H20,"")</f>
        <v/>
      </c>
      <c r="K20" s="9">
        <f>IF(INDEX(Demos!$B$4:$B$12,MATCH(B20,Demos!$A$4:$A$12,0))="","",INDEX(Demos!$B$4:$B$12,MATCH(B20,Demos!$A$4:$A$12,0)))</f>
        <v/>
      </c>
      <c r="L20" s="9">
        <f>IF(OR(AND(E20&lt;&gt;"",NOT(ISNUMBER(E20)),E20&lt;&gt;"ABSENT"),AND(F20&lt;&gt;"",NOT(ISNUMBER(F20)),F20&lt;&gt;"ABSENT"),AND(G20&lt;&gt;"",NOT(ISNUMBER(G20)),G20&lt;&gt;"ABSENT"),AND(H20&lt;&gt;"",NOT(ISNUMBER(H20)),H20&lt;&gt;"ABSENT"),AND(ISNUMBER(E20),E20&lt;0),AND(ISNUMBER(F20),F20&lt;0),AND(ISNUMBER(G20),G20&lt;0),AND(ISNUMBER(H20),H20&lt;0)),"NOT A SCORE",IF(OR(AND(ISNUMBER(E20),E20&gt;E$4),AND(ISNUMBER(F20),F20&gt;F$4),AND(ISNUMBER(G20),G20&gt;G$4),AND(ISNUMBER(H20),H20&gt;H$4)),"OVER MAX",IF(AND(ISNUMBER(G20),K20="still failed: presented from the executed notebook",G20&gt;=$G$4),"DEMO RULE",IF(COUNT(E20:H20)+COUNTIF(E20:H20,"ABSENT")&lt;4,"MISSING "&amp;TRIM(IF(E20="","GD ","")&amp;IF(F20="","group part ","")&amp;IF(G20="","presentation and defence ","")&amp;IF(H20="","mock","")),IF(COUNTIF(E20:H20,"ABSENT")&gt;0,"ABSENT "&amp;TRIM(IF(E20="ABSENT","GD ","")&amp;IF(F20="ABSENT","group part ","")&amp;IF(G20="ABSENT","presentation and defence ","")&amp;IF(H20="ABSENT","mock","")),"COMPLETE")))))</f>
        <v/>
      </c>
      <c r="M20" s="10" t="n"/>
      <c r="N20" s="11">
        <f>IF(AND(L20&lt;&gt;"COMPLETE",LEFT(L20,6)&lt;&gt;"ABSENT"),A20&amp;", ","")</f>
        <v/>
      </c>
      <c r="O20" s="11">
        <f>IF(LEFT(L20,6)="ABSENT",A20&amp;", ","")</f>
        <v/>
      </c>
    </row>
    <row r="21">
      <c r="A21" s="9" t="inlineStr">
        <is>
          <t>G4-S4</t>
        </is>
      </c>
      <c r="B21" s="9" t="inlineStr">
        <is>
          <t>G4</t>
        </is>
      </c>
      <c r="C21" s="10" t="n"/>
      <c r="D21" s="10" t="n"/>
      <c r="E21" s="10" t="n"/>
      <c r="F21" s="10" t="n"/>
      <c r="G21" s="10" t="n"/>
      <c r="H21" s="10" t="n"/>
      <c r="I21" s="9">
        <f>IF(AND(ISNUMBER(F21),ISNUMBER(G21)),F21+G21,"")</f>
        <v/>
      </c>
      <c r="J21" s="9">
        <f>IF(L21="COMPLETE",E21+F21+G21+H21,"")</f>
        <v/>
      </c>
      <c r="K21" s="9">
        <f>IF(INDEX(Demos!$B$4:$B$12,MATCH(B21,Demos!$A$4:$A$12,0))="","",INDEX(Demos!$B$4:$B$12,MATCH(B21,Demos!$A$4:$A$12,0)))</f>
        <v/>
      </c>
      <c r="L21" s="9">
        <f>IF(OR(AND(E21&lt;&gt;"",NOT(ISNUMBER(E21)),E21&lt;&gt;"ABSENT"),AND(F21&lt;&gt;"",NOT(ISNUMBER(F21)),F21&lt;&gt;"ABSENT"),AND(G21&lt;&gt;"",NOT(ISNUMBER(G21)),G21&lt;&gt;"ABSENT"),AND(H21&lt;&gt;"",NOT(ISNUMBER(H21)),H21&lt;&gt;"ABSENT"),AND(ISNUMBER(E21),E21&lt;0),AND(ISNUMBER(F21),F21&lt;0),AND(ISNUMBER(G21),G21&lt;0),AND(ISNUMBER(H21),H21&lt;0)),"NOT A SCORE",IF(OR(AND(ISNUMBER(E21),E21&gt;E$4),AND(ISNUMBER(F21),F21&gt;F$4),AND(ISNUMBER(G21),G21&gt;G$4),AND(ISNUMBER(H21),H21&gt;H$4)),"OVER MAX",IF(AND(ISNUMBER(G21),K21="still failed: presented from the executed notebook",G21&gt;=$G$4),"DEMO RULE",IF(COUNT(E21:H21)+COUNTIF(E21:H21,"ABSENT")&lt;4,"MISSING "&amp;TRIM(IF(E21="","GD ","")&amp;IF(F21="","group part ","")&amp;IF(G21="","presentation and defence ","")&amp;IF(H21="","mock","")),IF(COUNTIF(E21:H21,"ABSENT")&gt;0,"ABSENT "&amp;TRIM(IF(E21="ABSENT","GD ","")&amp;IF(F21="ABSENT","group part ","")&amp;IF(G21="ABSENT","presentation and defence ","")&amp;IF(H21="ABSENT","mock","")),"COMPLETE")))))</f>
        <v/>
      </c>
      <c r="M21" s="10" t="n"/>
      <c r="N21" s="11">
        <f>IF(AND(L21&lt;&gt;"COMPLETE",LEFT(L21,6)&lt;&gt;"ABSENT"),A21&amp;", ","")</f>
        <v/>
      </c>
      <c r="O21" s="11">
        <f>IF(LEFT(L21,6)="ABSENT",A21&amp;", ","")</f>
        <v/>
      </c>
    </row>
    <row r="22">
      <c r="A22" s="9" t="inlineStr">
        <is>
          <t>G5-S1</t>
        </is>
      </c>
      <c r="B22" s="9" t="inlineStr">
        <is>
          <t>G5</t>
        </is>
      </c>
      <c r="C22" s="10" t="n"/>
      <c r="D22" s="10" t="n"/>
      <c r="E22" s="10" t="n"/>
      <c r="F22" s="10" t="n"/>
      <c r="G22" s="10" t="n"/>
      <c r="H22" s="10" t="n"/>
      <c r="I22" s="9">
        <f>IF(AND(ISNUMBER(F22),ISNUMBER(G22)),F22+G22,"")</f>
        <v/>
      </c>
      <c r="J22" s="9">
        <f>IF(L22="COMPLETE",E22+F22+G22+H22,"")</f>
        <v/>
      </c>
      <c r="K22" s="9">
        <f>IF(INDEX(Demos!$B$4:$B$12,MATCH(B22,Demos!$A$4:$A$12,0))="","",INDEX(Demos!$B$4:$B$12,MATCH(B22,Demos!$A$4:$A$12,0)))</f>
        <v/>
      </c>
      <c r="L22" s="9">
        <f>IF(OR(AND(E22&lt;&gt;"",NOT(ISNUMBER(E22)),E22&lt;&gt;"ABSENT"),AND(F22&lt;&gt;"",NOT(ISNUMBER(F22)),F22&lt;&gt;"ABSENT"),AND(G22&lt;&gt;"",NOT(ISNUMBER(G22)),G22&lt;&gt;"ABSENT"),AND(H22&lt;&gt;"",NOT(ISNUMBER(H22)),H22&lt;&gt;"ABSENT"),AND(ISNUMBER(E22),E22&lt;0),AND(ISNUMBER(F22),F22&lt;0),AND(ISNUMBER(G22),G22&lt;0),AND(ISNUMBER(H22),H22&lt;0)),"NOT A SCORE",IF(OR(AND(ISNUMBER(E22),E22&gt;E$4),AND(ISNUMBER(F22),F22&gt;F$4),AND(ISNUMBER(G22),G22&gt;G$4),AND(ISNUMBER(H22),H22&gt;H$4)),"OVER MAX",IF(AND(ISNUMBER(G22),K22="still failed: presented from the executed notebook",G22&gt;=$G$4),"DEMO RULE",IF(COUNT(E22:H22)+COUNTIF(E22:H22,"ABSENT")&lt;4,"MISSING "&amp;TRIM(IF(E22="","GD ","")&amp;IF(F22="","group part ","")&amp;IF(G22="","presentation and defence ","")&amp;IF(H22="","mock","")),IF(COUNTIF(E22:H22,"ABSENT")&gt;0,"ABSENT "&amp;TRIM(IF(E22="ABSENT","GD ","")&amp;IF(F22="ABSENT","group part ","")&amp;IF(G22="ABSENT","presentation and defence ","")&amp;IF(H22="ABSENT","mock","")),"COMPLETE")))))</f>
        <v/>
      </c>
      <c r="M22" s="10" t="n"/>
      <c r="N22" s="11">
        <f>IF(AND(L22&lt;&gt;"COMPLETE",LEFT(L22,6)&lt;&gt;"ABSENT"),A22&amp;", ","")</f>
        <v/>
      </c>
      <c r="O22" s="11">
        <f>IF(LEFT(L22,6)="ABSENT",A22&amp;", ","")</f>
        <v/>
      </c>
    </row>
    <row r="23">
      <c r="A23" s="9" t="inlineStr">
        <is>
          <t>G5-S2</t>
        </is>
      </c>
      <c r="B23" s="9" t="inlineStr">
        <is>
          <t>G5</t>
        </is>
      </c>
      <c r="C23" s="10" t="n"/>
      <c r="D23" s="10" t="n"/>
      <c r="E23" s="10" t="n"/>
      <c r="F23" s="10" t="n"/>
      <c r="G23" s="10" t="n"/>
      <c r="H23" s="10" t="n"/>
      <c r="I23" s="9">
        <f>IF(AND(ISNUMBER(F23),ISNUMBER(G23)),F23+G23,"")</f>
        <v/>
      </c>
      <c r="J23" s="9">
        <f>IF(L23="COMPLETE",E23+F23+G23+H23,"")</f>
        <v/>
      </c>
      <c r="K23" s="9">
        <f>IF(INDEX(Demos!$B$4:$B$12,MATCH(B23,Demos!$A$4:$A$12,0))="","",INDEX(Demos!$B$4:$B$12,MATCH(B23,Demos!$A$4:$A$12,0)))</f>
        <v/>
      </c>
      <c r="L23" s="9">
        <f>IF(OR(AND(E23&lt;&gt;"",NOT(ISNUMBER(E23)),E23&lt;&gt;"ABSENT"),AND(F23&lt;&gt;"",NOT(ISNUMBER(F23)),F23&lt;&gt;"ABSENT"),AND(G23&lt;&gt;"",NOT(ISNUMBER(G23)),G23&lt;&gt;"ABSENT"),AND(H23&lt;&gt;"",NOT(ISNUMBER(H23)),H23&lt;&gt;"ABSENT"),AND(ISNUMBER(E23),E23&lt;0),AND(ISNUMBER(F23),F23&lt;0),AND(ISNUMBER(G23),G23&lt;0),AND(ISNUMBER(H23),H23&lt;0)),"NOT A SCORE",IF(OR(AND(ISNUMBER(E23),E23&gt;E$4),AND(ISNUMBER(F23),F23&gt;F$4),AND(ISNUMBER(G23),G23&gt;G$4),AND(ISNUMBER(H23),H23&gt;H$4)),"OVER MAX",IF(AND(ISNUMBER(G23),K23="still failed: presented from the executed notebook",G23&gt;=$G$4),"DEMO RULE",IF(COUNT(E23:H23)+COUNTIF(E23:H23,"ABSENT")&lt;4,"MISSING "&amp;TRIM(IF(E23="","GD ","")&amp;IF(F23="","group part ","")&amp;IF(G23="","presentation and defence ","")&amp;IF(H23="","mock","")),IF(COUNTIF(E23:H23,"ABSENT")&gt;0,"ABSENT "&amp;TRIM(IF(E23="ABSENT","GD ","")&amp;IF(F23="ABSENT","group part ","")&amp;IF(G23="ABSENT","presentation and defence ","")&amp;IF(H23="ABSENT","mock","")),"COMPLETE")))))</f>
        <v/>
      </c>
      <c r="M23" s="10" t="n"/>
      <c r="N23" s="11">
        <f>IF(AND(L23&lt;&gt;"COMPLETE",LEFT(L23,6)&lt;&gt;"ABSENT"),A23&amp;", ","")</f>
        <v/>
      </c>
      <c r="O23" s="11">
        <f>IF(LEFT(L23,6)="ABSENT",A23&amp;", ","")</f>
        <v/>
      </c>
    </row>
    <row r="24">
      <c r="A24" s="9" t="inlineStr">
        <is>
          <t>G5-S3</t>
        </is>
      </c>
      <c r="B24" s="9" t="inlineStr">
        <is>
          <t>G5</t>
        </is>
      </c>
      <c r="C24" s="10" t="n"/>
      <c r="D24" s="10" t="n"/>
      <c r="E24" s="10" t="n"/>
      <c r="F24" s="10" t="n"/>
      <c r="G24" s="10" t="n"/>
      <c r="H24" s="10" t="n"/>
      <c r="I24" s="9">
        <f>IF(AND(ISNUMBER(F24),ISNUMBER(G24)),F24+G24,"")</f>
        <v/>
      </c>
      <c r="J24" s="9">
        <f>IF(L24="COMPLETE",E24+F24+G24+H24,"")</f>
        <v/>
      </c>
      <c r="K24" s="9">
        <f>IF(INDEX(Demos!$B$4:$B$12,MATCH(B24,Demos!$A$4:$A$12,0))="","",INDEX(Demos!$B$4:$B$12,MATCH(B24,Demos!$A$4:$A$12,0)))</f>
        <v/>
      </c>
      <c r="L24" s="9">
        <f>IF(OR(AND(E24&lt;&gt;"",NOT(ISNUMBER(E24)),E24&lt;&gt;"ABSENT"),AND(F24&lt;&gt;"",NOT(ISNUMBER(F24)),F24&lt;&gt;"ABSENT"),AND(G24&lt;&gt;"",NOT(ISNUMBER(G24)),G24&lt;&gt;"ABSENT"),AND(H24&lt;&gt;"",NOT(ISNUMBER(H24)),H24&lt;&gt;"ABSENT"),AND(ISNUMBER(E24),E24&lt;0),AND(ISNUMBER(F24),F24&lt;0),AND(ISNUMBER(G24),G24&lt;0),AND(ISNUMBER(H24),H24&lt;0)),"NOT A SCORE",IF(OR(AND(ISNUMBER(E24),E24&gt;E$4),AND(ISNUMBER(F24),F24&gt;F$4),AND(ISNUMBER(G24),G24&gt;G$4),AND(ISNUMBER(H24),H24&gt;H$4)),"OVER MAX",IF(AND(ISNUMBER(G24),K24="still failed: presented from the executed notebook",G24&gt;=$G$4),"DEMO RULE",IF(COUNT(E24:H24)+COUNTIF(E24:H24,"ABSENT")&lt;4,"MISSING "&amp;TRIM(IF(E24="","GD ","")&amp;IF(F24="","group part ","")&amp;IF(G24="","presentation and defence ","")&amp;IF(H24="","mock","")),IF(COUNTIF(E24:H24,"ABSENT")&gt;0,"ABSENT "&amp;TRIM(IF(E24="ABSENT","GD ","")&amp;IF(F24="ABSENT","group part ","")&amp;IF(G24="ABSENT","presentation and defence ","")&amp;IF(H24="ABSENT","mock","")),"COMPLETE")))))</f>
        <v/>
      </c>
      <c r="M24" s="10" t="n"/>
      <c r="N24" s="11">
        <f>IF(AND(L24&lt;&gt;"COMPLETE",LEFT(L24,6)&lt;&gt;"ABSENT"),A24&amp;", ","")</f>
        <v/>
      </c>
      <c r="O24" s="11">
        <f>IF(LEFT(L24,6)="ABSENT",A24&amp;", ","")</f>
        <v/>
      </c>
    </row>
    <row r="25">
      <c r="A25" s="9" t="inlineStr">
        <is>
          <t>G5-S4</t>
        </is>
      </c>
      <c r="B25" s="9" t="inlineStr">
        <is>
          <t>G5</t>
        </is>
      </c>
      <c r="C25" s="10" t="n"/>
      <c r="D25" s="10" t="n"/>
      <c r="E25" s="10" t="n"/>
      <c r="F25" s="10" t="n"/>
      <c r="G25" s="10" t="n"/>
      <c r="H25" s="10" t="n"/>
      <c r="I25" s="9">
        <f>IF(AND(ISNUMBER(F25),ISNUMBER(G25)),F25+G25,"")</f>
        <v/>
      </c>
      <c r="J25" s="9">
        <f>IF(L25="COMPLETE",E25+F25+G25+H25,"")</f>
        <v/>
      </c>
      <c r="K25" s="9">
        <f>IF(INDEX(Demos!$B$4:$B$12,MATCH(B25,Demos!$A$4:$A$12,0))="","",INDEX(Demos!$B$4:$B$12,MATCH(B25,Demos!$A$4:$A$12,0)))</f>
        <v/>
      </c>
      <c r="L25" s="9">
        <f>IF(OR(AND(E25&lt;&gt;"",NOT(ISNUMBER(E25)),E25&lt;&gt;"ABSENT"),AND(F25&lt;&gt;"",NOT(ISNUMBER(F25)),F25&lt;&gt;"ABSENT"),AND(G25&lt;&gt;"",NOT(ISNUMBER(G25)),G25&lt;&gt;"ABSENT"),AND(H25&lt;&gt;"",NOT(ISNUMBER(H25)),H25&lt;&gt;"ABSENT"),AND(ISNUMBER(E25),E25&lt;0),AND(ISNUMBER(F25),F25&lt;0),AND(ISNUMBER(G25),G25&lt;0),AND(ISNUMBER(H25),H25&lt;0)),"NOT A SCORE",IF(OR(AND(ISNUMBER(E25),E25&gt;E$4),AND(ISNUMBER(F25),F25&gt;F$4),AND(ISNUMBER(G25),G25&gt;G$4),AND(ISNUMBER(H25),H25&gt;H$4)),"OVER MAX",IF(AND(ISNUMBER(G25),K25="still failed: presented from the executed notebook",G25&gt;=$G$4),"DEMO RULE",IF(COUNT(E25:H25)+COUNTIF(E25:H25,"ABSENT")&lt;4,"MISSING "&amp;TRIM(IF(E25="","GD ","")&amp;IF(F25="","group part ","")&amp;IF(G25="","presentation and defence ","")&amp;IF(H25="","mock","")),IF(COUNTIF(E25:H25,"ABSENT")&gt;0,"ABSENT "&amp;TRIM(IF(E25="ABSENT","GD ","")&amp;IF(F25="ABSENT","group part ","")&amp;IF(G25="ABSENT","presentation and defence ","")&amp;IF(H25="ABSENT","mock","")),"COMPLETE")))))</f>
        <v/>
      </c>
      <c r="M25" s="10" t="n"/>
      <c r="N25" s="11">
        <f>IF(AND(L25&lt;&gt;"COMPLETE",LEFT(L25,6)&lt;&gt;"ABSENT"),A25&amp;", ","")</f>
        <v/>
      </c>
      <c r="O25" s="11">
        <f>IF(LEFT(L25,6)="ABSENT",A25&amp;", ","")</f>
        <v/>
      </c>
    </row>
    <row r="26">
      <c r="A26" s="9" t="inlineStr">
        <is>
          <t>G6-S1</t>
        </is>
      </c>
      <c r="B26" s="9" t="inlineStr">
        <is>
          <t>G6</t>
        </is>
      </c>
      <c r="C26" s="10" t="n"/>
      <c r="D26" s="10" t="n"/>
      <c r="E26" s="10" t="n"/>
      <c r="F26" s="10" t="n"/>
      <c r="G26" s="10" t="n"/>
      <c r="H26" s="10" t="n"/>
      <c r="I26" s="9">
        <f>IF(AND(ISNUMBER(F26),ISNUMBER(G26)),F26+G26,"")</f>
        <v/>
      </c>
      <c r="J26" s="9">
        <f>IF(L26="COMPLETE",E26+F26+G26+H26,"")</f>
        <v/>
      </c>
      <c r="K26" s="9">
        <f>IF(INDEX(Demos!$B$4:$B$12,MATCH(B26,Demos!$A$4:$A$12,0))="","",INDEX(Demos!$B$4:$B$12,MATCH(B26,Demos!$A$4:$A$12,0)))</f>
        <v/>
      </c>
      <c r="L26" s="9">
        <f>IF(OR(AND(E26&lt;&gt;"",NOT(ISNUMBER(E26)),E26&lt;&gt;"ABSENT"),AND(F26&lt;&gt;"",NOT(ISNUMBER(F26)),F26&lt;&gt;"ABSENT"),AND(G26&lt;&gt;"",NOT(ISNUMBER(G26)),G26&lt;&gt;"ABSENT"),AND(H26&lt;&gt;"",NOT(ISNUMBER(H26)),H26&lt;&gt;"ABSENT"),AND(ISNUMBER(E26),E26&lt;0),AND(ISNUMBER(F26),F26&lt;0),AND(ISNUMBER(G26),G26&lt;0),AND(ISNUMBER(H26),H26&lt;0)),"NOT A SCORE",IF(OR(AND(ISNUMBER(E26),E26&gt;E$4),AND(ISNUMBER(F26),F26&gt;F$4),AND(ISNUMBER(G26),G26&gt;G$4),AND(ISNUMBER(H26),H26&gt;H$4)),"OVER MAX",IF(AND(ISNUMBER(G26),K26="still failed: presented from the executed notebook",G26&gt;=$G$4),"DEMO RULE",IF(COUNT(E26:H26)+COUNTIF(E26:H26,"ABSENT")&lt;4,"MISSING "&amp;TRIM(IF(E26="","GD ","")&amp;IF(F26="","group part ","")&amp;IF(G26="","presentation and defence ","")&amp;IF(H26="","mock","")),IF(COUNTIF(E26:H26,"ABSENT")&gt;0,"ABSENT "&amp;TRIM(IF(E26="ABSENT","GD ","")&amp;IF(F26="ABSENT","group part ","")&amp;IF(G26="ABSENT","presentation and defence ","")&amp;IF(H26="ABSENT","mock","")),"COMPLETE")))))</f>
        <v/>
      </c>
      <c r="M26" s="10" t="n"/>
      <c r="N26" s="11">
        <f>IF(AND(L26&lt;&gt;"COMPLETE",LEFT(L26,6)&lt;&gt;"ABSENT"),A26&amp;", ","")</f>
        <v/>
      </c>
      <c r="O26" s="11">
        <f>IF(LEFT(L26,6)="ABSENT",A26&amp;", ","")</f>
        <v/>
      </c>
    </row>
    <row r="27">
      <c r="A27" s="9" t="inlineStr">
        <is>
          <t>G6-S2</t>
        </is>
      </c>
      <c r="B27" s="9" t="inlineStr">
        <is>
          <t>G6</t>
        </is>
      </c>
      <c r="C27" s="10" t="n"/>
      <c r="D27" s="10" t="n"/>
      <c r="E27" s="10" t="n"/>
      <c r="F27" s="10" t="n"/>
      <c r="G27" s="10" t="n"/>
      <c r="H27" s="10" t="n"/>
      <c r="I27" s="9">
        <f>IF(AND(ISNUMBER(F27),ISNUMBER(G27)),F27+G27,"")</f>
        <v/>
      </c>
      <c r="J27" s="9">
        <f>IF(L27="COMPLETE",E27+F27+G27+H27,"")</f>
        <v/>
      </c>
      <c r="K27" s="9">
        <f>IF(INDEX(Demos!$B$4:$B$12,MATCH(B27,Demos!$A$4:$A$12,0))="","",INDEX(Demos!$B$4:$B$12,MATCH(B27,Demos!$A$4:$A$12,0)))</f>
        <v/>
      </c>
      <c r="L27" s="9">
        <f>IF(OR(AND(E27&lt;&gt;"",NOT(ISNUMBER(E27)),E27&lt;&gt;"ABSENT"),AND(F27&lt;&gt;"",NOT(ISNUMBER(F27)),F27&lt;&gt;"ABSENT"),AND(G27&lt;&gt;"",NOT(ISNUMBER(G27)),G27&lt;&gt;"ABSENT"),AND(H27&lt;&gt;"",NOT(ISNUMBER(H27)),H27&lt;&gt;"ABSENT"),AND(ISNUMBER(E27),E27&lt;0),AND(ISNUMBER(F27),F27&lt;0),AND(ISNUMBER(G27),G27&lt;0),AND(ISNUMBER(H27),H27&lt;0)),"NOT A SCORE",IF(OR(AND(ISNUMBER(E27),E27&gt;E$4),AND(ISNUMBER(F27),F27&gt;F$4),AND(ISNUMBER(G27),G27&gt;G$4),AND(ISNUMBER(H27),H27&gt;H$4)),"OVER MAX",IF(AND(ISNUMBER(G27),K27="still failed: presented from the executed notebook",G27&gt;=$G$4),"DEMO RULE",IF(COUNT(E27:H27)+COUNTIF(E27:H27,"ABSENT")&lt;4,"MISSING "&amp;TRIM(IF(E27="","GD ","")&amp;IF(F27="","group part ","")&amp;IF(G27="","presentation and defence ","")&amp;IF(H27="","mock","")),IF(COUNTIF(E27:H27,"ABSENT")&gt;0,"ABSENT "&amp;TRIM(IF(E27="ABSENT","GD ","")&amp;IF(F27="ABSENT","group part ","")&amp;IF(G27="ABSENT","presentation and defence ","")&amp;IF(H27="ABSENT","mock","")),"COMPLETE")))))</f>
        <v/>
      </c>
      <c r="M27" s="10" t="n"/>
      <c r="N27" s="11">
        <f>IF(AND(L27&lt;&gt;"COMPLETE",LEFT(L27,6)&lt;&gt;"ABSENT"),A27&amp;", ","")</f>
        <v/>
      </c>
      <c r="O27" s="11">
        <f>IF(LEFT(L27,6)="ABSENT",A27&amp;", ","")</f>
        <v/>
      </c>
    </row>
    <row r="28">
      <c r="A28" s="9" t="inlineStr">
        <is>
          <t>G6-S3</t>
        </is>
      </c>
      <c r="B28" s="9" t="inlineStr">
        <is>
          <t>G6</t>
        </is>
      </c>
      <c r="C28" s="10" t="n"/>
      <c r="D28" s="10" t="n"/>
      <c r="E28" s="10" t="n"/>
      <c r="F28" s="10" t="n"/>
      <c r="G28" s="10" t="n"/>
      <c r="H28" s="10" t="n"/>
      <c r="I28" s="9">
        <f>IF(AND(ISNUMBER(F28),ISNUMBER(G28)),F28+G28,"")</f>
        <v/>
      </c>
      <c r="J28" s="9">
        <f>IF(L28="COMPLETE",E28+F28+G28+H28,"")</f>
        <v/>
      </c>
      <c r="K28" s="9">
        <f>IF(INDEX(Demos!$B$4:$B$12,MATCH(B28,Demos!$A$4:$A$12,0))="","",INDEX(Demos!$B$4:$B$12,MATCH(B28,Demos!$A$4:$A$12,0)))</f>
        <v/>
      </c>
      <c r="L28" s="9">
        <f>IF(OR(AND(E28&lt;&gt;"",NOT(ISNUMBER(E28)),E28&lt;&gt;"ABSENT"),AND(F28&lt;&gt;"",NOT(ISNUMBER(F28)),F28&lt;&gt;"ABSENT"),AND(G28&lt;&gt;"",NOT(ISNUMBER(G28)),G28&lt;&gt;"ABSENT"),AND(H28&lt;&gt;"",NOT(ISNUMBER(H28)),H28&lt;&gt;"ABSENT"),AND(ISNUMBER(E28),E28&lt;0),AND(ISNUMBER(F28),F28&lt;0),AND(ISNUMBER(G28),G28&lt;0),AND(ISNUMBER(H28),H28&lt;0)),"NOT A SCORE",IF(OR(AND(ISNUMBER(E28),E28&gt;E$4),AND(ISNUMBER(F28),F28&gt;F$4),AND(ISNUMBER(G28),G28&gt;G$4),AND(ISNUMBER(H28),H28&gt;H$4)),"OVER MAX",IF(AND(ISNUMBER(G28),K28="still failed: presented from the executed notebook",G28&gt;=$G$4),"DEMO RULE",IF(COUNT(E28:H28)+COUNTIF(E28:H28,"ABSENT")&lt;4,"MISSING "&amp;TRIM(IF(E28="","GD ","")&amp;IF(F28="","group part ","")&amp;IF(G28="","presentation and defence ","")&amp;IF(H28="","mock","")),IF(COUNTIF(E28:H28,"ABSENT")&gt;0,"ABSENT "&amp;TRIM(IF(E28="ABSENT","GD ","")&amp;IF(F28="ABSENT","group part ","")&amp;IF(G28="ABSENT","presentation and defence ","")&amp;IF(H28="ABSENT","mock","")),"COMPLETE")))))</f>
        <v/>
      </c>
      <c r="M28" s="10" t="n"/>
      <c r="N28" s="11">
        <f>IF(AND(L28&lt;&gt;"COMPLETE",LEFT(L28,6)&lt;&gt;"ABSENT"),A28&amp;", ","")</f>
        <v/>
      </c>
      <c r="O28" s="11">
        <f>IF(LEFT(L28,6)="ABSENT",A28&amp;", ","")</f>
        <v/>
      </c>
    </row>
    <row r="29">
      <c r="A29" s="9" t="inlineStr">
        <is>
          <t>G6-S4</t>
        </is>
      </c>
      <c r="B29" s="9" t="inlineStr">
        <is>
          <t>G6</t>
        </is>
      </c>
      <c r="C29" s="10" t="n"/>
      <c r="D29" s="10" t="n"/>
      <c r="E29" s="10" t="n"/>
      <c r="F29" s="10" t="n"/>
      <c r="G29" s="10" t="n"/>
      <c r="H29" s="10" t="n"/>
      <c r="I29" s="9">
        <f>IF(AND(ISNUMBER(F29),ISNUMBER(G29)),F29+G29,"")</f>
        <v/>
      </c>
      <c r="J29" s="9">
        <f>IF(L29="COMPLETE",E29+F29+G29+H29,"")</f>
        <v/>
      </c>
      <c r="K29" s="9">
        <f>IF(INDEX(Demos!$B$4:$B$12,MATCH(B29,Demos!$A$4:$A$12,0))="","",INDEX(Demos!$B$4:$B$12,MATCH(B29,Demos!$A$4:$A$12,0)))</f>
        <v/>
      </c>
      <c r="L29" s="9">
        <f>IF(OR(AND(E29&lt;&gt;"",NOT(ISNUMBER(E29)),E29&lt;&gt;"ABSENT"),AND(F29&lt;&gt;"",NOT(ISNUMBER(F29)),F29&lt;&gt;"ABSENT"),AND(G29&lt;&gt;"",NOT(ISNUMBER(G29)),G29&lt;&gt;"ABSENT"),AND(H29&lt;&gt;"",NOT(ISNUMBER(H29)),H29&lt;&gt;"ABSENT"),AND(ISNUMBER(E29),E29&lt;0),AND(ISNUMBER(F29),F29&lt;0),AND(ISNUMBER(G29),G29&lt;0),AND(ISNUMBER(H29),H29&lt;0)),"NOT A SCORE",IF(OR(AND(ISNUMBER(E29),E29&gt;E$4),AND(ISNUMBER(F29),F29&gt;F$4),AND(ISNUMBER(G29),G29&gt;G$4),AND(ISNUMBER(H29),H29&gt;H$4)),"OVER MAX",IF(AND(ISNUMBER(G29),K29="still failed: presented from the executed notebook",G29&gt;=$G$4),"DEMO RULE",IF(COUNT(E29:H29)+COUNTIF(E29:H29,"ABSENT")&lt;4,"MISSING "&amp;TRIM(IF(E29="","GD ","")&amp;IF(F29="","group part ","")&amp;IF(G29="","presentation and defence ","")&amp;IF(H29="","mock","")),IF(COUNTIF(E29:H29,"ABSENT")&gt;0,"ABSENT "&amp;TRIM(IF(E29="ABSENT","GD ","")&amp;IF(F29="ABSENT","group part ","")&amp;IF(G29="ABSENT","presentation and defence ","")&amp;IF(H29="ABSENT","mock","")),"COMPLETE")))))</f>
        <v/>
      </c>
      <c r="M29" s="10" t="n"/>
      <c r="N29" s="11">
        <f>IF(AND(L29&lt;&gt;"COMPLETE",LEFT(L29,6)&lt;&gt;"ABSENT"),A29&amp;", ","")</f>
        <v/>
      </c>
      <c r="O29" s="11">
        <f>IF(LEFT(L29,6)="ABSENT",A29&amp;", ","")</f>
        <v/>
      </c>
    </row>
    <row r="30">
      <c r="A30" s="9" t="inlineStr">
        <is>
          <t>G7-S1</t>
        </is>
      </c>
      <c r="B30" s="9" t="inlineStr">
        <is>
          <t>G7</t>
        </is>
      </c>
      <c r="C30" s="10" t="n"/>
      <c r="D30" s="10" t="n"/>
      <c r="E30" s="10" t="n"/>
      <c r="F30" s="10" t="n"/>
      <c r="G30" s="10" t="n"/>
      <c r="H30" s="10" t="n"/>
      <c r="I30" s="9">
        <f>IF(AND(ISNUMBER(F30),ISNUMBER(G30)),F30+G30,"")</f>
        <v/>
      </c>
      <c r="J30" s="9">
        <f>IF(L30="COMPLETE",E30+F30+G30+H30,"")</f>
        <v/>
      </c>
      <c r="K30" s="9">
        <f>IF(INDEX(Demos!$B$4:$B$12,MATCH(B30,Demos!$A$4:$A$12,0))="","",INDEX(Demos!$B$4:$B$12,MATCH(B30,Demos!$A$4:$A$12,0)))</f>
        <v/>
      </c>
      <c r="L30" s="9">
        <f>IF(OR(AND(E30&lt;&gt;"",NOT(ISNUMBER(E30)),E30&lt;&gt;"ABSENT"),AND(F30&lt;&gt;"",NOT(ISNUMBER(F30)),F30&lt;&gt;"ABSENT"),AND(G30&lt;&gt;"",NOT(ISNUMBER(G30)),G30&lt;&gt;"ABSENT"),AND(H30&lt;&gt;"",NOT(ISNUMBER(H30)),H30&lt;&gt;"ABSENT"),AND(ISNUMBER(E30),E30&lt;0),AND(ISNUMBER(F30),F30&lt;0),AND(ISNUMBER(G30),G30&lt;0),AND(ISNUMBER(H30),H30&lt;0)),"NOT A SCORE",IF(OR(AND(ISNUMBER(E30),E30&gt;E$4),AND(ISNUMBER(F30),F30&gt;F$4),AND(ISNUMBER(G30),G30&gt;G$4),AND(ISNUMBER(H30),H30&gt;H$4)),"OVER MAX",IF(AND(ISNUMBER(G30),K30="still failed: presented from the executed notebook",G30&gt;=$G$4),"DEMO RULE",IF(COUNT(E30:H30)+COUNTIF(E30:H30,"ABSENT")&lt;4,"MISSING "&amp;TRIM(IF(E30="","GD ","")&amp;IF(F30="","group part ","")&amp;IF(G30="","presentation and defence ","")&amp;IF(H30="","mock","")),IF(COUNTIF(E30:H30,"ABSENT")&gt;0,"ABSENT "&amp;TRIM(IF(E30="ABSENT","GD ","")&amp;IF(F30="ABSENT","group part ","")&amp;IF(G30="ABSENT","presentation and defence ","")&amp;IF(H30="ABSENT","mock","")),"COMPLETE")))))</f>
        <v/>
      </c>
      <c r="M30" s="10" t="n"/>
      <c r="N30" s="11">
        <f>IF(AND(L30&lt;&gt;"COMPLETE",LEFT(L30,6)&lt;&gt;"ABSENT"),A30&amp;", ","")</f>
        <v/>
      </c>
      <c r="O30" s="11">
        <f>IF(LEFT(L30,6)="ABSENT",A30&amp;", ","")</f>
        <v/>
      </c>
    </row>
    <row r="31">
      <c r="A31" s="9" t="inlineStr">
        <is>
          <t>G7-S2</t>
        </is>
      </c>
      <c r="B31" s="9" t="inlineStr">
        <is>
          <t>G7</t>
        </is>
      </c>
      <c r="C31" s="10" t="n"/>
      <c r="D31" s="10" t="n"/>
      <c r="E31" s="10" t="n"/>
      <c r="F31" s="10" t="n"/>
      <c r="G31" s="10" t="n"/>
      <c r="H31" s="10" t="n"/>
      <c r="I31" s="9">
        <f>IF(AND(ISNUMBER(F31),ISNUMBER(G31)),F31+G31,"")</f>
        <v/>
      </c>
      <c r="J31" s="9">
        <f>IF(L31="COMPLETE",E31+F31+G31+H31,"")</f>
        <v/>
      </c>
      <c r="K31" s="9">
        <f>IF(INDEX(Demos!$B$4:$B$12,MATCH(B31,Demos!$A$4:$A$12,0))="","",INDEX(Demos!$B$4:$B$12,MATCH(B31,Demos!$A$4:$A$12,0)))</f>
        <v/>
      </c>
      <c r="L31" s="9">
        <f>IF(OR(AND(E31&lt;&gt;"",NOT(ISNUMBER(E31)),E31&lt;&gt;"ABSENT"),AND(F31&lt;&gt;"",NOT(ISNUMBER(F31)),F31&lt;&gt;"ABSENT"),AND(G31&lt;&gt;"",NOT(ISNUMBER(G31)),G31&lt;&gt;"ABSENT"),AND(H31&lt;&gt;"",NOT(ISNUMBER(H31)),H31&lt;&gt;"ABSENT"),AND(ISNUMBER(E31),E31&lt;0),AND(ISNUMBER(F31),F31&lt;0),AND(ISNUMBER(G31),G31&lt;0),AND(ISNUMBER(H31),H31&lt;0)),"NOT A SCORE",IF(OR(AND(ISNUMBER(E31),E31&gt;E$4),AND(ISNUMBER(F31),F31&gt;F$4),AND(ISNUMBER(G31),G31&gt;G$4),AND(ISNUMBER(H31),H31&gt;H$4)),"OVER MAX",IF(AND(ISNUMBER(G31),K31="still failed: presented from the executed notebook",G31&gt;=$G$4),"DEMO RULE",IF(COUNT(E31:H31)+COUNTIF(E31:H31,"ABSENT")&lt;4,"MISSING "&amp;TRIM(IF(E31="","GD ","")&amp;IF(F31="","group part ","")&amp;IF(G31="","presentation and defence ","")&amp;IF(H31="","mock","")),IF(COUNTIF(E31:H31,"ABSENT")&gt;0,"ABSENT "&amp;TRIM(IF(E31="ABSENT","GD ","")&amp;IF(F31="ABSENT","group part ","")&amp;IF(G31="ABSENT","presentation and defence ","")&amp;IF(H31="ABSENT","mock","")),"COMPLETE")))))</f>
        <v/>
      </c>
      <c r="M31" s="10" t="n"/>
      <c r="N31" s="11">
        <f>IF(AND(L31&lt;&gt;"COMPLETE",LEFT(L31,6)&lt;&gt;"ABSENT"),A31&amp;", ","")</f>
        <v/>
      </c>
      <c r="O31" s="11">
        <f>IF(LEFT(L31,6)="ABSENT",A31&amp;", ","")</f>
        <v/>
      </c>
    </row>
    <row r="32">
      <c r="A32" s="9" t="inlineStr">
        <is>
          <t>G7-S3</t>
        </is>
      </c>
      <c r="B32" s="9" t="inlineStr">
        <is>
          <t>G7</t>
        </is>
      </c>
      <c r="C32" s="10" t="n"/>
      <c r="D32" s="10" t="n"/>
      <c r="E32" s="10" t="n"/>
      <c r="F32" s="10" t="n"/>
      <c r="G32" s="10" t="n"/>
      <c r="H32" s="10" t="n"/>
      <c r="I32" s="9">
        <f>IF(AND(ISNUMBER(F32),ISNUMBER(G32)),F32+G32,"")</f>
        <v/>
      </c>
      <c r="J32" s="9">
        <f>IF(L32="COMPLETE",E32+F32+G32+H32,"")</f>
        <v/>
      </c>
      <c r="K32" s="9">
        <f>IF(INDEX(Demos!$B$4:$B$12,MATCH(B32,Demos!$A$4:$A$12,0))="","",INDEX(Demos!$B$4:$B$12,MATCH(B32,Demos!$A$4:$A$12,0)))</f>
        <v/>
      </c>
      <c r="L32" s="9">
        <f>IF(OR(AND(E32&lt;&gt;"",NOT(ISNUMBER(E32)),E32&lt;&gt;"ABSENT"),AND(F32&lt;&gt;"",NOT(ISNUMBER(F32)),F32&lt;&gt;"ABSENT"),AND(G32&lt;&gt;"",NOT(ISNUMBER(G32)),G32&lt;&gt;"ABSENT"),AND(H32&lt;&gt;"",NOT(ISNUMBER(H32)),H32&lt;&gt;"ABSENT"),AND(ISNUMBER(E32),E32&lt;0),AND(ISNUMBER(F32),F32&lt;0),AND(ISNUMBER(G32),G32&lt;0),AND(ISNUMBER(H32),H32&lt;0)),"NOT A SCORE",IF(OR(AND(ISNUMBER(E32),E32&gt;E$4),AND(ISNUMBER(F32),F32&gt;F$4),AND(ISNUMBER(G32),G32&gt;G$4),AND(ISNUMBER(H32),H32&gt;H$4)),"OVER MAX",IF(AND(ISNUMBER(G32),K32="still failed: presented from the executed notebook",G32&gt;=$G$4),"DEMO RULE",IF(COUNT(E32:H32)+COUNTIF(E32:H32,"ABSENT")&lt;4,"MISSING "&amp;TRIM(IF(E32="","GD ","")&amp;IF(F32="","group part ","")&amp;IF(G32="","presentation and defence ","")&amp;IF(H32="","mock","")),IF(COUNTIF(E32:H32,"ABSENT")&gt;0,"ABSENT "&amp;TRIM(IF(E32="ABSENT","GD ","")&amp;IF(F32="ABSENT","group part ","")&amp;IF(G32="ABSENT","presentation and defence ","")&amp;IF(H32="ABSENT","mock","")),"COMPLETE")))))</f>
        <v/>
      </c>
      <c r="M32" s="10" t="n"/>
      <c r="N32" s="11">
        <f>IF(AND(L32&lt;&gt;"COMPLETE",LEFT(L32,6)&lt;&gt;"ABSENT"),A32&amp;", ","")</f>
        <v/>
      </c>
      <c r="O32" s="11">
        <f>IF(LEFT(L32,6)="ABSENT",A32&amp;", ","")</f>
        <v/>
      </c>
    </row>
    <row r="33">
      <c r="A33" s="9" t="inlineStr">
        <is>
          <t>G7-S4</t>
        </is>
      </c>
      <c r="B33" s="9" t="inlineStr">
        <is>
          <t>G7</t>
        </is>
      </c>
      <c r="C33" s="10" t="n"/>
      <c r="D33" s="10" t="n"/>
      <c r="E33" s="10" t="n"/>
      <c r="F33" s="10" t="n"/>
      <c r="G33" s="10" t="n"/>
      <c r="H33" s="10" t="n"/>
      <c r="I33" s="9">
        <f>IF(AND(ISNUMBER(F33),ISNUMBER(G33)),F33+G33,"")</f>
        <v/>
      </c>
      <c r="J33" s="9">
        <f>IF(L33="COMPLETE",E33+F33+G33+H33,"")</f>
        <v/>
      </c>
      <c r="K33" s="9">
        <f>IF(INDEX(Demos!$B$4:$B$12,MATCH(B33,Demos!$A$4:$A$12,0))="","",INDEX(Demos!$B$4:$B$12,MATCH(B33,Demos!$A$4:$A$12,0)))</f>
        <v/>
      </c>
      <c r="L33" s="9">
        <f>IF(OR(AND(E33&lt;&gt;"",NOT(ISNUMBER(E33)),E33&lt;&gt;"ABSENT"),AND(F33&lt;&gt;"",NOT(ISNUMBER(F33)),F33&lt;&gt;"ABSENT"),AND(G33&lt;&gt;"",NOT(ISNUMBER(G33)),G33&lt;&gt;"ABSENT"),AND(H33&lt;&gt;"",NOT(ISNUMBER(H33)),H33&lt;&gt;"ABSENT"),AND(ISNUMBER(E33),E33&lt;0),AND(ISNUMBER(F33),F33&lt;0),AND(ISNUMBER(G33),G33&lt;0),AND(ISNUMBER(H33),H33&lt;0)),"NOT A SCORE",IF(OR(AND(ISNUMBER(E33),E33&gt;E$4),AND(ISNUMBER(F33),F33&gt;F$4),AND(ISNUMBER(G33),G33&gt;G$4),AND(ISNUMBER(H33),H33&gt;H$4)),"OVER MAX",IF(AND(ISNUMBER(G33),K33="still failed: presented from the executed notebook",G33&gt;=$G$4),"DEMO RULE",IF(COUNT(E33:H33)+COUNTIF(E33:H33,"ABSENT")&lt;4,"MISSING "&amp;TRIM(IF(E33="","GD ","")&amp;IF(F33="","group part ","")&amp;IF(G33="","presentation and defence ","")&amp;IF(H33="","mock","")),IF(COUNTIF(E33:H33,"ABSENT")&gt;0,"ABSENT "&amp;TRIM(IF(E33="ABSENT","GD ","")&amp;IF(F33="ABSENT","group part ","")&amp;IF(G33="ABSENT","presentation and defence ","")&amp;IF(H33="ABSENT","mock","")),"COMPLETE")))))</f>
        <v/>
      </c>
      <c r="M33" s="10" t="n"/>
      <c r="N33" s="11">
        <f>IF(AND(L33&lt;&gt;"COMPLETE",LEFT(L33,6)&lt;&gt;"ABSENT"),A33&amp;", ","")</f>
        <v/>
      </c>
      <c r="O33" s="11">
        <f>IF(LEFT(L33,6)="ABSENT",A33&amp;", ","")</f>
        <v/>
      </c>
    </row>
    <row r="34">
      <c r="A34" s="9" t="inlineStr">
        <is>
          <t>G8-S1</t>
        </is>
      </c>
      <c r="B34" s="9" t="inlineStr">
        <is>
          <t>G8</t>
        </is>
      </c>
      <c r="C34" s="10" t="n"/>
      <c r="D34" s="10" t="n"/>
      <c r="E34" s="10" t="n"/>
      <c r="F34" s="10" t="n"/>
      <c r="G34" s="10" t="n"/>
      <c r="H34" s="10" t="n"/>
      <c r="I34" s="9">
        <f>IF(AND(ISNUMBER(F34),ISNUMBER(G34)),F34+G34,"")</f>
        <v/>
      </c>
      <c r="J34" s="9">
        <f>IF(L34="COMPLETE",E34+F34+G34+H34,"")</f>
        <v/>
      </c>
      <c r="K34" s="9">
        <f>IF(INDEX(Demos!$B$4:$B$12,MATCH(B34,Demos!$A$4:$A$12,0))="","",INDEX(Demos!$B$4:$B$12,MATCH(B34,Demos!$A$4:$A$12,0)))</f>
        <v/>
      </c>
      <c r="L34" s="9">
        <f>IF(OR(AND(E34&lt;&gt;"",NOT(ISNUMBER(E34)),E34&lt;&gt;"ABSENT"),AND(F34&lt;&gt;"",NOT(ISNUMBER(F34)),F34&lt;&gt;"ABSENT"),AND(G34&lt;&gt;"",NOT(ISNUMBER(G34)),G34&lt;&gt;"ABSENT"),AND(H34&lt;&gt;"",NOT(ISNUMBER(H34)),H34&lt;&gt;"ABSENT"),AND(ISNUMBER(E34),E34&lt;0),AND(ISNUMBER(F34),F34&lt;0),AND(ISNUMBER(G34),G34&lt;0),AND(ISNUMBER(H34),H34&lt;0)),"NOT A SCORE",IF(OR(AND(ISNUMBER(E34),E34&gt;E$4),AND(ISNUMBER(F34),F34&gt;F$4),AND(ISNUMBER(G34),G34&gt;G$4),AND(ISNUMBER(H34),H34&gt;H$4)),"OVER MAX",IF(AND(ISNUMBER(G34),K34="still failed: presented from the executed notebook",G34&gt;=$G$4),"DEMO RULE",IF(COUNT(E34:H34)+COUNTIF(E34:H34,"ABSENT")&lt;4,"MISSING "&amp;TRIM(IF(E34="","GD ","")&amp;IF(F34="","group part ","")&amp;IF(G34="","presentation and defence ","")&amp;IF(H34="","mock","")),IF(COUNTIF(E34:H34,"ABSENT")&gt;0,"ABSENT "&amp;TRIM(IF(E34="ABSENT","GD ","")&amp;IF(F34="ABSENT","group part ","")&amp;IF(G34="ABSENT","presentation and defence ","")&amp;IF(H34="ABSENT","mock","")),"COMPLETE")))))</f>
        <v/>
      </c>
      <c r="M34" s="10" t="n"/>
      <c r="N34" s="11">
        <f>IF(AND(L34&lt;&gt;"COMPLETE",LEFT(L34,6)&lt;&gt;"ABSENT"),A34&amp;", ","")</f>
        <v/>
      </c>
      <c r="O34" s="11">
        <f>IF(LEFT(L34,6)="ABSENT",A34&amp;", ","")</f>
        <v/>
      </c>
    </row>
    <row r="35">
      <c r="A35" s="9" t="inlineStr">
        <is>
          <t>G8-S2</t>
        </is>
      </c>
      <c r="B35" s="9" t="inlineStr">
        <is>
          <t>G8</t>
        </is>
      </c>
      <c r="C35" s="10" t="n"/>
      <c r="D35" s="10" t="n"/>
      <c r="E35" s="10" t="n"/>
      <c r="F35" s="10" t="n"/>
      <c r="G35" s="10" t="n"/>
      <c r="H35" s="10" t="n"/>
      <c r="I35" s="9">
        <f>IF(AND(ISNUMBER(F35),ISNUMBER(G35)),F35+G35,"")</f>
        <v/>
      </c>
      <c r="J35" s="9">
        <f>IF(L35="COMPLETE",E35+F35+G35+H35,"")</f>
        <v/>
      </c>
      <c r="K35" s="9">
        <f>IF(INDEX(Demos!$B$4:$B$12,MATCH(B35,Demos!$A$4:$A$12,0))="","",INDEX(Demos!$B$4:$B$12,MATCH(B35,Demos!$A$4:$A$12,0)))</f>
        <v/>
      </c>
      <c r="L35" s="9">
        <f>IF(OR(AND(E35&lt;&gt;"",NOT(ISNUMBER(E35)),E35&lt;&gt;"ABSENT"),AND(F35&lt;&gt;"",NOT(ISNUMBER(F35)),F35&lt;&gt;"ABSENT"),AND(G35&lt;&gt;"",NOT(ISNUMBER(G35)),G35&lt;&gt;"ABSENT"),AND(H35&lt;&gt;"",NOT(ISNUMBER(H35)),H35&lt;&gt;"ABSENT"),AND(ISNUMBER(E35),E35&lt;0),AND(ISNUMBER(F35),F35&lt;0),AND(ISNUMBER(G35),G35&lt;0),AND(ISNUMBER(H35),H35&lt;0)),"NOT A SCORE",IF(OR(AND(ISNUMBER(E35),E35&gt;E$4),AND(ISNUMBER(F35),F35&gt;F$4),AND(ISNUMBER(G35),G35&gt;G$4),AND(ISNUMBER(H35),H35&gt;H$4)),"OVER MAX",IF(AND(ISNUMBER(G35),K35="still failed: presented from the executed notebook",G35&gt;=$G$4),"DEMO RULE",IF(COUNT(E35:H35)+COUNTIF(E35:H35,"ABSENT")&lt;4,"MISSING "&amp;TRIM(IF(E35="","GD ","")&amp;IF(F35="","group part ","")&amp;IF(G35="","presentation and defence ","")&amp;IF(H35="","mock","")),IF(COUNTIF(E35:H35,"ABSENT")&gt;0,"ABSENT "&amp;TRIM(IF(E35="ABSENT","GD ","")&amp;IF(F35="ABSENT","group part ","")&amp;IF(G35="ABSENT","presentation and defence ","")&amp;IF(H35="ABSENT","mock","")),"COMPLETE")))))</f>
        <v/>
      </c>
      <c r="M35" s="10" t="n"/>
      <c r="N35" s="11">
        <f>IF(AND(L35&lt;&gt;"COMPLETE",LEFT(L35,6)&lt;&gt;"ABSENT"),A35&amp;", ","")</f>
        <v/>
      </c>
      <c r="O35" s="11">
        <f>IF(LEFT(L35,6)="ABSENT",A35&amp;", ","")</f>
        <v/>
      </c>
    </row>
    <row r="36">
      <c r="A36" s="9" t="inlineStr">
        <is>
          <t>G8-S3</t>
        </is>
      </c>
      <c r="B36" s="9" t="inlineStr">
        <is>
          <t>G8</t>
        </is>
      </c>
      <c r="C36" s="10" t="n"/>
      <c r="D36" s="10" t="n"/>
      <c r="E36" s="10" t="n"/>
      <c r="F36" s="10" t="n"/>
      <c r="G36" s="10" t="n"/>
      <c r="H36" s="10" t="n"/>
      <c r="I36" s="9">
        <f>IF(AND(ISNUMBER(F36),ISNUMBER(G36)),F36+G36,"")</f>
        <v/>
      </c>
      <c r="J36" s="9">
        <f>IF(L36="COMPLETE",E36+F36+G36+H36,"")</f>
        <v/>
      </c>
      <c r="K36" s="9">
        <f>IF(INDEX(Demos!$B$4:$B$12,MATCH(B36,Demos!$A$4:$A$12,0))="","",INDEX(Demos!$B$4:$B$12,MATCH(B36,Demos!$A$4:$A$12,0)))</f>
        <v/>
      </c>
      <c r="L36" s="9">
        <f>IF(OR(AND(E36&lt;&gt;"",NOT(ISNUMBER(E36)),E36&lt;&gt;"ABSENT"),AND(F36&lt;&gt;"",NOT(ISNUMBER(F36)),F36&lt;&gt;"ABSENT"),AND(G36&lt;&gt;"",NOT(ISNUMBER(G36)),G36&lt;&gt;"ABSENT"),AND(H36&lt;&gt;"",NOT(ISNUMBER(H36)),H36&lt;&gt;"ABSENT"),AND(ISNUMBER(E36),E36&lt;0),AND(ISNUMBER(F36),F36&lt;0),AND(ISNUMBER(G36),G36&lt;0),AND(ISNUMBER(H36),H36&lt;0)),"NOT A SCORE",IF(OR(AND(ISNUMBER(E36),E36&gt;E$4),AND(ISNUMBER(F36),F36&gt;F$4),AND(ISNUMBER(G36),G36&gt;G$4),AND(ISNUMBER(H36),H36&gt;H$4)),"OVER MAX",IF(AND(ISNUMBER(G36),K36="still failed: presented from the executed notebook",G36&gt;=$G$4),"DEMO RULE",IF(COUNT(E36:H36)+COUNTIF(E36:H36,"ABSENT")&lt;4,"MISSING "&amp;TRIM(IF(E36="","GD ","")&amp;IF(F36="","group part ","")&amp;IF(G36="","presentation and defence ","")&amp;IF(H36="","mock","")),IF(COUNTIF(E36:H36,"ABSENT")&gt;0,"ABSENT "&amp;TRIM(IF(E36="ABSENT","GD ","")&amp;IF(F36="ABSENT","group part ","")&amp;IF(G36="ABSENT","presentation and defence ","")&amp;IF(H36="ABSENT","mock","")),"COMPLETE")))))</f>
        <v/>
      </c>
      <c r="M36" s="10" t="n"/>
      <c r="N36" s="11">
        <f>IF(AND(L36&lt;&gt;"COMPLETE",LEFT(L36,6)&lt;&gt;"ABSENT"),A36&amp;", ","")</f>
        <v/>
      </c>
      <c r="O36" s="11">
        <f>IF(LEFT(L36,6)="ABSENT",A36&amp;", ","")</f>
        <v/>
      </c>
    </row>
    <row r="37">
      <c r="A37" s="9" t="inlineStr">
        <is>
          <t>G8-S4</t>
        </is>
      </c>
      <c r="B37" s="9" t="inlineStr">
        <is>
          <t>G8</t>
        </is>
      </c>
      <c r="C37" s="10" t="n"/>
      <c r="D37" s="10" t="n"/>
      <c r="E37" s="10" t="n"/>
      <c r="F37" s="10" t="n"/>
      <c r="G37" s="10" t="n"/>
      <c r="H37" s="10" t="n"/>
      <c r="I37" s="9">
        <f>IF(AND(ISNUMBER(F37),ISNUMBER(G37)),F37+G37,"")</f>
        <v/>
      </c>
      <c r="J37" s="9">
        <f>IF(L37="COMPLETE",E37+F37+G37+H37,"")</f>
        <v/>
      </c>
      <c r="K37" s="9">
        <f>IF(INDEX(Demos!$B$4:$B$12,MATCH(B37,Demos!$A$4:$A$12,0))="","",INDEX(Demos!$B$4:$B$12,MATCH(B37,Demos!$A$4:$A$12,0)))</f>
        <v/>
      </c>
      <c r="L37" s="9">
        <f>IF(OR(AND(E37&lt;&gt;"",NOT(ISNUMBER(E37)),E37&lt;&gt;"ABSENT"),AND(F37&lt;&gt;"",NOT(ISNUMBER(F37)),F37&lt;&gt;"ABSENT"),AND(G37&lt;&gt;"",NOT(ISNUMBER(G37)),G37&lt;&gt;"ABSENT"),AND(H37&lt;&gt;"",NOT(ISNUMBER(H37)),H37&lt;&gt;"ABSENT"),AND(ISNUMBER(E37),E37&lt;0),AND(ISNUMBER(F37),F37&lt;0),AND(ISNUMBER(G37),G37&lt;0),AND(ISNUMBER(H37),H37&lt;0)),"NOT A SCORE",IF(OR(AND(ISNUMBER(E37),E37&gt;E$4),AND(ISNUMBER(F37),F37&gt;F$4),AND(ISNUMBER(G37),G37&gt;G$4),AND(ISNUMBER(H37),H37&gt;H$4)),"OVER MAX",IF(AND(ISNUMBER(G37),K37="still failed: presented from the executed notebook",G37&gt;=$G$4),"DEMO RULE",IF(COUNT(E37:H37)+COUNTIF(E37:H37,"ABSENT")&lt;4,"MISSING "&amp;TRIM(IF(E37="","GD ","")&amp;IF(F37="","group part ","")&amp;IF(G37="","presentation and defence ","")&amp;IF(H37="","mock","")),IF(COUNTIF(E37:H37,"ABSENT")&gt;0,"ABSENT "&amp;TRIM(IF(E37="ABSENT","GD ","")&amp;IF(F37="ABSENT","group part ","")&amp;IF(G37="ABSENT","presentation and defence ","")&amp;IF(H37="ABSENT","mock","")),"COMPLETE")))))</f>
        <v/>
      </c>
      <c r="M37" s="10" t="n"/>
      <c r="N37" s="11">
        <f>IF(AND(L37&lt;&gt;"COMPLETE",LEFT(L37,6)&lt;&gt;"ABSENT"),A37&amp;", ","")</f>
        <v/>
      </c>
      <c r="O37" s="11">
        <f>IF(LEFT(L37,6)="ABSENT",A37&amp;", ","")</f>
        <v/>
      </c>
    </row>
    <row r="38">
      <c r="A38" s="9" t="inlineStr">
        <is>
          <t>G9-S1</t>
        </is>
      </c>
      <c r="B38" s="9" t="inlineStr">
        <is>
          <t>G9</t>
        </is>
      </c>
      <c r="C38" s="10" t="n"/>
      <c r="D38" s="10" t="n"/>
      <c r="E38" s="10" t="n"/>
      <c r="F38" s="10" t="n"/>
      <c r="G38" s="10" t="n"/>
      <c r="H38" s="10" t="n"/>
      <c r="I38" s="9">
        <f>IF(AND(ISNUMBER(F38),ISNUMBER(G38)),F38+G38,"")</f>
        <v/>
      </c>
      <c r="J38" s="9">
        <f>IF(L38="COMPLETE",E38+F38+G38+H38,"")</f>
        <v/>
      </c>
      <c r="K38" s="9">
        <f>IF(INDEX(Demos!$B$4:$B$12,MATCH(B38,Demos!$A$4:$A$12,0))="","",INDEX(Demos!$B$4:$B$12,MATCH(B38,Demos!$A$4:$A$12,0)))</f>
        <v/>
      </c>
      <c r="L38" s="9">
        <f>IF(OR(AND(E38&lt;&gt;"",NOT(ISNUMBER(E38)),E38&lt;&gt;"ABSENT"),AND(F38&lt;&gt;"",NOT(ISNUMBER(F38)),F38&lt;&gt;"ABSENT"),AND(G38&lt;&gt;"",NOT(ISNUMBER(G38)),G38&lt;&gt;"ABSENT"),AND(H38&lt;&gt;"",NOT(ISNUMBER(H38)),H38&lt;&gt;"ABSENT"),AND(ISNUMBER(E38),E38&lt;0),AND(ISNUMBER(F38),F38&lt;0),AND(ISNUMBER(G38),G38&lt;0),AND(ISNUMBER(H38),H38&lt;0)),"NOT A SCORE",IF(OR(AND(ISNUMBER(E38),E38&gt;E$4),AND(ISNUMBER(F38),F38&gt;F$4),AND(ISNUMBER(G38),G38&gt;G$4),AND(ISNUMBER(H38),H38&gt;H$4)),"OVER MAX",IF(AND(ISNUMBER(G38),K38="still failed: presented from the executed notebook",G38&gt;=$G$4),"DEMO RULE",IF(COUNT(E38:H38)+COUNTIF(E38:H38,"ABSENT")&lt;4,"MISSING "&amp;TRIM(IF(E38="","GD ","")&amp;IF(F38="","group part ","")&amp;IF(G38="","presentation and defence ","")&amp;IF(H38="","mock","")),IF(COUNTIF(E38:H38,"ABSENT")&gt;0,"ABSENT "&amp;TRIM(IF(E38="ABSENT","GD ","")&amp;IF(F38="ABSENT","group part ","")&amp;IF(G38="ABSENT","presentation and defence ","")&amp;IF(H38="ABSENT","mock","")),"COMPLETE")))))</f>
        <v/>
      </c>
      <c r="M38" s="10" t="n"/>
      <c r="N38" s="11">
        <f>IF(AND(L38&lt;&gt;"COMPLETE",LEFT(L38,6)&lt;&gt;"ABSENT"),A38&amp;", ","")</f>
        <v/>
      </c>
      <c r="O38" s="11">
        <f>IF(LEFT(L38,6)="ABSENT",A38&amp;", ","")</f>
        <v/>
      </c>
    </row>
    <row r="39">
      <c r="A39" s="9" t="inlineStr">
        <is>
          <t>G9-S2</t>
        </is>
      </c>
      <c r="B39" s="9" t="inlineStr">
        <is>
          <t>G9</t>
        </is>
      </c>
      <c r="C39" s="10" t="n"/>
      <c r="D39" s="10" t="n"/>
      <c r="E39" s="10" t="n"/>
      <c r="F39" s="10" t="n"/>
      <c r="G39" s="10" t="n"/>
      <c r="H39" s="10" t="n"/>
      <c r="I39" s="9">
        <f>IF(AND(ISNUMBER(F39),ISNUMBER(G39)),F39+G39,"")</f>
        <v/>
      </c>
      <c r="J39" s="9">
        <f>IF(L39="COMPLETE",E39+F39+G39+H39,"")</f>
        <v/>
      </c>
      <c r="K39" s="9">
        <f>IF(INDEX(Demos!$B$4:$B$12,MATCH(B39,Demos!$A$4:$A$12,0))="","",INDEX(Demos!$B$4:$B$12,MATCH(B39,Demos!$A$4:$A$12,0)))</f>
        <v/>
      </c>
      <c r="L39" s="9">
        <f>IF(OR(AND(E39&lt;&gt;"",NOT(ISNUMBER(E39)),E39&lt;&gt;"ABSENT"),AND(F39&lt;&gt;"",NOT(ISNUMBER(F39)),F39&lt;&gt;"ABSENT"),AND(G39&lt;&gt;"",NOT(ISNUMBER(G39)),G39&lt;&gt;"ABSENT"),AND(H39&lt;&gt;"",NOT(ISNUMBER(H39)),H39&lt;&gt;"ABSENT"),AND(ISNUMBER(E39),E39&lt;0),AND(ISNUMBER(F39),F39&lt;0),AND(ISNUMBER(G39),G39&lt;0),AND(ISNUMBER(H39),H39&lt;0)),"NOT A SCORE",IF(OR(AND(ISNUMBER(E39),E39&gt;E$4),AND(ISNUMBER(F39),F39&gt;F$4),AND(ISNUMBER(G39),G39&gt;G$4),AND(ISNUMBER(H39),H39&gt;H$4)),"OVER MAX",IF(AND(ISNUMBER(G39),K39="still failed: presented from the executed notebook",G39&gt;=$G$4),"DEMO RULE",IF(COUNT(E39:H39)+COUNTIF(E39:H39,"ABSENT")&lt;4,"MISSING "&amp;TRIM(IF(E39="","GD ","")&amp;IF(F39="","group part ","")&amp;IF(G39="","presentation and defence ","")&amp;IF(H39="","mock","")),IF(COUNTIF(E39:H39,"ABSENT")&gt;0,"ABSENT "&amp;TRIM(IF(E39="ABSENT","GD ","")&amp;IF(F39="ABSENT","group part ","")&amp;IF(G39="ABSENT","presentation and defence ","")&amp;IF(H39="ABSENT","mock","")),"COMPLETE")))))</f>
        <v/>
      </c>
      <c r="M39" s="10" t="n"/>
      <c r="N39" s="11">
        <f>IF(AND(L39&lt;&gt;"COMPLETE",LEFT(L39,6)&lt;&gt;"ABSENT"),A39&amp;", ","")</f>
        <v/>
      </c>
      <c r="O39" s="11">
        <f>IF(LEFT(L39,6)="ABSENT",A39&amp;", ","")</f>
        <v/>
      </c>
    </row>
    <row r="40">
      <c r="A40" s="9" t="inlineStr">
        <is>
          <t>G9-S3</t>
        </is>
      </c>
      <c r="B40" s="9" t="inlineStr">
        <is>
          <t>G9</t>
        </is>
      </c>
      <c r="C40" s="10" t="n"/>
      <c r="D40" s="10" t="n"/>
      <c r="E40" s="10" t="n"/>
      <c r="F40" s="10" t="n"/>
      <c r="G40" s="10" t="n"/>
      <c r="H40" s="10" t="n"/>
      <c r="I40" s="9">
        <f>IF(AND(ISNUMBER(F40),ISNUMBER(G40)),F40+G40,"")</f>
        <v/>
      </c>
      <c r="J40" s="9">
        <f>IF(L40="COMPLETE",E40+F40+G40+H40,"")</f>
        <v/>
      </c>
      <c r="K40" s="9">
        <f>IF(INDEX(Demos!$B$4:$B$12,MATCH(B40,Demos!$A$4:$A$12,0))="","",INDEX(Demos!$B$4:$B$12,MATCH(B40,Demos!$A$4:$A$12,0)))</f>
        <v/>
      </c>
      <c r="L40" s="9">
        <f>IF(OR(AND(E40&lt;&gt;"",NOT(ISNUMBER(E40)),E40&lt;&gt;"ABSENT"),AND(F40&lt;&gt;"",NOT(ISNUMBER(F40)),F40&lt;&gt;"ABSENT"),AND(G40&lt;&gt;"",NOT(ISNUMBER(G40)),G40&lt;&gt;"ABSENT"),AND(H40&lt;&gt;"",NOT(ISNUMBER(H40)),H40&lt;&gt;"ABSENT"),AND(ISNUMBER(E40),E40&lt;0),AND(ISNUMBER(F40),F40&lt;0),AND(ISNUMBER(G40),G40&lt;0),AND(ISNUMBER(H40),H40&lt;0)),"NOT A SCORE",IF(OR(AND(ISNUMBER(E40),E40&gt;E$4),AND(ISNUMBER(F40),F40&gt;F$4),AND(ISNUMBER(G40),G40&gt;G$4),AND(ISNUMBER(H40),H40&gt;H$4)),"OVER MAX",IF(AND(ISNUMBER(G40),K40="still failed: presented from the executed notebook",G40&gt;=$G$4),"DEMO RULE",IF(COUNT(E40:H40)+COUNTIF(E40:H40,"ABSENT")&lt;4,"MISSING "&amp;TRIM(IF(E40="","GD ","")&amp;IF(F40="","group part ","")&amp;IF(G40="","presentation and defence ","")&amp;IF(H40="","mock","")),IF(COUNTIF(E40:H40,"ABSENT")&gt;0,"ABSENT "&amp;TRIM(IF(E40="ABSENT","GD ","")&amp;IF(F40="ABSENT","group part ","")&amp;IF(G40="ABSENT","presentation and defence ","")&amp;IF(H40="ABSENT","mock","")),"COMPLETE")))))</f>
        <v/>
      </c>
      <c r="M40" s="10" t="n"/>
      <c r="N40" s="11">
        <f>IF(AND(L40&lt;&gt;"COMPLETE",LEFT(L40,6)&lt;&gt;"ABSENT"),A40&amp;", ","")</f>
        <v/>
      </c>
      <c r="O40" s="11">
        <f>IF(LEFT(L40,6)="ABSENT",A40&amp;", ","")</f>
        <v/>
      </c>
    </row>
  </sheetData>
  <conditionalFormatting sqref="L6:L40">
    <cfRule type="expression" priority="1" dxfId="0">
      <formula>L6="COMPLETE"</formula>
    </cfRule>
    <cfRule type="expression" priority="2" dxfId="1">
      <formula>L6&lt;&gt;"COMPLETE"</formula>
    </cfRule>
  </conditionalFormatting>
  <dataValidations count="6">
    <dataValidation sqref="C6:C40" showDropDown="0" showInputMessage="0" showErrorMessage="0" allowBlank="1" type="list">
      <formula1>"1 revenue,2 bookings,3 billing,4 no-shows,5 campaign"</formula1>
    </dataValidation>
    <dataValidation sqref="D6:D40" showDropDown="0" showInputMessage="0" showErrorMessage="0" allowBlank="1" type="list">
      <formula1>"the industry expert,the senior industry leader"</formula1>
    </dataValidation>
    <dataValidation sqref="E6:E40" showDropDown="0" showInputMessage="0" showErrorMessage="1" allowBlank="1" errorTitle="Outside the maximum" error="This score is outside 0 to the maximum in row 4. Check the signed sheet." type="decimal" errorStyle="warning" operator="between">
      <formula1>0</formula1>
      <formula2>$E$4</formula2>
    </dataValidation>
    <dataValidation sqref="F6:F40" showDropDown="0" showInputMessage="0" showErrorMessage="1" allowBlank="1" errorTitle="Outside the maximum" error="This score is outside 0 to the maximum in row 4. Check the signed sheet." type="decimal" errorStyle="warning" operator="between">
      <formula1>0</formula1>
      <formula2>$F$4</formula2>
    </dataValidation>
    <dataValidation sqref="G6:G40" showDropDown="0" showInputMessage="0" showErrorMessage="1" allowBlank="1" errorTitle="Outside the maximum" error="This score is outside 0 to the maximum in row 4. Check the signed sheet." type="decimal" errorStyle="warning" operator="between">
      <formula1>0</formula1>
      <formula2>$G$4</formula2>
    </dataValidation>
    <dataValidation sqref="H6:H40" showDropDown="0" showInputMessage="0" showErrorMessage="1" allowBlank="1" errorTitle="Outside the maximum" error="This score is outside 0 to the maximum in row 4. Check the signed sheet." type="decimal" errorStyle="warning" operator="between">
      <formula1>0</formula1>
      <formula2>$H$4</formula2>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10" customWidth="1" min="1" max="1"/>
    <col width="10" customWidth="1" min="2" max="2"/>
    <col width="16" customWidth="1" min="3" max="3"/>
    <col width="14" customWidth="1" min="4" max="4"/>
    <col width="44" customWidth="1" min="5" max="5"/>
    <col width="30" customWidth="1" min="6" max="6"/>
  </cols>
  <sheetData>
    <row r="1">
      <c r="A1" s="5" t="inlineStr">
        <is>
          <t>By group: does every learner in each group hold all four scores?</t>
        </is>
      </c>
    </row>
    <row r="3">
      <c r="A3" s="6" t="inlineStr">
        <is>
          <t>Group</t>
        </is>
      </c>
      <c r="B3" s="6" t="inlineStr">
        <is>
          <t>Seats</t>
        </is>
      </c>
      <c r="C3" s="6" t="inlineStr">
        <is>
          <t>Seats complete</t>
        </is>
      </c>
      <c r="D3" s="6" t="inlineStr">
        <is>
          <t>Seats short</t>
        </is>
      </c>
      <c r="E3" s="6" t="inlineStr">
        <is>
          <t>Demo on the day</t>
        </is>
      </c>
      <c r="F3" s="6" t="inlineStr">
        <is>
          <t>Group status</t>
        </is>
      </c>
    </row>
    <row r="4">
      <c r="A4" s="9" t="inlineStr">
        <is>
          <t>G1</t>
        </is>
      </c>
      <c r="B4" s="9">
        <f>COUNTIF(Scores!$B$6:$B$40,A4)</f>
        <v/>
      </c>
      <c r="C4" s="9">
        <f>COUNTIFS(Scores!$B$6:$B$40,A4,Scores!$L$6:$L$40,"COMPLETE")</f>
        <v/>
      </c>
      <c r="D4" s="9">
        <f>B4-C4</f>
        <v/>
      </c>
      <c r="E4" s="9">
        <f>IF(INDEX(Demos!$B$4:$B$12,MATCH(A4,Demos!$A$4:$A$12,0))="","not recorded",INDEX(Demos!$B$4:$B$12,MATCH(A4,Demos!$A$4:$A$12,0)))</f>
        <v/>
      </c>
      <c r="F4" s="9">
        <f>IF(D4=0,"ALL COMPLETE",D4&amp;" seat(s) short")</f>
        <v/>
      </c>
    </row>
    <row r="5">
      <c r="A5" s="9" t="inlineStr">
        <is>
          <t>G2</t>
        </is>
      </c>
      <c r="B5" s="9">
        <f>COUNTIF(Scores!$B$6:$B$40,A5)</f>
        <v/>
      </c>
      <c r="C5" s="9">
        <f>COUNTIFS(Scores!$B$6:$B$40,A5,Scores!$L$6:$L$40,"COMPLETE")</f>
        <v/>
      </c>
      <c r="D5" s="9">
        <f>B5-C5</f>
        <v/>
      </c>
      <c r="E5" s="9">
        <f>IF(INDEX(Demos!$B$4:$B$12,MATCH(A5,Demos!$A$4:$A$12,0))="","not recorded",INDEX(Demos!$B$4:$B$12,MATCH(A5,Demos!$A$4:$A$12,0)))</f>
        <v/>
      </c>
      <c r="F5" s="9">
        <f>IF(D5=0,"ALL COMPLETE",D5&amp;" seat(s) short")</f>
        <v/>
      </c>
    </row>
    <row r="6">
      <c r="A6" s="9" t="inlineStr">
        <is>
          <t>G3</t>
        </is>
      </c>
      <c r="B6" s="9">
        <f>COUNTIF(Scores!$B$6:$B$40,A6)</f>
        <v/>
      </c>
      <c r="C6" s="9">
        <f>COUNTIFS(Scores!$B$6:$B$40,A6,Scores!$L$6:$L$40,"COMPLETE")</f>
        <v/>
      </c>
      <c r="D6" s="9">
        <f>B6-C6</f>
        <v/>
      </c>
      <c r="E6" s="9">
        <f>IF(INDEX(Demos!$B$4:$B$12,MATCH(A6,Demos!$A$4:$A$12,0))="","not recorded",INDEX(Demos!$B$4:$B$12,MATCH(A6,Demos!$A$4:$A$12,0)))</f>
        <v/>
      </c>
      <c r="F6" s="9">
        <f>IF(D6=0,"ALL COMPLETE",D6&amp;" seat(s) short")</f>
        <v/>
      </c>
    </row>
    <row r="7">
      <c r="A7" s="9" t="inlineStr">
        <is>
          <t>G4</t>
        </is>
      </c>
      <c r="B7" s="9">
        <f>COUNTIF(Scores!$B$6:$B$40,A7)</f>
        <v/>
      </c>
      <c r="C7" s="9">
        <f>COUNTIFS(Scores!$B$6:$B$40,A7,Scores!$L$6:$L$40,"COMPLETE")</f>
        <v/>
      </c>
      <c r="D7" s="9">
        <f>B7-C7</f>
        <v/>
      </c>
      <c r="E7" s="9">
        <f>IF(INDEX(Demos!$B$4:$B$12,MATCH(A7,Demos!$A$4:$A$12,0))="","not recorded",INDEX(Demos!$B$4:$B$12,MATCH(A7,Demos!$A$4:$A$12,0)))</f>
        <v/>
      </c>
      <c r="F7" s="9">
        <f>IF(D7=0,"ALL COMPLETE",D7&amp;" seat(s) short")</f>
        <v/>
      </c>
    </row>
    <row r="8">
      <c r="A8" s="9" t="inlineStr">
        <is>
          <t>G5</t>
        </is>
      </c>
      <c r="B8" s="9">
        <f>COUNTIF(Scores!$B$6:$B$40,A8)</f>
        <v/>
      </c>
      <c r="C8" s="9">
        <f>COUNTIFS(Scores!$B$6:$B$40,A8,Scores!$L$6:$L$40,"COMPLETE")</f>
        <v/>
      </c>
      <c r="D8" s="9">
        <f>B8-C8</f>
        <v/>
      </c>
      <c r="E8" s="9">
        <f>IF(INDEX(Demos!$B$4:$B$12,MATCH(A8,Demos!$A$4:$A$12,0))="","not recorded",INDEX(Demos!$B$4:$B$12,MATCH(A8,Demos!$A$4:$A$12,0)))</f>
        <v/>
      </c>
      <c r="F8" s="9">
        <f>IF(D8=0,"ALL COMPLETE",D8&amp;" seat(s) short")</f>
        <v/>
      </c>
    </row>
    <row r="9">
      <c r="A9" s="9" t="inlineStr">
        <is>
          <t>G6</t>
        </is>
      </c>
      <c r="B9" s="9">
        <f>COUNTIF(Scores!$B$6:$B$40,A9)</f>
        <v/>
      </c>
      <c r="C9" s="9">
        <f>COUNTIFS(Scores!$B$6:$B$40,A9,Scores!$L$6:$L$40,"COMPLETE")</f>
        <v/>
      </c>
      <c r="D9" s="9">
        <f>B9-C9</f>
        <v/>
      </c>
      <c r="E9" s="9">
        <f>IF(INDEX(Demos!$B$4:$B$12,MATCH(A9,Demos!$A$4:$A$12,0))="","not recorded",INDEX(Demos!$B$4:$B$12,MATCH(A9,Demos!$A$4:$A$12,0)))</f>
        <v/>
      </c>
      <c r="F9" s="9">
        <f>IF(D9=0,"ALL COMPLETE",D9&amp;" seat(s) short")</f>
        <v/>
      </c>
    </row>
    <row r="10">
      <c r="A10" s="9" t="inlineStr">
        <is>
          <t>G7</t>
        </is>
      </c>
      <c r="B10" s="9">
        <f>COUNTIF(Scores!$B$6:$B$40,A10)</f>
        <v/>
      </c>
      <c r="C10" s="9">
        <f>COUNTIFS(Scores!$B$6:$B$40,A10,Scores!$L$6:$L$40,"COMPLETE")</f>
        <v/>
      </c>
      <c r="D10" s="9">
        <f>B10-C10</f>
        <v/>
      </c>
      <c r="E10" s="9">
        <f>IF(INDEX(Demos!$B$4:$B$12,MATCH(A10,Demos!$A$4:$A$12,0))="","not recorded",INDEX(Demos!$B$4:$B$12,MATCH(A10,Demos!$A$4:$A$12,0)))</f>
        <v/>
      </c>
      <c r="F10" s="9">
        <f>IF(D10=0,"ALL COMPLETE",D10&amp;" seat(s) short")</f>
        <v/>
      </c>
    </row>
    <row r="11">
      <c r="A11" s="9" t="inlineStr">
        <is>
          <t>G8</t>
        </is>
      </c>
      <c r="B11" s="9">
        <f>COUNTIF(Scores!$B$6:$B$40,A11)</f>
        <v/>
      </c>
      <c r="C11" s="9">
        <f>COUNTIFS(Scores!$B$6:$B$40,A11,Scores!$L$6:$L$40,"COMPLETE")</f>
        <v/>
      </c>
      <c r="D11" s="9">
        <f>B11-C11</f>
        <v/>
      </c>
      <c r="E11" s="9">
        <f>IF(INDEX(Demos!$B$4:$B$12,MATCH(A11,Demos!$A$4:$A$12,0))="","not recorded",INDEX(Demos!$B$4:$B$12,MATCH(A11,Demos!$A$4:$A$12,0)))</f>
        <v/>
      </c>
      <c r="F11" s="9">
        <f>IF(D11=0,"ALL COMPLETE",D11&amp;" seat(s) short")</f>
        <v/>
      </c>
    </row>
    <row r="12">
      <c r="A12" s="9" t="inlineStr">
        <is>
          <t>G9</t>
        </is>
      </c>
      <c r="B12" s="9">
        <f>COUNTIF(Scores!$B$6:$B$40,A12)</f>
        <v/>
      </c>
      <c r="C12" s="9">
        <f>COUNTIFS(Scores!$B$6:$B$40,A12,Scores!$L$6:$L$40,"COMPLETE")</f>
        <v/>
      </c>
      <c r="D12" s="9">
        <f>B12-C12</f>
        <v/>
      </c>
      <c r="E12" s="9">
        <f>IF(INDEX(Demos!$B$4:$B$12,MATCH(A12,Demos!$A$4:$A$12,0))="","not recorded",INDEX(Demos!$B$4:$B$12,MATCH(A12,Demos!$A$4:$A$12,0)))</f>
        <v/>
      </c>
      <c r="F12" s="9">
        <f>IF(D12=0,"ALL COMPLETE",D12&amp;" seat(s) short")</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17"/>
  <sheetViews>
    <sheetView workbookViewId="0">
      <selection activeCell="A1" sqref="A1"/>
    </sheetView>
  </sheetViews>
  <sheetFormatPr baseColWidth="8" defaultRowHeight="15"/>
  <cols>
    <col width="60" customWidth="1" min="1" max="1"/>
    <col width="40" customWidth="1" min="2" max="2"/>
  </cols>
  <sheetData>
    <row r="1">
      <c r="A1" s="5" t="inlineStr">
        <is>
          <t>Checks: every learner holds all four scores, inside the rubric and the demo rule</t>
        </is>
      </c>
    </row>
    <row r="3">
      <c r="A3" s="6" t="inlineStr">
        <is>
          <t>Check</t>
        </is>
      </c>
      <c r="B3" s="6" t="inlineStr">
        <is>
          <t>Count</t>
        </is>
      </c>
    </row>
    <row r="4">
      <c r="A4" s="9" t="inlineStr">
        <is>
          <t>Seats on the Scores sheet</t>
        </is>
      </c>
      <c r="B4" s="12">
        <f>COUNTA(Scores!$A$6:$A$40)</f>
        <v/>
      </c>
    </row>
    <row r="5">
      <c r="A5" s="9" t="inlineStr">
        <is>
          <t>Seats that repeat another seat's label</t>
        </is>
      </c>
      <c r="B5" s="12">
        <f>SUMPRODUCT((COUNTIF(Scores!$A$6:$A$40,Scores!$A$6:$A$40)&gt;1)*1)</f>
        <v/>
      </c>
    </row>
    <row r="6">
      <c r="A6" s="9" t="inlineStr">
        <is>
          <t>Seats COMPLETE</t>
        </is>
      </c>
      <c r="B6" s="12">
        <f>COUNTIF(Scores!$L$6:$L$40,"COMPLETE")</f>
        <v/>
      </c>
    </row>
    <row r="7">
      <c r="A7" s="9" t="inlineStr">
        <is>
          <t>Seats with a score MISSING</t>
        </is>
      </c>
      <c r="B7" s="12">
        <f>COUNTIF(Scores!$L$6:$L$40,"MISSING*")</f>
        <v/>
      </c>
    </row>
    <row r="8">
      <c r="A8" s="9" t="inlineStr">
        <is>
          <t>Seats with a score OVER MAX</t>
        </is>
      </c>
      <c r="B8" s="12">
        <f>COUNTIF(Scores!$L$6:$L$40,"OVER MAX")</f>
        <v/>
      </c>
    </row>
    <row r="9">
      <c r="A9" s="9" t="inlineStr">
        <is>
          <t>Seats with NOT A SCORE</t>
        </is>
      </c>
      <c r="B9" s="12">
        <f>COUNTIF(Scores!$L$6:$L$40,"NOT A SCORE")</f>
        <v/>
      </c>
    </row>
    <row r="10">
      <c r="A10" s="9" t="inlineStr">
        <is>
          <t>Seats that break the DEMO RULE</t>
        </is>
      </c>
      <c r="B10" s="12">
        <f>COUNTIF(Scores!$L$6:$L$40,"DEMO RULE")</f>
        <v/>
      </c>
    </row>
    <row r="11">
      <c r="A11" s="9" t="inlineStr">
        <is>
          <t>Seats with an event marked ABSENT</t>
        </is>
      </c>
      <c r="B11" s="12">
        <f>COUNTIF(Scores!$L$6:$L$40,"ABSENT*")</f>
        <v/>
      </c>
    </row>
    <row r="12">
      <c r="A12" s="9" t="inlineStr">
        <is>
          <t>Groups with a final demo outcome</t>
        </is>
      </c>
      <c r="B12" s="12">
        <f>Demos!$B$14</f>
        <v/>
      </c>
    </row>
    <row r="13">
      <c r="A13" s="9" t="inlineStr">
        <is>
          <t>Seats with no sub-problem or no panel recorded</t>
        </is>
      </c>
      <c r="B13" s="12">
        <f>COUNTBLANK(Scores!$C$6:$C$40)+COUNTBLANK(Scores!$D$6:$D$40)</f>
        <v/>
      </c>
    </row>
    <row r="14">
      <c r="A14" s="9" t="inlineStr">
        <is>
          <t>Seats short, by seat</t>
        </is>
      </c>
      <c r="B14" s="13">
        <f>IF(LEN(Scores!N6&amp;Scores!N7&amp;Scores!N8&amp;Scores!N9&amp;Scores!N10&amp;Scores!N11&amp;Scores!N12&amp;Scores!N13&amp;Scores!N14&amp;Scores!N15&amp;Scores!N16&amp;Scores!N17&amp;Scores!N18&amp;Scores!N19&amp;Scores!N20&amp;Scores!N21&amp;Scores!N22&amp;Scores!N23&amp;Scores!N24&amp;Scores!N25&amp;Scores!N26&amp;Scores!N27&amp;Scores!N28&amp;Scores!N29&amp;Scores!N30&amp;Scores!N31&amp;Scores!N32&amp;Scores!N33&amp;Scores!N34&amp;Scores!N35&amp;Scores!N36&amp;Scores!N37&amp;Scores!N38&amp;Scores!N39&amp;Scores!N40)=0,"",LEFT(Scores!N6&amp;Scores!N7&amp;Scores!N8&amp;Scores!N9&amp;Scores!N10&amp;Scores!N11&amp;Scores!N12&amp;Scores!N13&amp;Scores!N14&amp;Scores!N15&amp;Scores!N16&amp;Scores!N17&amp;Scores!N18&amp;Scores!N19&amp;Scores!N20&amp;Scores!N21&amp;Scores!N22&amp;Scores!N23&amp;Scores!N24&amp;Scores!N25&amp;Scores!N26&amp;Scores!N27&amp;Scores!N28&amp;Scores!N29&amp;Scores!N30&amp;Scores!N31&amp;Scores!N32&amp;Scores!N33&amp;Scores!N34&amp;Scores!N35&amp;Scores!N36&amp;Scores!N37&amp;Scores!N38&amp;Scores!N39&amp;Scores!N40,LEN(Scores!N6&amp;Scores!N7&amp;Scores!N8&amp;Scores!N9&amp;Scores!N10&amp;Scores!N11&amp;Scores!N12&amp;Scores!N13&amp;Scores!N14&amp;Scores!N15&amp;Scores!N16&amp;Scores!N17&amp;Scores!N18&amp;Scores!N19&amp;Scores!N20&amp;Scores!N21&amp;Scores!N22&amp;Scores!N23&amp;Scores!N24&amp;Scores!N25&amp;Scores!N26&amp;Scores!N27&amp;Scores!N28&amp;Scores!N29&amp;Scores!N30&amp;Scores!N31&amp;Scores!N32&amp;Scores!N33&amp;Scores!N34&amp;Scores!N35&amp;Scores!N36&amp;Scores!N37&amp;Scores!N38&amp;Scores!N39&amp;Scores!N40)-2))</f>
        <v/>
      </c>
    </row>
    <row r="15">
      <c r="A15" s="9" t="inlineStr">
        <is>
          <t>Seats with an absence, by seat</t>
        </is>
      </c>
      <c r="B15" s="13">
        <f>IF(LEN(Scores!O6&amp;Scores!O7&amp;Scores!O8&amp;Scores!O9&amp;Scores!O10&amp;Scores!O11&amp;Scores!O12&amp;Scores!O13&amp;Scores!O14&amp;Scores!O15&amp;Scores!O16&amp;Scores!O17&amp;Scores!O18&amp;Scores!O19&amp;Scores!O20&amp;Scores!O21&amp;Scores!O22&amp;Scores!O23&amp;Scores!O24&amp;Scores!O25&amp;Scores!O26&amp;Scores!O27&amp;Scores!O28&amp;Scores!O29&amp;Scores!O30&amp;Scores!O31&amp;Scores!O32&amp;Scores!O33&amp;Scores!O34&amp;Scores!O35&amp;Scores!O36&amp;Scores!O37&amp;Scores!O38&amp;Scores!O39&amp;Scores!O40)=0,"",LEFT(Scores!O6&amp;Scores!O7&amp;Scores!O8&amp;Scores!O9&amp;Scores!O10&amp;Scores!O11&amp;Scores!O12&amp;Scores!O13&amp;Scores!O14&amp;Scores!O15&amp;Scores!O16&amp;Scores!O17&amp;Scores!O18&amp;Scores!O19&amp;Scores!O20&amp;Scores!O21&amp;Scores!O22&amp;Scores!O23&amp;Scores!O24&amp;Scores!O25&amp;Scores!O26&amp;Scores!O27&amp;Scores!O28&amp;Scores!O29&amp;Scores!O30&amp;Scores!O31&amp;Scores!O32&amp;Scores!O33&amp;Scores!O34&amp;Scores!O35&amp;Scores!O36&amp;Scores!O37&amp;Scores!O38&amp;Scores!O39&amp;Scores!O40,LEN(Scores!O6&amp;Scores!O7&amp;Scores!O8&amp;Scores!O9&amp;Scores!O10&amp;Scores!O11&amp;Scores!O12&amp;Scores!O13&amp;Scores!O14&amp;Scores!O15&amp;Scores!O16&amp;Scores!O17&amp;Scores!O18&amp;Scores!O19&amp;Scores!O20&amp;Scores!O21&amp;Scores!O22&amp;Scores!O23&amp;Scores!O24&amp;Scores!O25&amp;Scores!O26&amp;Scores!O27&amp;Scores!O28&amp;Scores!O29&amp;Scores!O30&amp;Scores!O31&amp;Scores!O32&amp;Scores!O33&amp;Scores!O34&amp;Scores!O35&amp;Scores!O36&amp;Scores!O37&amp;Scores!O38&amp;Scores!O39&amp;Scores!O40)-2))</f>
        <v/>
      </c>
    </row>
    <row r="17">
      <c r="A17" s="14" t="inlineStr">
        <is>
          <t>Verdict</t>
        </is>
      </c>
      <c r="B17" s="15">
        <f>IF(B4-B6-B11&gt;0,"NOT READY: "&amp;(B4-B6-B11)&amp;" seats short",IF(B5&gt;0,"NOT READY: a seat label repeats",IF(B12&lt;9,"NOT READY: record "&amp;(9-B12)&amp;" demo outcome(s)","READY TO SIGN")))</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40" customWidth="1" min="1" max="1"/>
    <col width="70" customWidth="1" min="2" max="2"/>
    <col width="10" customWidth="1" min="3" max="3"/>
    <col width="40" customWidth="1" min="4" max="4"/>
  </cols>
  <sheetData>
    <row r="1">
      <c r="A1" s="5" t="inlineStr">
        <is>
          <t>Sign-off: each assessor role signs for its own scores</t>
        </is>
      </c>
    </row>
    <row r="3">
      <c r="A3" s="6" t="inlineStr">
        <is>
          <t>Role</t>
        </is>
      </c>
      <c r="B3" s="6" t="inlineStr">
        <is>
          <t>Signs for</t>
        </is>
      </c>
      <c r="C3" s="6" t="inlineStr">
        <is>
          <t>Signed</t>
        </is>
      </c>
      <c r="D3" s="6" t="inlineStr">
        <is>
          <t>Notes</t>
        </is>
      </c>
    </row>
    <row r="4">
      <c r="A4" s="9" t="inlineStr">
        <is>
          <t>GD assessor: the industry expert</t>
        </is>
      </c>
      <c r="B4" s="9" t="inlineStr">
        <is>
          <t>The GD scores of the rounds the expert ran, Friday and Saturday</t>
        </is>
      </c>
      <c r="C4" s="10" t="n"/>
      <c r="D4" s="10" t="n"/>
    </row>
    <row r="5">
      <c r="A5" s="9" t="inlineStr">
        <is>
          <t>GD assessor: the Principal Advisor</t>
        </is>
      </c>
      <c r="B5" s="9" t="inlineStr">
        <is>
          <t>The GD scores of the rounds run online</t>
        </is>
      </c>
      <c r="C5" s="10" t="n"/>
      <c r="D5" s="10" t="n"/>
    </row>
    <row r="6">
      <c r="A6" s="9" t="inlineStr">
        <is>
          <t>Panel: the industry expert</t>
        </is>
      </c>
      <c r="B6" s="9" t="inlineStr">
        <is>
          <t>The mini project scores and demo outcomes of the groups this panel heard</t>
        </is>
      </c>
      <c r="C6" s="10" t="n"/>
      <c r="D6" s="10" t="n"/>
    </row>
    <row r="7">
      <c r="A7" s="9" t="inlineStr">
        <is>
          <t>Panel: the senior industry leader</t>
        </is>
      </c>
      <c r="B7" s="9" t="inlineStr">
        <is>
          <t>The mini project scores and demo outcomes of the groups this panel heard</t>
        </is>
      </c>
      <c r="C7" s="10" t="n"/>
      <c r="D7" s="10" t="n"/>
    </row>
    <row r="8">
      <c r="A8" s="9" t="inlineStr">
        <is>
          <t>Mock assessor: the Principal Advisor</t>
        </is>
      </c>
      <c r="B8" s="9" t="inlineStr">
        <is>
          <t>The Mock R1 scores this assessor gave</t>
        </is>
      </c>
      <c r="C8" s="10" t="n"/>
      <c r="D8" s="10" t="n"/>
    </row>
    <row r="9">
      <c r="A9" s="9" t="inlineStr">
        <is>
          <t>Mock assessor: the Programme Head</t>
        </is>
      </c>
      <c r="B9" s="9" t="inlineStr">
        <is>
          <t>The Mock R1 scores this assessor gave</t>
        </is>
      </c>
      <c r="C9" s="10" t="n"/>
      <c r="D9" s="10" t="n"/>
    </row>
    <row r="10">
      <c r="A10" s="9" t="inlineStr">
        <is>
          <t>Mock assessor: the Academic TA</t>
        </is>
      </c>
      <c r="B10" s="9" t="inlineStr">
        <is>
          <t>The Mock R1 scores this assessor gave</t>
        </is>
      </c>
      <c r="C10" s="10" t="n"/>
      <c r="D10" s="10" t="n"/>
    </row>
    <row r="11">
      <c r="A11" s="9" t="inlineStr">
        <is>
          <t>Closure: the Programme Head</t>
        </is>
      </c>
      <c r="B11" s="9" t="inlineStr">
        <is>
          <t>Every seat holds its scores, the checks are clear, and the grades are closed</t>
        </is>
      </c>
      <c r="C11" s="10" t="n"/>
      <c r="D11" s="10" t="n"/>
    </row>
    <row r="13">
      <c r="A13" s="14" t="inlineStr">
        <is>
          <t>Closure</t>
        </is>
      </c>
      <c r="B13" s="15">
        <f>IF(Checks!B17&lt;&gt;"READY TO SIGN","NOT READY",IF(COUNTIF(C4:C11,"Yes")=8,"CLOSED","READY: awaiting "&amp;(8-COUNTIF(C4:C11,"Yes"))&amp;" sign-offs"))</f>
        <v/>
      </c>
    </row>
  </sheetData>
  <dataValidations count="1">
    <dataValidation sqref="C4 C5 C6 C7 C8 C9 C10 C11" showDropDown="0" showInputMessage="0" showErrorMessage="0" allowBlank="1" type="list">
      <formula1>"Yes"</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2026-10-01T10:36:02Z</dcterms:created>
  <dcterms:modified xmlns:dcterms="http://purl.org/dc/terms/" xmlns:xsi="http://www.w3.org/2001/XMLSchema-instance" xsi:type="dcterms:W3CDTF">2026-10-01T10:36:02Z</dcterms:modified>
</cp:coreProperties>
</file>