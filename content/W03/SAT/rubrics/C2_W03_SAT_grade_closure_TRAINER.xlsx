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cores" sheetId="2" state="visible" r:id="rId2"/>
    <sheet xmlns:r="http://schemas.openxmlformats.org/officeDocument/2006/relationships" name="By group" sheetId="3" state="visible" r:id="rId3"/>
    <sheet xmlns:r="http://schemas.openxmlformats.org/officeDocument/2006/relationships" name="Checks" sheetId="4" state="visible" r:id="rId4"/>
    <sheet xmlns:r="http://schemas.openxmlformats.org/officeDocument/2006/relationships" name="Sign-off" sheetId="5" state="visible" r:id="rId5"/>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1A0F5C"/>
      <sz val="14"/>
    </font>
    <font>
      <name val="Arial"/>
      <i val="1"/>
      <color rgb="00000000"/>
      <sz val="10"/>
    </font>
    <font>
      <name val="Arial"/>
      <b val="1"/>
      <color rgb="001A0F5C"/>
      <sz val="10"/>
    </font>
    <font>
      <name val="Arial"/>
      <color rgb="00000000"/>
      <sz val="10"/>
    </font>
    <font>
      <name val="Arial"/>
      <b val="1"/>
      <color rgb="001A0F5C"/>
      <sz val="13"/>
    </font>
    <font>
      <name val="Arial"/>
      <b val="1"/>
      <color rgb="00000000"/>
      <sz val="10"/>
    </font>
    <font>
      <name val="Arial"/>
      <b val="1"/>
      <color rgb="000000FF"/>
      <sz val="10"/>
    </font>
    <font>
      <name val="Arial"/>
      <b val="1"/>
      <color rgb="00FFFFFF"/>
      <sz val="10"/>
    </font>
    <font>
      <name val="Arial"/>
      <color rgb="000000FF"/>
      <sz val="10"/>
    </font>
    <font>
      <name val="Arial"/>
      <b val="1"/>
      <color rgb="001A0F5C"/>
      <sz val="12"/>
    </font>
    <font>
      <name val="Arial"/>
      <b val="1"/>
      <color rgb="00000000"/>
      <sz val="12"/>
    </font>
  </fonts>
  <fills count="4">
    <fill>
      <patternFill/>
    </fill>
    <fill>
      <patternFill patternType="gray125"/>
    </fill>
    <fill>
      <patternFill patternType="solid">
        <fgColor rgb="001A0F5C"/>
      </patternFill>
    </fill>
    <fill>
      <patternFill patternType="solid">
        <fgColor rgb="00FFF4B8"/>
      </patternFill>
    </fill>
  </fills>
  <borders count="2">
    <border>
      <left/>
      <right/>
      <top/>
      <bottom/>
      <diagonal/>
    </border>
    <border>
      <left style="thin">
        <color rgb="00C9C3E6"/>
      </left>
      <right style="thin">
        <color rgb="00C9C3E6"/>
      </right>
      <top style="thin">
        <color rgb="00C9C3E6"/>
      </top>
      <bottom style="thin">
        <color rgb="00C9C3E6"/>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0" fontId="8" fillId="2" borderId="1" applyAlignment="1" pivotButton="0" quotePrefix="0" xfId="0">
      <alignment vertical="center" wrapText="1"/>
    </xf>
    <xf numFmtId="0" fontId="4" fillId="0" borderId="1" pivotButton="0" quotePrefix="0" xfId="0"/>
    <xf numFmtId="0" fontId="9" fillId="3" borderId="1" pivotButton="0" quotePrefix="0" xfId="0"/>
    <xf numFmtId="0" fontId="6" fillId="0" borderId="1" pivotButton="0" quotePrefix="0" xfId="0"/>
    <xf numFmtId="0" fontId="6" fillId="0" borderId="1" applyAlignment="1" pivotButton="0" quotePrefix="0" xfId="0">
      <alignment vertical="top" wrapText="1"/>
    </xf>
    <xf numFmtId="0" fontId="10" fillId="0" borderId="0" pivotButton="0" quotePrefix="0" xfId="0"/>
    <xf numFmtId="0" fontId="11" fillId="0" borderId="0" pivotButton="0" quotePrefix="0" xfId="0"/>
  </cellXfs>
  <cellStyles count="1">
    <cellStyle name="Normal" xfId="0" builtinId="0" hidden="0"/>
  </cellStyles>
  <dxfs count="2">
    <dxf>
      <fill>
        <patternFill patternType="solid">
          <fgColor rgb="00D9F2E3"/>
        </patternFill>
      </fill>
    </dxf>
    <dxf>
      <fill>
        <patternFill patternType="solid">
          <fgColor rgb="00FBE0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C2</author>
  </authors>
  <commentList>
    <comment ref="E4" authorId="0" shapeId="0">
      <text>
        <t>Locked marks per event, data/programme/facts.yaml, evaluation per_event.</t>
      </text>
    </comment>
    <comment ref="F4" authorId="0" shapeId="0">
      <text>
        <t>Locked marks per event, data/programme/facts.yaml, evaluation per_event.</t>
      </text>
    </comment>
    <comment ref="G4" authorId="0" shapeId="0">
      <text>
        <t>Locked marks per event, data/programme/facts.yaml, evaluation per_event.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96" customWidth="1" min="2" max="2"/>
  </cols>
  <sheetData>
    <row r="1">
      <c r="A1" s="1" t="inlineStr">
        <is>
          <t>Build 1 grade closure: Week 3, Kalpa Health</t>
        </is>
      </c>
    </row>
    <row r="2">
      <c r="A2" s="2" t="inlineStr">
        <is>
          <t>TRAINER ONLY. The committed file is the empty template; a filled copy holds learners' scores and is never committed.</t>
        </is>
      </c>
    </row>
    <row r="4" ht="44" customHeight="1">
      <c r="A4" s="3" t="inlineStr">
        <is>
          <t>What it closes</t>
        </is>
      </c>
      <c r="B4" s="4" t="inlineStr">
        <is>
          <t>Three scores per learner: the GD score out of 30, the mini project score out of 40 including the presentation, and the Mock R1 score out of 30. The marks per event are locked (data/programme/facts.yaml). Each total is copied from its scoring sheet, which carries the criteria the requester approved on 29 September 2026: the GD from content/W03/D5/rubrics/C2_W03_D05_gd_scoring_sheet_TRAINER.xlsx, the mini project from C2_W03_SAT_mini_project_scoring_TRAINER.xlsx beside this file, and the mock from content/W03/D4/rubrics/C2_W03_D04_mock_scoring_sheet_TRAINER.xlsx.</t>
        </is>
      </c>
    </row>
    <row r="5" ht="44" customHeight="1">
      <c r="A5" s="3" t="inlineStr">
        <is>
          <t>Where to type</t>
        </is>
      </c>
      <c r="B5" s="4" t="inlineStr">
        <is>
          <t>Only the yellow cells on the Scores sheet (columns C to G and J) and the Signed column on the Sign-off sheet. Every other cell is a formula.</t>
        </is>
      </c>
    </row>
    <row r="6" ht="44" customHeight="1">
      <c r="A6" s="3" t="inlineStr">
        <is>
          <t>Entered once</t>
        </is>
      </c>
      <c r="B6" s="4" t="inlineStr">
        <is>
          <t>Each score is typed once, by the scribe named on the run sheet, from the assessor's signed sheet. A correction replaces the one cell; it is never typed in a second place.</t>
        </is>
      </c>
    </row>
    <row r="7" ht="44" customHeight="1">
      <c r="A7" s="3" t="inlineStr">
        <is>
          <t>Seats, never names</t>
        </is>
      </c>
      <c r="B7" s="4" t="inlineStr">
        <is>
          <t>Seats are labelled by group and seat (G1-S1). The Programme Head keeps the seat-to-learner key outside this repository. Eight groups hold four seats and G9 holds three, as the handover's 35 learners in nine groups give; relabel the seat column if Monday's allocation put the group of three elsewhere.</t>
        </is>
      </c>
    </row>
    <row r="8" ht="44" customHeight="1">
      <c r="A8" s="3" t="inlineStr">
        <is>
          <t>Status, per seat</t>
        </is>
      </c>
      <c r="B8" s="4" t="inlineStr">
        <is>
          <t>COMPLETE when all three scores are in and within their maximums. ABSENT names the events the learner missed, when every other score is in. MISSING names the scores still to enter. OVER MAX means a score above its event's maximum. NOT A SCORE means other text or a negative number in a score cell.</t>
        </is>
      </c>
    </row>
    <row r="9" ht="44" customHeight="1">
      <c r="A9" s="3" t="inlineStr">
        <is>
          <t>The verdict</t>
        </is>
      </c>
      <c r="B9" s="4" t="inlineStr">
        <is>
          <t>The Checks sheet reads READY TO SIGN only when every seat is COMPLETE or ABSENT, no seat repeats, and no flag remains. It lists the seats still short and the seats with an absence, by seat. The Sign-off sheet reads CLOSED only after that, with every role signed.</t>
        </is>
      </c>
    </row>
    <row r="10" ht="44" customHeight="1">
      <c r="A10" s="3" t="inlineStr">
        <is>
          <t>An absence</t>
        </is>
      </c>
      <c r="B10" s="4" t="inlineStr">
        <is>
          <t>A learner who missed an event has ABSENT typed in that event's cell, and the Programme Head's decision goes in Notes. The seat then counts as closed, carries no total, and is listed on the Checks sheet. No make-up rule is published, so this workbook sets none.</t>
        </is>
      </c>
    </row>
    <row r="11" ht="44" customHeight="1">
      <c r="A11" s="3" t="inlineStr">
        <is>
          <t>Example, format only</t>
        </is>
      </c>
      <c r="B11" s="4" t="inlineStr">
        <is>
          <t>Seat G1-S1, group G1, sub-problem 2 bookings, panel the industry expert, GD 21, mini project 29.5, mock 22: total 72.5, status COMPLETE. This example is not on the Scores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6" customWidth="1" min="3" max="3"/>
    <col width="26" customWidth="1" min="4" max="4"/>
    <col width="11" customWidth="1" min="5" max="5"/>
    <col width="13" customWidth="1" min="6" max="6"/>
    <col width="11" customWidth="1" min="7" max="7"/>
    <col width="12" customWidth="1" min="8" max="8"/>
    <col width="30" customWidth="1" min="9" max="9"/>
    <col width="44" customWidth="1" min="10" max="10"/>
  </cols>
  <sheetData>
    <row r="1">
      <c r="A1" s="5" t="inlineStr">
        <is>
          <t>Scores: one row per learner seat</t>
        </is>
      </c>
    </row>
    <row r="2">
      <c r="A2" s="2" t="inlineStr">
        <is>
          <t>Type only in the yellow cells. Row 4 holds each event's maximum, which every check reads.</t>
        </is>
      </c>
    </row>
    <row r="4">
      <c r="A4" s="6" t="inlineStr">
        <is>
          <t>Maximum</t>
        </is>
      </c>
      <c r="E4" s="7" t="n">
        <v>30</v>
      </c>
      <c r="F4" s="7" t="n">
        <v>40</v>
      </c>
      <c r="G4" s="7" t="n">
        <v>30</v>
      </c>
      <c r="H4" s="6">
        <f>E4+F4+G4</f>
        <v/>
      </c>
    </row>
    <row r="5">
      <c r="A5" s="8" t="inlineStr">
        <is>
          <t>Seat</t>
        </is>
      </c>
      <c r="B5" s="8" t="inlineStr">
        <is>
          <t>Group</t>
        </is>
      </c>
      <c r="C5" s="8" t="inlineStr">
        <is>
          <t>Sub-problem</t>
        </is>
      </c>
      <c r="D5" s="8" t="inlineStr">
        <is>
          <t>Panel</t>
        </is>
      </c>
      <c r="E5" s="8" t="inlineStr">
        <is>
          <t>GD (of 30)</t>
        </is>
      </c>
      <c r="F5" s="8" t="inlineStr">
        <is>
          <t>Mini project (of 40)</t>
        </is>
      </c>
      <c r="G5" s="8" t="inlineStr">
        <is>
          <t>Mock (of 30)</t>
        </is>
      </c>
      <c r="H5" s="8" t="inlineStr">
        <is>
          <t>Total (of 100)</t>
        </is>
      </c>
      <c r="I5" s="8" t="inlineStr">
        <is>
          <t>Status</t>
        </is>
      </c>
      <c r="J5" s="8" t="inlineStr">
        <is>
          <t>Notes</t>
        </is>
      </c>
    </row>
    <row r="6">
      <c r="A6" s="9" t="inlineStr">
        <is>
          <t>G1-S1</t>
        </is>
      </c>
      <c r="B6" s="9" t="inlineStr">
        <is>
          <t>G1</t>
        </is>
      </c>
      <c r="C6" s="10" t="n"/>
      <c r="D6" s="10" t="n"/>
      <c r="E6" s="10" t="n"/>
      <c r="F6" s="10" t="n"/>
      <c r="G6" s="10" t="n"/>
      <c r="H6" s="9">
        <f>IF(I6="COMPLETE",E6+F6+G6,"")</f>
        <v/>
      </c>
      <c r="I6" s="9">
        <f>IF(OR(AND(E6&lt;&gt;"",NOT(ISNUMBER(E6)),E6&lt;&gt;"ABSENT"),AND(F6&lt;&gt;"",NOT(ISNUMBER(F6)),F6&lt;&gt;"ABSENT"),AND(G6&lt;&gt;"",NOT(ISNUMBER(G6)),G6&lt;&gt;"ABSENT"),AND(ISNUMBER(E6),E6&lt;0),AND(ISNUMBER(F6),F6&lt;0),AND(ISNUMBER(G6),G6&lt;0)),"NOT A SCORE",IF(OR(AND(ISNUMBER(E6),E6&gt;$E$4),AND(ISNUMBER(F6),F6&gt;$F$4),AND(ISNUMBER(G6),G6&gt;$G$4)),"OVER MAX",IF(COUNT(E6:G6)+COUNTIF(E6:G6,"ABSENT")&lt;3,"MISSING "&amp;TRIM(IF(E6="","GD ","")&amp;IF(F6="","mini project ","")&amp;IF(G6="","mock","")),IF(COUNTIF(E6:G6,"ABSENT")&gt;0,"ABSENT "&amp;TRIM(IF(E6="ABSENT","GD ","")&amp;IF(F6="ABSENT","mini project ","")&amp;IF(G6="ABSENT","mock","")),"COMPLETE"))))</f>
        <v/>
      </c>
      <c r="J6" s="10" t="n"/>
    </row>
    <row r="7">
      <c r="A7" s="9" t="inlineStr">
        <is>
          <t>G1-S2</t>
        </is>
      </c>
      <c r="B7" s="9" t="inlineStr">
        <is>
          <t>G1</t>
        </is>
      </c>
      <c r="C7" s="10" t="n"/>
      <c r="D7" s="10" t="n"/>
      <c r="E7" s="10" t="n"/>
      <c r="F7" s="10" t="n"/>
      <c r="G7" s="10" t="n"/>
      <c r="H7" s="9">
        <f>IF(I7="COMPLETE",E7+F7+G7,"")</f>
        <v/>
      </c>
      <c r="I7" s="9">
        <f>IF(OR(AND(E7&lt;&gt;"",NOT(ISNUMBER(E7)),E7&lt;&gt;"ABSENT"),AND(F7&lt;&gt;"",NOT(ISNUMBER(F7)),F7&lt;&gt;"ABSENT"),AND(G7&lt;&gt;"",NOT(ISNUMBER(G7)),G7&lt;&gt;"ABSENT"),AND(ISNUMBER(E7),E7&lt;0),AND(ISNUMBER(F7),F7&lt;0),AND(ISNUMBER(G7),G7&lt;0)),"NOT A SCORE",IF(OR(AND(ISNUMBER(E7),E7&gt;$E$4),AND(ISNUMBER(F7),F7&gt;$F$4),AND(ISNUMBER(G7),G7&gt;$G$4)),"OVER MAX",IF(COUNT(E7:G7)+COUNTIF(E7:G7,"ABSENT")&lt;3,"MISSING "&amp;TRIM(IF(E7="","GD ","")&amp;IF(F7="","mini project ","")&amp;IF(G7="","mock","")),IF(COUNTIF(E7:G7,"ABSENT")&gt;0,"ABSENT "&amp;TRIM(IF(E7="ABSENT","GD ","")&amp;IF(F7="ABSENT","mini project ","")&amp;IF(G7="ABSENT","mock","")),"COMPLETE"))))</f>
        <v/>
      </c>
      <c r="J7" s="10" t="n"/>
    </row>
    <row r="8">
      <c r="A8" s="9" t="inlineStr">
        <is>
          <t>G1-S3</t>
        </is>
      </c>
      <c r="B8" s="9" t="inlineStr">
        <is>
          <t>G1</t>
        </is>
      </c>
      <c r="C8" s="10" t="n"/>
      <c r="D8" s="10" t="n"/>
      <c r="E8" s="10" t="n"/>
      <c r="F8" s="10" t="n"/>
      <c r="G8" s="10" t="n"/>
      <c r="H8" s="9">
        <f>IF(I8="COMPLETE",E8+F8+G8,"")</f>
        <v/>
      </c>
      <c r="I8" s="9">
        <f>IF(OR(AND(E8&lt;&gt;"",NOT(ISNUMBER(E8)),E8&lt;&gt;"ABSENT"),AND(F8&lt;&gt;"",NOT(ISNUMBER(F8)),F8&lt;&gt;"ABSENT"),AND(G8&lt;&gt;"",NOT(ISNUMBER(G8)),G8&lt;&gt;"ABSENT"),AND(ISNUMBER(E8),E8&lt;0),AND(ISNUMBER(F8),F8&lt;0),AND(ISNUMBER(G8),G8&lt;0)),"NOT A SCORE",IF(OR(AND(ISNUMBER(E8),E8&gt;$E$4),AND(ISNUMBER(F8),F8&gt;$F$4),AND(ISNUMBER(G8),G8&gt;$G$4)),"OVER MAX",IF(COUNT(E8:G8)+COUNTIF(E8:G8,"ABSENT")&lt;3,"MISSING "&amp;TRIM(IF(E8="","GD ","")&amp;IF(F8="","mini project ","")&amp;IF(G8="","mock","")),IF(COUNTIF(E8:G8,"ABSENT")&gt;0,"ABSENT "&amp;TRIM(IF(E8="ABSENT","GD ","")&amp;IF(F8="ABSENT","mini project ","")&amp;IF(G8="ABSENT","mock","")),"COMPLETE"))))</f>
        <v/>
      </c>
      <c r="J8" s="10" t="n"/>
    </row>
    <row r="9">
      <c r="A9" s="9" t="inlineStr">
        <is>
          <t>G1-S4</t>
        </is>
      </c>
      <c r="B9" s="9" t="inlineStr">
        <is>
          <t>G1</t>
        </is>
      </c>
      <c r="C9" s="10" t="n"/>
      <c r="D9" s="10" t="n"/>
      <c r="E9" s="10" t="n"/>
      <c r="F9" s="10" t="n"/>
      <c r="G9" s="10" t="n"/>
      <c r="H9" s="9">
        <f>IF(I9="COMPLETE",E9+F9+G9,"")</f>
        <v/>
      </c>
      <c r="I9" s="9">
        <f>IF(OR(AND(E9&lt;&gt;"",NOT(ISNUMBER(E9)),E9&lt;&gt;"ABSENT"),AND(F9&lt;&gt;"",NOT(ISNUMBER(F9)),F9&lt;&gt;"ABSENT"),AND(G9&lt;&gt;"",NOT(ISNUMBER(G9)),G9&lt;&gt;"ABSENT"),AND(ISNUMBER(E9),E9&lt;0),AND(ISNUMBER(F9),F9&lt;0),AND(ISNUMBER(G9),G9&lt;0)),"NOT A SCORE",IF(OR(AND(ISNUMBER(E9),E9&gt;$E$4),AND(ISNUMBER(F9),F9&gt;$F$4),AND(ISNUMBER(G9),G9&gt;$G$4)),"OVER MAX",IF(COUNT(E9:G9)+COUNTIF(E9:G9,"ABSENT")&lt;3,"MISSING "&amp;TRIM(IF(E9="","GD ","")&amp;IF(F9="","mini project ","")&amp;IF(G9="","mock","")),IF(COUNTIF(E9:G9,"ABSENT")&gt;0,"ABSENT "&amp;TRIM(IF(E9="ABSENT","GD ","")&amp;IF(F9="ABSENT","mini project ","")&amp;IF(G9="ABSENT","mock","")),"COMPLETE"))))</f>
        <v/>
      </c>
      <c r="J9" s="10" t="n"/>
    </row>
    <row r="10">
      <c r="A10" s="9" t="inlineStr">
        <is>
          <t>G2-S1</t>
        </is>
      </c>
      <c r="B10" s="9" t="inlineStr">
        <is>
          <t>G2</t>
        </is>
      </c>
      <c r="C10" s="10" t="n"/>
      <c r="D10" s="10" t="n"/>
      <c r="E10" s="10" t="n"/>
      <c r="F10" s="10" t="n"/>
      <c r="G10" s="10" t="n"/>
      <c r="H10" s="9">
        <f>IF(I10="COMPLETE",E10+F10+G10,"")</f>
        <v/>
      </c>
      <c r="I10" s="9">
        <f>IF(OR(AND(E10&lt;&gt;"",NOT(ISNUMBER(E10)),E10&lt;&gt;"ABSENT"),AND(F10&lt;&gt;"",NOT(ISNUMBER(F10)),F10&lt;&gt;"ABSENT"),AND(G10&lt;&gt;"",NOT(ISNUMBER(G10)),G10&lt;&gt;"ABSENT"),AND(ISNUMBER(E10),E10&lt;0),AND(ISNUMBER(F10),F10&lt;0),AND(ISNUMBER(G10),G10&lt;0)),"NOT A SCORE",IF(OR(AND(ISNUMBER(E10),E10&gt;$E$4),AND(ISNUMBER(F10),F10&gt;$F$4),AND(ISNUMBER(G10),G10&gt;$G$4)),"OVER MAX",IF(COUNT(E10:G10)+COUNTIF(E10:G10,"ABSENT")&lt;3,"MISSING "&amp;TRIM(IF(E10="","GD ","")&amp;IF(F10="","mini project ","")&amp;IF(G10="","mock","")),IF(COUNTIF(E10:G10,"ABSENT")&gt;0,"ABSENT "&amp;TRIM(IF(E10="ABSENT","GD ","")&amp;IF(F10="ABSENT","mini project ","")&amp;IF(G10="ABSENT","mock","")),"COMPLETE"))))</f>
        <v/>
      </c>
      <c r="J10" s="10" t="n"/>
    </row>
    <row r="11">
      <c r="A11" s="9" t="inlineStr">
        <is>
          <t>G2-S2</t>
        </is>
      </c>
      <c r="B11" s="9" t="inlineStr">
        <is>
          <t>G2</t>
        </is>
      </c>
      <c r="C11" s="10" t="n"/>
      <c r="D11" s="10" t="n"/>
      <c r="E11" s="10" t="n"/>
      <c r="F11" s="10" t="n"/>
      <c r="G11" s="10" t="n"/>
      <c r="H11" s="9">
        <f>IF(I11="COMPLETE",E11+F11+G11,"")</f>
        <v/>
      </c>
      <c r="I11" s="9">
        <f>IF(OR(AND(E11&lt;&gt;"",NOT(ISNUMBER(E11)),E11&lt;&gt;"ABSENT"),AND(F11&lt;&gt;"",NOT(ISNUMBER(F11)),F11&lt;&gt;"ABSENT"),AND(G11&lt;&gt;"",NOT(ISNUMBER(G11)),G11&lt;&gt;"ABSENT"),AND(ISNUMBER(E11),E11&lt;0),AND(ISNUMBER(F11),F11&lt;0),AND(ISNUMBER(G11),G11&lt;0)),"NOT A SCORE",IF(OR(AND(ISNUMBER(E11),E11&gt;$E$4),AND(ISNUMBER(F11),F11&gt;$F$4),AND(ISNUMBER(G11),G11&gt;$G$4)),"OVER MAX",IF(COUNT(E11:G11)+COUNTIF(E11:G11,"ABSENT")&lt;3,"MISSING "&amp;TRIM(IF(E11="","GD ","")&amp;IF(F11="","mini project ","")&amp;IF(G11="","mock","")),IF(COUNTIF(E11:G11,"ABSENT")&gt;0,"ABSENT "&amp;TRIM(IF(E11="ABSENT","GD ","")&amp;IF(F11="ABSENT","mini project ","")&amp;IF(G11="ABSENT","mock","")),"COMPLETE"))))</f>
        <v/>
      </c>
      <c r="J11" s="10" t="n"/>
    </row>
    <row r="12">
      <c r="A12" s="9" t="inlineStr">
        <is>
          <t>G2-S3</t>
        </is>
      </c>
      <c r="B12" s="9" t="inlineStr">
        <is>
          <t>G2</t>
        </is>
      </c>
      <c r="C12" s="10" t="n"/>
      <c r="D12" s="10" t="n"/>
      <c r="E12" s="10" t="n"/>
      <c r="F12" s="10" t="n"/>
      <c r="G12" s="10" t="n"/>
      <c r="H12" s="9">
        <f>IF(I12="COMPLETE",E12+F12+G12,"")</f>
        <v/>
      </c>
      <c r="I12" s="9">
        <f>IF(OR(AND(E12&lt;&gt;"",NOT(ISNUMBER(E12)),E12&lt;&gt;"ABSENT"),AND(F12&lt;&gt;"",NOT(ISNUMBER(F12)),F12&lt;&gt;"ABSENT"),AND(G12&lt;&gt;"",NOT(ISNUMBER(G12)),G12&lt;&gt;"ABSENT"),AND(ISNUMBER(E12),E12&lt;0),AND(ISNUMBER(F12),F12&lt;0),AND(ISNUMBER(G12),G12&lt;0)),"NOT A SCORE",IF(OR(AND(ISNUMBER(E12),E12&gt;$E$4),AND(ISNUMBER(F12),F12&gt;$F$4),AND(ISNUMBER(G12),G12&gt;$G$4)),"OVER MAX",IF(COUNT(E12:G12)+COUNTIF(E12:G12,"ABSENT")&lt;3,"MISSING "&amp;TRIM(IF(E12="","GD ","")&amp;IF(F12="","mini project ","")&amp;IF(G12="","mock","")),IF(COUNTIF(E12:G12,"ABSENT")&gt;0,"ABSENT "&amp;TRIM(IF(E12="ABSENT","GD ","")&amp;IF(F12="ABSENT","mini project ","")&amp;IF(G12="ABSENT","mock","")),"COMPLETE"))))</f>
        <v/>
      </c>
      <c r="J12" s="10" t="n"/>
    </row>
    <row r="13">
      <c r="A13" s="9" t="inlineStr">
        <is>
          <t>G2-S4</t>
        </is>
      </c>
      <c r="B13" s="9" t="inlineStr">
        <is>
          <t>G2</t>
        </is>
      </c>
      <c r="C13" s="10" t="n"/>
      <c r="D13" s="10" t="n"/>
      <c r="E13" s="10" t="n"/>
      <c r="F13" s="10" t="n"/>
      <c r="G13" s="10" t="n"/>
      <c r="H13" s="9">
        <f>IF(I13="COMPLETE",E13+F13+G13,"")</f>
        <v/>
      </c>
      <c r="I13" s="9">
        <f>IF(OR(AND(E13&lt;&gt;"",NOT(ISNUMBER(E13)),E13&lt;&gt;"ABSENT"),AND(F13&lt;&gt;"",NOT(ISNUMBER(F13)),F13&lt;&gt;"ABSENT"),AND(G13&lt;&gt;"",NOT(ISNUMBER(G13)),G13&lt;&gt;"ABSENT"),AND(ISNUMBER(E13),E13&lt;0),AND(ISNUMBER(F13),F13&lt;0),AND(ISNUMBER(G13),G13&lt;0)),"NOT A SCORE",IF(OR(AND(ISNUMBER(E13),E13&gt;$E$4),AND(ISNUMBER(F13),F13&gt;$F$4),AND(ISNUMBER(G13),G13&gt;$G$4)),"OVER MAX",IF(COUNT(E13:G13)+COUNTIF(E13:G13,"ABSENT")&lt;3,"MISSING "&amp;TRIM(IF(E13="","GD ","")&amp;IF(F13="","mini project ","")&amp;IF(G13="","mock","")),IF(COUNTIF(E13:G13,"ABSENT")&gt;0,"ABSENT "&amp;TRIM(IF(E13="ABSENT","GD ","")&amp;IF(F13="ABSENT","mini project ","")&amp;IF(G13="ABSENT","mock","")),"COMPLETE"))))</f>
        <v/>
      </c>
      <c r="J13" s="10" t="n"/>
    </row>
    <row r="14">
      <c r="A14" s="9" t="inlineStr">
        <is>
          <t>G3-S1</t>
        </is>
      </c>
      <c r="B14" s="9" t="inlineStr">
        <is>
          <t>G3</t>
        </is>
      </c>
      <c r="C14" s="10" t="n"/>
      <c r="D14" s="10" t="n"/>
      <c r="E14" s="10" t="n"/>
      <c r="F14" s="10" t="n"/>
      <c r="G14" s="10" t="n"/>
      <c r="H14" s="9">
        <f>IF(I14="COMPLETE",E14+F14+G14,"")</f>
        <v/>
      </c>
      <c r="I14" s="9">
        <f>IF(OR(AND(E14&lt;&gt;"",NOT(ISNUMBER(E14)),E14&lt;&gt;"ABSENT"),AND(F14&lt;&gt;"",NOT(ISNUMBER(F14)),F14&lt;&gt;"ABSENT"),AND(G14&lt;&gt;"",NOT(ISNUMBER(G14)),G14&lt;&gt;"ABSENT"),AND(ISNUMBER(E14),E14&lt;0),AND(ISNUMBER(F14),F14&lt;0),AND(ISNUMBER(G14),G14&lt;0)),"NOT A SCORE",IF(OR(AND(ISNUMBER(E14),E14&gt;$E$4),AND(ISNUMBER(F14),F14&gt;$F$4),AND(ISNUMBER(G14),G14&gt;$G$4)),"OVER MAX",IF(COUNT(E14:G14)+COUNTIF(E14:G14,"ABSENT")&lt;3,"MISSING "&amp;TRIM(IF(E14="","GD ","")&amp;IF(F14="","mini project ","")&amp;IF(G14="","mock","")),IF(COUNTIF(E14:G14,"ABSENT")&gt;0,"ABSENT "&amp;TRIM(IF(E14="ABSENT","GD ","")&amp;IF(F14="ABSENT","mini project ","")&amp;IF(G14="ABSENT","mock","")),"COMPLETE"))))</f>
        <v/>
      </c>
      <c r="J14" s="10" t="n"/>
    </row>
    <row r="15">
      <c r="A15" s="9" t="inlineStr">
        <is>
          <t>G3-S2</t>
        </is>
      </c>
      <c r="B15" s="9" t="inlineStr">
        <is>
          <t>G3</t>
        </is>
      </c>
      <c r="C15" s="10" t="n"/>
      <c r="D15" s="10" t="n"/>
      <c r="E15" s="10" t="n"/>
      <c r="F15" s="10" t="n"/>
      <c r="G15" s="10" t="n"/>
      <c r="H15" s="9">
        <f>IF(I15="COMPLETE",E15+F15+G15,"")</f>
        <v/>
      </c>
      <c r="I15" s="9">
        <f>IF(OR(AND(E15&lt;&gt;"",NOT(ISNUMBER(E15)),E15&lt;&gt;"ABSENT"),AND(F15&lt;&gt;"",NOT(ISNUMBER(F15)),F15&lt;&gt;"ABSENT"),AND(G15&lt;&gt;"",NOT(ISNUMBER(G15)),G15&lt;&gt;"ABSENT"),AND(ISNUMBER(E15),E15&lt;0),AND(ISNUMBER(F15),F15&lt;0),AND(ISNUMBER(G15),G15&lt;0)),"NOT A SCORE",IF(OR(AND(ISNUMBER(E15),E15&gt;$E$4),AND(ISNUMBER(F15),F15&gt;$F$4),AND(ISNUMBER(G15),G15&gt;$G$4)),"OVER MAX",IF(COUNT(E15:G15)+COUNTIF(E15:G15,"ABSENT")&lt;3,"MISSING "&amp;TRIM(IF(E15="","GD ","")&amp;IF(F15="","mini project ","")&amp;IF(G15="","mock","")),IF(COUNTIF(E15:G15,"ABSENT")&gt;0,"ABSENT "&amp;TRIM(IF(E15="ABSENT","GD ","")&amp;IF(F15="ABSENT","mini project ","")&amp;IF(G15="ABSENT","mock","")),"COMPLETE"))))</f>
        <v/>
      </c>
      <c r="J15" s="10" t="n"/>
    </row>
    <row r="16">
      <c r="A16" s="9" t="inlineStr">
        <is>
          <t>G3-S3</t>
        </is>
      </c>
      <c r="B16" s="9" t="inlineStr">
        <is>
          <t>G3</t>
        </is>
      </c>
      <c r="C16" s="10" t="n"/>
      <c r="D16" s="10" t="n"/>
      <c r="E16" s="10" t="n"/>
      <c r="F16" s="10" t="n"/>
      <c r="G16" s="10" t="n"/>
      <c r="H16" s="9">
        <f>IF(I16="COMPLETE",E16+F16+G16,"")</f>
        <v/>
      </c>
      <c r="I16" s="9">
        <f>IF(OR(AND(E16&lt;&gt;"",NOT(ISNUMBER(E16)),E16&lt;&gt;"ABSENT"),AND(F16&lt;&gt;"",NOT(ISNUMBER(F16)),F16&lt;&gt;"ABSENT"),AND(G16&lt;&gt;"",NOT(ISNUMBER(G16)),G16&lt;&gt;"ABSENT"),AND(ISNUMBER(E16),E16&lt;0),AND(ISNUMBER(F16),F16&lt;0),AND(ISNUMBER(G16),G16&lt;0)),"NOT A SCORE",IF(OR(AND(ISNUMBER(E16),E16&gt;$E$4),AND(ISNUMBER(F16),F16&gt;$F$4),AND(ISNUMBER(G16),G16&gt;$G$4)),"OVER MAX",IF(COUNT(E16:G16)+COUNTIF(E16:G16,"ABSENT")&lt;3,"MISSING "&amp;TRIM(IF(E16="","GD ","")&amp;IF(F16="","mini project ","")&amp;IF(G16="","mock","")),IF(COUNTIF(E16:G16,"ABSENT")&gt;0,"ABSENT "&amp;TRIM(IF(E16="ABSENT","GD ","")&amp;IF(F16="ABSENT","mini project ","")&amp;IF(G16="ABSENT","mock","")),"COMPLETE"))))</f>
        <v/>
      </c>
      <c r="J16" s="10" t="n"/>
    </row>
    <row r="17">
      <c r="A17" s="9" t="inlineStr">
        <is>
          <t>G3-S4</t>
        </is>
      </c>
      <c r="B17" s="9" t="inlineStr">
        <is>
          <t>G3</t>
        </is>
      </c>
      <c r="C17" s="10" t="n"/>
      <c r="D17" s="10" t="n"/>
      <c r="E17" s="10" t="n"/>
      <c r="F17" s="10" t="n"/>
      <c r="G17" s="10" t="n"/>
      <c r="H17" s="9">
        <f>IF(I17="COMPLETE",E17+F17+G17,"")</f>
        <v/>
      </c>
      <c r="I17" s="9">
        <f>IF(OR(AND(E17&lt;&gt;"",NOT(ISNUMBER(E17)),E17&lt;&gt;"ABSENT"),AND(F17&lt;&gt;"",NOT(ISNUMBER(F17)),F17&lt;&gt;"ABSENT"),AND(G17&lt;&gt;"",NOT(ISNUMBER(G17)),G17&lt;&gt;"ABSENT"),AND(ISNUMBER(E17),E17&lt;0),AND(ISNUMBER(F17),F17&lt;0),AND(ISNUMBER(G17),G17&lt;0)),"NOT A SCORE",IF(OR(AND(ISNUMBER(E17),E17&gt;$E$4),AND(ISNUMBER(F17),F17&gt;$F$4),AND(ISNUMBER(G17),G17&gt;$G$4)),"OVER MAX",IF(COUNT(E17:G17)+COUNTIF(E17:G17,"ABSENT")&lt;3,"MISSING "&amp;TRIM(IF(E17="","GD ","")&amp;IF(F17="","mini project ","")&amp;IF(G17="","mock","")),IF(COUNTIF(E17:G17,"ABSENT")&gt;0,"ABSENT "&amp;TRIM(IF(E17="ABSENT","GD ","")&amp;IF(F17="ABSENT","mini project ","")&amp;IF(G17="ABSENT","mock","")),"COMPLETE"))))</f>
        <v/>
      </c>
      <c r="J17" s="10" t="n"/>
    </row>
    <row r="18">
      <c r="A18" s="9" t="inlineStr">
        <is>
          <t>G4-S1</t>
        </is>
      </c>
      <c r="B18" s="9" t="inlineStr">
        <is>
          <t>G4</t>
        </is>
      </c>
      <c r="C18" s="10" t="n"/>
      <c r="D18" s="10" t="n"/>
      <c r="E18" s="10" t="n"/>
      <c r="F18" s="10" t="n"/>
      <c r="G18" s="10" t="n"/>
      <c r="H18" s="9">
        <f>IF(I18="COMPLETE",E18+F18+G18,"")</f>
        <v/>
      </c>
      <c r="I18" s="9">
        <f>IF(OR(AND(E18&lt;&gt;"",NOT(ISNUMBER(E18)),E18&lt;&gt;"ABSENT"),AND(F18&lt;&gt;"",NOT(ISNUMBER(F18)),F18&lt;&gt;"ABSENT"),AND(G18&lt;&gt;"",NOT(ISNUMBER(G18)),G18&lt;&gt;"ABSENT"),AND(ISNUMBER(E18),E18&lt;0),AND(ISNUMBER(F18),F18&lt;0),AND(ISNUMBER(G18),G18&lt;0)),"NOT A SCORE",IF(OR(AND(ISNUMBER(E18),E18&gt;$E$4),AND(ISNUMBER(F18),F18&gt;$F$4),AND(ISNUMBER(G18),G18&gt;$G$4)),"OVER MAX",IF(COUNT(E18:G18)+COUNTIF(E18:G18,"ABSENT")&lt;3,"MISSING "&amp;TRIM(IF(E18="","GD ","")&amp;IF(F18="","mini project ","")&amp;IF(G18="","mock","")),IF(COUNTIF(E18:G18,"ABSENT")&gt;0,"ABSENT "&amp;TRIM(IF(E18="ABSENT","GD ","")&amp;IF(F18="ABSENT","mini project ","")&amp;IF(G18="ABSENT","mock","")),"COMPLETE"))))</f>
        <v/>
      </c>
      <c r="J18" s="10" t="n"/>
    </row>
    <row r="19">
      <c r="A19" s="9" t="inlineStr">
        <is>
          <t>G4-S2</t>
        </is>
      </c>
      <c r="B19" s="9" t="inlineStr">
        <is>
          <t>G4</t>
        </is>
      </c>
      <c r="C19" s="10" t="n"/>
      <c r="D19" s="10" t="n"/>
      <c r="E19" s="10" t="n"/>
      <c r="F19" s="10" t="n"/>
      <c r="G19" s="10" t="n"/>
      <c r="H19" s="9">
        <f>IF(I19="COMPLETE",E19+F19+G19,"")</f>
        <v/>
      </c>
      <c r="I19" s="9">
        <f>IF(OR(AND(E19&lt;&gt;"",NOT(ISNUMBER(E19)),E19&lt;&gt;"ABSENT"),AND(F19&lt;&gt;"",NOT(ISNUMBER(F19)),F19&lt;&gt;"ABSENT"),AND(G19&lt;&gt;"",NOT(ISNUMBER(G19)),G19&lt;&gt;"ABSENT"),AND(ISNUMBER(E19),E19&lt;0),AND(ISNUMBER(F19),F19&lt;0),AND(ISNUMBER(G19),G19&lt;0)),"NOT A SCORE",IF(OR(AND(ISNUMBER(E19),E19&gt;$E$4),AND(ISNUMBER(F19),F19&gt;$F$4),AND(ISNUMBER(G19),G19&gt;$G$4)),"OVER MAX",IF(COUNT(E19:G19)+COUNTIF(E19:G19,"ABSENT")&lt;3,"MISSING "&amp;TRIM(IF(E19="","GD ","")&amp;IF(F19="","mini project ","")&amp;IF(G19="","mock","")),IF(COUNTIF(E19:G19,"ABSENT")&gt;0,"ABSENT "&amp;TRIM(IF(E19="ABSENT","GD ","")&amp;IF(F19="ABSENT","mini project ","")&amp;IF(G19="ABSENT","mock","")),"COMPLETE"))))</f>
        <v/>
      </c>
      <c r="J19" s="10" t="n"/>
    </row>
    <row r="20">
      <c r="A20" s="9" t="inlineStr">
        <is>
          <t>G4-S3</t>
        </is>
      </c>
      <c r="B20" s="9" t="inlineStr">
        <is>
          <t>G4</t>
        </is>
      </c>
      <c r="C20" s="10" t="n"/>
      <c r="D20" s="10" t="n"/>
      <c r="E20" s="10" t="n"/>
      <c r="F20" s="10" t="n"/>
      <c r="G20" s="10" t="n"/>
      <c r="H20" s="9">
        <f>IF(I20="COMPLETE",E20+F20+G20,"")</f>
        <v/>
      </c>
      <c r="I20" s="9">
        <f>IF(OR(AND(E20&lt;&gt;"",NOT(ISNUMBER(E20)),E20&lt;&gt;"ABSENT"),AND(F20&lt;&gt;"",NOT(ISNUMBER(F20)),F20&lt;&gt;"ABSENT"),AND(G20&lt;&gt;"",NOT(ISNUMBER(G20)),G20&lt;&gt;"ABSENT"),AND(ISNUMBER(E20),E20&lt;0),AND(ISNUMBER(F20),F20&lt;0),AND(ISNUMBER(G20),G20&lt;0)),"NOT A SCORE",IF(OR(AND(ISNUMBER(E20),E20&gt;$E$4),AND(ISNUMBER(F20),F20&gt;$F$4),AND(ISNUMBER(G20),G20&gt;$G$4)),"OVER MAX",IF(COUNT(E20:G20)+COUNTIF(E20:G20,"ABSENT")&lt;3,"MISSING "&amp;TRIM(IF(E20="","GD ","")&amp;IF(F20="","mini project ","")&amp;IF(G20="","mock","")),IF(COUNTIF(E20:G20,"ABSENT")&gt;0,"ABSENT "&amp;TRIM(IF(E20="ABSENT","GD ","")&amp;IF(F20="ABSENT","mini project ","")&amp;IF(G20="ABSENT","mock","")),"COMPLETE"))))</f>
        <v/>
      </c>
      <c r="J20" s="10" t="n"/>
    </row>
    <row r="21">
      <c r="A21" s="9" t="inlineStr">
        <is>
          <t>G4-S4</t>
        </is>
      </c>
      <c r="B21" s="9" t="inlineStr">
        <is>
          <t>G4</t>
        </is>
      </c>
      <c r="C21" s="10" t="n"/>
      <c r="D21" s="10" t="n"/>
      <c r="E21" s="10" t="n"/>
      <c r="F21" s="10" t="n"/>
      <c r="G21" s="10" t="n"/>
      <c r="H21" s="9">
        <f>IF(I21="COMPLETE",E21+F21+G21,"")</f>
        <v/>
      </c>
      <c r="I21" s="9">
        <f>IF(OR(AND(E21&lt;&gt;"",NOT(ISNUMBER(E21)),E21&lt;&gt;"ABSENT"),AND(F21&lt;&gt;"",NOT(ISNUMBER(F21)),F21&lt;&gt;"ABSENT"),AND(G21&lt;&gt;"",NOT(ISNUMBER(G21)),G21&lt;&gt;"ABSENT"),AND(ISNUMBER(E21),E21&lt;0),AND(ISNUMBER(F21),F21&lt;0),AND(ISNUMBER(G21),G21&lt;0)),"NOT A SCORE",IF(OR(AND(ISNUMBER(E21),E21&gt;$E$4),AND(ISNUMBER(F21),F21&gt;$F$4),AND(ISNUMBER(G21),G21&gt;$G$4)),"OVER MAX",IF(COUNT(E21:G21)+COUNTIF(E21:G21,"ABSENT")&lt;3,"MISSING "&amp;TRIM(IF(E21="","GD ","")&amp;IF(F21="","mini project ","")&amp;IF(G21="","mock","")),IF(COUNTIF(E21:G21,"ABSENT")&gt;0,"ABSENT "&amp;TRIM(IF(E21="ABSENT","GD ","")&amp;IF(F21="ABSENT","mini project ","")&amp;IF(G21="ABSENT","mock","")),"COMPLETE"))))</f>
        <v/>
      </c>
      <c r="J21" s="10" t="n"/>
    </row>
    <row r="22">
      <c r="A22" s="9" t="inlineStr">
        <is>
          <t>G5-S1</t>
        </is>
      </c>
      <c r="B22" s="9" t="inlineStr">
        <is>
          <t>G5</t>
        </is>
      </c>
      <c r="C22" s="10" t="n"/>
      <c r="D22" s="10" t="n"/>
      <c r="E22" s="10" t="n"/>
      <c r="F22" s="10" t="n"/>
      <c r="G22" s="10" t="n"/>
      <c r="H22" s="9">
        <f>IF(I22="COMPLETE",E22+F22+G22,"")</f>
        <v/>
      </c>
      <c r="I22" s="9">
        <f>IF(OR(AND(E22&lt;&gt;"",NOT(ISNUMBER(E22)),E22&lt;&gt;"ABSENT"),AND(F22&lt;&gt;"",NOT(ISNUMBER(F22)),F22&lt;&gt;"ABSENT"),AND(G22&lt;&gt;"",NOT(ISNUMBER(G22)),G22&lt;&gt;"ABSENT"),AND(ISNUMBER(E22),E22&lt;0),AND(ISNUMBER(F22),F22&lt;0),AND(ISNUMBER(G22),G22&lt;0)),"NOT A SCORE",IF(OR(AND(ISNUMBER(E22),E22&gt;$E$4),AND(ISNUMBER(F22),F22&gt;$F$4),AND(ISNUMBER(G22),G22&gt;$G$4)),"OVER MAX",IF(COUNT(E22:G22)+COUNTIF(E22:G22,"ABSENT")&lt;3,"MISSING "&amp;TRIM(IF(E22="","GD ","")&amp;IF(F22="","mini project ","")&amp;IF(G22="","mock","")),IF(COUNTIF(E22:G22,"ABSENT")&gt;0,"ABSENT "&amp;TRIM(IF(E22="ABSENT","GD ","")&amp;IF(F22="ABSENT","mini project ","")&amp;IF(G22="ABSENT","mock","")),"COMPLETE"))))</f>
        <v/>
      </c>
      <c r="J22" s="10" t="n"/>
    </row>
    <row r="23">
      <c r="A23" s="9" t="inlineStr">
        <is>
          <t>G5-S2</t>
        </is>
      </c>
      <c r="B23" s="9" t="inlineStr">
        <is>
          <t>G5</t>
        </is>
      </c>
      <c r="C23" s="10" t="n"/>
      <c r="D23" s="10" t="n"/>
      <c r="E23" s="10" t="n"/>
      <c r="F23" s="10" t="n"/>
      <c r="G23" s="10" t="n"/>
      <c r="H23" s="9">
        <f>IF(I23="COMPLETE",E23+F23+G23,"")</f>
        <v/>
      </c>
      <c r="I23" s="9">
        <f>IF(OR(AND(E23&lt;&gt;"",NOT(ISNUMBER(E23)),E23&lt;&gt;"ABSENT"),AND(F23&lt;&gt;"",NOT(ISNUMBER(F23)),F23&lt;&gt;"ABSENT"),AND(G23&lt;&gt;"",NOT(ISNUMBER(G23)),G23&lt;&gt;"ABSENT"),AND(ISNUMBER(E23),E23&lt;0),AND(ISNUMBER(F23),F23&lt;0),AND(ISNUMBER(G23),G23&lt;0)),"NOT A SCORE",IF(OR(AND(ISNUMBER(E23),E23&gt;$E$4),AND(ISNUMBER(F23),F23&gt;$F$4),AND(ISNUMBER(G23),G23&gt;$G$4)),"OVER MAX",IF(COUNT(E23:G23)+COUNTIF(E23:G23,"ABSENT")&lt;3,"MISSING "&amp;TRIM(IF(E23="","GD ","")&amp;IF(F23="","mini project ","")&amp;IF(G23="","mock","")),IF(COUNTIF(E23:G23,"ABSENT")&gt;0,"ABSENT "&amp;TRIM(IF(E23="ABSENT","GD ","")&amp;IF(F23="ABSENT","mini project ","")&amp;IF(G23="ABSENT","mock","")),"COMPLETE"))))</f>
        <v/>
      </c>
      <c r="J23" s="10" t="n"/>
    </row>
    <row r="24">
      <c r="A24" s="9" t="inlineStr">
        <is>
          <t>G5-S3</t>
        </is>
      </c>
      <c r="B24" s="9" t="inlineStr">
        <is>
          <t>G5</t>
        </is>
      </c>
      <c r="C24" s="10" t="n"/>
      <c r="D24" s="10" t="n"/>
      <c r="E24" s="10" t="n"/>
      <c r="F24" s="10" t="n"/>
      <c r="G24" s="10" t="n"/>
      <c r="H24" s="9">
        <f>IF(I24="COMPLETE",E24+F24+G24,"")</f>
        <v/>
      </c>
      <c r="I24" s="9">
        <f>IF(OR(AND(E24&lt;&gt;"",NOT(ISNUMBER(E24)),E24&lt;&gt;"ABSENT"),AND(F24&lt;&gt;"",NOT(ISNUMBER(F24)),F24&lt;&gt;"ABSENT"),AND(G24&lt;&gt;"",NOT(ISNUMBER(G24)),G24&lt;&gt;"ABSENT"),AND(ISNUMBER(E24),E24&lt;0),AND(ISNUMBER(F24),F24&lt;0),AND(ISNUMBER(G24),G24&lt;0)),"NOT A SCORE",IF(OR(AND(ISNUMBER(E24),E24&gt;$E$4),AND(ISNUMBER(F24),F24&gt;$F$4),AND(ISNUMBER(G24),G24&gt;$G$4)),"OVER MAX",IF(COUNT(E24:G24)+COUNTIF(E24:G24,"ABSENT")&lt;3,"MISSING "&amp;TRIM(IF(E24="","GD ","")&amp;IF(F24="","mini project ","")&amp;IF(G24="","mock","")),IF(COUNTIF(E24:G24,"ABSENT")&gt;0,"ABSENT "&amp;TRIM(IF(E24="ABSENT","GD ","")&amp;IF(F24="ABSENT","mini project ","")&amp;IF(G24="ABSENT","mock","")),"COMPLETE"))))</f>
        <v/>
      </c>
      <c r="J24" s="10" t="n"/>
    </row>
    <row r="25">
      <c r="A25" s="9" t="inlineStr">
        <is>
          <t>G5-S4</t>
        </is>
      </c>
      <c r="B25" s="9" t="inlineStr">
        <is>
          <t>G5</t>
        </is>
      </c>
      <c r="C25" s="10" t="n"/>
      <c r="D25" s="10" t="n"/>
      <c r="E25" s="10" t="n"/>
      <c r="F25" s="10" t="n"/>
      <c r="G25" s="10" t="n"/>
      <c r="H25" s="9">
        <f>IF(I25="COMPLETE",E25+F25+G25,"")</f>
        <v/>
      </c>
      <c r="I25" s="9">
        <f>IF(OR(AND(E25&lt;&gt;"",NOT(ISNUMBER(E25)),E25&lt;&gt;"ABSENT"),AND(F25&lt;&gt;"",NOT(ISNUMBER(F25)),F25&lt;&gt;"ABSENT"),AND(G25&lt;&gt;"",NOT(ISNUMBER(G25)),G25&lt;&gt;"ABSENT"),AND(ISNUMBER(E25),E25&lt;0),AND(ISNUMBER(F25),F25&lt;0),AND(ISNUMBER(G25),G25&lt;0)),"NOT A SCORE",IF(OR(AND(ISNUMBER(E25),E25&gt;$E$4),AND(ISNUMBER(F25),F25&gt;$F$4),AND(ISNUMBER(G25),G25&gt;$G$4)),"OVER MAX",IF(COUNT(E25:G25)+COUNTIF(E25:G25,"ABSENT")&lt;3,"MISSING "&amp;TRIM(IF(E25="","GD ","")&amp;IF(F25="","mini project ","")&amp;IF(G25="","mock","")),IF(COUNTIF(E25:G25,"ABSENT")&gt;0,"ABSENT "&amp;TRIM(IF(E25="ABSENT","GD ","")&amp;IF(F25="ABSENT","mini project ","")&amp;IF(G25="ABSENT","mock","")),"COMPLETE"))))</f>
        <v/>
      </c>
      <c r="J25" s="10" t="n"/>
    </row>
    <row r="26">
      <c r="A26" s="9" t="inlineStr">
        <is>
          <t>G6-S1</t>
        </is>
      </c>
      <c r="B26" s="9" t="inlineStr">
        <is>
          <t>G6</t>
        </is>
      </c>
      <c r="C26" s="10" t="n"/>
      <c r="D26" s="10" t="n"/>
      <c r="E26" s="10" t="n"/>
      <c r="F26" s="10" t="n"/>
      <c r="G26" s="10" t="n"/>
      <c r="H26" s="9">
        <f>IF(I26="COMPLETE",E26+F26+G26,"")</f>
        <v/>
      </c>
      <c r="I26" s="9">
        <f>IF(OR(AND(E26&lt;&gt;"",NOT(ISNUMBER(E26)),E26&lt;&gt;"ABSENT"),AND(F26&lt;&gt;"",NOT(ISNUMBER(F26)),F26&lt;&gt;"ABSENT"),AND(G26&lt;&gt;"",NOT(ISNUMBER(G26)),G26&lt;&gt;"ABSENT"),AND(ISNUMBER(E26),E26&lt;0),AND(ISNUMBER(F26),F26&lt;0),AND(ISNUMBER(G26),G26&lt;0)),"NOT A SCORE",IF(OR(AND(ISNUMBER(E26),E26&gt;$E$4),AND(ISNUMBER(F26),F26&gt;$F$4),AND(ISNUMBER(G26),G26&gt;$G$4)),"OVER MAX",IF(COUNT(E26:G26)+COUNTIF(E26:G26,"ABSENT")&lt;3,"MISSING "&amp;TRIM(IF(E26="","GD ","")&amp;IF(F26="","mini project ","")&amp;IF(G26="","mock","")),IF(COUNTIF(E26:G26,"ABSENT")&gt;0,"ABSENT "&amp;TRIM(IF(E26="ABSENT","GD ","")&amp;IF(F26="ABSENT","mini project ","")&amp;IF(G26="ABSENT","mock","")),"COMPLETE"))))</f>
        <v/>
      </c>
      <c r="J26" s="10" t="n"/>
    </row>
    <row r="27">
      <c r="A27" s="9" t="inlineStr">
        <is>
          <t>G6-S2</t>
        </is>
      </c>
      <c r="B27" s="9" t="inlineStr">
        <is>
          <t>G6</t>
        </is>
      </c>
      <c r="C27" s="10" t="n"/>
      <c r="D27" s="10" t="n"/>
      <c r="E27" s="10" t="n"/>
      <c r="F27" s="10" t="n"/>
      <c r="G27" s="10" t="n"/>
      <c r="H27" s="9">
        <f>IF(I27="COMPLETE",E27+F27+G27,"")</f>
        <v/>
      </c>
      <c r="I27" s="9">
        <f>IF(OR(AND(E27&lt;&gt;"",NOT(ISNUMBER(E27)),E27&lt;&gt;"ABSENT"),AND(F27&lt;&gt;"",NOT(ISNUMBER(F27)),F27&lt;&gt;"ABSENT"),AND(G27&lt;&gt;"",NOT(ISNUMBER(G27)),G27&lt;&gt;"ABSENT"),AND(ISNUMBER(E27),E27&lt;0),AND(ISNUMBER(F27),F27&lt;0),AND(ISNUMBER(G27),G27&lt;0)),"NOT A SCORE",IF(OR(AND(ISNUMBER(E27),E27&gt;$E$4),AND(ISNUMBER(F27),F27&gt;$F$4),AND(ISNUMBER(G27),G27&gt;$G$4)),"OVER MAX",IF(COUNT(E27:G27)+COUNTIF(E27:G27,"ABSENT")&lt;3,"MISSING "&amp;TRIM(IF(E27="","GD ","")&amp;IF(F27="","mini project ","")&amp;IF(G27="","mock","")),IF(COUNTIF(E27:G27,"ABSENT")&gt;0,"ABSENT "&amp;TRIM(IF(E27="ABSENT","GD ","")&amp;IF(F27="ABSENT","mini project ","")&amp;IF(G27="ABSENT","mock","")),"COMPLETE"))))</f>
        <v/>
      </c>
      <c r="J27" s="10" t="n"/>
    </row>
    <row r="28">
      <c r="A28" s="9" t="inlineStr">
        <is>
          <t>G6-S3</t>
        </is>
      </c>
      <c r="B28" s="9" t="inlineStr">
        <is>
          <t>G6</t>
        </is>
      </c>
      <c r="C28" s="10" t="n"/>
      <c r="D28" s="10" t="n"/>
      <c r="E28" s="10" t="n"/>
      <c r="F28" s="10" t="n"/>
      <c r="G28" s="10" t="n"/>
      <c r="H28" s="9">
        <f>IF(I28="COMPLETE",E28+F28+G28,"")</f>
        <v/>
      </c>
      <c r="I28" s="9">
        <f>IF(OR(AND(E28&lt;&gt;"",NOT(ISNUMBER(E28)),E28&lt;&gt;"ABSENT"),AND(F28&lt;&gt;"",NOT(ISNUMBER(F28)),F28&lt;&gt;"ABSENT"),AND(G28&lt;&gt;"",NOT(ISNUMBER(G28)),G28&lt;&gt;"ABSENT"),AND(ISNUMBER(E28),E28&lt;0),AND(ISNUMBER(F28),F28&lt;0),AND(ISNUMBER(G28),G28&lt;0)),"NOT A SCORE",IF(OR(AND(ISNUMBER(E28),E28&gt;$E$4),AND(ISNUMBER(F28),F28&gt;$F$4),AND(ISNUMBER(G28),G28&gt;$G$4)),"OVER MAX",IF(COUNT(E28:G28)+COUNTIF(E28:G28,"ABSENT")&lt;3,"MISSING "&amp;TRIM(IF(E28="","GD ","")&amp;IF(F28="","mini project ","")&amp;IF(G28="","mock","")),IF(COUNTIF(E28:G28,"ABSENT")&gt;0,"ABSENT "&amp;TRIM(IF(E28="ABSENT","GD ","")&amp;IF(F28="ABSENT","mini project ","")&amp;IF(G28="ABSENT","mock","")),"COMPLETE"))))</f>
        <v/>
      </c>
      <c r="J28" s="10" t="n"/>
    </row>
    <row r="29">
      <c r="A29" s="9" t="inlineStr">
        <is>
          <t>G6-S4</t>
        </is>
      </c>
      <c r="B29" s="9" t="inlineStr">
        <is>
          <t>G6</t>
        </is>
      </c>
      <c r="C29" s="10" t="n"/>
      <c r="D29" s="10" t="n"/>
      <c r="E29" s="10" t="n"/>
      <c r="F29" s="10" t="n"/>
      <c r="G29" s="10" t="n"/>
      <c r="H29" s="9">
        <f>IF(I29="COMPLETE",E29+F29+G29,"")</f>
        <v/>
      </c>
      <c r="I29" s="9">
        <f>IF(OR(AND(E29&lt;&gt;"",NOT(ISNUMBER(E29)),E29&lt;&gt;"ABSENT"),AND(F29&lt;&gt;"",NOT(ISNUMBER(F29)),F29&lt;&gt;"ABSENT"),AND(G29&lt;&gt;"",NOT(ISNUMBER(G29)),G29&lt;&gt;"ABSENT"),AND(ISNUMBER(E29),E29&lt;0),AND(ISNUMBER(F29),F29&lt;0),AND(ISNUMBER(G29),G29&lt;0)),"NOT A SCORE",IF(OR(AND(ISNUMBER(E29),E29&gt;$E$4),AND(ISNUMBER(F29),F29&gt;$F$4),AND(ISNUMBER(G29),G29&gt;$G$4)),"OVER MAX",IF(COUNT(E29:G29)+COUNTIF(E29:G29,"ABSENT")&lt;3,"MISSING "&amp;TRIM(IF(E29="","GD ","")&amp;IF(F29="","mini project ","")&amp;IF(G29="","mock","")),IF(COUNTIF(E29:G29,"ABSENT")&gt;0,"ABSENT "&amp;TRIM(IF(E29="ABSENT","GD ","")&amp;IF(F29="ABSENT","mini project ","")&amp;IF(G29="ABSENT","mock","")),"COMPLETE"))))</f>
        <v/>
      </c>
      <c r="J29" s="10" t="n"/>
    </row>
    <row r="30">
      <c r="A30" s="9" t="inlineStr">
        <is>
          <t>G7-S1</t>
        </is>
      </c>
      <c r="B30" s="9" t="inlineStr">
        <is>
          <t>G7</t>
        </is>
      </c>
      <c r="C30" s="10" t="n"/>
      <c r="D30" s="10" t="n"/>
      <c r="E30" s="10" t="n"/>
      <c r="F30" s="10" t="n"/>
      <c r="G30" s="10" t="n"/>
      <c r="H30" s="9">
        <f>IF(I30="COMPLETE",E30+F30+G30,"")</f>
        <v/>
      </c>
      <c r="I30" s="9">
        <f>IF(OR(AND(E30&lt;&gt;"",NOT(ISNUMBER(E30)),E30&lt;&gt;"ABSENT"),AND(F30&lt;&gt;"",NOT(ISNUMBER(F30)),F30&lt;&gt;"ABSENT"),AND(G30&lt;&gt;"",NOT(ISNUMBER(G30)),G30&lt;&gt;"ABSENT"),AND(ISNUMBER(E30),E30&lt;0),AND(ISNUMBER(F30),F30&lt;0),AND(ISNUMBER(G30),G30&lt;0)),"NOT A SCORE",IF(OR(AND(ISNUMBER(E30),E30&gt;$E$4),AND(ISNUMBER(F30),F30&gt;$F$4),AND(ISNUMBER(G30),G30&gt;$G$4)),"OVER MAX",IF(COUNT(E30:G30)+COUNTIF(E30:G30,"ABSENT")&lt;3,"MISSING "&amp;TRIM(IF(E30="","GD ","")&amp;IF(F30="","mini project ","")&amp;IF(G30="","mock","")),IF(COUNTIF(E30:G30,"ABSENT")&gt;0,"ABSENT "&amp;TRIM(IF(E30="ABSENT","GD ","")&amp;IF(F30="ABSENT","mini project ","")&amp;IF(G30="ABSENT","mock","")),"COMPLETE"))))</f>
        <v/>
      </c>
      <c r="J30" s="10" t="n"/>
    </row>
    <row r="31">
      <c r="A31" s="9" t="inlineStr">
        <is>
          <t>G7-S2</t>
        </is>
      </c>
      <c r="B31" s="9" t="inlineStr">
        <is>
          <t>G7</t>
        </is>
      </c>
      <c r="C31" s="10" t="n"/>
      <c r="D31" s="10" t="n"/>
      <c r="E31" s="10" t="n"/>
      <c r="F31" s="10" t="n"/>
      <c r="G31" s="10" t="n"/>
      <c r="H31" s="9">
        <f>IF(I31="COMPLETE",E31+F31+G31,"")</f>
        <v/>
      </c>
      <c r="I31" s="9">
        <f>IF(OR(AND(E31&lt;&gt;"",NOT(ISNUMBER(E31)),E31&lt;&gt;"ABSENT"),AND(F31&lt;&gt;"",NOT(ISNUMBER(F31)),F31&lt;&gt;"ABSENT"),AND(G31&lt;&gt;"",NOT(ISNUMBER(G31)),G31&lt;&gt;"ABSENT"),AND(ISNUMBER(E31),E31&lt;0),AND(ISNUMBER(F31),F31&lt;0),AND(ISNUMBER(G31),G31&lt;0)),"NOT A SCORE",IF(OR(AND(ISNUMBER(E31),E31&gt;$E$4),AND(ISNUMBER(F31),F31&gt;$F$4),AND(ISNUMBER(G31),G31&gt;$G$4)),"OVER MAX",IF(COUNT(E31:G31)+COUNTIF(E31:G31,"ABSENT")&lt;3,"MISSING "&amp;TRIM(IF(E31="","GD ","")&amp;IF(F31="","mini project ","")&amp;IF(G31="","mock","")),IF(COUNTIF(E31:G31,"ABSENT")&gt;0,"ABSENT "&amp;TRIM(IF(E31="ABSENT","GD ","")&amp;IF(F31="ABSENT","mini project ","")&amp;IF(G31="ABSENT","mock","")),"COMPLETE"))))</f>
        <v/>
      </c>
      <c r="J31" s="10" t="n"/>
    </row>
    <row r="32">
      <c r="A32" s="9" t="inlineStr">
        <is>
          <t>G7-S3</t>
        </is>
      </c>
      <c r="B32" s="9" t="inlineStr">
        <is>
          <t>G7</t>
        </is>
      </c>
      <c r="C32" s="10" t="n"/>
      <c r="D32" s="10" t="n"/>
      <c r="E32" s="10" t="n"/>
      <c r="F32" s="10" t="n"/>
      <c r="G32" s="10" t="n"/>
      <c r="H32" s="9">
        <f>IF(I32="COMPLETE",E32+F32+G32,"")</f>
        <v/>
      </c>
      <c r="I32" s="9">
        <f>IF(OR(AND(E32&lt;&gt;"",NOT(ISNUMBER(E32)),E32&lt;&gt;"ABSENT"),AND(F32&lt;&gt;"",NOT(ISNUMBER(F32)),F32&lt;&gt;"ABSENT"),AND(G32&lt;&gt;"",NOT(ISNUMBER(G32)),G32&lt;&gt;"ABSENT"),AND(ISNUMBER(E32),E32&lt;0),AND(ISNUMBER(F32),F32&lt;0),AND(ISNUMBER(G32),G32&lt;0)),"NOT A SCORE",IF(OR(AND(ISNUMBER(E32),E32&gt;$E$4),AND(ISNUMBER(F32),F32&gt;$F$4),AND(ISNUMBER(G32),G32&gt;$G$4)),"OVER MAX",IF(COUNT(E32:G32)+COUNTIF(E32:G32,"ABSENT")&lt;3,"MISSING "&amp;TRIM(IF(E32="","GD ","")&amp;IF(F32="","mini project ","")&amp;IF(G32="","mock","")),IF(COUNTIF(E32:G32,"ABSENT")&gt;0,"ABSENT "&amp;TRIM(IF(E32="ABSENT","GD ","")&amp;IF(F32="ABSENT","mini project ","")&amp;IF(G32="ABSENT","mock","")),"COMPLETE"))))</f>
        <v/>
      </c>
      <c r="J32" s="10" t="n"/>
    </row>
    <row r="33">
      <c r="A33" s="9" t="inlineStr">
        <is>
          <t>G7-S4</t>
        </is>
      </c>
      <c r="B33" s="9" t="inlineStr">
        <is>
          <t>G7</t>
        </is>
      </c>
      <c r="C33" s="10" t="n"/>
      <c r="D33" s="10" t="n"/>
      <c r="E33" s="10" t="n"/>
      <c r="F33" s="10" t="n"/>
      <c r="G33" s="10" t="n"/>
      <c r="H33" s="9">
        <f>IF(I33="COMPLETE",E33+F33+G33,"")</f>
        <v/>
      </c>
      <c r="I33" s="9">
        <f>IF(OR(AND(E33&lt;&gt;"",NOT(ISNUMBER(E33)),E33&lt;&gt;"ABSENT"),AND(F33&lt;&gt;"",NOT(ISNUMBER(F33)),F33&lt;&gt;"ABSENT"),AND(G33&lt;&gt;"",NOT(ISNUMBER(G33)),G33&lt;&gt;"ABSENT"),AND(ISNUMBER(E33),E33&lt;0),AND(ISNUMBER(F33),F33&lt;0),AND(ISNUMBER(G33),G33&lt;0)),"NOT A SCORE",IF(OR(AND(ISNUMBER(E33),E33&gt;$E$4),AND(ISNUMBER(F33),F33&gt;$F$4),AND(ISNUMBER(G33),G33&gt;$G$4)),"OVER MAX",IF(COUNT(E33:G33)+COUNTIF(E33:G33,"ABSENT")&lt;3,"MISSING "&amp;TRIM(IF(E33="","GD ","")&amp;IF(F33="","mini project ","")&amp;IF(G33="","mock","")),IF(COUNTIF(E33:G33,"ABSENT")&gt;0,"ABSENT "&amp;TRIM(IF(E33="ABSENT","GD ","")&amp;IF(F33="ABSENT","mini project ","")&amp;IF(G33="ABSENT","mock","")),"COMPLETE"))))</f>
        <v/>
      </c>
      <c r="J33" s="10" t="n"/>
    </row>
    <row r="34">
      <c r="A34" s="9" t="inlineStr">
        <is>
          <t>G8-S1</t>
        </is>
      </c>
      <c r="B34" s="9" t="inlineStr">
        <is>
          <t>G8</t>
        </is>
      </c>
      <c r="C34" s="10" t="n"/>
      <c r="D34" s="10" t="n"/>
      <c r="E34" s="10" t="n"/>
      <c r="F34" s="10" t="n"/>
      <c r="G34" s="10" t="n"/>
      <c r="H34" s="9">
        <f>IF(I34="COMPLETE",E34+F34+G34,"")</f>
        <v/>
      </c>
      <c r="I34" s="9">
        <f>IF(OR(AND(E34&lt;&gt;"",NOT(ISNUMBER(E34)),E34&lt;&gt;"ABSENT"),AND(F34&lt;&gt;"",NOT(ISNUMBER(F34)),F34&lt;&gt;"ABSENT"),AND(G34&lt;&gt;"",NOT(ISNUMBER(G34)),G34&lt;&gt;"ABSENT"),AND(ISNUMBER(E34),E34&lt;0),AND(ISNUMBER(F34),F34&lt;0),AND(ISNUMBER(G34),G34&lt;0)),"NOT A SCORE",IF(OR(AND(ISNUMBER(E34),E34&gt;$E$4),AND(ISNUMBER(F34),F34&gt;$F$4),AND(ISNUMBER(G34),G34&gt;$G$4)),"OVER MAX",IF(COUNT(E34:G34)+COUNTIF(E34:G34,"ABSENT")&lt;3,"MISSING "&amp;TRIM(IF(E34="","GD ","")&amp;IF(F34="","mini project ","")&amp;IF(G34="","mock","")),IF(COUNTIF(E34:G34,"ABSENT")&gt;0,"ABSENT "&amp;TRIM(IF(E34="ABSENT","GD ","")&amp;IF(F34="ABSENT","mini project ","")&amp;IF(G34="ABSENT","mock","")),"COMPLETE"))))</f>
        <v/>
      </c>
      <c r="J34" s="10" t="n"/>
    </row>
    <row r="35">
      <c r="A35" s="9" t="inlineStr">
        <is>
          <t>G8-S2</t>
        </is>
      </c>
      <c r="B35" s="9" t="inlineStr">
        <is>
          <t>G8</t>
        </is>
      </c>
      <c r="C35" s="10" t="n"/>
      <c r="D35" s="10" t="n"/>
      <c r="E35" s="10" t="n"/>
      <c r="F35" s="10" t="n"/>
      <c r="G35" s="10" t="n"/>
      <c r="H35" s="9">
        <f>IF(I35="COMPLETE",E35+F35+G35,"")</f>
        <v/>
      </c>
      <c r="I35" s="9">
        <f>IF(OR(AND(E35&lt;&gt;"",NOT(ISNUMBER(E35)),E35&lt;&gt;"ABSENT"),AND(F35&lt;&gt;"",NOT(ISNUMBER(F35)),F35&lt;&gt;"ABSENT"),AND(G35&lt;&gt;"",NOT(ISNUMBER(G35)),G35&lt;&gt;"ABSENT"),AND(ISNUMBER(E35),E35&lt;0),AND(ISNUMBER(F35),F35&lt;0),AND(ISNUMBER(G35),G35&lt;0)),"NOT A SCORE",IF(OR(AND(ISNUMBER(E35),E35&gt;$E$4),AND(ISNUMBER(F35),F35&gt;$F$4),AND(ISNUMBER(G35),G35&gt;$G$4)),"OVER MAX",IF(COUNT(E35:G35)+COUNTIF(E35:G35,"ABSENT")&lt;3,"MISSING "&amp;TRIM(IF(E35="","GD ","")&amp;IF(F35="","mini project ","")&amp;IF(G35="","mock","")),IF(COUNTIF(E35:G35,"ABSENT")&gt;0,"ABSENT "&amp;TRIM(IF(E35="ABSENT","GD ","")&amp;IF(F35="ABSENT","mini project ","")&amp;IF(G35="ABSENT","mock","")),"COMPLETE"))))</f>
        <v/>
      </c>
      <c r="J35" s="10" t="n"/>
    </row>
    <row r="36">
      <c r="A36" s="9" t="inlineStr">
        <is>
          <t>G8-S3</t>
        </is>
      </c>
      <c r="B36" s="9" t="inlineStr">
        <is>
          <t>G8</t>
        </is>
      </c>
      <c r="C36" s="10" t="n"/>
      <c r="D36" s="10" t="n"/>
      <c r="E36" s="10" t="n"/>
      <c r="F36" s="10" t="n"/>
      <c r="G36" s="10" t="n"/>
      <c r="H36" s="9">
        <f>IF(I36="COMPLETE",E36+F36+G36,"")</f>
        <v/>
      </c>
      <c r="I36" s="9">
        <f>IF(OR(AND(E36&lt;&gt;"",NOT(ISNUMBER(E36)),E36&lt;&gt;"ABSENT"),AND(F36&lt;&gt;"",NOT(ISNUMBER(F36)),F36&lt;&gt;"ABSENT"),AND(G36&lt;&gt;"",NOT(ISNUMBER(G36)),G36&lt;&gt;"ABSENT"),AND(ISNUMBER(E36),E36&lt;0),AND(ISNUMBER(F36),F36&lt;0),AND(ISNUMBER(G36),G36&lt;0)),"NOT A SCORE",IF(OR(AND(ISNUMBER(E36),E36&gt;$E$4),AND(ISNUMBER(F36),F36&gt;$F$4),AND(ISNUMBER(G36),G36&gt;$G$4)),"OVER MAX",IF(COUNT(E36:G36)+COUNTIF(E36:G36,"ABSENT")&lt;3,"MISSING "&amp;TRIM(IF(E36="","GD ","")&amp;IF(F36="","mini project ","")&amp;IF(G36="","mock","")),IF(COUNTIF(E36:G36,"ABSENT")&gt;0,"ABSENT "&amp;TRIM(IF(E36="ABSENT","GD ","")&amp;IF(F36="ABSENT","mini project ","")&amp;IF(G36="ABSENT","mock","")),"COMPLETE"))))</f>
        <v/>
      </c>
      <c r="J36" s="10" t="n"/>
    </row>
    <row r="37">
      <c r="A37" s="9" t="inlineStr">
        <is>
          <t>G8-S4</t>
        </is>
      </c>
      <c r="B37" s="9" t="inlineStr">
        <is>
          <t>G8</t>
        </is>
      </c>
      <c r="C37" s="10" t="n"/>
      <c r="D37" s="10" t="n"/>
      <c r="E37" s="10" t="n"/>
      <c r="F37" s="10" t="n"/>
      <c r="G37" s="10" t="n"/>
      <c r="H37" s="9">
        <f>IF(I37="COMPLETE",E37+F37+G37,"")</f>
        <v/>
      </c>
      <c r="I37" s="9">
        <f>IF(OR(AND(E37&lt;&gt;"",NOT(ISNUMBER(E37)),E37&lt;&gt;"ABSENT"),AND(F37&lt;&gt;"",NOT(ISNUMBER(F37)),F37&lt;&gt;"ABSENT"),AND(G37&lt;&gt;"",NOT(ISNUMBER(G37)),G37&lt;&gt;"ABSENT"),AND(ISNUMBER(E37),E37&lt;0),AND(ISNUMBER(F37),F37&lt;0),AND(ISNUMBER(G37),G37&lt;0)),"NOT A SCORE",IF(OR(AND(ISNUMBER(E37),E37&gt;$E$4),AND(ISNUMBER(F37),F37&gt;$F$4),AND(ISNUMBER(G37),G37&gt;$G$4)),"OVER MAX",IF(COUNT(E37:G37)+COUNTIF(E37:G37,"ABSENT")&lt;3,"MISSING "&amp;TRIM(IF(E37="","GD ","")&amp;IF(F37="","mini project ","")&amp;IF(G37="","mock","")),IF(COUNTIF(E37:G37,"ABSENT")&gt;0,"ABSENT "&amp;TRIM(IF(E37="ABSENT","GD ","")&amp;IF(F37="ABSENT","mini project ","")&amp;IF(G37="ABSENT","mock","")),"COMPLETE"))))</f>
        <v/>
      </c>
      <c r="J37" s="10" t="n"/>
    </row>
    <row r="38">
      <c r="A38" s="9" t="inlineStr">
        <is>
          <t>G9-S1</t>
        </is>
      </c>
      <c r="B38" s="9" t="inlineStr">
        <is>
          <t>G9</t>
        </is>
      </c>
      <c r="C38" s="10" t="n"/>
      <c r="D38" s="10" t="n"/>
      <c r="E38" s="10" t="n"/>
      <c r="F38" s="10" t="n"/>
      <c r="G38" s="10" t="n"/>
      <c r="H38" s="9">
        <f>IF(I38="COMPLETE",E38+F38+G38,"")</f>
        <v/>
      </c>
      <c r="I38" s="9">
        <f>IF(OR(AND(E38&lt;&gt;"",NOT(ISNUMBER(E38)),E38&lt;&gt;"ABSENT"),AND(F38&lt;&gt;"",NOT(ISNUMBER(F38)),F38&lt;&gt;"ABSENT"),AND(G38&lt;&gt;"",NOT(ISNUMBER(G38)),G38&lt;&gt;"ABSENT"),AND(ISNUMBER(E38),E38&lt;0),AND(ISNUMBER(F38),F38&lt;0),AND(ISNUMBER(G38),G38&lt;0)),"NOT A SCORE",IF(OR(AND(ISNUMBER(E38),E38&gt;$E$4),AND(ISNUMBER(F38),F38&gt;$F$4),AND(ISNUMBER(G38),G38&gt;$G$4)),"OVER MAX",IF(COUNT(E38:G38)+COUNTIF(E38:G38,"ABSENT")&lt;3,"MISSING "&amp;TRIM(IF(E38="","GD ","")&amp;IF(F38="","mini project ","")&amp;IF(G38="","mock","")),IF(COUNTIF(E38:G38,"ABSENT")&gt;0,"ABSENT "&amp;TRIM(IF(E38="ABSENT","GD ","")&amp;IF(F38="ABSENT","mini project ","")&amp;IF(G38="ABSENT","mock","")),"COMPLETE"))))</f>
        <v/>
      </c>
      <c r="J38" s="10" t="n"/>
    </row>
    <row r="39">
      <c r="A39" s="9" t="inlineStr">
        <is>
          <t>G9-S2</t>
        </is>
      </c>
      <c r="B39" s="9" t="inlineStr">
        <is>
          <t>G9</t>
        </is>
      </c>
      <c r="C39" s="10" t="n"/>
      <c r="D39" s="10" t="n"/>
      <c r="E39" s="10" t="n"/>
      <c r="F39" s="10" t="n"/>
      <c r="G39" s="10" t="n"/>
      <c r="H39" s="9">
        <f>IF(I39="COMPLETE",E39+F39+G39,"")</f>
        <v/>
      </c>
      <c r="I39" s="9">
        <f>IF(OR(AND(E39&lt;&gt;"",NOT(ISNUMBER(E39)),E39&lt;&gt;"ABSENT"),AND(F39&lt;&gt;"",NOT(ISNUMBER(F39)),F39&lt;&gt;"ABSENT"),AND(G39&lt;&gt;"",NOT(ISNUMBER(G39)),G39&lt;&gt;"ABSENT"),AND(ISNUMBER(E39),E39&lt;0),AND(ISNUMBER(F39),F39&lt;0),AND(ISNUMBER(G39),G39&lt;0)),"NOT A SCORE",IF(OR(AND(ISNUMBER(E39),E39&gt;$E$4),AND(ISNUMBER(F39),F39&gt;$F$4),AND(ISNUMBER(G39),G39&gt;$G$4)),"OVER MAX",IF(COUNT(E39:G39)+COUNTIF(E39:G39,"ABSENT")&lt;3,"MISSING "&amp;TRIM(IF(E39="","GD ","")&amp;IF(F39="","mini project ","")&amp;IF(G39="","mock","")),IF(COUNTIF(E39:G39,"ABSENT")&gt;0,"ABSENT "&amp;TRIM(IF(E39="ABSENT","GD ","")&amp;IF(F39="ABSENT","mini project ","")&amp;IF(G39="ABSENT","mock","")),"COMPLETE"))))</f>
        <v/>
      </c>
      <c r="J39" s="10" t="n"/>
    </row>
    <row r="40">
      <c r="A40" s="9" t="inlineStr">
        <is>
          <t>G9-S3</t>
        </is>
      </c>
      <c r="B40" s="9" t="inlineStr">
        <is>
          <t>G9</t>
        </is>
      </c>
      <c r="C40" s="10" t="n"/>
      <c r="D40" s="10" t="n"/>
      <c r="E40" s="10" t="n"/>
      <c r="F40" s="10" t="n"/>
      <c r="G40" s="10" t="n"/>
      <c r="H40" s="9">
        <f>IF(I40="COMPLETE",E40+F40+G40,"")</f>
        <v/>
      </c>
      <c r="I40" s="9">
        <f>IF(OR(AND(E40&lt;&gt;"",NOT(ISNUMBER(E40)),E40&lt;&gt;"ABSENT"),AND(F40&lt;&gt;"",NOT(ISNUMBER(F40)),F40&lt;&gt;"ABSENT"),AND(G40&lt;&gt;"",NOT(ISNUMBER(G40)),G40&lt;&gt;"ABSENT"),AND(ISNUMBER(E40),E40&lt;0),AND(ISNUMBER(F40),F40&lt;0),AND(ISNUMBER(G40),G40&lt;0)),"NOT A SCORE",IF(OR(AND(ISNUMBER(E40),E40&gt;$E$4),AND(ISNUMBER(F40),F40&gt;$F$4),AND(ISNUMBER(G40),G40&gt;$G$4)),"OVER MAX",IF(COUNT(E40:G40)+COUNTIF(E40:G40,"ABSENT")&lt;3,"MISSING "&amp;TRIM(IF(E40="","GD ","")&amp;IF(F40="","mini project ","")&amp;IF(G40="","mock","")),IF(COUNTIF(E40:G40,"ABSENT")&gt;0,"ABSENT "&amp;TRIM(IF(E40="ABSENT","GD ","")&amp;IF(F40="ABSENT","mini project ","")&amp;IF(G40="ABSENT","mock","")),"COMPLETE"))))</f>
        <v/>
      </c>
      <c r="J40" s="10" t="n"/>
    </row>
  </sheetData>
  <conditionalFormatting sqref="I6:I40">
    <cfRule type="expression" priority="1" dxfId="0">
      <formula>I6="COMPLETE"</formula>
    </cfRule>
    <cfRule type="expression" priority="2" dxfId="1">
      <formula>I6&lt;&gt;"COMPLETE"</formula>
    </cfRule>
  </conditionalFormatting>
  <dataValidations count="5">
    <dataValidation sqref="C6:C40" showDropDown="0" showInputMessage="0" showErrorMessage="0" allowBlank="1" type="list">
      <formula1>"1 revenue,2 bookings,3 billing,4 no-shows,5 campaign"</formula1>
    </dataValidation>
    <dataValidation sqref="D6:D40" showDropDown="0" showInputMessage="0" showErrorMessage="0" allowBlank="1" type="list">
      <formula1>"the industry expert,the senior industry leader"</formula1>
    </dataValidation>
    <dataValidation sqref="E6:E40" showDropDown="0" showInputMessage="0" showErrorMessage="1" allowBlank="1" errorTitle="Above the event's maximum" error="This score is outside 0 to the maximum in row 4. Check the signed sheet." type="decimal" errorStyle="warning" operator="between">
      <formula1>0</formula1>
      <formula2>$E$4</formula2>
    </dataValidation>
    <dataValidation sqref="F6:F40" showDropDown="0" showInputMessage="0" showErrorMessage="1" allowBlank="1" errorTitle="Above the event's maximum" error="This score is outside 0 to the maximum in row 4. Check the signed sheet." type="decimal" errorStyle="warning" operator="between">
      <formula1>0</formula1>
      <formula2>$F$4</formula2>
    </dataValidation>
    <dataValidation sqref="G6:G40" showDropDown="0" showInputMessage="0" showErrorMessage="1" allowBlank="1" errorTitle="Above the event's maximum" error="This score is outside 0 to the maximum in row 4. Check the signed sheet." type="decimal" errorStyle="warning" operator="between">
      <formula1>0</formula1>
      <formula2>$G$4</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0" customWidth="1" min="1" max="1"/>
    <col width="10" customWidth="1" min="2" max="2"/>
    <col width="16" customWidth="1" min="3" max="3"/>
    <col width="14" customWidth="1" min="4" max="4"/>
    <col width="30" customWidth="1" min="5" max="5"/>
  </cols>
  <sheetData>
    <row r="1">
      <c r="A1" s="5" t="inlineStr">
        <is>
          <t>By group: does every learner in each group hold three scores?</t>
        </is>
      </c>
    </row>
    <row r="3">
      <c r="A3" s="8" t="inlineStr">
        <is>
          <t>Group</t>
        </is>
      </c>
      <c r="B3" s="8" t="inlineStr">
        <is>
          <t>Seats</t>
        </is>
      </c>
      <c r="C3" s="8" t="inlineStr">
        <is>
          <t>Seats complete</t>
        </is>
      </c>
      <c r="D3" s="8" t="inlineStr">
        <is>
          <t>Seats short</t>
        </is>
      </c>
      <c r="E3" s="8" t="inlineStr">
        <is>
          <t>Group status</t>
        </is>
      </c>
    </row>
    <row r="4">
      <c r="A4" s="9" t="inlineStr">
        <is>
          <t>G1</t>
        </is>
      </c>
      <c r="B4" s="9">
        <f>COUNTIF(Scores!$B$6:$B$40,A4)</f>
        <v/>
      </c>
      <c r="C4" s="9">
        <f>COUNTIFS(Scores!$B$6:$B$40,A4,Scores!$I$6:$I$40,"COMPLETE")</f>
        <v/>
      </c>
      <c r="D4" s="9">
        <f>B4-C4</f>
        <v/>
      </c>
      <c r="E4" s="9">
        <f>IF(D4=0,"ALL COMPLETE",D4&amp;" seat(s) short")</f>
        <v/>
      </c>
    </row>
    <row r="5">
      <c r="A5" s="9" t="inlineStr">
        <is>
          <t>G2</t>
        </is>
      </c>
      <c r="B5" s="9">
        <f>COUNTIF(Scores!$B$6:$B$40,A5)</f>
        <v/>
      </c>
      <c r="C5" s="9">
        <f>COUNTIFS(Scores!$B$6:$B$40,A5,Scores!$I$6:$I$40,"COMPLETE")</f>
        <v/>
      </c>
      <c r="D5" s="9">
        <f>B5-C5</f>
        <v/>
      </c>
      <c r="E5" s="9">
        <f>IF(D5=0,"ALL COMPLETE",D5&amp;" seat(s) short")</f>
        <v/>
      </c>
    </row>
    <row r="6">
      <c r="A6" s="9" t="inlineStr">
        <is>
          <t>G3</t>
        </is>
      </c>
      <c r="B6" s="9">
        <f>COUNTIF(Scores!$B$6:$B$40,A6)</f>
        <v/>
      </c>
      <c r="C6" s="9">
        <f>COUNTIFS(Scores!$B$6:$B$40,A6,Scores!$I$6:$I$40,"COMPLETE")</f>
        <v/>
      </c>
      <c r="D6" s="9">
        <f>B6-C6</f>
        <v/>
      </c>
      <c r="E6" s="9">
        <f>IF(D6=0,"ALL COMPLETE",D6&amp;" seat(s) short")</f>
        <v/>
      </c>
    </row>
    <row r="7">
      <c r="A7" s="9" t="inlineStr">
        <is>
          <t>G4</t>
        </is>
      </c>
      <c r="B7" s="9">
        <f>COUNTIF(Scores!$B$6:$B$40,A7)</f>
        <v/>
      </c>
      <c r="C7" s="9">
        <f>COUNTIFS(Scores!$B$6:$B$40,A7,Scores!$I$6:$I$40,"COMPLETE")</f>
        <v/>
      </c>
      <c r="D7" s="9">
        <f>B7-C7</f>
        <v/>
      </c>
      <c r="E7" s="9">
        <f>IF(D7=0,"ALL COMPLETE",D7&amp;" seat(s) short")</f>
        <v/>
      </c>
    </row>
    <row r="8">
      <c r="A8" s="9" t="inlineStr">
        <is>
          <t>G5</t>
        </is>
      </c>
      <c r="B8" s="9">
        <f>COUNTIF(Scores!$B$6:$B$40,A8)</f>
        <v/>
      </c>
      <c r="C8" s="9">
        <f>COUNTIFS(Scores!$B$6:$B$40,A8,Scores!$I$6:$I$40,"COMPLETE")</f>
        <v/>
      </c>
      <c r="D8" s="9">
        <f>B8-C8</f>
        <v/>
      </c>
      <c r="E8" s="9">
        <f>IF(D8=0,"ALL COMPLETE",D8&amp;" seat(s) short")</f>
        <v/>
      </c>
    </row>
    <row r="9">
      <c r="A9" s="9" t="inlineStr">
        <is>
          <t>G6</t>
        </is>
      </c>
      <c r="B9" s="9">
        <f>COUNTIF(Scores!$B$6:$B$40,A9)</f>
        <v/>
      </c>
      <c r="C9" s="9">
        <f>COUNTIFS(Scores!$B$6:$B$40,A9,Scores!$I$6:$I$40,"COMPLETE")</f>
        <v/>
      </c>
      <c r="D9" s="9">
        <f>B9-C9</f>
        <v/>
      </c>
      <c r="E9" s="9">
        <f>IF(D9=0,"ALL COMPLETE",D9&amp;" seat(s) short")</f>
        <v/>
      </c>
    </row>
    <row r="10">
      <c r="A10" s="9" t="inlineStr">
        <is>
          <t>G7</t>
        </is>
      </c>
      <c r="B10" s="9">
        <f>COUNTIF(Scores!$B$6:$B$40,A10)</f>
        <v/>
      </c>
      <c r="C10" s="9">
        <f>COUNTIFS(Scores!$B$6:$B$40,A10,Scores!$I$6:$I$40,"COMPLETE")</f>
        <v/>
      </c>
      <c r="D10" s="9">
        <f>B10-C10</f>
        <v/>
      </c>
      <c r="E10" s="9">
        <f>IF(D10=0,"ALL COMPLETE",D10&amp;" seat(s) short")</f>
        <v/>
      </c>
    </row>
    <row r="11">
      <c r="A11" s="9" t="inlineStr">
        <is>
          <t>G8</t>
        </is>
      </c>
      <c r="B11" s="9">
        <f>COUNTIF(Scores!$B$6:$B$40,A11)</f>
        <v/>
      </c>
      <c r="C11" s="9">
        <f>COUNTIFS(Scores!$B$6:$B$40,A11,Scores!$I$6:$I$40,"COMPLETE")</f>
        <v/>
      </c>
      <c r="D11" s="9">
        <f>B11-C11</f>
        <v/>
      </c>
      <c r="E11" s="9">
        <f>IF(D11=0,"ALL COMPLETE",D11&amp;" seat(s) short")</f>
        <v/>
      </c>
    </row>
    <row r="12">
      <c r="A12" s="9" t="inlineStr">
        <is>
          <t>G9</t>
        </is>
      </c>
      <c r="B12" s="9">
        <f>COUNTIF(Scores!$B$6:$B$40,A12)</f>
        <v/>
      </c>
      <c r="C12" s="9">
        <f>COUNTIFS(Scores!$B$6:$B$40,A12,Scores!$I$6:$I$40,"COMPLETE")</f>
        <v/>
      </c>
      <c r="D12" s="9">
        <f>B12-C12</f>
        <v/>
      </c>
      <c r="E12" s="9">
        <f>IF(D12=0,"ALL COMPLETE",D12&amp;" seat(s) short")</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8" customWidth="1" min="1" max="1"/>
    <col width="34" customWidth="1" min="2" max="2"/>
  </cols>
  <sheetData>
    <row r="1">
      <c r="A1" s="5" t="inlineStr">
        <is>
          <t>Checks: every learner holds three scores, none above its maximum</t>
        </is>
      </c>
    </row>
    <row r="3">
      <c r="A3" s="8" t="inlineStr">
        <is>
          <t>Check</t>
        </is>
      </c>
      <c r="B3" s="8" t="inlineStr">
        <is>
          <t>Count</t>
        </is>
      </c>
    </row>
    <row r="4">
      <c r="A4" s="9" t="inlineStr">
        <is>
          <t>Seats on the Scores sheet</t>
        </is>
      </c>
      <c r="B4" s="11">
        <f>COUNTA(Scores!$A$6:$A$40)</f>
        <v/>
      </c>
    </row>
    <row r="5">
      <c r="A5" s="9" t="inlineStr">
        <is>
          <t>Seats that repeat another seat's label</t>
        </is>
      </c>
      <c r="B5" s="11">
        <f>SUMPRODUCT((COUNTIF(Scores!$A$6:$A$40,Scores!$A$6:$A$40)&gt;1)*1)</f>
        <v/>
      </c>
    </row>
    <row r="6">
      <c r="A6" s="9" t="inlineStr">
        <is>
          <t>Seats COMPLETE</t>
        </is>
      </c>
      <c r="B6" s="11">
        <f>COUNTIF(Scores!$I$6:$I$40,"COMPLETE")</f>
        <v/>
      </c>
    </row>
    <row r="7">
      <c r="A7" s="9" t="inlineStr">
        <is>
          <t>Seats with a score MISSING</t>
        </is>
      </c>
      <c r="B7" s="11">
        <f>COUNTIF(Scores!$I$6:$I$40,"MISSING*")</f>
        <v/>
      </c>
    </row>
    <row r="8">
      <c r="A8" s="9" t="inlineStr">
        <is>
          <t>Seats with a score OVER MAX</t>
        </is>
      </c>
      <c r="B8" s="11">
        <f>COUNTIF(Scores!$I$6:$I$40,"OVER MAX")</f>
        <v/>
      </c>
    </row>
    <row r="9">
      <c r="A9" s="9" t="inlineStr">
        <is>
          <t>Seats with NOT A SCORE</t>
        </is>
      </c>
      <c r="B9" s="11">
        <f>COUNTIF(Scores!$I$6:$I$40,"NOT A SCORE")</f>
        <v/>
      </c>
    </row>
    <row r="10">
      <c r="A10" s="9" t="inlineStr">
        <is>
          <t>GD scores still empty</t>
        </is>
      </c>
      <c r="B10" s="11">
        <f>COUNTBLANK(Scores!$E$6:$E$40)</f>
        <v/>
      </c>
    </row>
    <row r="11">
      <c r="A11" s="9" t="inlineStr">
        <is>
          <t>Mini project scores still empty</t>
        </is>
      </c>
      <c r="B11" s="11">
        <f>COUNTBLANK(Scores!$F$6:$F$40)</f>
        <v/>
      </c>
    </row>
    <row r="12">
      <c r="A12" s="9" t="inlineStr">
        <is>
          <t>Mock scores still empty</t>
        </is>
      </c>
      <c r="B12" s="11">
        <f>COUNTBLANK(Scores!$G$6:$G$40)</f>
        <v/>
      </c>
    </row>
    <row r="13">
      <c r="A13" s="9" t="inlineStr">
        <is>
          <t>Seats with no sub-problem or no panel recorded</t>
        </is>
      </c>
      <c r="B13" s="11">
        <f>COUNTBLANK(Scores!$C$6:$C$40)+COUNTBLANK(Scores!$D$6:$D$40)</f>
        <v/>
      </c>
    </row>
    <row r="14">
      <c r="A14" s="9" t="inlineStr">
        <is>
          <t>Seats with an event marked ABSENT</t>
        </is>
      </c>
      <c r="B14" s="11">
        <f>COUNTIF(Scores!$I$6:$I$40,"ABSENT*")</f>
        <v/>
      </c>
    </row>
    <row r="15">
      <c r="A15" s="9" t="inlineStr">
        <is>
          <t>Seats short, by seat</t>
        </is>
      </c>
      <c r="B15" s="12">
        <f t="array" ref="B15">_xlfn.TEXTJOIN(", ",TRUE,IF((Scores!$I$6:$I$40&lt;&gt;"COMPLETE")*(LEFT(Scores!$I$6:$I$40,6)&lt;&gt;"ABSENT"),Scores!$A$6:$A$40,""))</f>
        <v/>
      </c>
    </row>
    <row r="16">
      <c r="A16" s="9" t="inlineStr">
        <is>
          <t>Seats with an absence, by seat</t>
        </is>
      </c>
      <c r="B16" s="12">
        <f t="array" ref="B16">_xlfn.TEXTJOIN(", ",TRUE,IF(LEFT(Scores!$I$6:$I$40,6)="ABSENT",Scores!$A$6:$A$40,""))</f>
        <v/>
      </c>
    </row>
    <row r="18">
      <c r="A18" s="13" t="inlineStr">
        <is>
          <t>Verdict</t>
        </is>
      </c>
      <c r="B18" s="14">
        <f>IF(AND(B6+B14=B4,B5=0,B8=0,B9=0),"READY TO SIGN","NOT READY: "&amp;(B4-B6-B14)&amp;" seats short")</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70" customWidth="1" min="2" max="2"/>
    <col width="10" customWidth="1" min="3" max="3"/>
    <col width="40" customWidth="1" min="4" max="4"/>
  </cols>
  <sheetData>
    <row r="1">
      <c r="A1" s="5" t="inlineStr">
        <is>
          <t>Sign-off: each assessor role signs for its own column</t>
        </is>
      </c>
    </row>
    <row r="3">
      <c r="A3" s="8" t="inlineStr">
        <is>
          <t>Role</t>
        </is>
      </c>
      <c r="B3" s="8" t="inlineStr">
        <is>
          <t>Signs for</t>
        </is>
      </c>
      <c r="C3" s="8" t="inlineStr">
        <is>
          <t>Signed</t>
        </is>
      </c>
      <c r="D3" s="8" t="inlineStr">
        <is>
          <t>Notes</t>
        </is>
      </c>
    </row>
    <row r="4">
      <c r="A4" s="9" t="inlineStr">
        <is>
          <t>GD assessor: the industry expert</t>
        </is>
      </c>
      <c r="B4" s="9" t="inlineStr">
        <is>
          <t>The GD scores of the rounds the expert ran, Friday and Saturday</t>
        </is>
      </c>
      <c r="C4" s="10" t="n"/>
      <c r="D4" s="10" t="n"/>
    </row>
    <row r="5">
      <c r="A5" s="9" t="inlineStr">
        <is>
          <t>GD assessor: the Principal Advisor</t>
        </is>
      </c>
      <c r="B5" s="9" t="inlineStr">
        <is>
          <t>The GD scores of the rounds run online</t>
        </is>
      </c>
      <c r="C5" s="10" t="n"/>
      <c r="D5" s="10" t="n"/>
    </row>
    <row r="6">
      <c r="A6" s="9" t="inlineStr">
        <is>
          <t>Panel: the industry expert</t>
        </is>
      </c>
      <c r="B6" s="9" t="inlineStr">
        <is>
          <t>The mini project scores of the groups this panel heard</t>
        </is>
      </c>
      <c r="C6" s="10" t="n"/>
      <c r="D6" s="10" t="n"/>
    </row>
    <row r="7">
      <c r="A7" s="9" t="inlineStr">
        <is>
          <t>Panel: the senior industry leader</t>
        </is>
      </c>
      <c r="B7" s="9" t="inlineStr">
        <is>
          <t>The mini project scores of the groups this panel heard</t>
        </is>
      </c>
      <c r="C7" s="10" t="n"/>
      <c r="D7" s="10" t="n"/>
    </row>
    <row r="8">
      <c r="A8" s="9" t="inlineStr">
        <is>
          <t>Mock assessor: the Principal Advisor</t>
        </is>
      </c>
      <c r="B8" s="9" t="inlineStr">
        <is>
          <t>The Mock R1 scores this assessor gave</t>
        </is>
      </c>
      <c r="C8" s="10" t="n"/>
      <c r="D8" s="10" t="n"/>
    </row>
    <row r="9">
      <c r="A9" s="9" t="inlineStr">
        <is>
          <t>Mock assessor: the Programme Head</t>
        </is>
      </c>
      <c r="B9" s="9" t="inlineStr">
        <is>
          <t>The Mock R1 scores this assessor gave</t>
        </is>
      </c>
      <c r="C9" s="10" t="n"/>
      <c r="D9" s="10" t="n"/>
    </row>
    <row r="10">
      <c r="A10" s="9" t="inlineStr">
        <is>
          <t>Mock assessor: the Academic TA</t>
        </is>
      </c>
      <c r="B10" s="9" t="inlineStr">
        <is>
          <t>The Mock R1 scores this assessor gave</t>
        </is>
      </c>
      <c r="C10" s="10" t="n"/>
      <c r="D10" s="10" t="n"/>
    </row>
    <row r="11">
      <c r="A11" s="9" t="inlineStr">
        <is>
          <t>Closure: the Programme Head</t>
        </is>
      </c>
      <c r="B11" s="9" t="inlineStr">
        <is>
          <t>Every seat holds three scores, the checks are clear, and the grades are closed</t>
        </is>
      </c>
      <c r="C11" s="10" t="n"/>
      <c r="D11" s="10" t="n"/>
    </row>
    <row r="13">
      <c r="A13" s="13" t="inlineStr">
        <is>
          <t>Closure</t>
        </is>
      </c>
      <c r="B13" s="14">
        <f>IF(Checks!B18&lt;&gt;"READY TO SIGN","NOT READY",IF(COUNTIF(C4:C11,"Yes")=8,"CLOSED","READY: awaiting "&amp;(8-COUNTIF(C4:C11,"Yes"))&amp;" sign-offs"))</f>
        <v/>
      </c>
    </row>
  </sheetData>
  <dataValidations count="1">
    <dataValidation sqref="C4 C5 C6 C7 C8 C9 C10 C11" showDropDown="0" showInputMessage="0" showErrorMessage="0" allowBlank="1" type="list">
      <formula1>"Yes"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2026-09-29T18:41:50Z</dcterms:created>
  <dcterms:modified xmlns:dcterms="http://purl.org/dc/terms/" xmlns:xsi="http://www.w3.org/2001/XMLSchema-instance" xsi:type="dcterms:W3CDTF">2026-09-29T18:41:50Z</dcterms:modified>
</cp:coreProperties>
</file>