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ores" sheetId="2" state="visible" r:id="rId4"/>
    <sheet name="By group" sheetId="3" state="visible" r:id="rId5"/>
    <sheet name="Checks" sheetId="4" state="visible" r:id="rId6"/>
    <sheet name="Sign-off"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Locked marks per event, data/programme/facts.yaml, evaluation per_event.</t>
        </r>
      </text>
    </comment>
    <comment ref="F4" authorId="0">
      <text>
        <r>
          <rPr>
            <sz val="10"/>
            <rFont val="Arial"/>
            <family val="2"/>
          </rPr>
          <t xml:space="preserve">Locked marks per event, data/programme/facts.yaml, evaluation per_event.</t>
        </r>
      </text>
    </comment>
    <comment ref="G4" authorId="0">
      <text>
        <r>
          <rPr>
            <sz val="10"/>
            <rFont val="Arial"/>
            <family val="2"/>
          </rPr>
          <t xml:space="preserve">Locked marks per event, data/programme/facts.yaml, evaluation per_event.</t>
        </r>
      </text>
    </comment>
  </commentList>
</comments>
</file>

<file path=xl/sharedStrings.xml><?xml version="1.0" encoding="utf-8"?>
<sst xmlns="http://schemas.openxmlformats.org/spreadsheetml/2006/main" count="152" uniqueCount="112">
  <si>
    <t xml:space="preserve">Build 1 grade closure: Week 3, Kalpa Health</t>
  </si>
  <si>
    <t xml:space="preserve">TRAINER ONLY. The committed file is the empty template; a filled copy holds learners' scores and is never committed.</t>
  </si>
  <si>
    <t xml:space="preserve">What it closes</t>
  </si>
  <si>
    <t xml:space="preserve">Three scores per learner: the GD score out of 30, the mini project score out of 40 including the presentation, and the Mock R1 score out of 30. The marks per event are locked (data/programme/facts.yaml). Each total is copied from its scoring sheet, which carries the criteria the requester approved on 29 September 2026: the GD from content/W03/D5/rubrics/C2_W03_D05_gd_scoring_sheet_TRAINER.xlsx, the mini project from C2_W03_SAT_mini_project_scoring_TRAINER.xlsx beside this file, and the mock from content/W03/D4/rubrics/C2_W03_D04_mock_scoring_sheet_TRAINER.xlsx.</t>
  </si>
  <si>
    <t xml:space="preserve">Where to type</t>
  </si>
  <si>
    <t xml:space="preserve">Only the yellow cells on the Scores sheet (columns C to G and J) and the Signed column on the Sign-off sheet. Every other cell is a formula.</t>
  </si>
  <si>
    <t xml:space="preserve">Entered once</t>
  </si>
  <si>
    <t xml:space="preserve">Each score is typed once, by the scribe named on the run sheet, from the assessor's signed sheet. A correction replaces the one cell; it is never typed in a second place.</t>
  </si>
  <si>
    <t xml:space="preserve">Seats, never names</t>
  </si>
  <si>
    <t xml:space="preserve">Seats are labelled by group and seat (G1-S1). The Programme Head keeps the seat-to-learner key outside this repository. Eight groups hold four seats and G9 holds three, as the handover's 35 learners in nine groups give; relabel the seat column if Monday's allocation put the group of three elsewhere.</t>
  </si>
  <si>
    <t xml:space="preserve">Status, per seat</t>
  </si>
  <si>
    <t xml:space="preserve">COMPLETE when all three scores are in and within their maximums. MISSING names the scores still to enter. OVER MAX means a score above its event's maximum. NOT A SCORE means text or a negative number in a score cell.</t>
  </si>
  <si>
    <t xml:space="preserve">The verdict</t>
  </si>
  <si>
    <t xml:space="preserve">The Checks sheet reads READY TO SIGN only when every seat is COMPLETE, no seat repeats, and no flag remains. The Sign-off sheet reads CLOSED only after that, with every role signed.</t>
  </si>
  <si>
    <t xml:space="preserve">An absence</t>
  </si>
  <si>
    <t xml:space="preserve">A learner who missed an event keeps the cell empty and carries the Programme Head's decision in Notes. No make-up rule is published, so this workbook sets none.</t>
  </si>
  <si>
    <t xml:space="preserve">Example, format only</t>
  </si>
  <si>
    <t xml:space="preserve">Seat G1-S1, group G1, sub-problem 2 bookings, panel the industry expert, GD 21, mini project 29.5, mock 22: total 72.5, status COMPLETE. This example is not on the Scores sheet.</t>
  </si>
  <si>
    <t xml:space="preserve">Scores: one row per learner seat</t>
  </si>
  <si>
    <t xml:space="preserve">Type only in the yellow cells. Row 4 holds each event's maximum, which every check reads.</t>
  </si>
  <si>
    <t xml:space="preserve">Maximum</t>
  </si>
  <si>
    <t xml:space="preserve">Seat</t>
  </si>
  <si>
    <t xml:space="preserve">Group</t>
  </si>
  <si>
    <t xml:space="preserve">Sub-problem</t>
  </si>
  <si>
    <t xml:space="preserve">Panel</t>
  </si>
  <si>
    <t xml:space="preserve">GD (of 30)</t>
  </si>
  <si>
    <t xml:space="preserve">Mini project (of 40)</t>
  </si>
  <si>
    <t xml:space="preserve">Mock (of 30)</t>
  </si>
  <si>
    <t xml:space="preserve">Total (of 100)</t>
  </si>
  <si>
    <t xml:space="preserve">Status</t>
  </si>
  <si>
    <t xml:space="preserve">Notes</t>
  </si>
  <si>
    <t xml:space="preserve">G1-S1</t>
  </si>
  <si>
    <t xml:space="preserve">G1</t>
  </si>
  <si>
    <t xml:space="preserve">G1-S2</t>
  </si>
  <si>
    <t xml:space="preserve">G1-S3</t>
  </si>
  <si>
    <t xml:space="preserve">G1-S4</t>
  </si>
  <si>
    <t xml:space="preserve">G2-S1</t>
  </si>
  <si>
    <t xml:space="preserve">G2</t>
  </si>
  <si>
    <t xml:space="preserve">G2-S2</t>
  </si>
  <si>
    <t xml:space="preserve">G2-S3</t>
  </si>
  <si>
    <t xml:space="preserve">G2-S4</t>
  </si>
  <si>
    <t xml:space="preserve">G3-S1</t>
  </si>
  <si>
    <t xml:space="preserve">G3</t>
  </si>
  <si>
    <t xml:space="preserve">G3-S2</t>
  </si>
  <si>
    <t xml:space="preserve">G3-S3</t>
  </si>
  <si>
    <t xml:space="preserve">G3-S4</t>
  </si>
  <si>
    <t xml:space="preserve">G4-S1</t>
  </si>
  <si>
    <t xml:space="preserve">G4</t>
  </si>
  <si>
    <t xml:space="preserve">G4-S2</t>
  </si>
  <si>
    <t xml:space="preserve">G4-S3</t>
  </si>
  <si>
    <t xml:space="preserve">G4-S4</t>
  </si>
  <si>
    <t xml:space="preserve">G5-S1</t>
  </si>
  <si>
    <t xml:space="preserve">G5</t>
  </si>
  <si>
    <t xml:space="preserve">G5-S2</t>
  </si>
  <si>
    <t xml:space="preserve">G5-S3</t>
  </si>
  <si>
    <t xml:space="preserve">G5-S4</t>
  </si>
  <si>
    <t xml:space="preserve">G6-S1</t>
  </si>
  <si>
    <t xml:space="preserve">G6</t>
  </si>
  <si>
    <t xml:space="preserve">G6-S2</t>
  </si>
  <si>
    <t xml:space="preserve">G6-S3</t>
  </si>
  <si>
    <t xml:space="preserve">G6-S4</t>
  </si>
  <si>
    <t xml:space="preserve">G7-S1</t>
  </si>
  <si>
    <t xml:space="preserve">G7</t>
  </si>
  <si>
    <t xml:space="preserve">G7-S2</t>
  </si>
  <si>
    <t xml:space="preserve">G7-S3</t>
  </si>
  <si>
    <t xml:space="preserve">G7-S4</t>
  </si>
  <si>
    <t xml:space="preserve">G8-S1</t>
  </si>
  <si>
    <t xml:space="preserve">G8</t>
  </si>
  <si>
    <t xml:space="preserve">G8-S2</t>
  </si>
  <si>
    <t xml:space="preserve">G8-S3</t>
  </si>
  <si>
    <t xml:space="preserve">G8-S4</t>
  </si>
  <si>
    <t xml:space="preserve">G9-S1</t>
  </si>
  <si>
    <t xml:space="preserve">G9</t>
  </si>
  <si>
    <t xml:space="preserve">G9-S2</t>
  </si>
  <si>
    <t xml:space="preserve">G9-S3</t>
  </si>
  <si>
    <t xml:space="preserve">By group: does every learner in each group hold three scores?</t>
  </si>
  <si>
    <t xml:space="preserve">Seats</t>
  </si>
  <si>
    <t xml:space="preserve">Seats complete</t>
  </si>
  <si>
    <t xml:space="preserve">Seats short</t>
  </si>
  <si>
    <t xml:space="preserve">Group status</t>
  </si>
  <si>
    <t xml:space="preserve">Checks: every learner holds three scores, none above its maximum</t>
  </si>
  <si>
    <t xml:space="preserve">Check</t>
  </si>
  <si>
    <t xml:space="preserve">Count</t>
  </si>
  <si>
    <t xml:space="preserve">Seats on the Scores sheet</t>
  </si>
  <si>
    <t xml:space="preserve">Seats that repeat another seat's label</t>
  </si>
  <si>
    <t xml:space="preserve">Seats COMPLETE</t>
  </si>
  <si>
    <t xml:space="preserve">Seats with a score MISSING</t>
  </si>
  <si>
    <t xml:space="preserve">Seats with a score OVER MAX</t>
  </si>
  <si>
    <t xml:space="preserve">Seats with NOT A SCORE</t>
  </si>
  <si>
    <t xml:space="preserve">GD scores still empty</t>
  </si>
  <si>
    <t xml:space="preserve">Mini project scores still empty</t>
  </si>
  <si>
    <t xml:space="preserve">Mock scores still empty</t>
  </si>
  <si>
    <t xml:space="preserve">Seats with no sub-problem or no panel recorded</t>
  </si>
  <si>
    <t xml:space="preserve">Verdict</t>
  </si>
  <si>
    <t xml:space="preserve">Sign-off: each assessor role signs for its own column</t>
  </si>
  <si>
    <t xml:space="preserve">Role</t>
  </si>
  <si>
    <t xml:space="preserve">Signs for</t>
  </si>
  <si>
    <t xml:space="preserve">Signed</t>
  </si>
  <si>
    <t xml:space="preserve">GD assessor: the industry expert</t>
  </si>
  <si>
    <t xml:space="preserve">The GD scores of the rounds the expert ran, Friday and Saturday</t>
  </si>
  <si>
    <t xml:space="preserve">GD assessor: the Principal Advisor</t>
  </si>
  <si>
    <t xml:space="preserve">The GD scores of the rounds run online</t>
  </si>
  <si>
    <t xml:space="preserve">Panel: the industry expert</t>
  </si>
  <si>
    <t xml:space="preserve">The mini project scores of the groups this panel heard</t>
  </si>
  <si>
    <t xml:space="preserve">Panel: the senior industry leader</t>
  </si>
  <si>
    <t xml:space="preserve">Mock assessor: the Principal Advisor</t>
  </si>
  <si>
    <t xml:space="preserve">The Mock R1 scores this assessor gave</t>
  </si>
  <si>
    <t xml:space="preserve">Mock assessor: the Programme Head</t>
  </si>
  <si>
    <t xml:space="preserve">Mock assessor: the Academic TA</t>
  </si>
  <si>
    <t xml:space="preserve">Closure: the Programme Head</t>
  </si>
  <si>
    <t xml:space="preserve">Every seat holds three scores, the checks are clear, and the grades are closed</t>
  </si>
  <si>
    <t xml:space="preserve">Closure</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</si>
</sst>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A0F5C"/>
      <name val="Arial"/>
      <family val="0"/>
      <charset val="1"/>
    </font>
    <font>
      <i val="true"/>
      <sz val="10"/>
      <color rgb="FF000000"/>
      <name val="Arial"/>
      <family val="0"/>
      <charset val="1"/>
    </font>
    <font>
      <b val="true"/>
      <sz val="10"/>
      <color rgb="FF1A0F5C"/>
      <name val="Arial"/>
      <family val="0"/>
      <charset val="1"/>
    </font>
    <font>
      <sz val="10"/>
      <color rgb="FF000000"/>
      <name val="Arial"/>
      <family val="0"/>
      <charset val="1"/>
    </font>
    <font>
      <b val="true"/>
      <sz val="13"/>
      <color rgb="FF1A0F5C"/>
      <name val="Arial"/>
      <family val="0"/>
      <charset val="1"/>
    </font>
    <font>
      <b val="true"/>
      <sz val="10"/>
      <color rgb="FF000000"/>
      <name val="Arial"/>
      <family val="0"/>
      <charset val="1"/>
    </font>
    <font>
      <b val="true"/>
      <sz val="10"/>
      <color rgb="FF0000FF"/>
      <name val="Arial"/>
      <family val="0"/>
      <charset val="1"/>
    </font>
    <font>
      <b val="true"/>
      <sz val="10"/>
      <color rgb="FFFFFFFF"/>
      <name val="Arial"/>
      <family val="0"/>
      <charset val="1"/>
    </font>
    <font>
      <sz val="10"/>
      <color rgb="FF0000FF"/>
      <name val="Arial"/>
      <family val="0"/>
      <charset val="1"/>
    </font>
    <font>
      <sz val="10"/>
      <name val="Arial"/>
      <family val="2"/>
    </font>
    <font>
      <b val="true"/>
      <sz val="12"/>
      <color rgb="FF1A0F5C"/>
      <name val="Arial"/>
      <family val="0"/>
      <charset val="1"/>
    </font>
    <font>
      <b val="true"/>
      <sz val="12"/>
      <color rgb="FF000000"/>
      <name val="Arial"/>
      <family val="0"/>
      <charset val="1"/>
    </font>
  </fonts>
  <fills count="4">
    <fill>
      <patternFill patternType="none"/>
    </fill>
    <fill>
      <patternFill patternType="gray125"/>
    </fill>
    <fill>
      <patternFill patternType="solid">
        <fgColor rgb="FF1A0F5C"/>
        <bgColor rgb="FF000080"/>
      </patternFill>
    </fill>
    <fill>
      <patternFill patternType="solid">
        <fgColor rgb="FFFFF4B8"/>
        <bgColor rgb="FFFFFF99"/>
      </patternFill>
    </fill>
  </fills>
  <borders count="2">
    <border diagonalUp="false" diagonalDown="false">
      <left/>
      <right/>
      <top/>
      <bottom/>
      <diagonal/>
    </border>
    <border diagonalUp="false" diagonalDown="false">
      <left style="thin">
        <color rgb="FFC9C3E6"/>
      </left>
      <right style="thin">
        <color rgb="FFC9C3E6"/>
      </right>
      <top style="thin">
        <color rgb="FFC9C3E6"/>
      </top>
      <bottom style="thin">
        <color rgb="FFC9C3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9F2E3"/>
        </patternFill>
      </fill>
    </dxf>
    <dxf>
      <fill>
        <patternFill>
          <bgColor rgb="FFFBE0DE"/>
        </patternFill>
      </fill>
    </dxf>
  </dxfs>
  <colors>
    <indexedColors>
      <rgbColor rgb="FF000000"/>
      <rgbColor rgb="FFFFFFFF"/>
      <rgbColor rgb="FFFF0000"/>
      <rgbColor rgb="FF00FF00"/>
      <rgbColor rgb="FF0000FF"/>
      <rgbColor rgb="FFFFFF00"/>
      <rgbColor rgb="FFFF00FF"/>
      <rgbColor rgb="FF00FFFF"/>
      <rgbColor rgb="FF800000"/>
      <rgbColor rgb="FF008000"/>
      <rgbColor rgb="FF1A0F5C"/>
      <rgbColor rgb="FF808000"/>
      <rgbColor rgb="FF800080"/>
      <rgbColor rgb="FF008080"/>
      <rgbColor rgb="FFC0C0C0"/>
      <rgbColor rgb="FF808080"/>
      <rgbColor rgb="FF9999FF"/>
      <rgbColor rgb="FF993366"/>
      <rgbColor rgb="FFFFF4B8"/>
      <rgbColor rgb="FFCCFFFF"/>
      <rgbColor rgb="FF660066"/>
      <rgbColor rgb="FFFF8080"/>
      <rgbColor rgb="FF0066CC"/>
      <rgbColor rgb="FFC9C3E6"/>
      <rgbColor rgb="FF000080"/>
      <rgbColor rgb="FFFF00FF"/>
      <rgbColor rgb="FFFFFF00"/>
      <rgbColor rgb="FF00FFFF"/>
      <rgbColor rgb="FF800080"/>
      <rgbColor rgb="FF800000"/>
      <rgbColor rgb="FF008080"/>
      <rgbColor rgb="FF0000FF"/>
      <rgbColor rgb="FF00CCFF"/>
      <rgbColor rgb="FFCCFFFF"/>
      <rgbColor rgb="FFD9F2E3"/>
      <rgbColor rgb="FFFFFF99"/>
      <rgbColor rgb="FF99CCFF"/>
      <rgbColor rgb="FFFF99CC"/>
      <rgbColor rgb="FFCC99FF"/>
      <rgbColor rgb="FFFBE0D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4" t="s">
        <v>3</v>
      </c>
    </row>
    <row r="5" customFormat="false" ht="43.5" hidden="false" customHeight="true" outlineLevel="0" collapsed="false">
      <c r="A5" s="3" t="s">
        <v>4</v>
      </c>
      <c r="B5" s="4" t="s">
        <v>5</v>
      </c>
    </row>
    <row r="6" customFormat="false" ht="43.5" hidden="false" customHeight="true" outlineLevel="0" collapsed="false">
      <c r="A6" s="3" t="s">
        <v>6</v>
      </c>
      <c r="B6" s="4" t="s">
        <v>7</v>
      </c>
    </row>
    <row r="7" customFormat="false" ht="43.5" hidden="false" customHeight="true" outlineLevel="0" collapsed="false">
      <c r="A7" s="3" t="s">
        <v>8</v>
      </c>
      <c r="B7" s="4" t="s">
        <v>9</v>
      </c>
    </row>
    <row r="8" customFormat="false" ht="43.5" hidden="false" customHeight="true" outlineLevel="0" collapsed="false">
      <c r="A8" s="3" t="s">
        <v>10</v>
      </c>
      <c r="B8" s="4" t="s">
        <v>11</v>
      </c>
    </row>
    <row r="9" customFormat="false" ht="43.5" hidden="false" customHeight="true" outlineLevel="0" collapsed="false">
      <c r="A9" s="3" t="s">
        <v>12</v>
      </c>
      <c r="B9" s="4" t="s">
        <v>13</v>
      </c>
    </row>
    <row r="10" customFormat="false" ht="43.5" hidden="false" customHeight="true" outlineLevel="0" collapsed="false">
      <c r="A10" s="3" t="s">
        <v>14</v>
      </c>
      <c r="B10" s="4" t="s">
        <v>15</v>
      </c>
    </row>
    <row r="11" customFormat="false" ht="43.5"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12"/>
    <col collapsed="false" customWidth="true" hidden="false" outlineLevel="0" max="9" min="9" style="0" width="30"/>
    <col collapsed="false" customWidth="true" hidden="false" outlineLevel="0" max="10" min="10" style="0" width="44"/>
  </cols>
  <sheetData>
    <row r="1" customFormat="false" ht="16.15" hidden="false" customHeight="false" outlineLevel="0" collapsed="false">
      <c r="A1" s="5" t="s">
        <v>18</v>
      </c>
    </row>
    <row r="2" customFormat="false" ht="15" hidden="false" customHeight="false" outlineLevel="0" collapsed="false">
      <c r="A2" s="2" t="s">
        <v>19</v>
      </c>
    </row>
    <row r="4" customFormat="false" ht="15" hidden="false" customHeight="false" outlineLevel="0" collapsed="false">
      <c r="A4" s="6" t="s">
        <v>20</v>
      </c>
      <c r="E4" s="7" t="n">
        <v>30</v>
      </c>
      <c r="F4" s="7" t="n">
        <v>40</v>
      </c>
      <c r="G4" s="7" t="n">
        <v>30</v>
      </c>
      <c r="H4" s="6" t="n">
        <f aca="false">E4+F4+G4</f>
        <v>100</v>
      </c>
    </row>
    <row r="5" customFormat="false" ht="23.85" hidden="false" customHeight="false" outlineLevel="0" collapsed="false">
      <c r="A5" s="8" t="s">
        <v>21</v>
      </c>
      <c r="B5" s="8" t="s">
        <v>22</v>
      </c>
      <c r="C5" s="8" t="s">
        <v>23</v>
      </c>
      <c r="D5" s="8" t="s">
        <v>24</v>
      </c>
      <c r="E5" s="8" t="s">
        <v>25</v>
      </c>
      <c r="F5" s="8" t="s">
        <v>26</v>
      </c>
      <c r="G5" s="8" t="s">
        <v>27</v>
      </c>
      <c r="H5" s="8" t="s">
        <v>28</v>
      </c>
      <c r="I5" s="8" t="s">
        <v>29</v>
      </c>
      <c r="J5" s="8" t="s">
        <v>30</v>
      </c>
    </row>
    <row r="6" customFormat="false" ht="15" hidden="false" customHeight="false" outlineLevel="0" collapsed="false">
      <c r="A6" s="9" t="s">
        <v>31</v>
      </c>
      <c r="B6" s="9" t="s">
        <v>32</v>
      </c>
      <c r="C6" s="10"/>
      <c r="D6" s="10"/>
      <c r="E6" s="10"/>
      <c r="F6" s="10"/>
      <c r="G6" s="10"/>
      <c r="H6" s="9" t="str">
        <f aca="false">IF(I6="COMPLETE",E6+F6+G6,"")</f>
        <v/>
      </c>
      <c r="I6" s="9" t="str">
        <f aca="false">IF(OR(AND(E6&lt;&gt;"",NOT(ISNUMBER(E6))),AND(F6&lt;&gt;"",NOT(ISNUMBER(F6))),AND(G6&lt;&gt;"",NOT(ISNUMBER(G6))),AND(ISNUMBER(E6),E6&lt;0),AND(ISNUMBER(F6),F6&lt;0),AND(ISNUMBER(G6),G6&lt;0)),"NOT A SCORE",IF(OR(AND(ISNUMBER(E6),E6&gt;$E$4),AND(ISNUMBER(F6),F6&gt;$F$4),AND(ISNUMBER(G6),G6&gt;$G$4)),"OVER MAX",IF(COUNT(E6:G6)&lt;3,"MISSING "&amp;TRIM(IF(E6="","GD ","")&amp;IF(F6="","mini project ","")&amp;IF(G6="","mock","")),"COMPLETE")))</f>
        <v>MISSING GD mini project mock</v>
      </c>
      <c r="J6" s="10"/>
    </row>
    <row r="7" customFormat="false" ht="15" hidden="false" customHeight="false" outlineLevel="0" collapsed="false">
      <c r="A7" s="9" t="s">
        <v>33</v>
      </c>
      <c r="B7" s="9" t="s">
        <v>32</v>
      </c>
      <c r="C7" s="10"/>
      <c r="D7" s="10"/>
      <c r="E7" s="10"/>
      <c r="F7" s="10"/>
      <c r="G7" s="10"/>
      <c r="H7" s="9" t="str">
        <f aca="false">IF(I7="COMPLETE",E7+F7+G7,"")</f>
        <v/>
      </c>
      <c r="I7" s="9" t="str">
        <f aca="false">IF(OR(AND(E7&lt;&gt;"",NOT(ISNUMBER(E7))),AND(F7&lt;&gt;"",NOT(ISNUMBER(F7))),AND(G7&lt;&gt;"",NOT(ISNUMBER(G7))),AND(ISNUMBER(E7),E7&lt;0),AND(ISNUMBER(F7),F7&lt;0),AND(ISNUMBER(G7),G7&lt;0)),"NOT A SCORE",IF(OR(AND(ISNUMBER(E7),E7&gt;$E$4),AND(ISNUMBER(F7),F7&gt;$F$4),AND(ISNUMBER(G7),G7&gt;$G$4)),"OVER MAX",IF(COUNT(E7:G7)&lt;3,"MISSING "&amp;TRIM(IF(E7="","GD ","")&amp;IF(F7="","mini project ","")&amp;IF(G7="","mock","")),"COMPLETE")))</f>
        <v>MISSING GD mini project mock</v>
      </c>
      <c r="J7" s="10"/>
    </row>
    <row r="8" customFormat="false" ht="15" hidden="false" customHeight="false" outlineLevel="0" collapsed="false">
      <c r="A8" s="9" t="s">
        <v>34</v>
      </c>
      <c r="B8" s="9" t="s">
        <v>32</v>
      </c>
      <c r="C8" s="10"/>
      <c r="D8" s="10"/>
      <c r="E8" s="10"/>
      <c r="F8" s="10"/>
      <c r="G8" s="10"/>
      <c r="H8" s="9" t="str">
        <f aca="false">IF(I8="COMPLETE",E8+F8+G8,"")</f>
        <v/>
      </c>
      <c r="I8" s="9" t="str">
        <f aca="false">IF(OR(AND(E8&lt;&gt;"",NOT(ISNUMBER(E8))),AND(F8&lt;&gt;"",NOT(ISNUMBER(F8))),AND(G8&lt;&gt;"",NOT(ISNUMBER(G8))),AND(ISNUMBER(E8),E8&lt;0),AND(ISNUMBER(F8),F8&lt;0),AND(ISNUMBER(G8),G8&lt;0)),"NOT A SCORE",IF(OR(AND(ISNUMBER(E8),E8&gt;$E$4),AND(ISNUMBER(F8),F8&gt;$F$4),AND(ISNUMBER(G8),G8&gt;$G$4)),"OVER MAX",IF(COUNT(E8:G8)&lt;3,"MISSING "&amp;TRIM(IF(E8="","GD ","")&amp;IF(F8="","mini project ","")&amp;IF(G8="","mock","")),"COMPLETE")))</f>
        <v>MISSING GD mini project mock</v>
      </c>
      <c r="J8" s="10"/>
    </row>
    <row r="9" customFormat="false" ht="15" hidden="false" customHeight="false" outlineLevel="0" collapsed="false">
      <c r="A9" s="9" t="s">
        <v>35</v>
      </c>
      <c r="B9" s="9" t="s">
        <v>32</v>
      </c>
      <c r="C9" s="10"/>
      <c r="D9" s="10"/>
      <c r="E9" s="10"/>
      <c r="F9" s="10"/>
      <c r="G9" s="10"/>
      <c r="H9" s="9" t="str">
        <f aca="false">IF(I9="COMPLETE",E9+F9+G9,"")</f>
        <v/>
      </c>
      <c r="I9" s="9" t="str">
        <f aca="false">IF(OR(AND(E9&lt;&gt;"",NOT(ISNUMBER(E9))),AND(F9&lt;&gt;"",NOT(ISNUMBER(F9))),AND(G9&lt;&gt;"",NOT(ISNUMBER(G9))),AND(ISNUMBER(E9),E9&lt;0),AND(ISNUMBER(F9),F9&lt;0),AND(ISNUMBER(G9),G9&lt;0)),"NOT A SCORE",IF(OR(AND(ISNUMBER(E9),E9&gt;$E$4),AND(ISNUMBER(F9),F9&gt;$F$4),AND(ISNUMBER(G9),G9&gt;$G$4)),"OVER MAX",IF(COUNT(E9:G9)&lt;3,"MISSING "&amp;TRIM(IF(E9="","GD ","")&amp;IF(F9="","mini project ","")&amp;IF(G9="","mock","")),"COMPLETE")))</f>
        <v>MISSING GD mini project mock</v>
      </c>
      <c r="J9" s="10"/>
    </row>
    <row r="10" customFormat="false" ht="15" hidden="false" customHeight="false" outlineLevel="0" collapsed="false">
      <c r="A10" s="9" t="s">
        <v>36</v>
      </c>
      <c r="B10" s="9" t="s">
        <v>37</v>
      </c>
      <c r="C10" s="10"/>
      <c r="D10" s="10"/>
      <c r="E10" s="10"/>
      <c r="F10" s="10"/>
      <c r="G10" s="10"/>
      <c r="H10" s="9" t="str">
        <f aca="false">IF(I10="COMPLETE",E10+F10+G10,"")</f>
        <v/>
      </c>
      <c r="I10" s="9" t="str">
        <f aca="false">IF(OR(AND(E10&lt;&gt;"",NOT(ISNUMBER(E10))),AND(F10&lt;&gt;"",NOT(ISNUMBER(F10))),AND(G10&lt;&gt;"",NOT(ISNUMBER(G10))),AND(ISNUMBER(E10),E10&lt;0),AND(ISNUMBER(F10),F10&lt;0),AND(ISNUMBER(G10),G10&lt;0)),"NOT A SCORE",IF(OR(AND(ISNUMBER(E10),E10&gt;$E$4),AND(ISNUMBER(F10),F10&gt;$F$4),AND(ISNUMBER(G10),G10&gt;$G$4)),"OVER MAX",IF(COUNT(E10:G10)&lt;3,"MISSING "&amp;TRIM(IF(E10="","GD ","")&amp;IF(F10="","mini project ","")&amp;IF(G10="","mock","")),"COMPLETE")))</f>
        <v>MISSING GD mini project mock</v>
      </c>
      <c r="J10" s="10"/>
    </row>
    <row r="11" customFormat="false" ht="15" hidden="false" customHeight="false" outlineLevel="0" collapsed="false">
      <c r="A11" s="9" t="s">
        <v>38</v>
      </c>
      <c r="B11" s="9" t="s">
        <v>37</v>
      </c>
      <c r="C11" s="10"/>
      <c r="D11" s="10"/>
      <c r="E11" s="10"/>
      <c r="F11" s="10"/>
      <c r="G11" s="10"/>
      <c r="H11" s="9" t="str">
        <f aca="false">IF(I11="COMPLETE",E11+F11+G11,"")</f>
        <v/>
      </c>
      <c r="I11" s="9" t="str">
        <f aca="false">IF(OR(AND(E11&lt;&gt;"",NOT(ISNUMBER(E11))),AND(F11&lt;&gt;"",NOT(ISNUMBER(F11))),AND(G11&lt;&gt;"",NOT(ISNUMBER(G11))),AND(ISNUMBER(E11),E11&lt;0),AND(ISNUMBER(F11),F11&lt;0),AND(ISNUMBER(G11),G11&lt;0)),"NOT A SCORE",IF(OR(AND(ISNUMBER(E11),E11&gt;$E$4),AND(ISNUMBER(F11),F11&gt;$F$4),AND(ISNUMBER(G11),G11&gt;$G$4)),"OVER MAX",IF(COUNT(E11:G11)&lt;3,"MISSING "&amp;TRIM(IF(E11="","GD ","")&amp;IF(F11="","mini project ","")&amp;IF(G11="","mock","")),"COMPLETE")))</f>
        <v>MISSING GD mini project mock</v>
      </c>
      <c r="J11" s="10"/>
    </row>
    <row r="12" customFormat="false" ht="15" hidden="false" customHeight="false" outlineLevel="0" collapsed="false">
      <c r="A12" s="9" t="s">
        <v>39</v>
      </c>
      <c r="B12" s="9" t="s">
        <v>37</v>
      </c>
      <c r="C12" s="10"/>
      <c r="D12" s="10"/>
      <c r="E12" s="10"/>
      <c r="F12" s="10"/>
      <c r="G12" s="10"/>
      <c r="H12" s="9" t="str">
        <f aca="false">IF(I12="COMPLETE",E12+F12+G12,"")</f>
        <v/>
      </c>
      <c r="I12" s="9" t="str">
        <f aca="false">IF(OR(AND(E12&lt;&gt;"",NOT(ISNUMBER(E12))),AND(F12&lt;&gt;"",NOT(ISNUMBER(F12))),AND(G12&lt;&gt;"",NOT(ISNUMBER(G12))),AND(ISNUMBER(E12),E12&lt;0),AND(ISNUMBER(F12),F12&lt;0),AND(ISNUMBER(G12),G12&lt;0)),"NOT A SCORE",IF(OR(AND(ISNUMBER(E12),E12&gt;$E$4),AND(ISNUMBER(F12),F12&gt;$F$4),AND(ISNUMBER(G12),G12&gt;$G$4)),"OVER MAX",IF(COUNT(E12:G12)&lt;3,"MISSING "&amp;TRIM(IF(E12="","GD ","")&amp;IF(F12="","mini project ","")&amp;IF(G12="","mock","")),"COMPLETE")))</f>
        <v>MISSING GD mini project mock</v>
      </c>
      <c r="J12" s="10"/>
    </row>
    <row r="13" customFormat="false" ht="15" hidden="false" customHeight="false" outlineLevel="0" collapsed="false">
      <c r="A13" s="9" t="s">
        <v>40</v>
      </c>
      <c r="B13" s="9" t="s">
        <v>37</v>
      </c>
      <c r="C13" s="10"/>
      <c r="D13" s="10"/>
      <c r="E13" s="10"/>
      <c r="F13" s="10"/>
      <c r="G13" s="10"/>
      <c r="H13" s="9" t="str">
        <f aca="false">IF(I13="COMPLETE",E13+F13+G13,"")</f>
        <v/>
      </c>
      <c r="I13" s="9" t="str">
        <f aca="false">IF(OR(AND(E13&lt;&gt;"",NOT(ISNUMBER(E13))),AND(F13&lt;&gt;"",NOT(ISNUMBER(F13))),AND(G13&lt;&gt;"",NOT(ISNUMBER(G13))),AND(ISNUMBER(E13),E13&lt;0),AND(ISNUMBER(F13),F13&lt;0),AND(ISNUMBER(G13),G13&lt;0)),"NOT A SCORE",IF(OR(AND(ISNUMBER(E13),E13&gt;$E$4),AND(ISNUMBER(F13),F13&gt;$F$4),AND(ISNUMBER(G13),G13&gt;$G$4)),"OVER MAX",IF(COUNT(E13:G13)&lt;3,"MISSING "&amp;TRIM(IF(E13="","GD ","")&amp;IF(F13="","mini project ","")&amp;IF(G13="","mock","")),"COMPLETE")))</f>
        <v>MISSING GD mini project mock</v>
      </c>
      <c r="J13" s="10"/>
    </row>
    <row r="14" customFormat="false" ht="15" hidden="false" customHeight="false" outlineLevel="0" collapsed="false">
      <c r="A14" s="9" t="s">
        <v>41</v>
      </c>
      <c r="B14" s="9" t="s">
        <v>42</v>
      </c>
      <c r="C14" s="10"/>
      <c r="D14" s="10"/>
      <c r="E14" s="10"/>
      <c r="F14" s="10"/>
      <c r="G14" s="10"/>
      <c r="H14" s="9" t="str">
        <f aca="false">IF(I14="COMPLETE",E14+F14+G14,"")</f>
        <v/>
      </c>
      <c r="I14" s="9" t="str">
        <f aca="false">IF(OR(AND(E14&lt;&gt;"",NOT(ISNUMBER(E14))),AND(F14&lt;&gt;"",NOT(ISNUMBER(F14))),AND(G14&lt;&gt;"",NOT(ISNUMBER(G14))),AND(ISNUMBER(E14),E14&lt;0),AND(ISNUMBER(F14),F14&lt;0),AND(ISNUMBER(G14),G14&lt;0)),"NOT A SCORE",IF(OR(AND(ISNUMBER(E14),E14&gt;$E$4),AND(ISNUMBER(F14),F14&gt;$F$4),AND(ISNUMBER(G14),G14&gt;$G$4)),"OVER MAX",IF(COUNT(E14:G14)&lt;3,"MISSING "&amp;TRIM(IF(E14="","GD ","")&amp;IF(F14="","mini project ","")&amp;IF(G14="","mock","")),"COMPLETE")))</f>
        <v>MISSING GD mini project mock</v>
      </c>
      <c r="J14" s="10"/>
    </row>
    <row r="15" customFormat="false" ht="15" hidden="false" customHeight="false" outlineLevel="0" collapsed="false">
      <c r="A15" s="9" t="s">
        <v>43</v>
      </c>
      <c r="B15" s="9" t="s">
        <v>42</v>
      </c>
      <c r="C15" s="10"/>
      <c r="D15" s="10"/>
      <c r="E15" s="10"/>
      <c r="F15" s="10"/>
      <c r="G15" s="10"/>
      <c r="H15" s="9" t="str">
        <f aca="false">IF(I15="COMPLETE",E15+F15+G15,"")</f>
        <v/>
      </c>
      <c r="I15" s="9" t="str">
        <f aca="false">IF(OR(AND(E15&lt;&gt;"",NOT(ISNUMBER(E15))),AND(F15&lt;&gt;"",NOT(ISNUMBER(F15))),AND(G15&lt;&gt;"",NOT(ISNUMBER(G15))),AND(ISNUMBER(E15),E15&lt;0),AND(ISNUMBER(F15),F15&lt;0),AND(ISNUMBER(G15),G15&lt;0)),"NOT A SCORE",IF(OR(AND(ISNUMBER(E15),E15&gt;$E$4),AND(ISNUMBER(F15),F15&gt;$F$4),AND(ISNUMBER(G15),G15&gt;$G$4)),"OVER MAX",IF(COUNT(E15:G15)&lt;3,"MISSING "&amp;TRIM(IF(E15="","GD ","")&amp;IF(F15="","mini project ","")&amp;IF(G15="","mock","")),"COMPLETE")))</f>
        <v>MISSING GD mini project mock</v>
      </c>
      <c r="J15" s="10"/>
    </row>
    <row r="16" customFormat="false" ht="15" hidden="false" customHeight="false" outlineLevel="0" collapsed="false">
      <c r="A16" s="9" t="s">
        <v>44</v>
      </c>
      <c r="B16" s="9" t="s">
        <v>42</v>
      </c>
      <c r="C16" s="10"/>
      <c r="D16" s="10"/>
      <c r="E16" s="10"/>
      <c r="F16" s="10"/>
      <c r="G16" s="10"/>
      <c r="H16" s="9" t="str">
        <f aca="false">IF(I16="COMPLETE",E16+F16+G16,"")</f>
        <v/>
      </c>
      <c r="I16" s="9" t="str">
        <f aca="false">IF(OR(AND(E16&lt;&gt;"",NOT(ISNUMBER(E16))),AND(F16&lt;&gt;"",NOT(ISNUMBER(F16))),AND(G16&lt;&gt;"",NOT(ISNUMBER(G16))),AND(ISNUMBER(E16),E16&lt;0),AND(ISNUMBER(F16),F16&lt;0),AND(ISNUMBER(G16),G16&lt;0)),"NOT A SCORE",IF(OR(AND(ISNUMBER(E16),E16&gt;$E$4),AND(ISNUMBER(F16),F16&gt;$F$4),AND(ISNUMBER(G16),G16&gt;$G$4)),"OVER MAX",IF(COUNT(E16:G16)&lt;3,"MISSING "&amp;TRIM(IF(E16="","GD ","")&amp;IF(F16="","mini project ","")&amp;IF(G16="","mock","")),"COMPLETE")))</f>
        <v>MISSING GD mini project mock</v>
      </c>
      <c r="J16" s="10"/>
    </row>
    <row r="17" customFormat="false" ht="15" hidden="false" customHeight="false" outlineLevel="0" collapsed="false">
      <c r="A17" s="9" t="s">
        <v>45</v>
      </c>
      <c r="B17" s="9" t="s">
        <v>42</v>
      </c>
      <c r="C17" s="10"/>
      <c r="D17" s="10"/>
      <c r="E17" s="10"/>
      <c r="F17" s="10"/>
      <c r="G17" s="10"/>
      <c r="H17" s="9" t="str">
        <f aca="false">IF(I17="COMPLETE",E17+F17+G17,"")</f>
        <v/>
      </c>
      <c r="I17" s="9" t="str">
        <f aca="false">IF(OR(AND(E17&lt;&gt;"",NOT(ISNUMBER(E17))),AND(F17&lt;&gt;"",NOT(ISNUMBER(F17))),AND(G17&lt;&gt;"",NOT(ISNUMBER(G17))),AND(ISNUMBER(E17),E17&lt;0),AND(ISNUMBER(F17),F17&lt;0),AND(ISNUMBER(G17),G17&lt;0)),"NOT A SCORE",IF(OR(AND(ISNUMBER(E17),E17&gt;$E$4),AND(ISNUMBER(F17),F17&gt;$F$4),AND(ISNUMBER(G17),G17&gt;$G$4)),"OVER MAX",IF(COUNT(E17:G17)&lt;3,"MISSING "&amp;TRIM(IF(E17="","GD ","")&amp;IF(F17="","mini project ","")&amp;IF(G17="","mock","")),"COMPLETE")))</f>
        <v>MISSING GD mini project mock</v>
      </c>
      <c r="J17" s="10"/>
    </row>
    <row r="18" customFormat="false" ht="15" hidden="false" customHeight="false" outlineLevel="0" collapsed="false">
      <c r="A18" s="9" t="s">
        <v>46</v>
      </c>
      <c r="B18" s="9" t="s">
        <v>47</v>
      </c>
      <c r="C18" s="10"/>
      <c r="D18" s="10"/>
      <c r="E18" s="10"/>
      <c r="F18" s="10"/>
      <c r="G18" s="10"/>
      <c r="H18" s="9" t="str">
        <f aca="false">IF(I18="COMPLETE",E18+F18+G18,"")</f>
        <v/>
      </c>
      <c r="I18" s="9" t="str">
        <f aca="false">IF(OR(AND(E18&lt;&gt;"",NOT(ISNUMBER(E18))),AND(F18&lt;&gt;"",NOT(ISNUMBER(F18))),AND(G18&lt;&gt;"",NOT(ISNUMBER(G18))),AND(ISNUMBER(E18),E18&lt;0),AND(ISNUMBER(F18),F18&lt;0),AND(ISNUMBER(G18),G18&lt;0)),"NOT A SCORE",IF(OR(AND(ISNUMBER(E18),E18&gt;$E$4),AND(ISNUMBER(F18),F18&gt;$F$4),AND(ISNUMBER(G18),G18&gt;$G$4)),"OVER MAX",IF(COUNT(E18:G18)&lt;3,"MISSING "&amp;TRIM(IF(E18="","GD ","")&amp;IF(F18="","mini project ","")&amp;IF(G18="","mock","")),"COMPLETE")))</f>
        <v>MISSING GD mini project mock</v>
      </c>
      <c r="J18" s="10"/>
    </row>
    <row r="19" customFormat="false" ht="15" hidden="false" customHeight="false" outlineLevel="0" collapsed="false">
      <c r="A19" s="9" t="s">
        <v>48</v>
      </c>
      <c r="B19" s="9" t="s">
        <v>47</v>
      </c>
      <c r="C19" s="10"/>
      <c r="D19" s="10"/>
      <c r="E19" s="10"/>
      <c r="F19" s="10"/>
      <c r="G19" s="10"/>
      <c r="H19" s="9" t="str">
        <f aca="false">IF(I19="COMPLETE",E19+F19+G19,"")</f>
        <v/>
      </c>
      <c r="I19" s="9" t="str">
        <f aca="false">IF(OR(AND(E19&lt;&gt;"",NOT(ISNUMBER(E19))),AND(F19&lt;&gt;"",NOT(ISNUMBER(F19))),AND(G19&lt;&gt;"",NOT(ISNUMBER(G19))),AND(ISNUMBER(E19),E19&lt;0),AND(ISNUMBER(F19),F19&lt;0),AND(ISNUMBER(G19),G19&lt;0)),"NOT A SCORE",IF(OR(AND(ISNUMBER(E19),E19&gt;$E$4),AND(ISNUMBER(F19),F19&gt;$F$4),AND(ISNUMBER(G19),G19&gt;$G$4)),"OVER MAX",IF(COUNT(E19:G19)&lt;3,"MISSING "&amp;TRIM(IF(E19="","GD ","")&amp;IF(F19="","mini project ","")&amp;IF(G19="","mock","")),"COMPLETE")))</f>
        <v>MISSING GD mini project mock</v>
      </c>
      <c r="J19" s="10"/>
    </row>
    <row r="20" customFormat="false" ht="15" hidden="false" customHeight="false" outlineLevel="0" collapsed="false">
      <c r="A20" s="9" t="s">
        <v>49</v>
      </c>
      <c r="B20" s="9" t="s">
        <v>47</v>
      </c>
      <c r="C20" s="10"/>
      <c r="D20" s="10"/>
      <c r="E20" s="10"/>
      <c r="F20" s="10"/>
      <c r="G20" s="10"/>
      <c r="H20" s="9" t="str">
        <f aca="false">IF(I20="COMPLETE",E20+F20+G20,"")</f>
        <v/>
      </c>
      <c r="I20" s="9" t="str">
        <f aca="false">IF(OR(AND(E20&lt;&gt;"",NOT(ISNUMBER(E20))),AND(F20&lt;&gt;"",NOT(ISNUMBER(F20))),AND(G20&lt;&gt;"",NOT(ISNUMBER(G20))),AND(ISNUMBER(E20),E20&lt;0),AND(ISNUMBER(F20),F20&lt;0),AND(ISNUMBER(G20),G20&lt;0)),"NOT A SCORE",IF(OR(AND(ISNUMBER(E20),E20&gt;$E$4),AND(ISNUMBER(F20),F20&gt;$F$4),AND(ISNUMBER(G20),G20&gt;$G$4)),"OVER MAX",IF(COUNT(E20:G20)&lt;3,"MISSING "&amp;TRIM(IF(E20="","GD ","")&amp;IF(F20="","mini project ","")&amp;IF(G20="","mock","")),"COMPLETE")))</f>
        <v>MISSING GD mini project mock</v>
      </c>
      <c r="J20" s="10"/>
    </row>
    <row r="21" customFormat="false" ht="15" hidden="false" customHeight="false" outlineLevel="0" collapsed="false">
      <c r="A21" s="9" t="s">
        <v>50</v>
      </c>
      <c r="B21" s="9" t="s">
        <v>47</v>
      </c>
      <c r="C21" s="10"/>
      <c r="D21" s="10"/>
      <c r="E21" s="10"/>
      <c r="F21" s="10"/>
      <c r="G21" s="10"/>
      <c r="H21" s="9" t="str">
        <f aca="false">IF(I21="COMPLETE",E21+F21+G21,"")</f>
        <v/>
      </c>
      <c r="I21" s="9" t="str">
        <f aca="false">IF(OR(AND(E21&lt;&gt;"",NOT(ISNUMBER(E21))),AND(F21&lt;&gt;"",NOT(ISNUMBER(F21))),AND(G21&lt;&gt;"",NOT(ISNUMBER(G21))),AND(ISNUMBER(E21),E21&lt;0),AND(ISNUMBER(F21),F21&lt;0),AND(ISNUMBER(G21),G21&lt;0)),"NOT A SCORE",IF(OR(AND(ISNUMBER(E21),E21&gt;$E$4),AND(ISNUMBER(F21),F21&gt;$F$4),AND(ISNUMBER(G21),G21&gt;$G$4)),"OVER MAX",IF(COUNT(E21:G21)&lt;3,"MISSING "&amp;TRIM(IF(E21="","GD ","")&amp;IF(F21="","mini project ","")&amp;IF(G21="","mock","")),"COMPLETE")))</f>
        <v>MISSING GD mini project mock</v>
      </c>
      <c r="J21" s="10"/>
    </row>
    <row r="22" customFormat="false" ht="15" hidden="false" customHeight="false" outlineLevel="0" collapsed="false">
      <c r="A22" s="9" t="s">
        <v>51</v>
      </c>
      <c r="B22" s="9" t="s">
        <v>52</v>
      </c>
      <c r="C22" s="10"/>
      <c r="D22" s="10"/>
      <c r="E22" s="10"/>
      <c r="F22" s="10"/>
      <c r="G22" s="10"/>
      <c r="H22" s="9" t="str">
        <f aca="false">IF(I22="COMPLETE",E22+F22+G22,"")</f>
        <v/>
      </c>
      <c r="I22" s="9" t="str">
        <f aca="false">IF(OR(AND(E22&lt;&gt;"",NOT(ISNUMBER(E22))),AND(F22&lt;&gt;"",NOT(ISNUMBER(F22))),AND(G22&lt;&gt;"",NOT(ISNUMBER(G22))),AND(ISNUMBER(E22),E22&lt;0),AND(ISNUMBER(F22),F22&lt;0),AND(ISNUMBER(G22),G22&lt;0)),"NOT A SCORE",IF(OR(AND(ISNUMBER(E22),E22&gt;$E$4),AND(ISNUMBER(F22),F22&gt;$F$4),AND(ISNUMBER(G22),G22&gt;$G$4)),"OVER MAX",IF(COUNT(E22:G22)&lt;3,"MISSING "&amp;TRIM(IF(E22="","GD ","")&amp;IF(F22="","mini project ","")&amp;IF(G22="","mock","")),"COMPLETE")))</f>
        <v>MISSING GD mini project mock</v>
      </c>
      <c r="J22" s="10"/>
    </row>
    <row r="23" customFormat="false" ht="15" hidden="false" customHeight="false" outlineLevel="0" collapsed="false">
      <c r="A23" s="9" t="s">
        <v>53</v>
      </c>
      <c r="B23" s="9" t="s">
        <v>52</v>
      </c>
      <c r="C23" s="10"/>
      <c r="D23" s="10"/>
      <c r="E23" s="10"/>
      <c r="F23" s="10"/>
      <c r="G23" s="10"/>
      <c r="H23" s="9" t="str">
        <f aca="false">IF(I23="COMPLETE",E23+F23+G23,"")</f>
        <v/>
      </c>
      <c r="I23" s="9" t="str">
        <f aca="false">IF(OR(AND(E23&lt;&gt;"",NOT(ISNUMBER(E23))),AND(F23&lt;&gt;"",NOT(ISNUMBER(F23))),AND(G23&lt;&gt;"",NOT(ISNUMBER(G23))),AND(ISNUMBER(E23),E23&lt;0),AND(ISNUMBER(F23),F23&lt;0),AND(ISNUMBER(G23),G23&lt;0)),"NOT A SCORE",IF(OR(AND(ISNUMBER(E23),E23&gt;$E$4),AND(ISNUMBER(F23),F23&gt;$F$4),AND(ISNUMBER(G23),G23&gt;$G$4)),"OVER MAX",IF(COUNT(E23:G23)&lt;3,"MISSING "&amp;TRIM(IF(E23="","GD ","")&amp;IF(F23="","mini project ","")&amp;IF(G23="","mock","")),"COMPLETE")))</f>
        <v>MISSING GD mini project mock</v>
      </c>
      <c r="J23" s="10"/>
    </row>
    <row r="24" customFormat="false" ht="15" hidden="false" customHeight="false" outlineLevel="0" collapsed="false">
      <c r="A24" s="9" t="s">
        <v>54</v>
      </c>
      <c r="B24" s="9" t="s">
        <v>52</v>
      </c>
      <c r="C24" s="10"/>
      <c r="D24" s="10"/>
      <c r="E24" s="10"/>
      <c r="F24" s="10"/>
      <c r="G24" s="10"/>
      <c r="H24" s="9" t="str">
        <f aca="false">IF(I24="COMPLETE",E24+F24+G24,"")</f>
        <v/>
      </c>
      <c r="I24" s="9" t="str">
        <f aca="false">IF(OR(AND(E24&lt;&gt;"",NOT(ISNUMBER(E24))),AND(F24&lt;&gt;"",NOT(ISNUMBER(F24))),AND(G24&lt;&gt;"",NOT(ISNUMBER(G24))),AND(ISNUMBER(E24),E24&lt;0),AND(ISNUMBER(F24),F24&lt;0),AND(ISNUMBER(G24),G24&lt;0)),"NOT A SCORE",IF(OR(AND(ISNUMBER(E24),E24&gt;$E$4),AND(ISNUMBER(F24),F24&gt;$F$4),AND(ISNUMBER(G24),G24&gt;$G$4)),"OVER MAX",IF(COUNT(E24:G24)&lt;3,"MISSING "&amp;TRIM(IF(E24="","GD ","")&amp;IF(F24="","mini project ","")&amp;IF(G24="","mock","")),"COMPLETE")))</f>
        <v>MISSING GD mini project mock</v>
      </c>
      <c r="J24" s="10"/>
    </row>
    <row r="25" customFormat="false" ht="15" hidden="false" customHeight="false" outlineLevel="0" collapsed="false">
      <c r="A25" s="9" t="s">
        <v>55</v>
      </c>
      <c r="B25" s="9" t="s">
        <v>52</v>
      </c>
      <c r="C25" s="10"/>
      <c r="D25" s="10"/>
      <c r="E25" s="10"/>
      <c r="F25" s="10"/>
      <c r="G25" s="10"/>
      <c r="H25" s="9" t="str">
        <f aca="false">IF(I25="COMPLETE",E25+F25+G25,"")</f>
        <v/>
      </c>
      <c r="I25" s="9" t="str">
        <f aca="false">IF(OR(AND(E25&lt;&gt;"",NOT(ISNUMBER(E25))),AND(F25&lt;&gt;"",NOT(ISNUMBER(F25))),AND(G25&lt;&gt;"",NOT(ISNUMBER(G25))),AND(ISNUMBER(E25),E25&lt;0),AND(ISNUMBER(F25),F25&lt;0),AND(ISNUMBER(G25),G25&lt;0)),"NOT A SCORE",IF(OR(AND(ISNUMBER(E25),E25&gt;$E$4),AND(ISNUMBER(F25),F25&gt;$F$4),AND(ISNUMBER(G25),G25&gt;$G$4)),"OVER MAX",IF(COUNT(E25:G25)&lt;3,"MISSING "&amp;TRIM(IF(E25="","GD ","")&amp;IF(F25="","mini project ","")&amp;IF(G25="","mock","")),"COMPLETE")))</f>
        <v>MISSING GD mini project mock</v>
      </c>
      <c r="J25" s="10"/>
    </row>
    <row r="26" customFormat="false" ht="15" hidden="false" customHeight="false" outlineLevel="0" collapsed="false">
      <c r="A26" s="9" t="s">
        <v>56</v>
      </c>
      <c r="B26" s="9" t="s">
        <v>57</v>
      </c>
      <c r="C26" s="10"/>
      <c r="D26" s="10"/>
      <c r="E26" s="10"/>
      <c r="F26" s="10"/>
      <c r="G26" s="10"/>
      <c r="H26" s="9" t="str">
        <f aca="false">IF(I26="COMPLETE",E26+F26+G26,"")</f>
        <v/>
      </c>
      <c r="I26" s="9" t="str">
        <f aca="false">IF(OR(AND(E26&lt;&gt;"",NOT(ISNUMBER(E26))),AND(F26&lt;&gt;"",NOT(ISNUMBER(F26))),AND(G26&lt;&gt;"",NOT(ISNUMBER(G26))),AND(ISNUMBER(E26),E26&lt;0),AND(ISNUMBER(F26),F26&lt;0),AND(ISNUMBER(G26),G26&lt;0)),"NOT A SCORE",IF(OR(AND(ISNUMBER(E26),E26&gt;$E$4),AND(ISNUMBER(F26),F26&gt;$F$4),AND(ISNUMBER(G26),G26&gt;$G$4)),"OVER MAX",IF(COUNT(E26:G26)&lt;3,"MISSING "&amp;TRIM(IF(E26="","GD ","")&amp;IF(F26="","mini project ","")&amp;IF(G26="","mock","")),"COMPLETE")))</f>
        <v>MISSING GD mini project mock</v>
      </c>
      <c r="J26" s="10"/>
    </row>
    <row r="27" customFormat="false" ht="15" hidden="false" customHeight="false" outlineLevel="0" collapsed="false">
      <c r="A27" s="9" t="s">
        <v>58</v>
      </c>
      <c r="B27" s="9" t="s">
        <v>57</v>
      </c>
      <c r="C27" s="10"/>
      <c r="D27" s="10"/>
      <c r="E27" s="10"/>
      <c r="F27" s="10"/>
      <c r="G27" s="10"/>
      <c r="H27" s="9" t="str">
        <f aca="false">IF(I27="COMPLETE",E27+F27+G27,"")</f>
        <v/>
      </c>
      <c r="I27" s="9" t="str">
        <f aca="false">IF(OR(AND(E27&lt;&gt;"",NOT(ISNUMBER(E27))),AND(F27&lt;&gt;"",NOT(ISNUMBER(F27))),AND(G27&lt;&gt;"",NOT(ISNUMBER(G27))),AND(ISNUMBER(E27),E27&lt;0),AND(ISNUMBER(F27),F27&lt;0),AND(ISNUMBER(G27),G27&lt;0)),"NOT A SCORE",IF(OR(AND(ISNUMBER(E27),E27&gt;$E$4),AND(ISNUMBER(F27),F27&gt;$F$4),AND(ISNUMBER(G27),G27&gt;$G$4)),"OVER MAX",IF(COUNT(E27:G27)&lt;3,"MISSING "&amp;TRIM(IF(E27="","GD ","")&amp;IF(F27="","mini project ","")&amp;IF(G27="","mock","")),"COMPLETE")))</f>
        <v>MISSING GD mini project mock</v>
      </c>
      <c r="J27" s="10"/>
    </row>
    <row r="28" customFormat="false" ht="15" hidden="false" customHeight="false" outlineLevel="0" collapsed="false">
      <c r="A28" s="9" t="s">
        <v>59</v>
      </c>
      <c r="B28" s="9" t="s">
        <v>57</v>
      </c>
      <c r="C28" s="10"/>
      <c r="D28" s="10"/>
      <c r="E28" s="10"/>
      <c r="F28" s="10"/>
      <c r="G28" s="10"/>
      <c r="H28" s="9" t="str">
        <f aca="false">IF(I28="COMPLETE",E28+F28+G28,"")</f>
        <v/>
      </c>
      <c r="I28" s="9" t="str">
        <f aca="false">IF(OR(AND(E28&lt;&gt;"",NOT(ISNUMBER(E28))),AND(F28&lt;&gt;"",NOT(ISNUMBER(F28))),AND(G28&lt;&gt;"",NOT(ISNUMBER(G28))),AND(ISNUMBER(E28),E28&lt;0),AND(ISNUMBER(F28),F28&lt;0),AND(ISNUMBER(G28),G28&lt;0)),"NOT A SCORE",IF(OR(AND(ISNUMBER(E28),E28&gt;$E$4),AND(ISNUMBER(F28),F28&gt;$F$4),AND(ISNUMBER(G28),G28&gt;$G$4)),"OVER MAX",IF(COUNT(E28:G28)&lt;3,"MISSING "&amp;TRIM(IF(E28="","GD ","")&amp;IF(F28="","mini project ","")&amp;IF(G28="","mock","")),"COMPLETE")))</f>
        <v>MISSING GD mini project mock</v>
      </c>
      <c r="J28" s="10"/>
    </row>
    <row r="29" customFormat="false" ht="15" hidden="false" customHeight="false" outlineLevel="0" collapsed="false">
      <c r="A29" s="9" t="s">
        <v>60</v>
      </c>
      <c r="B29" s="9" t="s">
        <v>57</v>
      </c>
      <c r="C29" s="10"/>
      <c r="D29" s="10"/>
      <c r="E29" s="10"/>
      <c r="F29" s="10"/>
      <c r="G29" s="10"/>
      <c r="H29" s="9" t="str">
        <f aca="false">IF(I29="COMPLETE",E29+F29+G29,"")</f>
        <v/>
      </c>
      <c r="I29" s="9" t="str">
        <f aca="false">IF(OR(AND(E29&lt;&gt;"",NOT(ISNUMBER(E29))),AND(F29&lt;&gt;"",NOT(ISNUMBER(F29))),AND(G29&lt;&gt;"",NOT(ISNUMBER(G29))),AND(ISNUMBER(E29),E29&lt;0),AND(ISNUMBER(F29),F29&lt;0),AND(ISNUMBER(G29),G29&lt;0)),"NOT A SCORE",IF(OR(AND(ISNUMBER(E29),E29&gt;$E$4),AND(ISNUMBER(F29),F29&gt;$F$4),AND(ISNUMBER(G29),G29&gt;$G$4)),"OVER MAX",IF(COUNT(E29:G29)&lt;3,"MISSING "&amp;TRIM(IF(E29="","GD ","")&amp;IF(F29="","mini project ","")&amp;IF(G29="","mock","")),"COMPLETE")))</f>
        <v>MISSING GD mini project mock</v>
      </c>
      <c r="J29" s="10"/>
    </row>
    <row r="30" customFormat="false" ht="15" hidden="false" customHeight="false" outlineLevel="0" collapsed="false">
      <c r="A30" s="9" t="s">
        <v>61</v>
      </c>
      <c r="B30" s="9" t="s">
        <v>62</v>
      </c>
      <c r="C30" s="10"/>
      <c r="D30" s="10"/>
      <c r="E30" s="10"/>
      <c r="F30" s="10"/>
      <c r="G30" s="10"/>
      <c r="H30" s="9" t="str">
        <f aca="false">IF(I30="COMPLETE",E30+F30+G30,"")</f>
        <v/>
      </c>
      <c r="I30" s="9" t="str">
        <f aca="false">IF(OR(AND(E30&lt;&gt;"",NOT(ISNUMBER(E30))),AND(F30&lt;&gt;"",NOT(ISNUMBER(F30))),AND(G30&lt;&gt;"",NOT(ISNUMBER(G30))),AND(ISNUMBER(E30),E30&lt;0),AND(ISNUMBER(F30),F30&lt;0),AND(ISNUMBER(G30),G30&lt;0)),"NOT A SCORE",IF(OR(AND(ISNUMBER(E30),E30&gt;$E$4),AND(ISNUMBER(F30),F30&gt;$F$4),AND(ISNUMBER(G30),G30&gt;$G$4)),"OVER MAX",IF(COUNT(E30:G30)&lt;3,"MISSING "&amp;TRIM(IF(E30="","GD ","")&amp;IF(F30="","mini project ","")&amp;IF(G30="","mock","")),"COMPLETE")))</f>
        <v>MISSING GD mini project mock</v>
      </c>
      <c r="J30" s="10"/>
    </row>
    <row r="31" customFormat="false" ht="15" hidden="false" customHeight="false" outlineLevel="0" collapsed="false">
      <c r="A31" s="9" t="s">
        <v>63</v>
      </c>
      <c r="B31" s="9" t="s">
        <v>62</v>
      </c>
      <c r="C31" s="10"/>
      <c r="D31" s="10"/>
      <c r="E31" s="10"/>
      <c r="F31" s="10"/>
      <c r="G31" s="10"/>
      <c r="H31" s="9" t="str">
        <f aca="false">IF(I31="COMPLETE",E31+F31+G31,"")</f>
        <v/>
      </c>
      <c r="I31" s="9" t="str">
        <f aca="false">IF(OR(AND(E31&lt;&gt;"",NOT(ISNUMBER(E31))),AND(F31&lt;&gt;"",NOT(ISNUMBER(F31))),AND(G31&lt;&gt;"",NOT(ISNUMBER(G31))),AND(ISNUMBER(E31),E31&lt;0),AND(ISNUMBER(F31),F31&lt;0),AND(ISNUMBER(G31),G31&lt;0)),"NOT A SCORE",IF(OR(AND(ISNUMBER(E31),E31&gt;$E$4),AND(ISNUMBER(F31),F31&gt;$F$4),AND(ISNUMBER(G31),G31&gt;$G$4)),"OVER MAX",IF(COUNT(E31:G31)&lt;3,"MISSING "&amp;TRIM(IF(E31="","GD ","")&amp;IF(F31="","mini project ","")&amp;IF(G31="","mock","")),"COMPLETE")))</f>
        <v>MISSING GD mini project mock</v>
      </c>
      <c r="J31" s="10"/>
    </row>
    <row r="32" customFormat="false" ht="15" hidden="false" customHeight="false" outlineLevel="0" collapsed="false">
      <c r="A32" s="9" t="s">
        <v>64</v>
      </c>
      <c r="B32" s="9" t="s">
        <v>62</v>
      </c>
      <c r="C32" s="10"/>
      <c r="D32" s="10"/>
      <c r="E32" s="10"/>
      <c r="F32" s="10"/>
      <c r="G32" s="10"/>
      <c r="H32" s="9" t="str">
        <f aca="false">IF(I32="COMPLETE",E32+F32+G32,"")</f>
        <v/>
      </c>
      <c r="I32" s="9" t="str">
        <f aca="false">IF(OR(AND(E32&lt;&gt;"",NOT(ISNUMBER(E32))),AND(F32&lt;&gt;"",NOT(ISNUMBER(F32))),AND(G32&lt;&gt;"",NOT(ISNUMBER(G32))),AND(ISNUMBER(E32),E32&lt;0),AND(ISNUMBER(F32),F32&lt;0),AND(ISNUMBER(G32),G32&lt;0)),"NOT A SCORE",IF(OR(AND(ISNUMBER(E32),E32&gt;$E$4),AND(ISNUMBER(F32),F32&gt;$F$4),AND(ISNUMBER(G32),G32&gt;$G$4)),"OVER MAX",IF(COUNT(E32:G32)&lt;3,"MISSING "&amp;TRIM(IF(E32="","GD ","")&amp;IF(F32="","mini project ","")&amp;IF(G32="","mock","")),"COMPLETE")))</f>
        <v>MISSING GD mini project mock</v>
      </c>
      <c r="J32" s="10"/>
    </row>
    <row r="33" customFormat="false" ht="15" hidden="false" customHeight="false" outlineLevel="0" collapsed="false">
      <c r="A33" s="9" t="s">
        <v>65</v>
      </c>
      <c r="B33" s="9" t="s">
        <v>62</v>
      </c>
      <c r="C33" s="10"/>
      <c r="D33" s="10"/>
      <c r="E33" s="10"/>
      <c r="F33" s="10"/>
      <c r="G33" s="10"/>
      <c r="H33" s="9" t="str">
        <f aca="false">IF(I33="COMPLETE",E33+F33+G33,"")</f>
        <v/>
      </c>
      <c r="I33" s="9" t="str">
        <f aca="false">IF(OR(AND(E33&lt;&gt;"",NOT(ISNUMBER(E33))),AND(F33&lt;&gt;"",NOT(ISNUMBER(F33))),AND(G33&lt;&gt;"",NOT(ISNUMBER(G33))),AND(ISNUMBER(E33),E33&lt;0),AND(ISNUMBER(F33),F33&lt;0),AND(ISNUMBER(G33),G33&lt;0)),"NOT A SCORE",IF(OR(AND(ISNUMBER(E33),E33&gt;$E$4),AND(ISNUMBER(F33),F33&gt;$F$4),AND(ISNUMBER(G33),G33&gt;$G$4)),"OVER MAX",IF(COUNT(E33:G33)&lt;3,"MISSING "&amp;TRIM(IF(E33="","GD ","")&amp;IF(F33="","mini project ","")&amp;IF(G33="","mock","")),"COMPLETE")))</f>
        <v>MISSING GD mini project mock</v>
      </c>
      <c r="J33" s="10"/>
    </row>
    <row r="34" customFormat="false" ht="15" hidden="false" customHeight="false" outlineLevel="0" collapsed="false">
      <c r="A34" s="9" t="s">
        <v>66</v>
      </c>
      <c r="B34" s="9" t="s">
        <v>67</v>
      </c>
      <c r="C34" s="10"/>
      <c r="D34" s="10"/>
      <c r="E34" s="10"/>
      <c r="F34" s="10"/>
      <c r="G34" s="10"/>
      <c r="H34" s="9" t="str">
        <f aca="false">IF(I34="COMPLETE",E34+F34+G34,"")</f>
        <v/>
      </c>
      <c r="I34" s="9" t="str">
        <f aca="false">IF(OR(AND(E34&lt;&gt;"",NOT(ISNUMBER(E34))),AND(F34&lt;&gt;"",NOT(ISNUMBER(F34))),AND(G34&lt;&gt;"",NOT(ISNUMBER(G34))),AND(ISNUMBER(E34),E34&lt;0),AND(ISNUMBER(F34),F34&lt;0),AND(ISNUMBER(G34),G34&lt;0)),"NOT A SCORE",IF(OR(AND(ISNUMBER(E34),E34&gt;$E$4),AND(ISNUMBER(F34),F34&gt;$F$4),AND(ISNUMBER(G34),G34&gt;$G$4)),"OVER MAX",IF(COUNT(E34:G34)&lt;3,"MISSING "&amp;TRIM(IF(E34="","GD ","")&amp;IF(F34="","mini project ","")&amp;IF(G34="","mock","")),"COMPLETE")))</f>
        <v>MISSING GD mini project mock</v>
      </c>
      <c r="J34" s="10"/>
    </row>
    <row r="35" customFormat="false" ht="15" hidden="false" customHeight="false" outlineLevel="0" collapsed="false">
      <c r="A35" s="9" t="s">
        <v>68</v>
      </c>
      <c r="B35" s="9" t="s">
        <v>67</v>
      </c>
      <c r="C35" s="10"/>
      <c r="D35" s="10"/>
      <c r="E35" s="10"/>
      <c r="F35" s="10"/>
      <c r="G35" s="10"/>
      <c r="H35" s="9" t="str">
        <f aca="false">IF(I35="COMPLETE",E35+F35+G35,"")</f>
        <v/>
      </c>
      <c r="I35" s="9" t="str">
        <f aca="false">IF(OR(AND(E35&lt;&gt;"",NOT(ISNUMBER(E35))),AND(F35&lt;&gt;"",NOT(ISNUMBER(F35))),AND(G35&lt;&gt;"",NOT(ISNUMBER(G35))),AND(ISNUMBER(E35),E35&lt;0),AND(ISNUMBER(F35),F35&lt;0),AND(ISNUMBER(G35),G35&lt;0)),"NOT A SCORE",IF(OR(AND(ISNUMBER(E35),E35&gt;$E$4),AND(ISNUMBER(F35),F35&gt;$F$4),AND(ISNUMBER(G35),G35&gt;$G$4)),"OVER MAX",IF(COUNT(E35:G35)&lt;3,"MISSING "&amp;TRIM(IF(E35="","GD ","")&amp;IF(F35="","mini project ","")&amp;IF(G35="","mock","")),"COMPLETE")))</f>
        <v>MISSING GD mini project mock</v>
      </c>
      <c r="J35" s="10"/>
    </row>
    <row r="36" customFormat="false" ht="15" hidden="false" customHeight="false" outlineLevel="0" collapsed="false">
      <c r="A36" s="9" t="s">
        <v>69</v>
      </c>
      <c r="B36" s="9" t="s">
        <v>67</v>
      </c>
      <c r="C36" s="10"/>
      <c r="D36" s="10"/>
      <c r="E36" s="10"/>
      <c r="F36" s="10"/>
      <c r="G36" s="10"/>
      <c r="H36" s="9" t="str">
        <f aca="false">IF(I36="COMPLETE",E36+F36+G36,"")</f>
        <v/>
      </c>
      <c r="I36" s="9" t="str">
        <f aca="false">IF(OR(AND(E36&lt;&gt;"",NOT(ISNUMBER(E36))),AND(F36&lt;&gt;"",NOT(ISNUMBER(F36))),AND(G36&lt;&gt;"",NOT(ISNUMBER(G36))),AND(ISNUMBER(E36),E36&lt;0),AND(ISNUMBER(F36),F36&lt;0),AND(ISNUMBER(G36),G36&lt;0)),"NOT A SCORE",IF(OR(AND(ISNUMBER(E36),E36&gt;$E$4),AND(ISNUMBER(F36),F36&gt;$F$4),AND(ISNUMBER(G36),G36&gt;$G$4)),"OVER MAX",IF(COUNT(E36:G36)&lt;3,"MISSING "&amp;TRIM(IF(E36="","GD ","")&amp;IF(F36="","mini project ","")&amp;IF(G36="","mock","")),"COMPLETE")))</f>
        <v>MISSING GD mini project mock</v>
      </c>
      <c r="J36" s="10"/>
    </row>
    <row r="37" customFormat="false" ht="15" hidden="false" customHeight="false" outlineLevel="0" collapsed="false">
      <c r="A37" s="9" t="s">
        <v>70</v>
      </c>
      <c r="B37" s="9" t="s">
        <v>67</v>
      </c>
      <c r="C37" s="10"/>
      <c r="D37" s="10"/>
      <c r="E37" s="10"/>
      <c r="F37" s="10"/>
      <c r="G37" s="10"/>
      <c r="H37" s="9" t="str">
        <f aca="false">IF(I37="COMPLETE",E37+F37+G37,"")</f>
        <v/>
      </c>
      <c r="I37" s="9" t="str">
        <f aca="false">IF(OR(AND(E37&lt;&gt;"",NOT(ISNUMBER(E37))),AND(F37&lt;&gt;"",NOT(ISNUMBER(F37))),AND(G37&lt;&gt;"",NOT(ISNUMBER(G37))),AND(ISNUMBER(E37),E37&lt;0),AND(ISNUMBER(F37),F37&lt;0),AND(ISNUMBER(G37),G37&lt;0)),"NOT A SCORE",IF(OR(AND(ISNUMBER(E37),E37&gt;$E$4),AND(ISNUMBER(F37),F37&gt;$F$4),AND(ISNUMBER(G37),G37&gt;$G$4)),"OVER MAX",IF(COUNT(E37:G37)&lt;3,"MISSING "&amp;TRIM(IF(E37="","GD ","")&amp;IF(F37="","mini project ","")&amp;IF(G37="","mock","")),"COMPLETE")))</f>
        <v>MISSING GD mini project mock</v>
      </c>
      <c r="J37" s="10"/>
    </row>
    <row r="38" customFormat="false" ht="15" hidden="false" customHeight="false" outlineLevel="0" collapsed="false">
      <c r="A38" s="9" t="s">
        <v>71</v>
      </c>
      <c r="B38" s="9" t="s">
        <v>72</v>
      </c>
      <c r="C38" s="10"/>
      <c r="D38" s="10"/>
      <c r="E38" s="10"/>
      <c r="F38" s="10"/>
      <c r="G38" s="10"/>
      <c r="H38" s="9" t="str">
        <f aca="false">IF(I38="COMPLETE",E38+F38+G38,"")</f>
        <v/>
      </c>
      <c r="I38" s="9" t="str">
        <f aca="false">IF(OR(AND(E38&lt;&gt;"",NOT(ISNUMBER(E38))),AND(F38&lt;&gt;"",NOT(ISNUMBER(F38))),AND(G38&lt;&gt;"",NOT(ISNUMBER(G38))),AND(ISNUMBER(E38),E38&lt;0),AND(ISNUMBER(F38),F38&lt;0),AND(ISNUMBER(G38),G38&lt;0)),"NOT A SCORE",IF(OR(AND(ISNUMBER(E38),E38&gt;$E$4),AND(ISNUMBER(F38),F38&gt;$F$4),AND(ISNUMBER(G38),G38&gt;$G$4)),"OVER MAX",IF(COUNT(E38:G38)&lt;3,"MISSING "&amp;TRIM(IF(E38="","GD ","")&amp;IF(F38="","mini project ","")&amp;IF(G38="","mock","")),"COMPLETE")))</f>
        <v>MISSING GD mini project mock</v>
      </c>
      <c r="J38" s="10"/>
    </row>
    <row r="39" customFormat="false" ht="15" hidden="false" customHeight="false" outlineLevel="0" collapsed="false">
      <c r="A39" s="9" t="s">
        <v>73</v>
      </c>
      <c r="B39" s="9" t="s">
        <v>72</v>
      </c>
      <c r="C39" s="10"/>
      <c r="D39" s="10"/>
      <c r="E39" s="10"/>
      <c r="F39" s="10"/>
      <c r="G39" s="10"/>
      <c r="H39" s="9" t="str">
        <f aca="false">IF(I39="COMPLETE",E39+F39+G39,"")</f>
        <v/>
      </c>
      <c r="I39" s="9" t="str">
        <f aca="false">IF(OR(AND(E39&lt;&gt;"",NOT(ISNUMBER(E39))),AND(F39&lt;&gt;"",NOT(ISNUMBER(F39))),AND(G39&lt;&gt;"",NOT(ISNUMBER(G39))),AND(ISNUMBER(E39),E39&lt;0),AND(ISNUMBER(F39),F39&lt;0),AND(ISNUMBER(G39),G39&lt;0)),"NOT A SCORE",IF(OR(AND(ISNUMBER(E39),E39&gt;$E$4),AND(ISNUMBER(F39),F39&gt;$F$4),AND(ISNUMBER(G39),G39&gt;$G$4)),"OVER MAX",IF(COUNT(E39:G39)&lt;3,"MISSING "&amp;TRIM(IF(E39="","GD ","")&amp;IF(F39="","mini project ","")&amp;IF(G39="","mock","")),"COMPLETE")))</f>
        <v>MISSING GD mini project mock</v>
      </c>
      <c r="J39" s="10"/>
    </row>
    <row r="40" customFormat="false" ht="15" hidden="false" customHeight="false" outlineLevel="0" collapsed="false">
      <c r="A40" s="9" t="s">
        <v>74</v>
      </c>
      <c r="B40" s="9" t="s">
        <v>72</v>
      </c>
      <c r="C40" s="10"/>
      <c r="D40" s="10"/>
      <c r="E40" s="10"/>
      <c r="F40" s="10"/>
      <c r="G40" s="10"/>
      <c r="H40" s="9" t="str">
        <f aca="false">IF(I40="COMPLETE",E40+F40+G40,"")</f>
        <v/>
      </c>
      <c r="I40" s="9" t="str">
        <f aca="false">IF(OR(AND(E40&lt;&gt;"",NOT(ISNUMBER(E40))),AND(F40&lt;&gt;"",NOT(ISNUMBER(F40))),AND(G40&lt;&gt;"",NOT(ISNUMBER(G40))),AND(ISNUMBER(E40),E40&lt;0),AND(ISNUMBER(F40),F40&lt;0),AND(ISNUMBER(G40),G40&lt;0)),"NOT A SCORE",IF(OR(AND(ISNUMBER(E40),E40&gt;$E$4),AND(ISNUMBER(F40),F40&gt;$F$4),AND(ISNUMBER(G40),G40&gt;$G$4)),"OVER MAX",IF(COUNT(E40:G40)&lt;3,"MISSING "&amp;TRIM(IF(E40="","GD ","")&amp;IF(F40="","mini project ","")&amp;IF(G40="","mock","")),"COMPLETE")))</f>
        <v>MISSING GD mini project mock</v>
      </c>
      <c r="J40" s="10"/>
    </row>
  </sheetData>
  <conditionalFormatting sqref="I6:I40">
    <cfRule type="expression" priority="2" aboveAverage="0" equalAverage="0" bottom="0" percent="0" rank="0" text="" dxfId="0">
      <formula>I6="COMPLETE"</formula>
    </cfRule>
    <cfRule type="expression" priority="3" aboveAverage="0" equalAverage="0" bottom="0" percent="0" rank="0" text="" dxfId="1">
      <formula>I6&lt;&gt;"COMPLETE"</formula>
    </cfRule>
  </conditionalFormatting>
  <dataValidations count="5">
    <dataValidation allowBlank="true" errorStyle="stop" operator="between" showDropDown="false" showErrorMessage="false" showInputMessage="false" sqref="C6:C40" type="list">
      <formula1>"1 revenue,2 bookings,3 billing,4 no-shows,5 campaign"</formula1>
      <formula2>0</formula2>
    </dataValidation>
    <dataValidation allowBlank="true" errorStyle="stop" operator="between" showDropDown="false" showErrorMessage="false" showInputMessage="false" sqref="D6:D40" type="list">
      <formula1>"the industry expert,the senior industry leader"</formula1>
      <formula2>0</formula2>
    </dataValidation>
    <dataValidation allowBlank="true" error="This score is outside 0 to the maximum in row 4. Check the signed sheet." errorStyle="warning" errorTitle="Above the event's maximum" operator="between" showDropDown="false" showErrorMessage="true" showInputMessage="false" sqref="E6:E40" type="decimal">
      <formula1>0</formula1>
      <formula2>$E$4</formula2>
    </dataValidation>
    <dataValidation allowBlank="true" error="This score is outside 0 to the maximum in row 4. Check the signed sheet." errorStyle="warning" errorTitle="Above the event's maximum" operator="between" showDropDown="false" showErrorMessage="true" showInputMessage="false" sqref="F6:F40" type="decimal">
      <formula1>0</formula1>
      <formula2>$F$4</formula2>
    </dataValidation>
    <dataValidation allowBlank="true" error="This score is outside 0 to the maximum in row 4. Check the signed sheet." errorStyle="warning" errorTitle="Above the event's maximum" operator="between" showDropDown="false" showErrorMessage="true" showInputMessage="false" sqref="G6:G40" type="decimal">
      <formula1>0</formula1>
      <formula2>$G$4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14"/>
    <col collapsed="false" customWidth="true" hidden="false" outlineLevel="0" max="5" min="5" style="0" width="30"/>
  </cols>
  <sheetData>
    <row r="1" customFormat="false" ht="16.15" hidden="false" customHeight="false" outlineLevel="0" collapsed="false">
      <c r="A1" s="5" t="s">
        <v>75</v>
      </c>
    </row>
    <row r="3" customFormat="false" ht="15" hidden="false" customHeight="false" outlineLevel="0" collapsed="false">
      <c r="A3" s="8" t="s">
        <v>22</v>
      </c>
      <c r="B3" s="8" t="s">
        <v>76</v>
      </c>
      <c r="C3" s="8" t="s">
        <v>77</v>
      </c>
      <c r="D3" s="8" t="s">
        <v>78</v>
      </c>
      <c r="E3" s="8" t="s">
        <v>79</v>
      </c>
    </row>
    <row r="4" customFormat="false" ht="15" hidden="false" customHeight="false" outlineLevel="0" collapsed="false">
      <c r="A4" s="9" t="s">
        <v>32</v>
      </c>
      <c r="B4" s="9" t="n">
        <f aca="false">COUNTIF(Scores!$B$6:$B$40,A4)</f>
        <v>4</v>
      </c>
      <c r="C4" s="9" t="n">
        <f aca="false">COUNTIFS(Scores!$B$6:$B$40,A4,Scores!$I$6:$I$40,"COMPLETE")</f>
        <v>0</v>
      </c>
      <c r="D4" s="9" t="n">
        <f aca="false">B4-C4</f>
        <v>4</v>
      </c>
      <c r="E4" s="9" t="str">
        <f aca="false">IF(D4=0,"ALL COMPLETE",D4&amp;" seat(s) short")</f>
        <v>4 seat(s) short</v>
      </c>
    </row>
    <row r="5" customFormat="false" ht="15" hidden="false" customHeight="false" outlineLevel="0" collapsed="false">
      <c r="A5" s="9" t="s">
        <v>37</v>
      </c>
      <c r="B5" s="9" t="n">
        <f aca="false">COUNTIF(Scores!$B$6:$B$40,A5)</f>
        <v>4</v>
      </c>
      <c r="C5" s="9" t="n">
        <f aca="false">COUNTIFS(Scores!$B$6:$B$40,A5,Scores!$I$6:$I$40,"COMPLETE")</f>
        <v>0</v>
      </c>
      <c r="D5" s="9" t="n">
        <f aca="false">B5-C5</f>
        <v>4</v>
      </c>
      <c r="E5" s="9" t="str">
        <f aca="false">IF(D5=0,"ALL COMPLETE",D5&amp;" seat(s) short")</f>
        <v>4 seat(s) short</v>
      </c>
    </row>
    <row r="6" customFormat="false" ht="15" hidden="false" customHeight="false" outlineLevel="0" collapsed="false">
      <c r="A6" s="9" t="s">
        <v>42</v>
      </c>
      <c r="B6" s="9" t="n">
        <f aca="false">COUNTIF(Scores!$B$6:$B$40,A6)</f>
        <v>4</v>
      </c>
      <c r="C6" s="9" t="n">
        <f aca="false">COUNTIFS(Scores!$B$6:$B$40,A6,Scores!$I$6:$I$40,"COMPLETE")</f>
        <v>0</v>
      </c>
      <c r="D6" s="9" t="n">
        <f aca="false">B6-C6</f>
        <v>4</v>
      </c>
      <c r="E6" s="9" t="str">
        <f aca="false">IF(D6=0,"ALL COMPLETE",D6&amp;" seat(s) short")</f>
        <v>4 seat(s) short</v>
      </c>
    </row>
    <row r="7" customFormat="false" ht="15" hidden="false" customHeight="false" outlineLevel="0" collapsed="false">
      <c r="A7" s="9" t="s">
        <v>47</v>
      </c>
      <c r="B7" s="9" t="n">
        <f aca="false">COUNTIF(Scores!$B$6:$B$40,A7)</f>
        <v>4</v>
      </c>
      <c r="C7" s="9" t="n">
        <f aca="false">COUNTIFS(Scores!$B$6:$B$40,A7,Scores!$I$6:$I$40,"COMPLETE")</f>
        <v>0</v>
      </c>
      <c r="D7" s="9" t="n">
        <f aca="false">B7-C7</f>
        <v>4</v>
      </c>
      <c r="E7" s="9" t="str">
        <f aca="false">IF(D7=0,"ALL COMPLETE",D7&amp;" seat(s) short")</f>
        <v>4 seat(s) short</v>
      </c>
    </row>
    <row r="8" customFormat="false" ht="15" hidden="false" customHeight="false" outlineLevel="0" collapsed="false">
      <c r="A8" s="9" t="s">
        <v>52</v>
      </c>
      <c r="B8" s="9" t="n">
        <f aca="false">COUNTIF(Scores!$B$6:$B$40,A8)</f>
        <v>4</v>
      </c>
      <c r="C8" s="9" t="n">
        <f aca="false">COUNTIFS(Scores!$B$6:$B$40,A8,Scores!$I$6:$I$40,"COMPLETE")</f>
        <v>0</v>
      </c>
      <c r="D8" s="9" t="n">
        <f aca="false">B8-C8</f>
        <v>4</v>
      </c>
      <c r="E8" s="9" t="str">
        <f aca="false">IF(D8=0,"ALL COMPLETE",D8&amp;" seat(s) short")</f>
        <v>4 seat(s) short</v>
      </c>
    </row>
    <row r="9" customFormat="false" ht="15" hidden="false" customHeight="false" outlineLevel="0" collapsed="false">
      <c r="A9" s="9" t="s">
        <v>57</v>
      </c>
      <c r="B9" s="9" t="n">
        <f aca="false">COUNTIF(Scores!$B$6:$B$40,A9)</f>
        <v>4</v>
      </c>
      <c r="C9" s="9" t="n">
        <f aca="false">COUNTIFS(Scores!$B$6:$B$40,A9,Scores!$I$6:$I$40,"COMPLETE")</f>
        <v>0</v>
      </c>
      <c r="D9" s="9" t="n">
        <f aca="false">B9-C9</f>
        <v>4</v>
      </c>
      <c r="E9" s="9" t="str">
        <f aca="false">IF(D9=0,"ALL COMPLETE",D9&amp;" seat(s) short")</f>
        <v>4 seat(s) short</v>
      </c>
    </row>
    <row r="10" customFormat="false" ht="15" hidden="false" customHeight="false" outlineLevel="0" collapsed="false">
      <c r="A10" s="9" t="s">
        <v>62</v>
      </c>
      <c r="B10" s="9" t="n">
        <f aca="false">COUNTIF(Scores!$B$6:$B$40,A10)</f>
        <v>4</v>
      </c>
      <c r="C10" s="9" t="n">
        <f aca="false">COUNTIFS(Scores!$B$6:$B$40,A10,Scores!$I$6:$I$40,"COMPLETE")</f>
        <v>0</v>
      </c>
      <c r="D10" s="9" t="n">
        <f aca="false">B10-C10</f>
        <v>4</v>
      </c>
      <c r="E10" s="9" t="str">
        <f aca="false">IF(D10=0,"ALL COMPLETE",D10&amp;" seat(s) short")</f>
        <v>4 seat(s) short</v>
      </c>
    </row>
    <row r="11" customFormat="false" ht="15" hidden="false" customHeight="false" outlineLevel="0" collapsed="false">
      <c r="A11" s="9" t="s">
        <v>67</v>
      </c>
      <c r="B11" s="9" t="n">
        <f aca="false">COUNTIF(Scores!$B$6:$B$40,A11)</f>
        <v>4</v>
      </c>
      <c r="C11" s="9" t="n">
        <f aca="false">COUNTIFS(Scores!$B$6:$B$40,A11,Scores!$I$6:$I$40,"COMPLETE")</f>
        <v>0</v>
      </c>
      <c r="D11" s="9" t="n">
        <f aca="false">B11-C11</f>
        <v>4</v>
      </c>
      <c r="E11" s="9" t="str">
        <f aca="false">IF(D11=0,"ALL COMPLETE",D11&amp;" seat(s) short")</f>
        <v>4 seat(s) short</v>
      </c>
    </row>
    <row r="12" customFormat="false" ht="15" hidden="false" customHeight="false" outlineLevel="0" collapsed="false">
      <c r="A12" s="9" t="s">
        <v>72</v>
      </c>
      <c r="B12" s="9" t="n">
        <f aca="false">COUNTIF(Scores!$B$6:$B$40,A12)</f>
        <v>3</v>
      </c>
      <c r="C12" s="9" t="n">
        <f aca="false">COUNTIFS(Scores!$B$6:$B$40,A12,Scores!$I$6:$I$40,"COMPLETE")</f>
        <v>0</v>
      </c>
      <c r="D12" s="9" t="n">
        <f aca="false">B12-C12</f>
        <v>3</v>
      </c>
      <c r="E12" s="9" t="str">
        <f aca="false">IF(D12=0,"ALL COMPLETE",D12&amp;" seat(s) short")</f>
        <v>3 seat(s) short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4"/>
  </cols>
  <sheetData>
    <row r="1" customFormat="false" ht="16.15" hidden="false" customHeight="false" outlineLevel="0" collapsed="false">
      <c r="A1" s="5" t="s">
        <v>80</v>
      </c>
    </row>
    <row r="3" customFormat="false" ht="15" hidden="false" customHeight="false" outlineLevel="0" collapsed="false">
      <c r="A3" s="8" t="s">
        <v>81</v>
      </c>
      <c r="B3" s="8" t="s">
        <v>82</v>
      </c>
    </row>
    <row r="4" customFormat="false" ht="15" hidden="false" customHeight="false" outlineLevel="0" collapsed="false">
      <c r="A4" s="9" t="s">
        <v>83</v>
      </c>
      <c r="B4" s="11" t="n">
        <f aca="false">COUNTA(Scores!$A$6:$A$40)</f>
        <v>35</v>
      </c>
    </row>
    <row r="5" customFormat="false" ht="15" hidden="false" customHeight="false" outlineLevel="0" collapsed="false">
      <c r="A5" s="9" t="s">
        <v>84</v>
      </c>
      <c r="B5" s="11" t="n">
        <f aca="false">SUMPRODUCT((COUNTIF(Scores!$A$6:$A$40,Scores!$A$6:$A$40)&gt;1)*1)</f>
        <v>0</v>
      </c>
    </row>
    <row r="6" customFormat="false" ht="15" hidden="false" customHeight="false" outlineLevel="0" collapsed="false">
      <c r="A6" s="9" t="s">
        <v>85</v>
      </c>
      <c r="B6" s="11" t="n">
        <f aca="false">COUNTIF(Scores!$I$6:$I$40,"COMPLETE")</f>
        <v>0</v>
      </c>
    </row>
    <row r="7" customFormat="false" ht="15" hidden="false" customHeight="false" outlineLevel="0" collapsed="false">
      <c r="A7" s="9" t="s">
        <v>86</v>
      </c>
      <c r="B7" s="11" t="n">
        <f aca="false">COUNTIF(Scores!$I$6:$I$40,"MISSING*")</f>
        <v>35</v>
      </c>
    </row>
    <row r="8" customFormat="false" ht="15" hidden="false" customHeight="false" outlineLevel="0" collapsed="false">
      <c r="A8" s="9" t="s">
        <v>87</v>
      </c>
      <c r="B8" s="11" t="n">
        <f aca="false">COUNTIF(Scores!$I$6:$I$40,"OVER MAX")</f>
        <v>0</v>
      </c>
    </row>
    <row r="9" customFormat="false" ht="15" hidden="false" customHeight="false" outlineLevel="0" collapsed="false">
      <c r="A9" s="9" t="s">
        <v>88</v>
      </c>
      <c r="B9" s="11" t="n">
        <f aca="false">COUNTIF(Scores!$I$6:$I$40,"NOT A SCORE")</f>
        <v>0</v>
      </c>
    </row>
    <row r="10" customFormat="false" ht="15" hidden="false" customHeight="false" outlineLevel="0" collapsed="false">
      <c r="A10" s="9" t="s">
        <v>89</v>
      </c>
      <c r="B10" s="11" t="n">
        <f aca="false">COUNTBLANK(Scores!$E$6:$E$40)</f>
        <v>35</v>
      </c>
    </row>
    <row r="11" customFormat="false" ht="15" hidden="false" customHeight="false" outlineLevel="0" collapsed="false">
      <c r="A11" s="9" t="s">
        <v>90</v>
      </c>
      <c r="B11" s="11" t="n">
        <f aca="false">COUNTBLANK(Scores!$F$6:$F$40)</f>
        <v>35</v>
      </c>
    </row>
    <row r="12" customFormat="false" ht="15" hidden="false" customHeight="false" outlineLevel="0" collapsed="false">
      <c r="A12" s="9" t="s">
        <v>91</v>
      </c>
      <c r="B12" s="11" t="n">
        <f aca="false">COUNTBLANK(Scores!$G$6:$G$40)</f>
        <v>35</v>
      </c>
    </row>
    <row r="13" customFormat="false" ht="15" hidden="false" customHeight="false" outlineLevel="0" collapsed="false">
      <c r="A13" s="9" t="s">
        <v>92</v>
      </c>
      <c r="B13" s="11" t="n">
        <f aca="false">COUNTBLANK(Scores!$C$6:$C$40)+COUNTBLANK(Scores!$D$6:$D$40)</f>
        <v>70</v>
      </c>
    </row>
    <row r="15" customFormat="false" ht="15" hidden="false" customHeight="false" outlineLevel="0" collapsed="false">
      <c r="A15" s="12" t="s">
        <v>93</v>
      </c>
      <c r="B15" s="13" t="str">
        <f aca="false">IF(AND(B6=B4,B5=0,B8=0,B9=0),"READY TO SIGN","NOT READY: "&amp;(B4-B6)&amp;" seats short")</f>
        <v>NOT READY: 35 seats short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10"/>
    <col collapsed="false" customWidth="true" hidden="false" outlineLevel="0" max="4" min="4" style="0" width="40"/>
  </cols>
  <sheetData>
    <row r="1" customFormat="false" ht="16.15" hidden="false" customHeight="false" outlineLevel="0" collapsed="false">
      <c r="A1" s="5" t="s">
        <v>94</v>
      </c>
    </row>
    <row r="3" customFormat="false" ht="15" hidden="false" customHeight="false" outlineLevel="0" collapsed="false">
      <c r="A3" s="8" t="s">
        <v>95</v>
      </c>
      <c r="B3" s="8" t="s">
        <v>96</v>
      </c>
      <c r="C3" s="8" t="s">
        <v>97</v>
      </c>
      <c r="D3" s="8" t="s">
        <v>30</v>
      </c>
    </row>
    <row r="4" customFormat="false" ht="15" hidden="false" customHeight="false" outlineLevel="0" collapsed="false">
      <c r="A4" s="9" t="s">
        <v>98</v>
      </c>
      <c r="B4" s="9" t="s">
        <v>99</v>
      </c>
      <c r="C4" s="10"/>
      <c r="D4" s="10"/>
    </row>
    <row r="5" customFormat="false" ht="15" hidden="false" customHeight="false" outlineLevel="0" collapsed="false">
      <c r="A5" s="9" t="s">
        <v>100</v>
      </c>
      <c r="B5" s="9" t="s">
        <v>101</v>
      </c>
      <c r="C5" s="10"/>
      <c r="D5" s="10"/>
    </row>
    <row r="6" customFormat="false" ht="15" hidden="false" customHeight="false" outlineLevel="0" collapsed="false">
      <c r="A6" s="9" t="s">
        <v>102</v>
      </c>
      <c r="B6" s="9" t="s">
        <v>103</v>
      </c>
      <c r="C6" s="10"/>
      <c r="D6" s="10"/>
    </row>
    <row r="7" customFormat="false" ht="15" hidden="false" customHeight="false" outlineLevel="0" collapsed="false">
      <c r="A7" s="9" t="s">
        <v>104</v>
      </c>
      <c r="B7" s="9" t="s">
        <v>103</v>
      </c>
      <c r="C7" s="10"/>
      <c r="D7" s="10"/>
    </row>
    <row r="8" customFormat="false" ht="15" hidden="false" customHeight="false" outlineLevel="0" collapsed="false">
      <c r="A8" s="9" t="s">
        <v>105</v>
      </c>
      <c r="B8" s="9" t="s">
        <v>106</v>
      </c>
      <c r="C8" s="10"/>
      <c r="D8" s="10"/>
    </row>
    <row r="9" customFormat="false" ht="15" hidden="false" customHeight="false" outlineLevel="0" collapsed="false">
      <c r="A9" s="9" t="s">
        <v>107</v>
      </c>
      <c r="B9" s="9" t="s">
        <v>106</v>
      </c>
      <c r="C9" s="10"/>
      <c r="D9" s="10"/>
    </row>
    <row r="10" customFormat="false" ht="15" hidden="false" customHeight="false" outlineLevel="0" collapsed="false">
      <c r="A10" s="9" t="s">
        <v>108</v>
      </c>
      <c r="B10" s="9" t="s">
        <v>106</v>
      </c>
      <c r="C10" s="10"/>
      <c r="D10" s="10"/>
    </row>
    <row r="11" customFormat="false" ht="15" hidden="false" customHeight="false" outlineLevel="0" collapsed="false">
      <c r="A11" s="9" t="s">
        <v>109</v>
      </c>
      <c r="B11" s="9" t="s">
        <v>110</v>
      </c>
      <c r="C11" s="10"/>
      <c r="D11" s="10"/>
    </row>
    <row r="13" customFormat="false" ht="15" hidden="false" customHeight="false" outlineLevel="0" collapsed="false">
      <c r="A13" s="12" t="s">
        <v>111</v>
      </c>
      <c r="B13" s="13" t="str">
        <f aca="false">IF(Checks!B15&lt;&gt;"READY TO SIGN","NOT READY",IF(COUNTIF(C4:C11,"Yes")=8,"CLOSED","READY: awaiting "&amp;(8-COUNTIF(C4:C11,"Yes"))&amp;" sign-offs"))</f>
        <v>NOT READY</v>
      </c>
    </row>
  </sheetData>
  <dataValidations count="1">
    <dataValidation allowBlank="true" errorStyle="stop" operator="between" showDropDown="false" showErrorMessage="false" showInputMessage="false" sqref="C4:C11" type="list">
      <formula1>"Yes"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2026-09-29T17:57:25Z</dcterms:created>
  <dc:creator>openpyxl</dc:creator>
  <dc:description/>
  <dc:language>en-US</dc:language>
  <cp:lastModifiedBy/>
  <dcterms:modified xsi:type="dcterms:W3CDTF">2026-09-29T17:57:25Z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