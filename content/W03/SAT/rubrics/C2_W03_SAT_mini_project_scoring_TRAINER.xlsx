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bric" sheetId="2" state="visible" r:id="rId2"/>
    <sheet xmlns:r="http://schemas.openxmlformats.org/officeDocument/2006/relationships" name="Groups" sheetId="3" state="visible" r:id="rId3"/>
    <sheet xmlns:r="http://schemas.openxmlformats.org/officeDocument/2006/relationships" name="Learners" sheetId="4" state="visible" r:id="rId4"/>
    <sheet xmlns:r="http://schemas.openxmlformats.org/officeDocument/2006/relationships" name="Summary"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A0F5C"/>
      <sz val="14"/>
    </font>
    <font>
      <name val="Arial"/>
      <color rgb="00000000"/>
      <sz val="10"/>
    </font>
    <font>
      <name val="Arial"/>
      <b val="1"/>
      <color rgb="001A0F5C"/>
      <sz val="13"/>
    </font>
    <font>
      <name val="Arial"/>
      <b val="1"/>
      <color rgb="00FFFFFF"/>
      <sz val="10"/>
    </font>
    <font>
      <name val="Arial"/>
      <b val="1"/>
      <color rgb="00000000"/>
      <sz val="10"/>
    </font>
    <font>
      <name val="Arial"/>
      <i val="1"/>
      <color rgb="00000000"/>
      <sz val="10"/>
    </font>
    <font>
      <name val="Arial"/>
      <color rgb="000000FF"/>
      <sz val="10"/>
    </font>
    <font>
      <name val="Arial"/>
      <b val="1"/>
      <color rgb="001A0F5C"/>
      <sz val="12"/>
    </font>
    <font>
      <name val="Arial"/>
      <b val="1"/>
      <color rgb="00000000"/>
      <sz val="12"/>
    </font>
  </fonts>
  <fills count="4">
    <fill>
      <patternFill/>
    </fill>
    <fill>
      <patternFill patternType="gray125"/>
    </fill>
    <fill>
      <patternFill patternType="solid">
        <fgColor rgb="001A0F5C"/>
      </patternFill>
    </fill>
    <fill>
      <patternFill patternType="solid">
        <fgColor rgb="00FFF4B8"/>
      </patternFill>
    </fill>
  </fills>
  <borders count="2">
    <border>
      <left/>
      <right/>
      <top/>
      <bottom/>
      <diagonal/>
    </border>
    <border>
      <left style="thin">
        <color rgb="00C9C3E6"/>
      </left>
      <right style="thin">
        <color rgb="00C9C3E6"/>
      </right>
      <top style="thin">
        <color rgb="00C9C3E6"/>
      </top>
      <bottom style="thin">
        <color rgb="00C9C3E6"/>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5" fillId="0" borderId="0" pivotButton="0" quotePrefix="0" xfId="0"/>
    <xf numFmtId="0" fontId="6" fillId="0" borderId="0" pivotButton="0" quotePrefix="0" xfId="0"/>
    <xf numFmtId="0" fontId="2" fillId="0" borderId="1" pivotButton="0" quotePrefix="0" xfId="0"/>
    <xf numFmtId="0" fontId="7" fillId="3" borderId="1" pivotButton="0" quotePrefix="0" xfId="0"/>
    <xf numFmtId="0" fontId="2" fillId="0" borderId="0" pivotButton="0" quotePrefix="0" xfId="0"/>
    <xf numFmtId="0" fontId="8"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20" customWidth="1" min="1" max="1"/>
  </cols>
  <sheetData>
    <row r="1">
      <c r="A1" s="1" t="inlineStr">
        <is>
          <t>Build 1 mini project scoring sheet (TRAINER ONLY)</t>
        </is>
      </c>
    </row>
    <row r="2">
      <c r="A2" s="2" t="inlineStr"/>
    </row>
    <row r="3">
      <c r="A3" s="2" t="inlineStr">
        <is>
          <t>The rubric is Build 1's mini project rubric as the requester approved it on 29 September 2026, recorded in data/programme/facts.yaml (evaluation.rubrics.W03). The first four criteria are scored once for the group, and every member receives those 34 marks; presentation and defence is scored for each learner on 6 marks, so a silent teammate cannot ride the group's score.</t>
        </is>
      </c>
    </row>
    <row r="4">
      <c r="A4" s="2" t="inlineStr">
        <is>
          <t>Yellow cells with blue text are the inputs. On Groups: the sub-problem, the panel, the day, and the four group criteria. On Learners: whether the seat is in use and the presentation and defence score. Totals, checks and the summary are formulas.</t>
        </is>
      </c>
    </row>
    <row r="5">
      <c r="A5" s="2" t="inlineStr">
        <is>
          <t>Score each group after its slot, never in front of it, from the panel's evidence notes and the question bank (content/W03/SAT/trainer/C2_W03_SAT_question_bank_TRAINER.md). A silent teammate's presentation and defence score waits for the separate question in the room's reserve.</t>
        </is>
      </c>
    </row>
    <row r="6">
      <c r="A6" s="2" t="inlineStr">
        <is>
          <t>The demo rule on both expert days: a group's demo runs once, cold, on its raw files. If it fails, the group has two minutes to recover it live, as it would in front of a client. If it still fails, the group presents from its executed notebook, and the panel scores the live demo in presentation and defence as not run cold. The other 34 marks of the mini project are scored from the executed run, so a failed demo costs its own marks and never the analysis.</t>
        </is>
      </c>
    </row>
    <row r="7">
      <c r="A7" s="2" t="inlineStr">
        <is>
          <t>The Learners sheet holds 35 seats, one per learner: eight groups of four and G9 of three. Relabel the seats if Monday's allocation put the group of three elsewhere. Mark an absent learner N in the In use column; the row then reads absent and drops out of the counts. An absence is recorded with the Programme Head's decision in the grade closure workbook.</t>
        </is>
      </c>
    </row>
    <row r="8">
      <c r="A8" s="2" t="inlineStr">
        <is>
          <t>Each learner's total out of 40 is copied once into the grade closure workbook (C2_W03_SAT_grade_closure_TRAINER.xlsx, Scores, Mini project). Learner names go only into the copy the Programme Head keeps, never into the committed file, because the repository is public.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0" customWidth="1" min="1" max="1"/>
    <col width="8" customWidth="1" min="2" max="2"/>
    <col width="90" customWidth="1" min="3" max="3"/>
    <col width="16" customWidth="1" min="4" max="4"/>
  </cols>
  <sheetData>
    <row r="1">
      <c r="A1" s="3" t="inlineStr">
        <is>
          <t>Mini project rubric, 40 marks per learner</t>
        </is>
      </c>
    </row>
    <row r="2">
      <c r="A2" s="4" t="inlineStr">
        <is>
          <t>Criterion</t>
        </is>
      </c>
      <c r="B2" s="4" t="inlineStr">
        <is>
          <t>Marks</t>
        </is>
      </c>
      <c r="C2" s="4" t="inlineStr">
        <is>
          <t>What full marks look like</t>
        </is>
      </c>
      <c r="D2" s="4" t="inlineStr">
        <is>
          <t>Scored</t>
        </is>
      </c>
    </row>
    <row r="3">
      <c r="A3" s="5" t="inlineStr">
        <is>
          <t>The question translated</t>
        </is>
      </c>
      <c r="B3" s="5" t="n">
        <v>8</v>
      </c>
      <c r="C3" s="5" t="inlineStr">
        <is>
          <t>Dr Menon's words are mapped to the right Weeks 1 and 2 method, with the metric defined and the decision it feeds named.</t>
        </is>
      </c>
      <c r="D3" s="5" t="inlineStr">
        <is>
          <t>once per group</t>
        </is>
      </c>
    </row>
    <row r="4">
      <c r="A4" s="5" t="inlineStr">
        <is>
          <t>The data made trustworthy</t>
        </is>
      </c>
      <c r="B4" s="5" t="n">
        <v>10</v>
      </c>
      <c r="C4" s="5" t="inlineStr">
        <is>
          <t>The data is profiled before it is touched, every cleaning call is in the decisions log with its reason, and counts and rupees reconcile across files.</t>
        </is>
      </c>
      <c r="D4" s="5" t="inlineStr">
        <is>
          <t>once per group</t>
        </is>
      </c>
    </row>
    <row r="5">
      <c r="A5" s="5" t="inlineStr">
        <is>
          <t>The analysis</t>
        </is>
      </c>
      <c r="B5" s="5" t="n">
        <v>10</v>
      </c>
      <c r="C5" s="5" t="inlineStr">
        <is>
          <t>The tree, ladder or fair comparison reaches the branch that explains the symptom, on the right denominator, with a chance test where one is needed.</t>
        </is>
      </c>
      <c r="D5" s="5" t="inlineStr">
        <is>
          <t>once per group</t>
        </is>
      </c>
    </row>
    <row r="6">
      <c r="A6" s="5" t="inlineStr">
        <is>
          <t>The claim</t>
        </is>
      </c>
      <c r="B6" s="5" t="n">
        <v>6</v>
      </c>
      <c r="C6" s="5" t="inlineStr">
        <is>
          <t>One sentence carries its number, denominator, period and caveat, plus an action Dr Menon can take.</t>
        </is>
      </c>
      <c r="D6" s="5" t="inlineStr">
        <is>
          <t>once per group</t>
        </is>
      </c>
    </row>
    <row r="7">
      <c r="A7" s="5" t="inlineStr">
        <is>
          <t>Presentation and defence</t>
        </is>
      </c>
      <c r="B7" s="5" t="n">
        <v>6</v>
      </c>
      <c r="C7" s="5" t="inlineStr">
        <is>
          <t>The live demo runs cold, and every member answers a challenge on the caveat.</t>
        </is>
      </c>
      <c r="D7" s="5" t="inlineStr">
        <is>
          <t>per learner</t>
        </is>
      </c>
    </row>
    <row r="8">
      <c r="A8" s="6" t="inlineStr">
        <is>
          <t>Total</t>
        </is>
      </c>
      <c r="B8" s="6">
        <f>SUM(B3:B7)</f>
        <v/>
      </c>
    </row>
    <row r="9">
      <c r="A9" s="6" t="inlineStr">
        <is>
          <t>Group part</t>
        </is>
      </c>
      <c r="B9" s="6">
        <f>SUM(B3:B6)</f>
        <v/>
      </c>
    </row>
    <row r="11">
      <c r="A11" s="7" t="inlineStr">
        <is>
          <t>Source: data/programme/facts.yaml, evaluation.rubrics.W03.events.mini-project, approved 29 September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8" customWidth="1" min="1" max="1"/>
    <col width="16" customWidth="1" min="2" max="2"/>
    <col width="26" customWidth="1" min="3" max="3"/>
    <col width="12" customWidth="1" min="4" max="4"/>
    <col width="14" customWidth="1" min="5" max="5"/>
    <col width="14" customWidth="1" min="6" max="6"/>
    <col width="12" customWidth="1" min="7" max="7"/>
    <col width="12" customWidth="1" min="8" max="8"/>
    <col width="14" customWidth="1" min="9" max="9"/>
    <col width="30" customWidth="1" min="10" max="10"/>
  </cols>
  <sheetData>
    <row r="1">
      <c r="A1" s="3" t="inlineStr">
        <is>
          <t>Groups: the four group criteria, scored once per group</t>
        </is>
      </c>
    </row>
    <row r="2">
      <c r="A2" s="4" t="inlineStr">
        <is>
          <t>Group</t>
        </is>
      </c>
      <c r="B2" s="4" t="inlineStr">
        <is>
          <t>Sub-problem</t>
        </is>
      </c>
      <c r="C2" s="4" t="inlineStr">
        <is>
          <t>Panel</t>
        </is>
      </c>
      <c r="D2" s="4" t="inlineStr">
        <is>
          <t>Day</t>
        </is>
      </c>
      <c r="E2" s="4" t="inlineStr">
        <is>
          <t>The question translated (of 8)</t>
        </is>
      </c>
      <c r="F2" s="4" t="inlineStr">
        <is>
          <t>The data made trustworthy (of 10)</t>
        </is>
      </c>
      <c r="G2" s="4" t="inlineStr">
        <is>
          <t>The analysis (of 10)</t>
        </is>
      </c>
      <c r="H2" s="4" t="inlineStr">
        <is>
          <t>The claim (of 6)</t>
        </is>
      </c>
      <c r="I2" s="4" t="inlineStr">
        <is>
          <t>Group part (of 34)</t>
        </is>
      </c>
      <c r="J2" s="4" t="inlineStr">
        <is>
          <t>Check</t>
        </is>
      </c>
    </row>
    <row r="3">
      <c r="A3" s="8" t="inlineStr">
        <is>
          <t>G1</t>
        </is>
      </c>
      <c r="B3" s="9" t="n"/>
      <c r="C3" s="9" t="n"/>
      <c r="D3" s="9" t="n"/>
      <c r="E3" s="9" t="n"/>
      <c r="F3" s="9" t="n"/>
      <c r="G3" s="9" t="n"/>
      <c r="H3" s="9" t="n"/>
      <c r="I3" s="8">
        <f>IF(COUNT(E3:H3)&lt;4,"incomplete",SUM(E3:H3))</f>
        <v/>
      </c>
      <c r="J3" s="8">
        <f>IF(OR(E3&gt;Rubric!$B$3,F3&gt;Rubric!$B$4,G3&gt;Rubric!$B$5,H3&gt;Rubric!$B$6,MIN(E3:H3)&lt;0),"above a maximum or below zero","ok")</f>
        <v/>
      </c>
    </row>
    <row r="4">
      <c r="A4" s="8" t="inlineStr">
        <is>
          <t>G2</t>
        </is>
      </c>
      <c r="B4" s="9" t="n"/>
      <c r="C4" s="9" t="n"/>
      <c r="D4" s="9" t="n"/>
      <c r="E4" s="9" t="n"/>
      <c r="F4" s="9" t="n"/>
      <c r="G4" s="9" t="n"/>
      <c r="H4" s="9" t="n"/>
      <c r="I4" s="8">
        <f>IF(COUNT(E4:H4)&lt;4,"incomplete",SUM(E4:H4))</f>
        <v/>
      </c>
      <c r="J4" s="8">
        <f>IF(OR(E4&gt;Rubric!$B$3,F4&gt;Rubric!$B$4,G4&gt;Rubric!$B$5,H4&gt;Rubric!$B$6,MIN(E4:H4)&lt;0),"above a maximum or below zero","ok")</f>
        <v/>
      </c>
    </row>
    <row r="5">
      <c r="A5" s="8" t="inlineStr">
        <is>
          <t>G3</t>
        </is>
      </c>
      <c r="B5" s="9" t="n"/>
      <c r="C5" s="9" t="n"/>
      <c r="D5" s="9" t="n"/>
      <c r="E5" s="9" t="n"/>
      <c r="F5" s="9" t="n"/>
      <c r="G5" s="9" t="n"/>
      <c r="H5" s="9" t="n"/>
      <c r="I5" s="8">
        <f>IF(COUNT(E5:H5)&lt;4,"incomplete",SUM(E5:H5))</f>
        <v/>
      </c>
      <c r="J5" s="8">
        <f>IF(OR(E5&gt;Rubric!$B$3,F5&gt;Rubric!$B$4,G5&gt;Rubric!$B$5,H5&gt;Rubric!$B$6,MIN(E5:H5)&lt;0),"above a maximum or below zero","ok")</f>
        <v/>
      </c>
    </row>
    <row r="6">
      <c r="A6" s="8" t="inlineStr">
        <is>
          <t>G4</t>
        </is>
      </c>
      <c r="B6" s="9" t="n"/>
      <c r="C6" s="9" t="n"/>
      <c r="D6" s="9" t="n"/>
      <c r="E6" s="9" t="n"/>
      <c r="F6" s="9" t="n"/>
      <c r="G6" s="9" t="n"/>
      <c r="H6" s="9" t="n"/>
      <c r="I6" s="8">
        <f>IF(COUNT(E6:H6)&lt;4,"incomplete",SUM(E6:H6))</f>
        <v/>
      </c>
      <c r="J6" s="8">
        <f>IF(OR(E6&gt;Rubric!$B$3,F6&gt;Rubric!$B$4,G6&gt;Rubric!$B$5,H6&gt;Rubric!$B$6,MIN(E6:H6)&lt;0),"above a maximum or below zero","ok")</f>
        <v/>
      </c>
    </row>
    <row r="7">
      <c r="A7" s="8" t="inlineStr">
        <is>
          <t>G5</t>
        </is>
      </c>
      <c r="B7" s="9" t="n"/>
      <c r="C7" s="9" t="n"/>
      <c r="D7" s="9" t="n"/>
      <c r="E7" s="9" t="n"/>
      <c r="F7" s="9" t="n"/>
      <c r="G7" s="9" t="n"/>
      <c r="H7" s="9" t="n"/>
      <c r="I7" s="8">
        <f>IF(COUNT(E7:H7)&lt;4,"incomplete",SUM(E7:H7))</f>
        <v/>
      </c>
      <c r="J7" s="8">
        <f>IF(OR(E7&gt;Rubric!$B$3,F7&gt;Rubric!$B$4,G7&gt;Rubric!$B$5,H7&gt;Rubric!$B$6,MIN(E7:H7)&lt;0),"above a maximum or below zero","ok")</f>
        <v/>
      </c>
    </row>
    <row r="8">
      <c r="A8" s="8" t="inlineStr">
        <is>
          <t>G6</t>
        </is>
      </c>
      <c r="B8" s="9" t="n"/>
      <c r="C8" s="9" t="n"/>
      <c r="D8" s="9" t="n"/>
      <c r="E8" s="9" t="n"/>
      <c r="F8" s="9" t="n"/>
      <c r="G8" s="9" t="n"/>
      <c r="H8" s="9" t="n"/>
      <c r="I8" s="8">
        <f>IF(COUNT(E8:H8)&lt;4,"incomplete",SUM(E8:H8))</f>
        <v/>
      </c>
      <c r="J8" s="8">
        <f>IF(OR(E8&gt;Rubric!$B$3,F8&gt;Rubric!$B$4,G8&gt;Rubric!$B$5,H8&gt;Rubric!$B$6,MIN(E8:H8)&lt;0),"above a maximum or below zero","ok")</f>
        <v/>
      </c>
    </row>
    <row r="9">
      <c r="A9" s="8" t="inlineStr">
        <is>
          <t>G7</t>
        </is>
      </c>
      <c r="B9" s="9" t="n"/>
      <c r="C9" s="9" t="n"/>
      <c r="D9" s="9" t="n"/>
      <c r="E9" s="9" t="n"/>
      <c r="F9" s="9" t="n"/>
      <c r="G9" s="9" t="n"/>
      <c r="H9" s="9" t="n"/>
      <c r="I9" s="8">
        <f>IF(COUNT(E9:H9)&lt;4,"incomplete",SUM(E9:H9))</f>
        <v/>
      </c>
      <c r="J9" s="8">
        <f>IF(OR(E9&gt;Rubric!$B$3,F9&gt;Rubric!$B$4,G9&gt;Rubric!$B$5,H9&gt;Rubric!$B$6,MIN(E9:H9)&lt;0),"above a maximum or below zero","ok")</f>
        <v/>
      </c>
    </row>
    <row r="10">
      <c r="A10" s="8" t="inlineStr">
        <is>
          <t>G8</t>
        </is>
      </c>
      <c r="B10" s="9" t="n"/>
      <c r="C10" s="9" t="n"/>
      <c r="D10" s="9" t="n"/>
      <c r="E10" s="9" t="n"/>
      <c r="F10" s="9" t="n"/>
      <c r="G10" s="9" t="n"/>
      <c r="H10" s="9" t="n"/>
      <c r="I10" s="8">
        <f>IF(COUNT(E10:H10)&lt;4,"incomplete",SUM(E10:H10))</f>
        <v/>
      </c>
      <c r="J10" s="8">
        <f>IF(OR(E10&gt;Rubric!$B$3,F10&gt;Rubric!$B$4,G10&gt;Rubric!$B$5,H10&gt;Rubric!$B$6,MIN(E10:H10)&lt;0),"above a maximum or below zero","ok")</f>
        <v/>
      </c>
    </row>
    <row r="11">
      <c r="A11" s="8" t="inlineStr">
        <is>
          <t>G9</t>
        </is>
      </c>
      <c r="B11" s="9" t="n"/>
      <c r="C11" s="9" t="n"/>
      <c r="D11" s="9" t="n"/>
      <c r="E11" s="9" t="n"/>
      <c r="F11" s="9" t="n"/>
      <c r="G11" s="9" t="n"/>
      <c r="H11" s="9" t="n"/>
      <c r="I11" s="8">
        <f>IF(COUNT(E11:H11)&lt;4,"incomplete",SUM(E11:H11))</f>
        <v/>
      </c>
      <c r="J11" s="8">
        <f>IF(OR(E11&gt;Rubric!$B$3,F11&gt;Rubric!$B$4,G11&gt;Rubric!$B$5,H11&gt;Rubric!$B$6,MIN(E11:H11)&lt;0),"above a maximum or below zero","ok")</f>
        <v/>
      </c>
    </row>
  </sheetData>
  <dataValidations count="3">
    <dataValidation sqref="B3 B4 B5 B6 B7 B8 B9 B10 B11" showDropDown="0" showInputMessage="0" showErrorMessage="0" allowBlank="1" type="list">
      <formula1>"1 revenue,2 bookings,3 billing,4 no-shows,5 campaign"</formula1>
    </dataValidation>
    <dataValidation sqref="C3 C4 C5 C6 C7 C8 C9 C10 C11" showDropDown="0" showInputMessage="0" showErrorMessage="0" allowBlank="1" type="list">
      <formula1>"the industry expert,the senior industry leader"</formula1>
    </dataValidation>
    <dataValidation sqref="D3 D4 D5 D6 D7 D8 D9 D10 D11" showDropDown="0" showInputMessage="0" showErrorMessage="0" allowBlank="1" type="list">
      <formula1>"Friday,Saturday"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8" customWidth="1" min="1" max="1"/>
    <col width="6" customWidth="1" min="2" max="2"/>
    <col width="12" customWidth="1" min="3" max="3"/>
    <col width="22" customWidth="1" min="4" max="4"/>
    <col width="14" customWidth="1" min="5" max="5"/>
    <col width="12" customWidth="1" min="6" max="6"/>
    <col width="30" customWidth="1" min="7" max="7"/>
  </cols>
  <sheetData>
    <row r="1">
      <c r="A1" s="3" t="inlineStr">
        <is>
          <t>Learners: presentation and defence per learner, and each learner's total</t>
        </is>
      </c>
    </row>
    <row r="2">
      <c r="A2" s="4" t="inlineStr">
        <is>
          <t>Group</t>
        </is>
      </c>
      <c r="B2" s="4" t="inlineStr">
        <is>
          <t>Seat</t>
        </is>
      </c>
      <c r="C2" s="4" t="inlineStr">
        <is>
          <t>In use (Y or N)</t>
        </is>
      </c>
      <c r="D2" s="4" t="inlineStr">
        <is>
          <t>Presentation and defence (of 6)</t>
        </is>
      </c>
      <c r="E2" s="4" t="inlineStr">
        <is>
          <t>Group part (of 34)</t>
        </is>
      </c>
      <c r="F2" s="4" t="inlineStr">
        <is>
          <t>Total (of 40)</t>
        </is>
      </c>
      <c r="G2" s="4" t="inlineStr">
        <is>
          <t>Check</t>
        </is>
      </c>
    </row>
    <row r="3">
      <c r="A3" s="8" t="inlineStr">
        <is>
          <t>G1</t>
        </is>
      </c>
      <c r="B3" s="8" t="n">
        <v>1</v>
      </c>
      <c r="C3" s="9" t="inlineStr">
        <is>
          <t>Y</t>
        </is>
      </c>
      <c r="D3" s="9" t="n"/>
      <c r="E3" s="8">
        <f>INDEX(Groups!$I$3:$I$11,MATCH(A3,Groups!$A$3:$A$11,0))</f>
        <v/>
      </c>
      <c r="F3" s="8">
        <f>IF(C3="N","absent",IF(OR(NOT(ISNUMBER(D3)),NOT(ISNUMBER(E3))),"incomplete",D3+E3))</f>
        <v/>
      </c>
      <c r="G3" s="8">
        <f>IF(AND(ISNUMBER(D3),OR(D3&gt;Rubric!$B$7,D3&lt;0)),"above a maximum or below zero","ok")</f>
        <v/>
      </c>
    </row>
    <row r="4">
      <c r="A4" s="8" t="inlineStr">
        <is>
          <t>G1</t>
        </is>
      </c>
      <c r="B4" s="8" t="n">
        <v>2</v>
      </c>
      <c r="C4" s="9" t="inlineStr">
        <is>
          <t>Y</t>
        </is>
      </c>
      <c r="D4" s="9" t="n"/>
      <c r="E4" s="8">
        <f>INDEX(Groups!$I$3:$I$11,MATCH(A4,Groups!$A$3:$A$11,0))</f>
        <v/>
      </c>
      <c r="F4" s="8">
        <f>IF(C4="N","absent",IF(OR(NOT(ISNUMBER(D4)),NOT(ISNUMBER(E4))),"incomplete",D4+E4))</f>
        <v/>
      </c>
      <c r="G4" s="8">
        <f>IF(AND(ISNUMBER(D4),OR(D4&gt;Rubric!$B$7,D4&lt;0)),"above a maximum or below zero","ok")</f>
        <v/>
      </c>
    </row>
    <row r="5">
      <c r="A5" s="8" t="inlineStr">
        <is>
          <t>G1</t>
        </is>
      </c>
      <c r="B5" s="8" t="n">
        <v>3</v>
      </c>
      <c r="C5" s="9" t="inlineStr">
        <is>
          <t>Y</t>
        </is>
      </c>
      <c r="D5" s="9" t="n"/>
      <c r="E5" s="8">
        <f>INDEX(Groups!$I$3:$I$11,MATCH(A5,Groups!$A$3:$A$11,0))</f>
        <v/>
      </c>
      <c r="F5" s="8">
        <f>IF(C5="N","absent",IF(OR(NOT(ISNUMBER(D5)),NOT(ISNUMBER(E5))),"incomplete",D5+E5))</f>
        <v/>
      </c>
      <c r="G5" s="8">
        <f>IF(AND(ISNUMBER(D5),OR(D5&gt;Rubric!$B$7,D5&lt;0)),"above a maximum or below zero","ok")</f>
        <v/>
      </c>
    </row>
    <row r="6">
      <c r="A6" s="8" t="inlineStr">
        <is>
          <t>G1</t>
        </is>
      </c>
      <c r="B6" s="8" t="n">
        <v>4</v>
      </c>
      <c r="C6" s="9" t="inlineStr">
        <is>
          <t>Y</t>
        </is>
      </c>
      <c r="D6" s="9" t="n"/>
      <c r="E6" s="8">
        <f>INDEX(Groups!$I$3:$I$11,MATCH(A6,Groups!$A$3:$A$11,0))</f>
        <v/>
      </c>
      <c r="F6" s="8">
        <f>IF(C6="N","absent",IF(OR(NOT(ISNUMBER(D6)),NOT(ISNUMBER(E6))),"incomplete",D6+E6))</f>
        <v/>
      </c>
      <c r="G6" s="8">
        <f>IF(AND(ISNUMBER(D6),OR(D6&gt;Rubric!$B$7,D6&lt;0)),"above a maximum or below zero","ok")</f>
        <v/>
      </c>
    </row>
    <row r="7">
      <c r="A7" s="8" t="inlineStr">
        <is>
          <t>G2</t>
        </is>
      </c>
      <c r="B7" s="8" t="n">
        <v>1</v>
      </c>
      <c r="C7" s="9" t="inlineStr">
        <is>
          <t>Y</t>
        </is>
      </c>
      <c r="D7" s="9" t="n"/>
      <c r="E7" s="8">
        <f>INDEX(Groups!$I$3:$I$11,MATCH(A7,Groups!$A$3:$A$11,0))</f>
        <v/>
      </c>
      <c r="F7" s="8">
        <f>IF(C7="N","absent",IF(OR(NOT(ISNUMBER(D7)),NOT(ISNUMBER(E7))),"incomplete",D7+E7))</f>
        <v/>
      </c>
      <c r="G7" s="8">
        <f>IF(AND(ISNUMBER(D7),OR(D7&gt;Rubric!$B$7,D7&lt;0)),"above a maximum or below zero","ok")</f>
        <v/>
      </c>
    </row>
    <row r="8">
      <c r="A8" s="8" t="inlineStr">
        <is>
          <t>G2</t>
        </is>
      </c>
      <c r="B8" s="8" t="n">
        <v>2</v>
      </c>
      <c r="C8" s="9" t="inlineStr">
        <is>
          <t>Y</t>
        </is>
      </c>
      <c r="D8" s="9" t="n"/>
      <c r="E8" s="8">
        <f>INDEX(Groups!$I$3:$I$11,MATCH(A8,Groups!$A$3:$A$11,0))</f>
        <v/>
      </c>
      <c r="F8" s="8">
        <f>IF(C8="N","absent",IF(OR(NOT(ISNUMBER(D8)),NOT(ISNUMBER(E8))),"incomplete",D8+E8))</f>
        <v/>
      </c>
      <c r="G8" s="8">
        <f>IF(AND(ISNUMBER(D8),OR(D8&gt;Rubric!$B$7,D8&lt;0)),"above a maximum or below zero","ok")</f>
        <v/>
      </c>
    </row>
    <row r="9">
      <c r="A9" s="8" t="inlineStr">
        <is>
          <t>G2</t>
        </is>
      </c>
      <c r="B9" s="8" t="n">
        <v>3</v>
      </c>
      <c r="C9" s="9" t="inlineStr">
        <is>
          <t>Y</t>
        </is>
      </c>
      <c r="D9" s="9" t="n"/>
      <c r="E9" s="8">
        <f>INDEX(Groups!$I$3:$I$11,MATCH(A9,Groups!$A$3:$A$11,0))</f>
        <v/>
      </c>
      <c r="F9" s="8">
        <f>IF(C9="N","absent",IF(OR(NOT(ISNUMBER(D9)),NOT(ISNUMBER(E9))),"incomplete",D9+E9))</f>
        <v/>
      </c>
      <c r="G9" s="8">
        <f>IF(AND(ISNUMBER(D9),OR(D9&gt;Rubric!$B$7,D9&lt;0)),"above a maximum or below zero","ok")</f>
        <v/>
      </c>
    </row>
    <row r="10">
      <c r="A10" s="8" t="inlineStr">
        <is>
          <t>G2</t>
        </is>
      </c>
      <c r="B10" s="8" t="n">
        <v>4</v>
      </c>
      <c r="C10" s="9" t="inlineStr">
        <is>
          <t>Y</t>
        </is>
      </c>
      <c r="D10" s="9" t="n"/>
      <c r="E10" s="8">
        <f>INDEX(Groups!$I$3:$I$11,MATCH(A10,Groups!$A$3:$A$11,0))</f>
        <v/>
      </c>
      <c r="F10" s="8">
        <f>IF(C10="N","absent",IF(OR(NOT(ISNUMBER(D10)),NOT(ISNUMBER(E10))),"incomplete",D10+E10))</f>
        <v/>
      </c>
      <c r="G10" s="8">
        <f>IF(AND(ISNUMBER(D10),OR(D10&gt;Rubric!$B$7,D10&lt;0)),"above a maximum or below zero","ok")</f>
        <v/>
      </c>
    </row>
    <row r="11">
      <c r="A11" s="8" t="inlineStr">
        <is>
          <t>G3</t>
        </is>
      </c>
      <c r="B11" s="8" t="n">
        <v>1</v>
      </c>
      <c r="C11" s="9" t="inlineStr">
        <is>
          <t>Y</t>
        </is>
      </c>
      <c r="D11" s="9" t="n"/>
      <c r="E11" s="8">
        <f>INDEX(Groups!$I$3:$I$11,MATCH(A11,Groups!$A$3:$A$11,0))</f>
        <v/>
      </c>
      <c r="F11" s="8">
        <f>IF(C11="N","absent",IF(OR(NOT(ISNUMBER(D11)),NOT(ISNUMBER(E11))),"incomplete",D11+E11))</f>
        <v/>
      </c>
      <c r="G11" s="8">
        <f>IF(AND(ISNUMBER(D11),OR(D11&gt;Rubric!$B$7,D11&lt;0)),"above a maximum or below zero","ok")</f>
        <v/>
      </c>
    </row>
    <row r="12">
      <c r="A12" s="8" t="inlineStr">
        <is>
          <t>G3</t>
        </is>
      </c>
      <c r="B12" s="8" t="n">
        <v>2</v>
      </c>
      <c r="C12" s="9" t="inlineStr">
        <is>
          <t>Y</t>
        </is>
      </c>
      <c r="D12" s="9" t="n"/>
      <c r="E12" s="8">
        <f>INDEX(Groups!$I$3:$I$11,MATCH(A12,Groups!$A$3:$A$11,0))</f>
        <v/>
      </c>
      <c r="F12" s="8">
        <f>IF(C12="N","absent",IF(OR(NOT(ISNUMBER(D12)),NOT(ISNUMBER(E12))),"incomplete",D12+E12))</f>
        <v/>
      </c>
      <c r="G12" s="8">
        <f>IF(AND(ISNUMBER(D12),OR(D12&gt;Rubric!$B$7,D12&lt;0)),"above a maximum or below zero","ok")</f>
        <v/>
      </c>
    </row>
    <row r="13">
      <c r="A13" s="8" t="inlineStr">
        <is>
          <t>G3</t>
        </is>
      </c>
      <c r="B13" s="8" t="n">
        <v>3</v>
      </c>
      <c r="C13" s="9" t="inlineStr">
        <is>
          <t>Y</t>
        </is>
      </c>
      <c r="D13" s="9" t="n"/>
      <c r="E13" s="8">
        <f>INDEX(Groups!$I$3:$I$11,MATCH(A13,Groups!$A$3:$A$11,0))</f>
        <v/>
      </c>
      <c r="F13" s="8">
        <f>IF(C13="N","absent",IF(OR(NOT(ISNUMBER(D13)),NOT(ISNUMBER(E13))),"incomplete",D13+E13))</f>
        <v/>
      </c>
      <c r="G13" s="8">
        <f>IF(AND(ISNUMBER(D13),OR(D13&gt;Rubric!$B$7,D13&lt;0)),"above a maximum or below zero","ok")</f>
        <v/>
      </c>
    </row>
    <row r="14">
      <c r="A14" s="8" t="inlineStr">
        <is>
          <t>G3</t>
        </is>
      </c>
      <c r="B14" s="8" t="n">
        <v>4</v>
      </c>
      <c r="C14" s="9" t="inlineStr">
        <is>
          <t>Y</t>
        </is>
      </c>
      <c r="D14" s="9" t="n"/>
      <c r="E14" s="8">
        <f>INDEX(Groups!$I$3:$I$11,MATCH(A14,Groups!$A$3:$A$11,0))</f>
        <v/>
      </c>
      <c r="F14" s="8">
        <f>IF(C14="N","absent",IF(OR(NOT(ISNUMBER(D14)),NOT(ISNUMBER(E14))),"incomplete",D14+E14))</f>
        <v/>
      </c>
      <c r="G14" s="8">
        <f>IF(AND(ISNUMBER(D14),OR(D14&gt;Rubric!$B$7,D14&lt;0)),"above a maximum or below zero","ok")</f>
        <v/>
      </c>
    </row>
    <row r="15">
      <c r="A15" s="8" t="inlineStr">
        <is>
          <t>G4</t>
        </is>
      </c>
      <c r="B15" s="8" t="n">
        <v>1</v>
      </c>
      <c r="C15" s="9" t="inlineStr">
        <is>
          <t>Y</t>
        </is>
      </c>
      <c r="D15" s="9" t="n"/>
      <c r="E15" s="8">
        <f>INDEX(Groups!$I$3:$I$11,MATCH(A15,Groups!$A$3:$A$11,0))</f>
        <v/>
      </c>
      <c r="F15" s="8">
        <f>IF(C15="N","absent",IF(OR(NOT(ISNUMBER(D15)),NOT(ISNUMBER(E15))),"incomplete",D15+E15))</f>
        <v/>
      </c>
      <c r="G15" s="8">
        <f>IF(AND(ISNUMBER(D15),OR(D15&gt;Rubric!$B$7,D15&lt;0)),"above a maximum or below zero","ok")</f>
        <v/>
      </c>
    </row>
    <row r="16">
      <c r="A16" s="8" t="inlineStr">
        <is>
          <t>G4</t>
        </is>
      </c>
      <c r="B16" s="8" t="n">
        <v>2</v>
      </c>
      <c r="C16" s="9" t="inlineStr">
        <is>
          <t>Y</t>
        </is>
      </c>
      <c r="D16" s="9" t="n"/>
      <c r="E16" s="8">
        <f>INDEX(Groups!$I$3:$I$11,MATCH(A16,Groups!$A$3:$A$11,0))</f>
        <v/>
      </c>
      <c r="F16" s="8">
        <f>IF(C16="N","absent",IF(OR(NOT(ISNUMBER(D16)),NOT(ISNUMBER(E16))),"incomplete",D16+E16))</f>
        <v/>
      </c>
      <c r="G16" s="8">
        <f>IF(AND(ISNUMBER(D16),OR(D16&gt;Rubric!$B$7,D16&lt;0)),"above a maximum or below zero","ok")</f>
        <v/>
      </c>
    </row>
    <row r="17">
      <c r="A17" s="8" t="inlineStr">
        <is>
          <t>G4</t>
        </is>
      </c>
      <c r="B17" s="8" t="n">
        <v>3</v>
      </c>
      <c r="C17" s="9" t="inlineStr">
        <is>
          <t>Y</t>
        </is>
      </c>
      <c r="D17" s="9" t="n"/>
      <c r="E17" s="8">
        <f>INDEX(Groups!$I$3:$I$11,MATCH(A17,Groups!$A$3:$A$11,0))</f>
        <v/>
      </c>
      <c r="F17" s="8">
        <f>IF(C17="N","absent",IF(OR(NOT(ISNUMBER(D17)),NOT(ISNUMBER(E17))),"incomplete",D17+E17))</f>
        <v/>
      </c>
      <c r="G17" s="8">
        <f>IF(AND(ISNUMBER(D17),OR(D17&gt;Rubric!$B$7,D17&lt;0)),"above a maximum or below zero","ok")</f>
        <v/>
      </c>
    </row>
    <row r="18">
      <c r="A18" s="8" t="inlineStr">
        <is>
          <t>G4</t>
        </is>
      </c>
      <c r="B18" s="8" t="n">
        <v>4</v>
      </c>
      <c r="C18" s="9" t="inlineStr">
        <is>
          <t>Y</t>
        </is>
      </c>
      <c r="D18" s="9" t="n"/>
      <c r="E18" s="8">
        <f>INDEX(Groups!$I$3:$I$11,MATCH(A18,Groups!$A$3:$A$11,0))</f>
        <v/>
      </c>
      <c r="F18" s="8">
        <f>IF(C18="N","absent",IF(OR(NOT(ISNUMBER(D18)),NOT(ISNUMBER(E18))),"incomplete",D18+E18))</f>
        <v/>
      </c>
      <c r="G18" s="8">
        <f>IF(AND(ISNUMBER(D18),OR(D18&gt;Rubric!$B$7,D18&lt;0)),"above a maximum or below zero","ok")</f>
        <v/>
      </c>
    </row>
    <row r="19">
      <c r="A19" s="8" t="inlineStr">
        <is>
          <t>G5</t>
        </is>
      </c>
      <c r="B19" s="8" t="n">
        <v>1</v>
      </c>
      <c r="C19" s="9" t="inlineStr">
        <is>
          <t>Y</t>
        </is>
      </c>
      <c r="D19" s="9" t="n"/>
      <c r="E19" s="8">
        <f>INDEX(Groups!$I$3:$I$11,MATCH(A19,Groups!$A$3:$A$11,0))</f>
        <v/>
      </c>
      <c r="F19" s="8">
        <f>IF(C19="N","absent",IF(OR(NOT(ISNUMBER(D19)),NOT(ISNUMBER(E19))),"incomplete",D19+E19))</f>
        <v/>
      </c>
      <c r="G19" s="8">
        <f>IF(AND(ISNUMBER(D19),OR(D19&gt;Rubric!$B$7,D19&lt;0)),"above a maximum or below zero","ok")</f>
        <v/>
      </c>
    </row>
    <row r="20">
      <c r="A20" s="8" t="inlineStr">
        <is>
          <t>G5</t>
        </is>
      </c>
      <c r="B20" s="8" t="n">
        <v>2</v>
      </c>
      <c r="C20" s="9" t="inlineStr">
        <is>
          <t>Y</t>
        </is>
      </c>
      <c r="D20" s="9" t="n"/>
      <c r="E20" s="8">
        <f>INDEX(Groups!$I$3:$I$11,MATCH(A20,Groups!$A$3:$A$11,0))</f>
        <v/>
      </c>
      <c r="F20" s="8">
        <f>IF(C20="N","absent",IF(OR(NOT(ISNUMBER(D20)),NOT(ISNUMBER(E20))),"incomplete",D20+E20))</f>
        <v/>
      </c>
      <c r="G20" s="8">
        <f>IF(AND(ISNUMBER(D20),OR(D20&gt;Rubric!$B$7,D20&lt;0)),"above a maximum or below zero","ok")</f>
        <v/>
      </c>
    </row>
    <row r="21">
      <c r="A21" s="8" t="inlineStr">
        <is>
          <t>G5</t>
        </is>
      </c>
      <c r="B21" s="8" t="n">
        <v>3</v>
      </c>
      <c r="C21" s="9" t="inlineStr">
        <is>
          <t>Y</t>
        </is>
      </c>
      <c r="D21" s="9" t="n"/>
      <c r="E21" s="8">
        <f>INDEX(Groups!$I$3:$I$11,MATCH(A21,Groups!$A$3:$A$11,0))</f>
        <v/>
      </c>
      <c r="F21" s="8">
        <f>IF(C21="N","absent",IF(OR(NOT(ISNUMBER(D21)),NOT(ISNUMBER(E21))),"incomplete",D21+E21))</f>
        <v/>
      </c>
      <c r="G21" s="8">
        <f>IF(AND(ISNUMBER(D21),OR(D21&gt;Rubric!$B$7,D21&lt;0)),"above a maximum or below zero","ok")</f>
        <v/>
      </c>
    </row>
    <row r="22">
      <c r="A22" s="8" t="inlineStr">
        <is>
          <t>G5</t>
        </is>
      </c>
      <c r="B22" s="8" t="n">
        <v>4</v>
      </c>
      <c r="C22" s="9" t="inlineStr">
        <is>
          <t>Y</t>
        </is>
      </c>
      <c r="D22" s="9" t="n"/>
      <c r="E22" s="8">
        <f>INDEX(Groups!$I$3:$I$11,MATCH(A22,Groups!$A$3:$A$11,0))</f>
        <v/>
      </c>
      <c r="F22" s="8">
        <f>IF(C22="N","absent",IF(OR(NOT(ISNUMBER(D22)),NOT(ISNUMBER(E22))),"incomplete",D22+E22))</f>
        <v/>
      </c>
      <c r="G22" s="8">
        <f>IF(AND(ISNUMBER(D22),OR(D22&gt;Rubric!$B$7,D22&lt;0)),"above a maximum or below zero","ok")</f>
        <v/>
      </c>
    </row>
    <row r="23">
      <c r="A23" s="8" t="inlineStr">
        <is>
          <t>G6</t>
        </is>
      </c>
      <c r="B23" s="8" t="n">
        <v>1</v>
      </c>
      <c r="C23" s="9" t="inlineStr">
        <is>
          <t>Y</t>
        </is>
      </c>
      <c r="D23" s="9" t="n"/>
      <c r="E23" s="8">
        <f>INDEX(Groups!$I$3:$I$11,MATCH(A23,Groups!$A$3:$A$11,0))</f>
        <v/>
      </c>
      <c r="F23" s="8">
        <f>IF(C23="N","absent",IF(OR(NOT(ISNUMBER(D23)),NOT(ISNUMBER(E23))),"incomplete",D23+E23))</f>
        <v/>
      </c>
      <c r="G23" s="8">
        <f>IF(AND(ISNUMBER(D23),OR(D23&gt;Rubric!$B$7,D23&lt;0)),"above a maximum or below zero","ok")</f>
        <v/>
      </c>
    </row>
    <row r="24">
      <c r="A24" s="8" t="inlineStr">
        <is>
          <t>G6</t>
        </is>
      </c>
      <c r="B24" s="8" t="n">
        <v>2</v>
      </c>
      <c r="C24" s="9" t="inlineStr">
        <is>
          <t>Y</t>
        </is>
      </c>
      <c r="D24" s="9" t="n"/>
      <c r="E24" s="8">
        <f>INDEX(Groups!$I$3:$I$11,MATCH(A24,Groups!$A$3:$A$11,0))</f>
        <v/>
      </c>
      <c r="F24" s="8">
        <f>IF(C24="N","absent",IF(OR(NOT(ISNUMBER(D24)),NOT(ISNUMBER(E24))),"incomplete",D24+E24))</f>
        <v/>
      </c>
      <c r="G24" s="8">
        <f>IF(AND(ISNUMBER(D24),OR(D24&gt;Rubric!$B$7,D24&lt;0)),"above a maximum or below zero","ok")</f>
        <v/>
      </c>
    </row>
    <row r="25">
      <c r="A25" s="8" t="inlineStr">
        <is>
          <t>G6</t>
        </is>
      </c>
      <c r="B25" s="8" t="n">
        <v>3</v>
      </c>
      <c r="C25" s="9" t="inlineStr">
        <is>
          <t>Y</t>
        </is>
      </c>
      <c r="D25" s="9" t="n"/>
      <c r="E25" s="8">
        <f>INDEX(Groups!$I$3:$I$11,MATCH(A25,Groups!$A$3:$A$11,0))</f>
        <v/>
      </c>
      <c r="F25" s="8">
        <f>IF(C25="N","absent",IF(OR(NOT(ISNUMBER(D25)),NOT(ISNUMBER(E25))),"incomplete",D25+E25))</f>
        <v/>
      </c>
      <c r="G25" s="8">
        <f>IF(AND(ISNUMBER(D25),OR(D25&gt;Rubric!$B$7,D25&lt;0)),"above a maximum or below zero","ok")</f>
        <v/>
      </c>
    </row>
    <row r="26">
      <c r="A26" s="8" t="inlineStr">
        <is>
          <t>G6</t>
        </is>
      </c>
      <c r="B26" s="8" t="n">
        <v>4</v>
      </c>
      <c r="C26" s="9" t="inlineStr">
        <is>
          <t>Y</t>
        </is>
      </c>
      <c r="D26" s="9" t="n"/>
      <c r="E26" s="8">
        <f>INDEX(Groups!$I$3:$I$11,MATCH(A26,Groups!$A$3:$A$11,0))</f>
        <v/>
      </c>
      <c r="F26" s="8">
        <f>IF(C26="N","absent",IF(OR(NOT(ISNUMBER(D26)),NOT(ISNUMBER(E26))),"incomplete",D26+E26))</f>
        <v/>
      </c>
      <c r="G26" s="8">
        <f>IF(AND(ISNUMBER(D26),OR(D26&gt;Rubric!$B$7,D26&lt;0)),"above a maximum or below zero","ok")</f>
        <v/>
      </c>
    </row>
    <row r="27">
      <c r="A27" s="8" t="inlineStr">
        <is>
          <t>G7</t>
        </is>
      </c>
      <c r="B27" s="8" t="n">
        <v>1</v>
      </c>
      <c r="C27" s="9" t="inlineStr">
        <is>
          <t>Y</t>
        </is>
      </c>
      <c r="D27" s="9" t="n"/>
      <c r="E27" s="8">
        <f>INDEX(Groups!$I$3:$I$11,MATCH(A27,Groups!$A$3:$A$11,0))</f>
        <v/>
      </c>
      <c r="F27" s="8">
        <f>IF(C27="N","absent",IF(OR(NOT(ISNUMBER(D27)),NOT(ISNUMBER(E27))),"incomplete",D27+E27))</f>
        <v/>
      </c>
      <c r="G27" s="8">
        <f>IF(AND(ISNUMBER(D27),OR(D27&gt;Rubric!$B$7,D27&lt;0)),"above a maximum or below zero","ok")</f>
        <v/>
      </c>
    </row>
    <row r="28">
      <c r="A28" s="8" t="inlineStr">
        <is>
          <t>G7</t>
        </is>
      </c>
      <c r="B28" s="8" t="n">
        <v>2</v>
      </c>
      <c r="C28" s="9" t="inlineStr">
        <is>
          <t>Y</t>
        </is>
      </c>
      <c r="D28" s="9" t="n"/>
      <c r="E28" s="8">
        <f>INDEX(Groups!$I$3:$I$11,MATCH(A28,Groups!$A$3:$A$11,0))</f>
        <v/>
      </c>
      <c r="F28" s="8">
        <f>IF(C28="N","absent",IF(OR(NOT(ISNUMBER(D28)),NOT(ISNUMBER(E28))),"incomplete",D28+E28))</f>
        <v/>
      </c>
      <c r="G28" s="8">
        <f>IF(AND(ISNUMBER(D28),OR(D28&gt;Rubric!$B$7,D28&lt;0)),"above a maximum or below zero","ok")</f>
        <v/>
      </c>
    </row>
    <row r="29">
      <c r="A29" s="8" t="inlineStr">
        <is>
          <t>G7</t>
        </is>
      </c>
      <c r="B29" s="8" t="n">
        <v>3</v>
      </c>
      <c r="C29" s="9" t="inlineStr">
        <is>
          <t>Y</t>
        </is>
      </c>
      <c r="D29" s="9" t="n"/>
      <c r="E29" s="8">
        <f>INDEX(Groups!$I$3:$I$11,MATCH(A29,Groups!$A$3:$A$11,0))</f>
        <v/>
      </c>
      <c r="F29" s="8">
        <f>IF(C29="N","absent",IF(OR(NOT(ISNUMBER(D29)),NOT(ISNUMBER(E29))),"incomplete",D29+E29))</f>
        <v/>
      </c>
      <c r="G29" s="8">
        <f>IF(AND(ISNUMBER(D29),OR(D29&gt;Rubric!$B$7,D29&lt;0)),"above a maximum or below zero","ok")</f>
        <v/>
      </c>
    </row>
    <row r="30">
      <c r="A30" s="8" t="inlineStr">
        <is>
          <t>G7</t>
        </is>
      </c>
      <c r="B30" s="8" t="n">
        <v>4</v>
      </c>
      <c r="C30" s="9" t="inlineStr">
        <is>
          <t>Y</t>
        </is>
      </c>
      <c r="D30" s="9" t="n"/>
      <c r="E30" s="8">
        <f>INDEX(Groups!$I$3:$I$11,MATCH(A30,Groups!$A$3:$A$11,0))</f>
        <v/>
      </c>
      <c r="F30" s="8">
        <f>IF(C30="N","absent",IF(OR(NOT(ISNUMBER(D30)),NOT(ISNUMBER(E30))),"incomplete",D30+E30))</f>
        <v/>
      </c>
      <c r="G30" s="8">
        <f>IF(AND(ISNUMBER(D30),OR(D30&gt;Rubric!$B$7,D30&lt;0)),"above a maximum or below zero","ok")</f>
        <v/>
      </c>
    </row>
    <row r="31">
      <c r="A31" s="8" t="inlineStr">
        <is>
          <t>G8</t>
        </is>
      </c>
      <c r="B31" s="8" t="n">
        <v>1</v>
      </c>
      <c r="C31" s="9" t="inlineStr">
        <is>
          <t>Y</t>
        </is>
      </c>
      <c r="D31" s="9" t="n"/>
      <c r="E31" s="8">
        <f>INDEX(Groups!$I$3:$I$11,MATCH(A31,Groups!$A$3:$A$11,0))</f>
        <v/>
      </c>
      <c r="F31" s="8">
        <f>IF(C31="N","absent",IF(OR(NOT(ISNUMBER(D31)),NOT(ISNUMBER(E31))),"incomplete",D31+E31))</f>
        <v/>
      </c>
      <c r="G31" s="8">
        <f>IF(AND(ISNUMBER(D31),OR(D31&gt;Rubric!$B$7,D31&lt;0)),"above a maximum or below zero","ok")</f>
        <v/>
      </c>
    </row>
    <row r="32">
      <c r="A32" s="8" t="inlineStr">
        <is>
          <t>G8</t>
        </is>
      </c>
      <c r="B32" s="8" t="n">
        <v>2</v>
      </c>
      <c r="C32" s="9" t="inlineStr">
        <is>
          <t>Y</t>
        </is>
      </c>
      <c r="D32" s="9" t="n"/>
      <c r="E32" s="8">
        <f>INDEX(Groups!$I$3:$I$11,MATCH(A32,Groups!$A$3:$A$11,0))</f>
        <v/>
      </c>
      <c r="F32" s="8">
        <f>IF(C32="N","absent",IF(OR(NOT(ISNUMBER(D32)),NOT(ISNUMBER(E32))),"incomplete",D32+E32))</f>
        <v/>
      </c>
      <c r="G32" s="8">
        <f>IF(AND(ISNUMBER(D32),OR(D32&gt;Rubric!$B$7,D32&lt;0)),"above a maximum or below zero","ok")</f>
        <v/>
      </c>
    </row>
    <row r="33">
      <c r="A33" s="8" t="inlineStr">
        <is>
          <t>G8</t>
        </is>
      </c>
      <c r="B33" s="8" t="n">
        <v>3</v>
      </c>
      <c r="C33" s="9" t="inlineStr">
        <is>
          <t>Y</t>
        </is>
      </c>
      <c r="D33" s="9" t="n"/>
      <c r="E33" s="8">
        <f>INDEX(Groups!$I$3:$I$11,MATCH(A33,Groups!$A$3:$A$11,0))</f>
        <v/>
      </c>
      <c r="F33" s="8">
        <f>IF(C33="N","absent",IF(OR(NOT(ISNUMBER(D33)),NOT(ISNUMBER(E33))),"incomplete",D33+E33))</f>
        <v/>
      </c>
      <c r="G33" s="8">
        <f>IF(AND(ISNUMBER(D33),OR(D33&gt;Rubric!$B$7,D33&lt;0)),"above a maximum or below zero","ok")</f>
        <v/>
      </c>
    </row>
    <row r="34">
      <c r="A34" s="8" t="inlineStr">
        <is>
          <t>G8</t>
        </is>
      </c>
      <c r="B34" s="8" t="n">
        <v>4</v>
      </c>
      <c r="C34" s="9" t="inlineStr">
        <is>
          <t>Y</t>
        </is>
      </c>
      <c r="D34" s="9" t="n"/>
      <c r="E34" s="8">
        <f>INDEX(Groups!$I$3:$I$11,MATCH(A34,Groups!$A$3:$A$11,0))</f>
        <v/>
      </c>
      <c r="F34" s="8">
        <f>IF(C34="N","absent",IF(OR(NOT(ISNUMBER(D34)),NOT(ISNUMBER(E34))),"incomplete",D34+E34))</f>
        <v/>
      </c>
      <c r="G34" s="8">
        <f>IF(AND(ISNUMBER(D34),OR(D34&gt;Rubric!$B$7,D34&lt;0)),"above a maximum or below zero","ok")</f>
        <v/>
      </c>
    </row>
    <row r="35">
      <c r="A35" s="8" t="inlineStr">
        <is>
          <t>G9</t>
        </is>
      </c>
      <c r="B35" s="8" t="n">
        <v>1</v>
      </c>
      <c r="C35" s="9" t="inlineStr">
        <is>
          <t>Y</t>
        </is>
      </c>
      <c r="D35" s="9" t="n"/>
      <c r="E35" s="8">
        <f>INDEX(Groups!$I$3:$I$11,MATCH(A35,Groups!$A$3:$A$11,0))</f>
        <v/>
      </c>
      <c r="F35" s="8">
        <f>IF(C35="N","absent",IF(OR(NOT(ISNUMBER(D35)),NOT(ISNUMBER(E35))),"incomplete",D35+E35))</f>
        <v/>
      </c>
      <c r="G35" s="8">
        <f>IF(AND(ISNUMBER(D35),OR(D35&gt;Rubric!$B$7,D35&lt;0)),"above a maximum or below zero","ok")</f>
        <v/>
      </c>
    </row>
    <row r="36">
      <c r="A36" s="8" t="inlineStr">
        <is>
          <t>G9</t>
        </is>
      </c>
      <c r="B36" s="8" t="n">
        <v>2</v>
      </c>
      <c r="C36" s="9" t="inlineStr">
        <is>
          <t>Y</t>
        </is>
      </c>
      <c r="D36" s="9" t="n"/>
      <c r="E36" s="8">
        <f>INDEX(Groups!$I$3:$I$11,MATCH(A36,Groups!$A$3:$A$11,0))</f>
        <v/>
      </c>
      <c r="F36" s="8">
        <f>IF(C36="N","absent",IF(OR(NOT(ISNUMBER(D36)),NOT(ISNUMBER(E36))),"incomplete",D36+E36))</f>
        <v/>
      </c>
      <c r="G36" s="8">
        <f>IF(AND(ISNUMBER(D36),OR(D36&gt;Rubric!$B$7,D36&lt;0)),"above a maximum or below zero","ok")</f>
        <v/>
      </c>
    </row>
    <row r="37">
      <c r="A37" s="8" t="inlineStr">
        <is>
          <t>G9</t>
        </is>
      </c>
      <c r="B37" s="8" t="n">
        <v>3</v>
      </c>
      <c r="C37" s="9" t="inlineStr">
        <is>
          <t>Y</t>
        </is>
      </c>
      <c r="D37" s="9" t="n"/>
      <c r="E37" s="8">
        <f>INDEX(Groups!$I$3:$I$11,MATCH(A37,Groups!$A$3:$A$11,0))</f>
        <v/>
      </c>
      <c r="F37" s="8">
        <f>IF(C37="N","absent",IF(OR(NOT(ISNUMBER(D37)),NOT(ISNUMBER(E37))),"incomplete",D37+E37))</f>
        <v/>
      </c>
      <c r="G37" s="8">
        <f>IF(AND(ISNUMBER(D37),OR(D37&gt;Rubric!$B$7,D37&lt;0)),"above a maximum or below zero","ok")</f>
        <v/>
      </c>
    </row>
  </sheetData>
  <dataValidations count="1">
    <dataValidation sqref="C3 C4 C5 C6 C7 C8 C9 C10 C11 C12 C13 C14 C15 C16 C17 C18 C19 C20 C21 C22 C23 C24 C25 C26 C27 C28 C29 C30 C31 C32 C33 C34 C35 C36 C37" showDropDown="0" showInputMessage="0" showErrorMessage="0" allowBlank="0" type="list">
      <formula1>"Y,N"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60" customWidth="1" min="1" max="1"/>
    <col width="60" customWidth="1" min="2" max="2"/>
  </cols>
  <sheetData>
    <row r="1">
      <c r="A1" s="3" t="inlineStr">
        <is>
          <t>Summary</t>
        </is>
      </c>
    </row>
    <row r="2">
      <c r="A2" s="4" t="inlineStr">
        <is>
          <t>What</t>
        </is>
      </c>
      <c r="B2" s="4" t="inlineStr">
        <is>
          <t>Result</t>
        </is>
      </c>
    </row>
    <row r="3">
      <c r="A3" s="10" t="inlineStr">
        <is>
          <t>Seats in use</t>
        </is>
      </c>
      <c r="B3" s="6">
        <f>COUNTIF(Learners!C3:C37,"Y")</f>
        <v/>
      </c>
    </row>
    <row r="4">
      <c r="A4" s="10" t="inlineStr">
        <is>
          <t>Learners fully scored</t>
        </is>
      </c>
      <c r="B4" s="6">
        <f>COUNT(Learners!F3:F37)</f>
        <v/>
      </c>
    </row>
    <row r="5">
      <c r="A5" s="10" t="inlineStr">
        <is>
          <t>Groups with all four group criteria scored</t>
        </is>
      </c>
      <c r="B5" s="6">
        <f>COUNT(Groups!I3:I11)</f>
        <v/>
      </c>
    </row>
    <row r="6">
      <c r="A6" s="10" t="inlineStr">
        <is>
          <t>Scores above a criterion's maximum or below zero</t>
        </is>
      </c>
      <c r="B6" s="6">
        <f>COUNTIF(Groups!J3:J11,"above*")+COUNTIF(Learners!G3:G37,"above*")</f>
        <v/>
      </c>
    </row>
    <row r="7">
      <c r="A7" s="10" t="inlineStr">
        <is>
          <t>Rubric total checks</t>
        </is>
      </c>
      <c r="B7" s="6">
        <f>IF(Rubric!$B$8=40,"the rubric adds to 40","the rubric adds to "&amp;Rubric!$B$8&amp;", not 40")</f>
        <v/>
      </c>
    </row>
    <row r="8">
      <c r="A8" s="10" t="inlineStr">
        <is>
          <t>Group part checks</t>
        </is>
      </c>
      <c r="B8" s="6">
        <f>IF(Rubric!$B$9=34,"the group part adds to 34","the group part adds to "&amp;Rubric!$B$9&amp;", not 34")</f>
        <v/>
      </c>
    </row>
    <row r="9">
      <c r="A9" s="11" t="inlineStr">
        <is>
          <t>Verdict</t>
        </is>
      </c>
      <c r="B9" s="12">
        <f>IF(B6&gt;0,B6&amp;" score(s) outside the rubric",IF(B4=B3,"every learner in use is scored",B3-B4&amp;" learners still to score"))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2026-09-29T18:41:50Z</dcterms:created>
  <dcterms:modified xmlns:dcterms="http://purl.org/dc/terms/" xmlns:xsi="http://www.w3.org/2001/XMLSchema-instance" xsi:type="dcterms:W3CDTF">2026-09-29T18:41:50Z</dcterms:modified>
</cp:coreProperties>
</file>