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ubric" sheetId="2" state="visible" r:id="rId2"/>
    <sheet xmlns:r="http://schemas.openxmlformats.org/officeDocument/2006/relationships" name="Groups" sheetId="3" state="visible" r:id="rId3"/>
    <sheet xmlns:r="http://schemas.openxmlformats.org/officeDocument/2006/relationships" name="Learners" sheetId="4" state="visible" r:id="rId4"/>
    <sheet xmlns:r="http://schemas.openxmlformats.org/officeDocument/2006/relationships" name="Summary" sheetId="5" state="visible" r:id="rId5"/>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A0F5C"/>
      <sz val="14"/>
    </font>
    <font>
      <name val="Arial"/>
      <b val="1"/>
      <color rgb="001A0F5C"/>
      <sz val="10"/>
    </font>
    <font>
      <name val="Arial"/>
      <color rgb="00000000"/>
      <sz val="10"/>
    </font>
    <font>
      <name val="Arial"/>
      <b val="1"/>
      <color rgb="001A0F5C"/>
      <sz val="13"/>
    </font>
    <font>
      <name val="Arial"/>
      <b val="1"/>
      <color rgb="00FFFFFF"/>
      <sz val="10"/>
    </font>
    <font>
      <name val="Arial"/>
      <b val="1"/>
      <color rgb="00000000"/>
      <sz val="10"/>
    </font>
    <font>
      <name val="Arial"/>
      <i val="1"/>
      <color rgb="00000000"/>
      <sz val="10"/>
    </font>
    <font>
      <name val="Arial"/>
      <color rgb="000000FF"/>
      <sz val="10"/>
    </font>
    <font>
      <name val="Arial"/>
      <b val="1"/>
      <color rgb="001A0F5C"/>
      <sz val="12"/>
    </font>
    <font>
      <name val="Arial"/>
      <b val="1"/>
      <color rgb="00000000"/>
      <sz val="12"/>
    </font>
  </fonts>
  <fills count="4">
    <fill>
      <patternFill/>
    </fill>
    <fill>
      <patternFill patternType="gray125"/>
    </fill>
    <fill>
      <patternFill patternType="solid">
        <fgColor rgb="001A0F5C"/>
      </patternFill>
    </fill>
    <fill>
      <patternFill patternType="solid">
        <fgColor rgb="00FFF4C2"/>
      </patternFill>
    </fill>
  </fills>
  <borders count="2">
    <border>
      <left/>
      <right/>
      <top/>
      <bottom/>
      <diagonal/>
    </border>
    <border>
      <left style="thin">
        <color rgb="00C9C3E6"/>
      </left>
      <right style="thin">
        <color rgb="00C9C3E6"/>
      </right>
      <top style="thin">
        <color rgb="00C9C3E6"/>
      </top>
      <bottom style="thin">
        <color rgb="00C9C3E6"/>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applyAlignment="1" pivotButton="0" quotePrefix="0" xfId="0">
      <alignment vertical="center" wrapText="1"/>
    </xf>
    <xf numFmtId="0" fontId="3" fillId="0" borderId="1" applyAlignment="1" pivotButton="0" quotePrefix="0" xfId="0">
      <alignment vertical="top" wrapText="1"/>
    </xf>
    <xf numFmtId="0" fontId="6" fillId="0" borderId="0" pivotButton="0" quotePrefix="0" xfId="0"/>
    <xf numFmtId="0" fontId="7" fillId="0" borderId="0" pivotButton="0" quotePrefix="0" xfId="0"/>
    <xf numFmtId="0" fontId="3" fillId="0" borderId="1" pivotButton="0" quotePrefix="0" xfId="0"/>
    <xf numFmtId="0" fontId="8" fillId="3" borderId="1" pivotButton="0" quotePrefix="0" xfId="0"/>
    <xf numFmtId="0" fontId="3" fillId="0" borderId="0" pivotButton="0" quotePrefix="0" xfId="0"/>
    <xf numFmtId="0" fontId="9"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6" customWidth="1" min="1" max="1"/>
    <col width="100" customWidth="1" min="2" max="2"/>
  </cols>
  <sheetData>
    <row r="1">
      <c r="A1" s="1" t="inlineStr">
        <is>
          <t>How is each Build 1 group and each learner scored on the mini project? (TRAINER ONLY)</t>
        </is>
      </c>
    </row>
    <row r="3" ht="58" customHeight="1">
      <c r="A3" s="2" t="inlineStr">
        <is>
          <t>The rubric</t>
        </is>
      </c>
      <c r="B3" s="3" t="inlineStr">
        <is>
          <t>Build 1's mini project rubric as approved on 29 September 2026, copied from data/programme/facts.yaml (evaluation.rubrics.W03) onto the Rubric sheet. The first four criteria are scored once for the group, and every member receives those 34 marks; presentation and defence is scored for each learner on 6 marks, so a silent teammate cannot ride the group's score.</t>
        </is>
      </c>
    </row>
    <row r="4" ht="58" customHeight="1">
      <c r="A4" s="2" t="inlineStr">
        <is>
          <t>Where to type</t>
        </is>
      </c>
      <c r="B4" s="3" t="inlineStr">
        <is>
          <t>Only the yellow cells. On Groups: the sub-problem, the panel, the day, the demo's outcome and the four group criteria. On Learners: whether the seat is in use and the presentation and defence score. Every other cell is a formula.</t>
        </is>
      </c>
    </row>
    <row r="5" ht="58" customHeight="1">
      <c r="A5" s="2" t="inlineStr">
        <is>
          <t>When to score</t>
        </is>
      </c>
      <c r="B5" s="3" t="inlineStr">
        <is>
          <t>After the slot, never in front of the group, from the chair's notes of what each member said and the question bank (trainer/C2_W03_SAT_question_bank_TRAINER.md). A quiet member's presentation and defence score waits for the separate questions in the room's reserve; the group's 34 does not wait.</t>
        </is>
      </c>
    </row>
    <row r="6" ht="58" customHeight="1">
      <c r="A6" s="2" t="inlineStr">
        <is>
          <t>The demo rule</t>
        </is>
      </c>
      <c r="B6" s="3" t="inlineStr">
        <is>
          <t>A group's demo runs once, cold, on its raw files. If it fails, the group has two minutes to recover it live, as it would in front of a client. If it still fails, the group presents from its executed notebook, and the panel scores the live demo in presentation and defence as not run cold. The other 34 marks of the mini project are scored from the executed run, so a failed demo costs its own marks and never the analysis.</t>
        </is>
      </c>
    </row>
    <row r="7" ht="58" customHeight="1">
      <c r="A7" s="2" t="inlineStr">
        <is>
          <t>How the sheet applies it</t>
        </is>
      </c>
      <c r="B7" s="3" t="inlineStr">
        <is>
          <t>Record each group's demo outcome on Groups. The group part is scored from the executed run whatever the outcome, so it is never left blank because a demo failed. A learner in a group whose demo still failed cannot carry full marks on presentation and defence, since the rubric's full marks there begin with a demo that runs cold; the Learners check flags it, and how far below full is the panel's call. A demo held up by a failed machine runs cold in the room's reserve before anyone's presentation and defence is scored, and its outcome replaces the machine entry.</t>
        </is>
      </c>
    </row>
    <row r="8" ht="58" customHeight="1">
      <c r="A8" s="2" t="inlineStr">
        <is>
          <t>Seats, never names</t>
        </is>
      </c>
      <c r="B8" s="3" t="inlineStr">
        <is>
          <t>35 seats, one per learner: eight groups of four and G9 of three. Relabel the seats if Monday's allocation put the group of three elsewhere. Mark an absent learner N in In use; the row then reads absent and drops out of the counts. The Programme Head records the absence and the decision in the grade closure workbook.</t>
        </is>
      </c>
    </row>
    <row r="9" ht="58" customHeight="1">
      <c r="A9" s="2" t="inlineStr">
        <is>
          <t>Where the scores go</t>
        </is>
      </c>
      <c r="B9" s="3" t="inlineStr">
        <is>
          <t>Each learner's group part (of 34) and presentation and defence (of 6) are copied once into the grade closure workbook (C2_W03_SAT_grade_closure_TRAINER.xlsx, sheet Scores), and each group's demo outcome into its Demos sheet. Names go only into the copy the Programme Head keeps, never into the committed file, because the repository is public.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30" customWidth="1" min="1" max="1"/>
    <col width="8" customWidth="1" min="2" max="2"/>
    <col width="90" customWidth="1" min="3" max="3"/>
    <col width="16" customWidth="1" min="4" max="4"/>
  </cols>
  <sheetData>
    <row r="1">
      <c r="A1" s="4" t="inlineStr">
        <is>
          <t>Mini project rubric: 40 marks per learner</t>
        </is>
      </c>
    </row>
    <row r="2">
      <c r="A2" s="5" t="inlineStr">
        <is>
          <t>Criterion</t>
        </is>
      </c>
      <c r="B2" s="5" t="inlineStr">
        <is>
          <t>Marks</t>
        </is>
      </c>
      <c r="C2" s="5" t="inlineStr">
        <is>
          <t>What full marks look like</t>
        </is>
      </c>
      <c r="D2" s="5" t="inlineStr">
        <is>
          <t>Scored</t>
        </is>
      </c>
    </row>
    <row r="3">
      <c r="A3" s="6" t="inlineStr">
        <is>
          <t>The question translated</t>
        </is>
      </c>
      <c r="B3" s="6" t="n">
        <v>8</v>
      </c>
      <c r="C3" s="6" t="inlineStr">
        <is>
          <t>Dr Menon's words are mapped to the right Weeks 1 and 2 method, with the metric defined and the decision it feeds named.</t>
        </is>
      </c>
      <c r="D3" s="6" t="inlineStr">
        <is>
          <t>once per group</t>
        </is>
      </c>
    </row>
    <row r="4">
      <c r="A4" s="6" t="inlineStr">
        <is>
          <t>The data made trustworthy</t>
        </is>
      </c>
      <c r="B4" s="6" t="n">
        <v>10</v>
      </c>
      <c r="C4" s="6" t="inlineStr">
        <is>
          <t>The data is profiled before it is touched, every cleaning call is in the decisions log with its reason, and counts and dollars reconcile across files.</t>
        </is>
      </c>
      <c r="D4" s="6" t="inlineStr">
        <is>
          <t>once per group</t>
        </is>
      </c>
    </row>
    <row r="5">
      <c r="A5" s="6" t="inlineStr">
        <is>
          <t>The analysis</t>
        </is>
      </c>
      <c r="B5" s="6" t="n">
        <v>10</v>
      </c>
      <c r="C5" s="6" t="inlineStr">
        <is>
          <t>The tree, ladder or fair comparison reaches the branch that explains the symptom, on the right denominator, with a chance test where one is needed.</t>
        </is>
      </c>
      <c r="D5" s="6" t="inlineStr">
        <is>
          <t>once per group</t>
        </is>
      </c>
    </row>
    <row r="6">
      <c r="A6" s="6" t="inlineStr">
        <is>
          <t>The claim</t>
        </is>
      </c>
      <c r="B6" s="6" t="n">
        <v>6</v>
      </c>
      <c r="C6" s="6" t="inlineStr">
        <is>
          <t>One sentence carries its number, denominator, period and caveat, plus an action Dr Menon can take.</t>
        </is>
      </c>
      <c r="D6" s="6" t="inlineStr">
        <is>
          <t>once per group</t>
        </is>
      </c>
    </row>
    <row r="7">
      <c r="A7" s="6" t="inlineStr">
        <is>
          <t>Presentation and defence</t>
        </is>
      </c>
      <c r="B7" s="6" t="n">
        <v>6</v>
      </c>
      <c r="C7" s="6" t="inlineStr">
        <is>
          <t>The live demo runs cold, and every member answers a challenge on the caveat.</t>
        </is>
      </c>
      <c r="D7" s="6" t="inlineStr">
        <is>
          <t>per learner</t>
        </is>
      </c>
    </row>
    <row r="8">
      <c r="A8" s="7" t="inlineStr">
        <is>
          <t>Total</t>
        </is>
      </c>
      <c r="B8" s="7">
        <f>SUM(B3:B7)</f>
        <v/>
      </c>
    </row>
    <row r="9">
      <c r="A9" s="7" t="inlineStr">
        <is>
          <t>Group part</t>
        </is>
      </c>
      <c r="B9" s="7">
        <f>SUM(B3:B6)</f>
        <v/>
      </c>
    </row>
    <row r="11">
      <c r="A11" s="8" t="inlineStr">
        <is>
          <t>Source: data/programme/facts.yaml, evaluation.rubrics.W03.events.mini-project, approved 29 September 2026.</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1"/>
  <sheetViews>
    <sheetView workbookViewId="0">
      <selection activeCell="A1" sqref="A1"/>
    </sheetView>
  </sheetViews>
  <sheetFormatPr baseColWidth="8" defaultRowHeight="15"/>
  <cols>
    <col width="8" customWidth="1" min="1" max="1"/>
    <col width="16" customWidth="1" min="2" max="2"/>
    <col width="26" customWidth="1" min="3" max="3"/>
    <col width="11" customWidth="1" min="4" max="4"/>
    <col width="30" customWidth="1" min="5" max="5"/>
    <col width="13" customWidth="1" min="6" max="6"/>
    <col width="13" customWidth="1" min="7" max="7"/>
    <col width="11" customWidth="1" min="8" max="8"/>
    <col width="11" customWidth="1" min="9" max="9"/>
    <col width="13" customWidth="1" min="10" max="10"/>
    <col width="30" customWidth="1" min="11" max="11"/>
    <col width="52" customWidth="1" min="12" max="12"/>
  </cols>
  <sheetData>
    <row r="1">
      <c r="A1" s="4" t="inlineStr">
        <is>
          <t>Groups: the demo's outcome and the four group criteria, scored once per group</t>
        </is>
      </c>
    </row>
    <row r="2">
      <c r="A2" s="5" t="inlineStr">
        <is>
          <t>Group</t>
        </is>
      </c>
      <c r="B2" s="5" t="inlineStr">
        <is>
          <t>Sub-problem</t>
        </is>
      </c>
      <c r="C2" s="5" t="inlineStr">
        <is>
          <t>Panel</t>
        </is>
      </c>
      <c r="D2" s="5" t="inlineStr">
        <is>
          <t>Day</t>
        </is>
      </c>
      <c r="E2" s="5" t="inlineStr">
        <is>
          <t>Demo on the day</t>
        </is>
      </c>
      <c r="F2" s="5" t="inlineStr">
        <is>
          <t>The question translated (of 8)</t>
        </is>
      </c>
      <c r="G2" s="5" t="inlineStr">
        <is>
          <t>The data made trustworthy (of 10)</t>
        </is>
      </c>
      <c r="H2" s="5" t="inlineStr">
        <is>
          <t>The analysis (of 10)</t>
        </is>
      </c>
      <c r="I2" s="5" t="inlineStr">
        <is>
          <t>The claim (of 6)</t>
        </is>
      </c>
      <c r="J2" s="5" t="inlineStr">
        <is>
          <t>Group part (of 34)</t>
        </is>
      </c>
      <c r="K2" s="5" t="inlineStr">
        <is>
          <t>Check</t>
        </is>
      </c>
      <c r="L2" s="5" t="inlineStr">
        <is>
          <t>What the demo rule means for this group</t>
        </is>
      </c>
    </row>
    <row r="3">
      <c r="A3" s="9" t="inlineStr">
        <is>
          <t>G1</t>
        </is>
      </c>
      <c r="B3" s="10" t="n"/>
      <c r="C3" s="10" t="n"/>
      <c r="D3" s="10" t="n"/>
      <c r="E3" s="10" t="n"/>
      <c r="F3" s="10" t="n"/>
      <c r="G3" s="10" t="n"/>
      <c r="H3" s="10" t="n"/>
      <c r="I3" s="10" t="n"/>
      <c r="J3" s="9">
        <f>IF(COUNT(F3:I3)&lt;4,"incomplete",SUM(F3:I3))</f>
        <v/>
      </c>
      <c r="K3" s="9">
        <f>IF(OR(F3&gt;Rubric!$B$3,G3&gt;Rubric!$B$4,H3&gt;Rubric!$B$5,I3&gt;Rubric!$B$6,MIN(F3:I3)&lt;0),"above a maximum or below zero",IF(AND(COUNT(F3:I3)&gt;0,E3=""),"record the demo's outcome","ok"))</f>
        <v/>
      </c>
      <c r="L3" s="6">
        <f>IF(E3="","record the demo's outcome",IF(E3="still failed: presented from the executed notebook","the 34 stand on the executed run; presentation and defence scores the demo as not run cold",IF(E3="machine failed: demo waits for the reserve","run the demo cold in the reserve, then record its outcome",IF(E3="recovered within two minutes","the rule sets nothing for a recovery: the panel judges it within presentation and defence","the live demo ran cold"))))</f>
        <v/>
      </c>
    </row>
    <row r="4">
      <c r="A4" s="9" t="inlineStr">
        <is>
          <t>G2</t>
        </is>
      </c>
      <c r="B4" s="10" t="n"/>
      <c r="C4" s="10" t="n"/>
      <c r="D4" s="10" t="n"/>
      <c r="E4" s="10" t="n"/>
      <c r="F4" s="10" t="n"/>
      <c r="G4" s="10" t="n"/>
      <c r="H4" s="10" t="n"/>
      <c r="I4" s="10" t="n"/>
      <c r="J4" s="9">
        <f>IF(COUNT(F4:I4)&lt;4,"incomplete",SUM(F4:I4))</f>
        <v/>
      </c>
      <c r="K4" s="9">
        <f>IF(OR(F4&gt;Rubric!$B$3,G4&gt;Rubric!$B$4,H4&gt;Rubric!$B$5,I4&gt;Rubric!$B$6,MIN(F4:I4)&lt;0),"above a maximum or below zero",IF(AND(COUNT(F4:I4)&gt;0,E4=""),"record the demo's outcome","ok"))</f>
        <v/>
      </c>
      <c r="L4" s="6">
        <f>IF(E4="","record the demo's outcome",IF(E4="still failed: presented from the executed notebook","the 34 stand on the executed run; presentation and defence scores the demo as not run cold",IF(E4="machine failed: demo waits for the reserve","run the demo cold in the reserve, then record its outcome",IF(E4="recovered within two minutes","the rule sets nothing for a recovery: the panel judges it within presentation and defence","the live demo ran cold"))))</f>
        <v/>
      </c>
    </row>
    <row r="5">
      <c r="A5" s="9" t="inlineStr">
        <is>
          <t>G3</t>
        </is>
      </c>
      <c r="B5" s="10" t="n"/>
      <c r="C5" s="10" t="n"/>
      <c r="D5" s="10" t="n"/>
      <c r="E5" s="10" t="n"/>
      <c r="F5" s="10" t="n"/>
      <c r="G5" s="10" t="n"/>
      <c r="H5" s="10" t="n"/>
      <c r="I5" s="10" t="n"/>
      <c r="J5" s="9">
        <f>IF(COUNT(F5:I5)&lt;4,"incomplete",SUM(F5:I5))</f>
        <v/>
      </c>
      <c r="K5" s="9">
        <f>IF(OR(F5&gt;Rubric!$B$3,G5&gt;Rubric!$B$4,H5&gt;Rubric!$B$5,I5&gt;Rubric!$B$6,MIN(F5:I5)&lt;0),"above a maximum or below zero",IF(AND(COUNT(F5:I5)&gt;0,E5=""),"record the demo's outcome","ok"))</f>
        <v/>
      </c>
      <c r="L5" s="6">
        <f>IF(E5="","record the demo's outcome",IF(E5="still failed: presented from the executed notebook","the 34 stand on the executed run; presentation and defence scores the demo as not run cold",IF(E5="machine failed: demo waits for the reserve","run the demo cold in the reserve, then record its outcome",IF(E5="recovered within two minutes","the rule sets nothing for a recovery: the panel judges it within presentation and defence","the live demo ran cold"))))</f>
        <v/>
      </c>
    </row>
    <row r="6">
      <c r="A6" s="9" t="inlineStr">
        <is>
          <t>G4</t>
        </is>
      </c>
      <c r="B6" s="10" t="n"/>
      <c r="C6" s="10" t="n"/>
      <c r="D6" s="10" t="n"/>
      <c r="E6" s="10" t="n"/>
      <c r="F6" s="10" t="n"/>
      <c r="G6" s="10" t="n"/>
      <c r="H6" s="10" t="n"/>
      <c r="I6" s="10" t="n"/>
      <c r="J6" s="9">
        <f>IF(COUNT(F6:I6)&lt;4,"incomplete",SUM(F6:I6))</f>
        <v/>
      </c>
      <c r="K6" s="9">
        <f>IF(OR(F6&gt;Rubric!$B$3,G6&gt;Rubric!$B$4,H6&gt;Rubric!$B$5,I6&gt;Rubric!$B$6,MIN(F6:I6)&lt;0),"above a maximum or below zero",IF(AND(COUNT(F6:I6)&gt;0,E6=""),"record the demo's outcome","ok"))</f>
        <v/>
      </c>
      <c r="L6" s="6">
        <f>IF(E6="","record the demo's outcome",IF(E6="still failed: presented from the executed notebook","the 34 stand on the executed run; presentation and defence scores the demo as not run cold",IF(E6="machine failed: demo waits for the reserve","run the demo cold in the reserve, then record its outcome",IF(E6="recovered within two minutes","the rule sets nothing for a recovery: the panel judges it within presentation and defence","the live demo ran cold"))))</f>
        <v/>
      </c>
    </row>
    <row r="7">
      <c r="A7" s="9" t="inlineStr">
        <is>
          <t>G5</t>
        </is>
      </c>
      <c r="B7" s="10" t="n"/>
      <c r="C7" s="10" t="n"/>
      <c r="D7" s="10" t="n"/>
      <c r="E7" s="10" t="n"/>
      <c r="F7" s="10" t="n"/>
      <c r="G7" s="10" t="n"/>
      <c r="H7" s="10" t="n"/>
      <c r="I7" s="10" t="n"/>
      <c r="J7" s="9">
        <f>IF(COUNT(F7:I7)&lt;4,"incomplete",SUM(F7:I7))</f>
        <v/>
      </c>
      <c r="K7" s="9">
        <f>IF(OR(F7&gt;Rubric!$B$3,G7&gt;Rubric!$B$4,H7&gt;Rubric!$B$5,I7&gt;Rubric!$B$6,MIN(F7:I7)&lt;0),"above a maximum or below zero",IF(AND(COUNT(F7:I7)&gt;0,E7=""),"record the demo's outcome","ok"))</f>
        <v/>
      </c>
      <c r="L7" s="6">
        <f>IF(E7="","record the demo's outcome",IF(E7="still failed: presented from the executed notebook","the 34 stand on the executed run; presentation and defence scores the demo as not run cold",IF(E7="machine failed: demo waits for the reserve","run the demo cold in the reserve, then record its outcome",IF(E7="recovered within two minutes","the rule sets nothing for a recovery: the panel judges it within presentation and defence","the live demo ran cold"))))</f>
        <v/>
      </c>
    </row>
    <row r="8">
      <c r="A8" s="9" t="inlineStr">
        <is>
          <t>G6</t>
        </is>
      </c>
      <c r="B8" s="10" t="n"/>
      <c r="C8" s="10" t="n"/>
      <c r="D8" s="10" t="n"/>
      <c r="E8" s="10" t="n"/>
      <c r="F8" s="10" t="n"/>
      <c r="G8" s="10" t="n"/>
      <c r="H8" s="10" t="n"/>
      <c r="I8" s="10" t="n"/>
      <c r="J8" s="9">
        <f>IF(COUNT(F8:I8)&lt;4,"incomplete",SUM(F8:I8))</f>
        <v/>
      </c>
      <c r="K8" s="9">
        <f>IF(OR(F8&gt;Rubric!$B$3,G8&gt;Rubric!$B$4,H8&gt;Rubric!$B$5,I8&gt;Rubric!$B$6,MIN(F8:I8)&lt;0),"above a maximum or below zero",IF(AND(COUNT(F8:I8)&gt;0,E8=""),"record the demo's outcome","ok"))</f>
        <v/>
      </c>
      <c r="L8" s="6">
        <f>IF(E8="","record the demo's outcome",IF(E8="still failed: presented from the executed notebook","the 34 stand on the executed run; presentation and defence scores the demo as not run cold",IF(E8="machine failed: demo waits for the reserve","run the demo cold in the reserve, then record its outcome",IF(E8="recovered within two minutes","the rule sets nothing for a recovery: the panel judges it within presentation and defence","the live demo ran cold"))))</f>
        <v/>
      </c>
    </row>
    <row r="9">
      <c r="A9" s="9" t="inlineStr">
        <is>
          <t>G7</t>
        </is>
      </c>
      <c r="B9" s="10" t="n"/>
      <c r="C9" s="10" t="n"/>
      <c r="D9" s="10" t="n"/>
      <c r="E9" s="10" t="n"/>
      <c r="F9" s="10" t="n"/>
      <c r="G9" s="10" t="n"/>
      <c r="H9" s="10" t="n"/>
      <c r="I9" s="10" t="n"/>
      <c r="J9" s="9">
        <f>IF(COUNT(F9:I9)&lt;4,"incomplete",SUM(F9:I9))</f>
        <v/>
      </c>
      <c r="K9" s="9">
        <f>IF(OR(F9&gt;Rubric!$B$3,G9&gt;Rubric!$B$4,H9&gt;Rubric!$B$5,I9&gt;Rubric!$B$6,MIN(F9:I9)&lt;0),"above a maximum or below zero",IF(AND(COUNT(F9:I9)&gt;0,E9=""),"record the demo's outcome","ok"))</f>
        <v/>
      </c>
      <c r="L9" s="6">
        <f>IF(E9="","record the demo's outcome",IF(E9="still failed: presented from the executed notebook","the 34 stand on the executed run; presentation and defence scores the demo as not run cold",IF(E9="machine failed: demo waits for the reserve","run the demo cold in the reserve, then record its outcome",IF(E9="recovered within two minutes","the rule sets nothing for a recovery: the panel judges it within presentation and defence","the live demo ran cold"))))</f>
        <v/>
      </c>
    </row>
    <row r="10">
      <c r="A10" s="9" t="inlineStr">
        <is>
          <t>G8</t>
        </is>
      </c>
      <c r="B10" s="10" t="n"/>
      <c r="C10" s="10" t="n"/>
      <c r="D10" s="10" t="n"/>
      <c r="E10" s="10" t="n"/>
      <c r="F10" s="10" t="n"/>
      <c r="G10" s="10" t="n"/>
      <c r="H10" s="10" t="n"/>
      <c r="I10" s="10" t="n"/>
      <c r="J10" s="9">
        <f>IF(COUNT(F10:I10)&lt;4,"incomplete",SUM(F10:I10))</f>
        <v/>
      </c>
      <c r="K10" s="9">
        <f>IF(OR(F10&gt;Rubric!$B$3,G10&gt;Rubric!$B$4,H10&gt;Rubric!$B$5,I10&gt;Rubric!$B$6,MIN(F10:I10)&lt;0),"above a maximum or below zero",IF(AND(COUNT(F10:I10)&gt;0,E10=""),"record the demo's outcome","ok"))</f>
        <v/>
      </c>
      <c r="L10" s="6">
        <f>IF(E10="","record the demo's outcome",IF(E10="still failed: presented from the executed notebook","the 34 stand on the executed run; presentation and defence scores the demo as not run cold",IF(E10="machine failed: demo waits for the reserve","run the demo cold in the reserve, then record its outcome",IF(E10="recovered within two minutes","the rule sets nothing for a recovery: the panel judges it within presentation and defence","the live demo ran cold"))))</f>
        <v/>
      </c>
    </row>
    <row r="11">
      <c r="A11" s="9" t="inlineStr">
        <is>
          <t>G9</t>
        </is>
      </c>
      <c r="B11" s="10" t="n"/>
      <c r="C11" s="10" t="n"/>
      <c r="D11" s="10" t="n"/>
      <c r="E11" s="10" t="n"/>
      <c r="F11" s="10" t="n"/>
      <c r="G11" s="10" t="n"/>
      <c r="H11" s="10" t="n"/>
      <c r="I11" s="10" t="n"/>
      <c r="J11" s="9">
        <f>IF(COUNT(F11:I11)&lt;4,"incomplete",SUM(F11:I11))</f>
        <v/>
      </c>
      <c r="K11" s="9">
        <f>IF(OR(F11&gt;Rubric!$B$3,G11&gt;Rubric!$B$4,H11&gt;Rubric!$B$5,I11&gt;Rubric!$B$6,MIN(F11:I11)&lt;0),"above a maximum or below zero",IF(AND(COUNT(F11:I11)&gt;0,E11=""),"record the demo's outcome","ok"))</f>
        <v/>
      </c>
      <c r="L11" s="6">
        <f>IF(E11="","record the demo's outcome",IF(E11="still failed: presented from the executed notebook","the 34 stand on the executed run; presentation and defence scores the demo as not run cold",IF(E11="machine failed: demo waits for the reserve","run the demo cold in the reserve, then record its outcome",IF(E11="recovered within two minutes","the rule sets nothing for a recovery: the panel judges it within presentation and defence","the live demo ran cold"))))</f>
        <v/>
      </c>
    </row>
  </sheetData>
  <dataValidations count="4">
    <dataValidation sqref="B3 B4 B5 B6 B7 B8 B9 B10 B11" showDropDown="0" showInputMessage="0" showErrorMessage="0" allowBlank="1" type="list">
      <formula1>"1 revenue,2 bookings,3 billing,4 no-shows,5 campaign"</formula1>
    </dataValidation>
    <dataValidation sqref="C3 C4 C5 C6 C7 C8 C9 C10 C11" showDropDown="0" showInputMessage="0" showErrorMessage="0" allowBlank="1" type="list">
      <formula1>"the industry expert,the senior industry leader"</formula1>
    </dataValidation>
    <dataValidation sqref="D3 D4 D5 D6 D7 D8 D9 D10 D11" showDropDown="0" showInputMessage="0" showErrorMessage="0" allowBlank="1" type="list">
      <formula1>"Friday,Saturday"</formula1>
    </dataValidation>
    <dataValidation sqref="E3 E4 E5 E6 E7 E8 E9 E10 E11" showDropDown="0" showInputMessage="0" showErrorMessage="0" allowBlank="1" type="list">
      <formula1>"ran cold,recovered within two minutes,still failed: presented from the executed notebook,machine failed: demo waits for the reserve"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7"/>
  <sheetViews>
    <sheetView workbookViewId="0">
      <selection activeCell="A1" sqref="A1"/>
    </sheetView>
  </sheetViews>
  <sheetFormatPr baseColWidth="8" defaultRowHeight="15"/>
  <cols>
    <col width="8" customWidth="1" min="1" max="1"/>
    <col width="6" customWidth="1" min="2" max="2"/>
    <col width="12" customWidth="1" min="3" max="3"/>
    <col width="22" customWidth="1" min="4" max="4"/>
    <col width="30" customWidth="1" min="5" max="5"/>
    <col width="14" customWidth="1" min="6" max="6"/>
    <col width="12" customWidth="1" min="7" max="7"/>
    <col width="38" customWidth="1" min="8" max="8"/>
  </cols>
  <sheetData>
    <row r="1">
      <c r="A1" s="4" t="inlineStr">
        <is>
          <t>Learners: presentation and defence per learner, and each learner's total</t>
        </is>
      </c>
    </row>
    <row r="2">
      <c r="A2" s="5" t="inlineStr">
        <is>
          <t>Group</t>
        </is>
      </c>
      <c r="B2" s="5" t="inlineStr">
        <is>
          <t>Seat</t>
        </is>
      </c>
      <c r="C2" s="5" t="inlineStr">
        <is>
          <t>In use (Y or N)</t>
        </is>
      </c>
      <c r="D2" s="5" t="inlineStr">
        <is>
          <t>Presentation and defence (of 6)</t>
        </is>
      </c>
      <c r="E2" s="5" t="inlineStr">
        <is>
          <t>Demo on the day</t>
        </is>
      </c>
      <c r="F2" s="5" t="inlineStr">
        <is>
          <t>Group part (of 34)</t>
        </is>
      </c>
      <c r="G2" s="5" t="inlineStr">
        <is>
          <t>Total (of 40)</t>
        </is>
      </c>
      <c r="H2" s="5" t="inlineStr">
        <is>
          <t>Check</t>
        </is>
      </c>
    </row>
    <row r="3">
      <c r="A3" s="9" t="inlineStr">
        <is>
          <t>G1</t>
        </is>
      </c>
      <c r="B3" s="9" t="n">
        <v>1</v>
      </c>
      <c r="C3" s="10" t="inlineStr">
        <is>
          <t>Y</t>
        </is>
      </c>
      <c r="D3" s="10" t="n"/>
      <c r="E3" s="9">
        <f>IF(INDEX(Groups!$E$3:$E$11,MATCH(A3,Groups!$A$3:$A$11,0))="","",INDEX(Groups!$E$3:$E$11,MATCH(A3,Groups!$A$3:$A$11,0)))</f>
        <v/>
      </c>
      <c r="F3" s="9">
        <f>INDEX(Groups!$J$3:$J$11,MATCH(A3,Groups!$A$3:$A$11,0))</f>
        <v/>
      </c>
      <c r="G3" s="9">
        <f>IF(C3="N","absent",IF(OR(NOT(ISNUMBER(D3)),NOT(ISNUMBER(F3))),"incomplete",D3+F3))</f>
        <v/>
      </c>
      <c r="H3" s="9">
        <f>IF(AND(ISNUMBER(D3),OR(D3&gt;Rubric!$B$7,D3&lt;0)),"above a maximum or below zero",IF(AND(ISNUMBER(D3),E3="still failed: presented from the executed notebook",D3&gt;=Rubric!$B$7),"full marks need a demo that ran cold",IF(AND(ISNUMBER(D3),E3="machine failed: demo waits for the reserve"),"score after the demo runs in the reserve","ok")))</f>
        <v/>
      </c>
    </row>
    <row r="4">
      <c r="A4" s="9" t="inlineStr">
        <is>
          <t>G1</t>
        </is>
      </c>
      <c r="B4" s="9" t="n">
        <v>2</v>
      </c>
      <c r="C4" s="10" t="inlineStr">
        <is>
          <t>Y</t>
        </is>
      </c>
      <c r="D4" s="10" t="n"/>
      <c r="E4" s="9">
        <f>IF(INDEX(Groups!$E$3:$E$11,MATCH(A4,Groups!$A$3:$A$11,0))="","",INDEX(Groups!$E$3:$E$11,MATCH(A4,Groups!$A$3:$A$11,0)))</f>
        <v/>
      </c>
      <c r="F4" s="9">
        <f>INDEX(Groups!$J$3:$J$11,MATCH(A4,Groups!$A$3:$A$11,0))</f>
        <v/>
      </c>
      <c r="G4" s="9">
        <f>IF(C4="N","absent",IF(OR(NOT(ISNUMBER(D4)),NOT(ISNUMBER(F4))),"incomplete",D4+F4))</f>
        <v/>
      </c>
      <c r="H4" s="9">
        <f>IF(AND(ISNUMBER(D4),OR(D4&gt;Rubric!$B$7,D4&lt;0)),"above a maximum or below zero",IF(AND(ISNUMBER(D4),E4="still failed: presented from the executed notebook",D4&gt;=Rubric!$B$7),"full marks need a demo that ran cold",IF(AND(ISNUMBER(D4),E4="machine failed: demo waits for the reserve"),"score after the demo runs in the reserve","ok")))</f>
        <v/>
      </c>
    </row>
    <row r="5">
      <c r="A5" s="9" t="inlineStr">
        <is>
          <t>G1</t>
        </is>
      </c>
      <c r="B5" s="9" t="n">
        <v>3</v>
      </c>
      <c r="C5" s="10" t="inlineStr">
        <is>
          <t>Y</t>
        </is>
      </c>
      <c r="D5" s="10" t="n"/>
      <c r="E5" s="9">
        <f>IF(INDEX(Groups!$E$3:$E$11,MATCH(A5,Groups!$A$3:$A$11,0))="","",INDEX(Groups!$E$3:$E$11,MATCH(A5,Groups!$A$3:$A$11,0)))</f>
        <v/>
      </c>
      <c r="F5" s="9">
        <f>INDEX(Groups!$J$3:$J$11,MATCH(A5,Groups!$A$3:$A$11,0))</f>
        <v/>
      </c>
      <c r="G5" s="9">
        <f>IF(C5="N","absent",IF(OR(NOT(ISNUMBER(D5)),NOT(ISNUMBER(F5))),"incomplete",D5+F5))</f>
        <v/>
      </c>
      <c r="H5" s="9">
        <f>IF(AND(ISNUMBER(D5),OR(D5&gt;Rubric!$B$7,D5&lt;0)),"above a maximum or below zero",IF(AND(ISNUMBER(D5),E5="still failed: presented from the executed notebook",D5&gt;=Rubric!$B$7),"full marks need a demo that ran cold",IF(AND(ISNUMBER(D5),E5="machine failed: demo waits for the reserve"),"score after the demo runs in the reserve","ok")))</f>
        <v/>
      </c>
    </row>
    <row r="6">
      <c r="A6" s="9" t="inlineStr">
        <is>
          <t>G1</t>
        </is>
      </c>
      <c r="B6" s="9" t="n">
        <v>4</v>
      </c>
      <c r="C6" s="10" t="inlineStr">
        <is>
          <t>Y</t>
        </is>
      </c>
      <c r="D6" s="10" t="n"/>
      <c r="E6" s="9">
        <f>IF(INDEX(Groups!$E$3:$E$11,MATCH(A6,Groups!$A$3:$A$11,0))="","",INDEX(Groups!$E$3:$E$11,MATCH(A6,Groups!$A$3:$A$11,0)))</f>
        <v/>
      </c>
      <c r="F6" s="9">
        <f>INDEX(Groups!$J$3:$J$11,MATCH(A6,Groups!$A$3:$A$11,0))</f>
        <v/>
      </c>
      <c r="G6" s="9">
        <f>IF(C6="N","absent",IF(OR(NOT(ISNUMBER(D6)),NOT(ISNUMBER(F6))),"incomplete",D6+F6))</f>
        <v/>
      </c>
      <c r="H6" s="9">
        <f>IF(AND(ISNUMBER(D6),OR(D6&gt;Rubric!$B$7,D6&lt;0)),"above a maximum or below zero",IF(AND(ISNUMBER(D6),E6="still failed: presented from the executed notebook",D6&gt;=Rubric!$B$7),"full marks need a demo that ran cold",IF(AND(ISNUMBER(D6),E6="machine failed: demo waits for the reserve"),"score after the demo runs in the reserve","ok")))</f>
        <v/>
      </c>
    </row>
    <row r="7">
      <c r="A7" s="9" t="inlineStr">
        <is>
          <t>G2</t>
        </is>
      </c>
      <c r="B7" s="9" t="n">
        <v>1</v>
      </c>
      <c r="C7" s="10" t="inlineStr">
        <is>
          <t>Y</t>
        </is>
      </c>
      <c r="D7" s="10" t="n"/>
      <c r="E7" s="9">
        <f>IF(INDEX(Groups!$E$3:$E$11,MATCH(A7,Groups!$A$3:$A$11,0))="","",INDEX(Groups!$E$3:$E$11,MATCH(A7,Groups!$A$3:$A$11,0)))</f>
        <v/>
      </c>
      <c r="F7" s="9">
        <f>INDEX(Groups!$J$3:$J$11,MATCH(A7,Groups!$A$3:$A$11,0))</f>
        <v/>
      </c>
      <c r="G7" s="9">
        <f>IF(C7="N","absent",IF(OR(NOT(ISNUMBER(D7)),NOT(ISNUMBER(F7))),"incomplete",D7+F7))</f>
        <v/>
      </c>
      <c r="H7" s="9">
        <f>IF(AND(ISNUMBER(D7),OR(D7&gt;Rubric!$B$7,D7&lt;0)),"above a maximum or below zero",IF(AND(ISNUMBER(D7),E7="still failed: presented from the executed notebook",D7&gt;=Rubric!$B$7),"full marks need a demo that ran cold",IF(AND(ISNUMBER(D7),E7="machine failed: demo waits for the reserve"),"score after the demo runs in the reserve","ok")))</f>
        <v/>
      </c>
    </row>
    <row r="8">
      <c r="A8" s="9" t="inlineStr">
        <is>
          <t>G2</t>
        </is>
      </c>
      <c r="B8" s="9" t="n">
        <v>2</v>
      </c>
      <c r="C8" s="10" t="inlineStr">
        <is>
          <t>Y</t>
        </is>
      </c>
      <c r="D8" s="10" t="n"/>
      <c r="E8" s="9">
        <f>IF(INDEX(Groups!$E$3:$E$11,MATCH(A8,Groups!$A$3:$A$11,0))="","",INDEX(Groups!$E$3:$E$11,MATCH(A8,Groups!$A$3:$A$11,0)))</f>
        <v/>
      </c>
      <c r="F8" s="9">
        <f>INDEX(Groups!$J$3:$J$11,MATCH(A8,Groups!$A$3:$A$11,0))</f>
        <v/>
      </c>
      <c r="G8" s="9">
        <f>IF(C8="N","absent",IF(OR(NOT(ISNUMBER(D8)),NOT(ISNUMBER(F8))),"incomplete",D8+F8))</f>
        <v/>
      </c>
      <c r="H8" s="9">
        <f>IF(AND(ISNUMBER(D8),OR(D8&gt;Rubric!$B$7,D8&lt;0)),"above a maximum or below zero",IF(AND(ISNUMBER(D8),E8="still failed: presented from the executed notebook",D8&gt;=Rubric!$B$7),"full marks need a demo that ran cold",IF(AND(ISNUMBER(D8),E8="machine failed: demo waits for the reserve"),"score after the demo runs in the reserve","ok")))</f>
        <v/>
      </c>
    </row>
    <row r="9">
      <c r="A9" s="9" t="inlineStr">
        <is>
          <t>G2</t>
        </is>
      </c>
      <c r="B9" s="9" t="n">
        <v>3</v>
      </c>
      <c r="C9" s="10" t="inlineStr">
        <is>
          <t>Y</t>
        </is>
      </c>
      <c r="D9" s="10" t="n"/>
      <c r="E9" s="9">
        <f>IF(INDEX(Groups!$E$3:$E$11,MATCH(A9,Groups!$A$3:$A$11,0))="","",INDEX(Groups!$E$3:$E$11,MATCH(A9,Groups!$A$3:$A$11,0)))</f>
        <v/>
      </c>
      <c r="F9" s="9">
        <f>INDEX(Groups!$J$3:$J$11,MATCH(A9,Groups!$A$3:$A$11,0))</f>
        <v/>
      </c>
      <c r="G9" s="9">
        <f>IF(C9="N","absent",IF(OR(NOT(ISNUMBER(D9)),NOT(ISNUMBER(F9))),"incomplete",D9+F9))</f>
        <v/>
      </c>
      <c r="H9" s="9">
        <f>IF(AND(ISNUMBER(D9),OR(D9&gt;Rubric!$B$7,D9&lt;0)),"above a maximum or below zero",IF(AND(ISNUMBER(D9),E9="still failed: presented from the executed notebook",D9&gt;=Rubric!$B$7),"full marks need a demo that ran cold",IF(AND(ISNUMBER(D9),E9="machine failed: demo waits for the reserve"),"score after the demo runs in the reserve","ok")))</f>
        <v/>
      </c>
    </row>
    <row r="10">
      <c r="A10" s="9" t="inlineStr">
        <is>
          <t>G2</t>
        </is>
      </c>
      <c r="B10" s="9" t="n">
        <v>4</v>
      </c>
      <c r="C10" s="10" t="inlineStr">
        <is>
          <t>Y</t>
        </is>
      </c>
      <c r="D10" s="10" t="n"/>
      <c r="E10" s="9">
        <f>IF(INDEX(Groups!$E$3:$E$11,MATCH(A10,Groups!$A$3:$A$11,0))="","",INDEX(Groups!$E$3:$E$11,MATCH(A10,Groups!$A$3:$A$11,0)))</f>
        <v/>
      </c>
      <c r="F10" s="9">
        <f>INDEX(Groups!$J$3:$J$11,MATCH(A10,Groups!$A$3:$A$11,0))</f>
        <v/>
      </c>
      <c r="G10" s="9">
        <f>IF(C10="N","absent",IF(OR(NOT(ISNUMBER(D10)),NOT(ISNUMBER(F10))),"incomplete",D10+F10))</f>
        <v/>
      </c>
      <c r="H10" s="9">
        <f>IF(AND(ISNUMBER(D10),OR(D10&gt;Rubric!$B$7,D10&lt;0)),"above a maximum or below zero",IF(AND(ISNUMBER(D10),E10="still failed: presented from the executed notebook",D10&gt;=Rubric!$B$7),"full marks need a demo that ran cold",IF(AND(ISNUMBER(D10),E10="machine failed: demo waits for the reserve"),"score after the demo runs in the reserve","ok")))</f>
        <v/>
      </c>
    </row>
    <row r="11">
      <c r="A11" s="9" t="inlineStr">
        <is>
          <t>G3</t>
        </is>
      </c>
      <c r="B11" s="9" t="n">
        <v>1</v>
      </c>
      <c r="C11" s="10" t="inlineStr">
        <is>
          <t>Y</t>
        </is>
      </c>
      <c r="D11" s="10" t="n"/>
      <c r="E11" s="9">
        <f>IF(INDEX(Groups!$E$3:$E$11,MATCH(A11,Groups!$A$3:$A$11,0))="","",INDEX(Groups!$E$3:$E$11,MATCH(A11,Groups!$A$3:$A$11,0)))</f>
        <v/>
      </c>
      <c r="F11" s="9">
        <f>INDEX(Groups!$J$3:$J$11,MATCH(A11,Groups!$A$3:$A$11,0))</f>
        <v/>
      </c>
      <c r="G11" s="9">
        <f>IF(C11="N","absent",IF(OR(NOT(ISNUMBER(D11)),NOT(ISNUMBER(F11))),"incomplete",D11+F11))</f>
        <v/>
      </c>
      <c r="H11" s="9">
        <f>IF(AND(ISNUMBER(D11),OR(D11&gt;Rubric!$B$7,D11&lt;0)),"above a maximum or below zero",IF(AND(ISNUMBER(D11),E11="still failed: presented from the executed notebook",D11&gt;=Rubric!$B$7),"full marks need a demo that ran cold",IF(AND(ISNUMBER(D11),E11="machine failed: demo waits for the reserve"),"score after the demo runs in the reserve","ok")))</f>
        <v/>
      </c>
    </row>
    <row r="12">
      <c r="A12" s="9" t="inlineStr">
        <is>
          <t>G3</t>
        </is>
      </c>
      <c r="B12" s="9" t="n">
        <v>2</v>
      </c>
      <c r="C12" s="10" t="inlineStr">
        <is>
          <t>Y</t>
        </is>
      </c>
      <c r="D12" s="10" t="n"/>
      <c r="E12" s="9">
        <f>IF(INDEX(Groups!$E$3:$E$11,MATCH(A12,Groups!$A$3:$A$11,0))="","",INDEX(Groups!$E$3:$E$11,MATCH(A12,Groups!$A$3:$A$11,0)))</f>
        <v/>
      </c>
      <c r="F12" s="9">
        <f>INDEX(Groups!$J$3:$J$11,MATCH(A12,Groups!$A$3:$A$11,0))</f>
        <v/>
      </c>
      <c r="G12" s="9">
        <f>IF(C12="N","absent",IF(OR(NOT(ISNUMBER(D12)),NOT(ISNUMBER(F12))),"incomplete",D12+F12))</f>
        <v/>
      </c>
      <c r="H12" s="9">
        <f>IF(AND(ISNUMBER(D12),OR(D12&gt;Rubric!$B$7,D12&lt;0)),"above a maximum or below zero",IF(AND(ISNUMBER(D12),E12="still failed: presented from the executed notebook",D12&gt;=Rubric!$B$7),"full marks need a demo that ran cold",IF(AND(ISNUMBER(D12),E12="machine failed: demo waits for the reserve"),"score after the demo runs in the reserve","ok")))</f>
        <v/>
      </c>
    </row>
    <row r="13">
      <c r="A13" s="9" t="inlineStr">
        <is>
          <t>G3</t>
        </is>
      </c>
      <c r="B13" s="9" t="n">
        <v>3</v>
      </c>
      <c r="C13" s="10" t="inlineStr">
        <is>
          <t>Y</t>
        </is>
      </c>
      <c r="D13" s="10" t="n"/>
      <c r="E13" s="9">
        <f>IF(INDEX(Groups!$E$3:$E$11,MATCH(A13,Groups!$A$3:$A$11,0))="","",INDEX(Groups!$E$3:$E$11,MATCH(A13,Groups!$A$3:$A$11,0)))</f>
        <v/>
      </c>
      <c r="F13" s="9">
        <f>INDEX(Groups!$J$3:$J$11,MATCH(A13,Groups!$A$3:$A$11,0))</f>
        <v/>
      </c>
      <c r="G13" s="9">
        <f>IF(C13="N","absent",IF(OR(NOT(ISNUMBER(D13)),NOT(ISNUMBER(F13))),"incomplete",D13+F13))</f>
        <v/>
      </c>
      <c r="H13" s="9">
        <f>IF(AND(ISNUMBER(D13),OR(D13&gt;Rubric!$B$7,D13&lt;0)),"above a maximum or below zero",IF(AND(ISNUMBER(D13),E13="still failed: presented from the executed notebook",D13&gt;=Rubric!$B$7),"full marks need a demo that ran cold",IF(AND(ISNUMBER(D13),E13="machine failed: demo waits for the reserve"),"score after the demo runs in the reserve","ok")))</f>
        <v/>
      </c>
    </row>
    <row r="14">
      <c r="A14" s="9" t="inlineStr">
        <is>
          <t>G3</t>
        </is>
      </c>
      <c r="B14" s="9" t="n">
        <v>4</v>
      </c>
      <c r="C14" s="10" t="inlineStr">
        <is>
          <t>Y</t>
        </is>
      </c>
      <c r="D14" s="10" t="n"/>
      <c r="E14" s="9">
        <f>IF(INDEX(Groups!$E$3:$E$11,MATCH(A14,Groups!$A$3:$A$11,0))="","",INDEX(Groups!$E$3:$E$11,MATCH(A14,Groups!$A$3:$A$11,0)))</f>
        <v/>
      </c>
      <c r="F14" s="9">
        <f>INDEX(Groups!$J$3:$J$11,MATCH(A14,Groups!$A$3:$A$11,0))</f>
        <v/>
      </c>
      <c r="G14" s="9">
        <f>IF(C14="N","absent",IF(OR(NOT(ISNUMBER(D14)),NOT(ISNUMBER(F14))),"incomplete",D14+F14))</f>
        <v/>
      </c>
      <c r="H14" s="9">
        <f>IF(AND(ISNUMBER(D14),OR(D14&gt;Rubric!$B$7,D14&lt;0)),"above a maximum or below zero",IF(AND(ISNUMBER(D14),E14="still failed: presented from the executed notebook",D14&gt;=Rubric!$B$7),"full marks need a demo that ran cold",IF(AND(ISNUMBER(D14),E14="machine failed: demo waits for the reserve"),"score after the demo runs in the reserve","ok")))</f>
        <v/>
      </c>
    </row>
    <row r="15">
      <c r="A15" s="9" t="inlineStr">
        <is>
          <t>G4</t>
        </is>
      </c>
      <c r="B15" s="9" t="n">
        <v>1</v>
      </c>
      <c r="C15" s="10" t="inlineStr">
        <is>
          <t>Y</t>
        </is>
      </c>
      <c r="D15" s="10" t="n"/>
      <c r="E15" s="9">
        <f>IF(INDEX(Groups!$E$3:$E$11,MATCH(A15,Groups!$A$3:$A$11,0))="","",INDEX(Groups!$E$3:$E$11,MATCH(A15,Groups!$A$3:$A$11,0)))</f>
        <v/>
      </c>
      <c r="F15" s="9">
        <f>INDEX(Groups!$J$3:$J$11,MATCH(A15,Groups!$A$3:$A$11,0))</f>
        <v/>
      </c>
      <c r="G15" s="9">
        <f>IF(C15="N","absent",IF(OR(NOT(ISNUMBER(D15)),NOT(ISNUMBER(F15))),"incomplete",D15+F15))</f>
        <v/>
      </c>
      <c r="H15" s="9">
        <f>IF(AND(ISNUMBER(D15),OR(D15&gt;Rubric!$B$7,D15&lt;0)),"above a maximum or below zero",IF(AND(ISNUMBER(D15),E15="still failed: presented from the executed notebook",D15&gt;=Rubric!$B$7),"full marks need a demo that ran cold",IF(AND(ISNUMBER(D15),E15="machine failed: demo waits for the reserve"),"score after the demo runs in the reserve","ok")))</f>
        <v/>
      </c>
    </row>
    <row r="16">
      <c r="A16" s="9" t="inlineStr">
        <is>
          <t>G4</t>
        </is>
      </c>
      <c r="B16" s="9" t="n">
        <v>2</v>
      </c>
      <c r="C16" s="10" t="inlineStr">
        <is>
          <t>Y</t>
        </is>
      </c>
      <c r="D16" s="10" t="n"/>
      <c r="E16" s="9">
        <f>IF(INDEX(Groups!$E$3:$E$11,MATCH(A16,Groups!$A$3:$A$11,0))="","",INDEX(Groups!$E$3:$E$11,MATCH(A16,Groups!$A$3:$A$11,0)))</f>
        <v/>
      </c>
      <c r="F16" s="9">
        <f>INDEX(Groups!$J$3:$J$11,MATCH(A16,Groups!$A$3:$A$11,0))</f>
        <v/>
      </c>
      <c r="G16" s="9">
        <f>IF(C16="N","absent",IF(OR(NOT(ISNUMBER(D16)),NOT(ISNUMBER(F16))),"incomplete",D16+F16))</f>
        <v/>
      </c>
      <c r="H16" s="9">
        <f>IF(AND(ISNUMBER(D16),OR(D16&gt;Rubric!$B$7,D16&lt;0)),"above a maximum or below zero",IF(AND(ISNUMBER(D16),E16="still failed: presented from the executed notebook",D16&gt;=Rubric!$B$7),"full marks need a demo that ran cold",IF(AND(ISNUMBER(D16),E16="machine failed: demo waits for the reserve"),"score after the demo runs in the reserve","ok")))</f>
        <v/>
      </c>
    </row>
    <row r="17">
      <c r="A17" s="9" t="inlineStr">
        <is>
          <t>G4</t>
        </is>
      </c>
      <c r="B17" s="9" t="n">
        <v>3</v>
      </c>
      <c r="C17" s="10" t="inlineStr">
        <is>
          <t>Y</t>
        </is>
      </c>
      <c r="D17" s="10" t="n"/>
      <c r="E17" s="9">
        <f>IF(INDEX(Groups!$E$3:$E$11,MATCH(A17,Groups!$A$3:$A$11,0))="","",INDEX(Groups!$E$3:$E$11,MATCH(A17,Groups!$A$3:$A$11,0)))</f>
        <v/>
      </c>
      <c r="F17" s="9">
        <f>INDEX(Groups!$J$3:$J$11,MATCH(A17,Groups!$A$3:$A$11,0))</f>
        <v/>
      </c>
      <c r="G17" s="9">
        <f>IF(C17="N","absent",IF(OR(NOT(ISNUMBER(D17)),NOT(ISNUMBER(F17))),"incomplete",D17+F17))</f>
        <v/>
      </c>
      <c r="H17" s="9">
        <f>IF(AND(ISNUMBER(D17),OR(D17&gt;Rubric!$B$7,D17&lt;0)),"above a maximum or below zero",IF(AND(ISNUMBER(D17),E17="still failed: presented from the executed notebook",D17&gt;=Rubric!$B$7),"full marks need a demo that ran cold",IF(AND(ISNUMBER(D17),E17="machine failed: demo waits for the reserve"),"score after the demo runs in the reserve","ok")))</f>
        <v/>
      </c>
    </row>
    <row r="18">
      <c r="A18" s="9" t="inlineStr">
        <is>
          <t>G4</t>
        </is>
      </c>
      <c r="B18" s="9" t="n">
        <v>4</v>
      </c>
      <c r="C18" s="10" t="inlineStr">
        <is>
          <t>Y</t>
        </is>
      </c>
      <c r="D18" s="10" t="n"/>
      <c r="E18" s="9">
        <f>IF(INDEX(Groups!$E$3:$E$11,MATCH(A18,Groups!$A$3:$A$11,0))="","",INDEX(Groups!$E$3:$E$11,MATCH(A18,Groups!$A$3:$A$11,0)))</f>
        <v/>
      </c>
      <c r="F18" s="9">
        <f>INDEX(Groups!$J$3:$J$11,MATCH(A18,Groups!$A$3:$A$11,0))</f>
        <v/>
      </c>
      <c r="G18" s="9">
        <f>IF(C18="N","absent",IF(OR(NOT(ISNUMBER(D18)),NOT(ISNUMBER(F18))),"incomplete",D18+F18))</f>
        <v/>
      </c>
      <c r="H18" s="9">
        <f>IF(AND(ISNUMBER(D18),OR(D18&gt;Rubric!$B$7,D18&lt;0)),"above a maximum or below zero",IF(AND(ISNUMBER(D18),E18="still failed: presented from the executed notebook",D18&gt;=Rubric!$B$7),"full marks need a demo that ran cold",IF(AND(ISNUMBER(D18),E18="machine failed: demo waits for the reserve"),"score after the demo runs in the reserve","ok")))</f>
        <v/>
      </c>
    </row>
    <row r="19">
      <c r="A19" s="9" t="inlineStr">
        <is>
          <t>G5</t>
        </is>
      </c>
      <c r="B19" s="9" t="n">
        <v>1</v>
      </c>
      <c r="C19" s="10" t="inlineStr">
        <is>
          <t>Y</t>
        </is>
      </c>
      <c r="D19" s="10" t="n"/>
      <c r="E19" s="9">
        <f>IF(INDEX(Groups!$E$3:$E$11,MATCH(A19,Groups!$A$3:$A$11,0))="","",INDEX(Groups!$E$3:$E$11,MATCH(A19,Groups!$A$3:$A$11,0)))</f>
        <v/>
      </c>
      <c r="F19" s="9">
        <f>INDEX(Groups!$J$3:$J$11,MATCH(A19,Groups!$A$3:$A$11,0))</f>
        <v/>
      </c>
      <c r="G19" s="9">
        <f>IF(C19="N","absent",IF(OR(NOT(ISNUMBER(D19)),NOT(ISNUMBER(F19))),"incomplete",D19+F19))</f>
        <v/>
      </c>
      <c r="H19" s="9">
        <f>IF(AND(ISNUMBER(D19),OR(D19&gt;Rubric!$B$7,D19&lt;0)),"above a maximum or below zero",IF(AND(ISNUMBER(D19),E19="still failed: presented from the executed notebook",D19&gt;=Rubric!$B$7),"full marks need a demo that ran cold",IF(AND(ISNUMBER(D19),E19="machine failed: demo waits for the reserve"),"score after the demo runs in the reserve","ok")))</f>
        <v/>
      </c>
    </row>
    <row r="20">
      <c r="A20" s="9" t="inlineStr">
        <is>
          <t>G5</t>
        </is>
      </c>
      <c r="B20" s="9" t="n">
        <v>2</v>
      </c>
      <c r="C20" s="10" t="inlineStr">
        <is>
          <t>Y</t>
        </is>
      </c>
      <c r="D20" s="10" t="n"/>
      <c r="E20" s="9">
        <f>IF(INDEX(Groups!$E$3:$E$11,MATCH(A20,Groups!$A$3:$A$11,0))="","",INDEX(Groups!$E$3:$E$11,MATCH(A20,Groups!$A$3:$A$11,0)))</f>
        <v/>
      </c>
      <c r="F20" s="9">
        <f>INDEX(Groups!$J$3:$J$11,MATCH(A20,Groups!$A$3:$A$11,0))</f>
        <v/>
      </c>
      <c r="G20" s="9">
        <f>IF(C20="N","absent",IF(OR(NOT(ISNUMBER(D20)),NOT(ISNUMBER(F20))),"incomplete",D20+F20))</f>
        <v/>
      </c>
      <c r="H20" s="9">
        <f>IF(AND(ISNUMBER(D20),OR(D20&gt;Rubric!$B$7,D20&lt;0)),"above a maximum or below zero",IF(AND(ISNUMBER(D20),E20="still failed: presented from the executed notebook",D20&gt;=Rubric!$B$7),"full marks need a demo that ran cold",IF(AND(ISNUMBER(D20),E20="machine failed: demo waits for the reserve"),"score after the demo runs in the reserve","ok")))</f>
        <v/>
      </c>
    </row>
    <row r="21">
      <c r="A21" s="9" t="inlineStr">
        <is>
          <t>G5</t>
        </is>
      </c>
      <c r="B21" s="9" t="n">
        <v>3</v>
      </c>
      <c r="C21" s="10" t="inlineStr">
        <is>
          <t>Y</t>
        </is>
      </c>
      <c r="D21" s="10" t="n"/>
      <c r="E21" s="9">
        <f>IF(INDEX(Groups!$E$3:$E$11,MATCH(A21,Groups!$A$3:$A$11,0))="","",INDEX(Groups!$E$3:$E$11,MATCH(A21,Groups!$A$3:$A$11,0)))</f>
        <v/>
      </c>
      <c r="F21" s="9">
        <f>INDEX(Groups!$J$3:$J$11,MATCH(A21,Groups!$A$3:$A$11,0))</f>
        <v/>
      </c>
      <c r="G21" s="9">
        <f>IF(C21="N","absent",IF(OR(NOT(ISNUMBER(D21)),NOT(ISNUMBER(F21))),"incomplete",D21+F21))</f>
        <v/>
      </c>
      <c r="H21" s="9">
        <f>IF(AND(ISNUMBER(D21),OR(D21&gt;Rubric!$B$7,D21&lt;0)),"above a maximum or below zero",IF(AND(ISNUMBER(D21),E21="still failed: presented from the executed notebook",D21&gt;=Rubric!$B$7),"full marks need a demo that ran cold",IF(AND(ISNUMBER(D21),E21="machine failed: demo waits for the reserve"),"score after the demo runs in the reserve","ok")))</f>
        <v/>
      </c>
    </row>
    <row r="22">
      <c r="A22" s="9" t="inlineStr">
        <is>
          <t>G5</t>
        </is>
      </c>
      <c r="B22" s="9" t="n">
        <v>4</v>
      </c>
      <c r="C22" s="10" t="inlineStr">
        <is>
          <t>Y</t>
        </is>
      </c>
      <c r="D22" s="10" t="n"/>
      <c r="E22" s="9">
        <f>IF(INDEX(Groups!$E$3:$E$11,MATCH(A22,Groups!$A$3:$A$11,0))="","",INDEX(Groups!$E$3:$E$11,MATCH(A22,Groups!$A$3:$A$11,0)))</f>
        <v/>
      </c>
      <c r="F22" s="9">
        <f>INDEX(Groups!$J$3:$J$11,MATCH(A22,Groups!$A$3:$A$11,0))</f>
        <v/>
      </c>
      <c r="G22" s="9">
        <f>IF(C22="N","absent",IF(OR(NOT(ISNUMBER(D22)),NOT(ISNUMBER(F22))),"incomplete",D22+F22))</f>
        <v/>
      </c>
      <c r="H22" s="9">
        <f>IF(AND(ISNUMBER(D22),OR(D22&gt;Rubric!$B$7,D22&lt;0)),"above a maximum or below zero",IF(AND(ISNUMBER(D22),E22="still failed: presented from the executed notebook",D22&gt;=Rubric!$B$7),"full marks need a demo that ran cold",IF(AND(ISNUMBER(D22),E22="machine failed: demo waits for the reserve"),"score after the demo runs in the reserve","ok")))</f>
        <v/>
      </c>
    </row>
    <row r="23">
      <c r="A23" s="9" t="inlineStr">
        <is>
          <t>G6</t>
        </is>
      </c>
      <c r="B23" s="9" t="n">
        <v>1</v>
      </c>
      <c r="C23" s="10" t="inlineStr">
        <is>
          <t>Y</t>
        </is>
      </c>
      <c r="D23" s="10" t="n"/>
      <c r="E23" s="9">
        <f>IF(INDEX(Groups!$E$3:$E$11,MATCH(A23,Groups!$A$3:$A$11,0))="","",INDEX(Groups!$E$3:$E$11,MATCH(A23,Groups!$A$3:$A$11,0)))</f>
        <v/>
      </c>
      <c r="F23" s="9">
        <f>INDEX(Groups!$J$3:$J$11,MATCH(A23,Groups!$A$3:$A$11,0))</f>
        <v/>
      </c>
      <c r="G23" s="9">
        <f>IF(C23="N","absent",IF(OR(NOT(ISNUMBER(D23)),NOT(ISNUMBER(F23))),"incomplete",D23+F23))</f>
        <v/>
      </c>
      <c r="H23" s="9">
        <f>IF(AND(ISNUMBER(D23),OR(D23&gt;Rubric!$B$7,D23&lt;0)),"above a maximum or below zero",IF(AND(ISNUMBER(D23),E23="still failed: presented from the executed notebook",D23&gt;=Rubric!$B$7),"full marks need a demo that ran cold",IF(AND(ISNUMBER(D23),E23="machine failed: demo waits for the reserve"),"score after the demo runs in the reserve","ok")))</f>
        <v/>
      </c>
    </row>
    <row r="24">
      <c r="A24" s="9" t="inlineStr">
        <is>
          <t>G6</t>
        </is>
      </c>
      <c r="B24" s="9" t="n">
        <v>2</v>
      </c>
      <c r="C24" s="10" t="inlineStr">
        <is>
          <t>Y</t>
        </is>
      </c>
      <c r="D24" s="10" t="n"/>
      <c r="E24" s="9">
        <f>IF(INDEX(Groups!$E$3:$E$11,MATCH(A24,Groups!$A$3:$A$11,0))="","",INDEX(Groups!$E$3:$E$11,MATCH(A24,Groups!$A$3:$A$11,0)))</f>
        <v/>
      </c>
      <c r="F24" s="9">
        <f>INDEX(Groups!$J$3:$J$11,MATCH(A24,Groups!$A$3:$A$11,0))</f>
        <v/>
      </c>
      <c r="G24" s="9">
        <f>IF(C24="N","absent",IF(OR(NOT(ISNUMBER(D24)),NOT(ISNUMBER(F24))),"incomplete",D24+F24))</f>
        <v/>
      </c>
      <c r="H24" s="9">
        <f>IF(AND(ISNUMBER(D24),OR(D24&gt;Rubric!$B$7,D24&lt;0)),"above a maximum or below zero",IF(AND(ISNUMBER(D24),E24="still failed: presented from the executed notebook",D24&gt;=Rubric!$B$7),"full marks need a demo that ran cold",IF(AND(ISNUMBER(D24),E24="machine failed: demo waits for the reserve"),"score after the demo runs in the reserve","ok")))</f>
        <v/>
      </c>
    </row>
    <row r="25">
      <c r="A25" s="9" t="inlineStr">
        <is>
          <t>G6</t>
        </is>
      </c>
      <c r="B25" s="9" t="n">
        <v>3</v>
      </c>
      <c r="C25" s="10" t="inlineStr">
        <is>
          <t>Y</t>
        </is>
      </c>
      <c r="D25" s="10" t="n"/>
      <c r="E25" s="9">
        <f>IF(INDEX(Groups!$E$3:$E$11,MATCH(A25,Groups!$A$3:$A$11,0))="","",INDEX(Groups!$E$3:$E$11,MATCH(A25,Groups!$A$3:$A$11,0)))</f>
        <v/>
      </c>
      <c r="F25" s="9">
        <f>INDEX(Groups!$J$3:$J$11,MATCH(A25,Groups!$A$3:$A$11,0))</f>
        <v/>
      </c>
      <c r="G25" s="9">
        <f>IF(C25="N","absent",IF(OR(NOT(ISNUMBER(D25)),NOT(ISNUMBER(F25))),"incomplete",D25+F25))</f>
        <v/>
      </c>
      <c r="H25" s="9">
        <f>IF(AND(ISNUMBER(D25),OR(D25&gt;Rubric!$B$7,D25&lt;0)),"above a maximum or below zero",IF(AND(ISNUMBER(D25),E25="still failed: presented from the executed notebook",D25&gt;=Rubric!$B$7),"full marks need a demo that ran cold",IF(AND(ISNUMBER(D25),E25="machine failed: demo waits for the reserve"),"score after the demo runs in the reserve","ok")))</f>
        <v/>
      </c>
    </row>
    <row r="26">
      <c r="A26" s="9" t="inlineStr">
        <is>
          <t>G6</t>
        </is>
      </c>
      <c r="B26" s="9" t="n">
        <v>4</v>
      </c>
      <c r="C26" s="10" t="inlineStr">
        <is>
          <t>Y</t>
        </is>
      </c>
      <c r="D26" s="10" t="n"/>
      <c r="E26" s="9">
        <f>IF(INDEX(Groups!$E$3:$E$11,MATCH(A26,Groups!$A$3:$A$11,0))="","",INDEX(Groups!$E$3:$E$11,MATCH(A26,Groups!$A$3:$A$11,0)))</f>
        <v/>
      </c>
      <c r="F26" s="9">
        <f>INDEX(Groups!$J$3:$J$11,MATCH(A26,Groups!$A$3:$A$11,0))</f>
        <v/>
      </c>
      <c r="G26" s="9">
        <f>IF(C26="N","absent",IF(OR(NOT(ISNUMBER(D26)),NOT(ISNUMBER(F26))),"incomplete",D26+F26))</f>
        <v/>
      </c>
      <c r="H26" s="9">
        <f>IF(AND(ISNUMBER(D26),OR(D26&gt;Rubric!$B$7,D26&lt;0)),"above a maximum or below zero",IF(AND(ISNUMBER(D26),E26="still failed: presented from the executed notebook",D26&gt;=Rubric!$B$7),"full marks need a demo that ran cold",IF(AND(ISNUMBER(D26),E26="machine failed: demo waits for the reserve"),"score after the demo runs in the reserve","ok")))</f>
        <v/>
      </c>
    </row>
    <row r="27">
      <c r="A27" s="9" t="inlineStr">
        <is>
          <t>G7</t>
        </is>
      </c>
      <c r="B27" s="9" t="n">
        <v>1</v>
      </c>
      <c r="C27" s="10" t="inlineStr">
        <is>
          <t>Y</t>
        </is>
      </c>
      <c r="D27" s="10" t="n"/>
      <c r="E27" s="9">
        <f>IF(INDEX(Groups!$E$3:$E$11,MATCH(A27,Groups!$A$3:$A$11,0))="","",INDEX(Groups!$E$3:$E$11,MATCH(A27,Groups!$A$3:$A$11,0)))</f>
        <v/>
      </c>
      <c r="F27" s="9">
        <f>INDEX(Groups!$J$3:$J$11,MATCH(A27,Groups!$A$3:$A$11,0))</f>
        <v/>
      </c>
      <c r="G27" s="9">
        <f>IF(C27="N","absent",IF(OR(NOT(ISNUMBER(D27)),NOT(ISNUMBER(F27))),"incomplete",D27+F27))</f>
        <v/>
      </c>
      <c r="H27" s="9">
        <f>IF(AND(ISNUMBER(D27),OR(D27&gt;Rubric!$B$7,D27&lt;0)),"above a maximum or below zero",IF(AND(ISNUMBER(D27),E27="still failed: presented from the executed notebook",D27&gt;=Rubric!$B$7),"full marks need a demo that ran cold",IF(AND(ISNUMBER(D27),E27="machine failed: demo waits for the reserve"),"score after the demo runs in the reserve","ok")))</f>
        <v/>
      </c>
    </row>
    <row r="28">
      <c r="A28" s="9" t="inlineStr">
        <is>
          <t>G7</t>
        </is>
      </c>
      <c r="B28" s="9" t="n">
        <v>2</v>
      </c>
      <c r="C28" s="10" t="inlineStr">
        <is>
          <t>Y</t>
        </is>
      </c>
      <c r="D28" s="10" t="n"/>
      <c r="E28" s="9">
        <f>IF(INDEX(Groups!$E$3:$E$11,MATCH(A28,Groups!$A$3:$A$11,0))="","",INDEX(Groups!$E$3:$E$11,MATCH(A28,Groups!$A$3:$A$11,0)))</f>
        <v/>
      </c>
      <c r="F28" s="9">
        <f>INDEX(Groups!$J$3:$J$11,MATCH(A28,Groups!$A$3:$A$11,0))</f>
        <v/>
      </c>
      <c r="G28" s="9">
        <f>IF(C28="N","absent",IF(OR(NOT(ISNUMBER(D28)),NOT(ISNUMBER(F28))),"incomplete",D28+F28))</f>
        <v/>
      </c>
      <c r="H28" s="9">
        <f>IF(AND(ISNUMBER(D28),OR(D28&gt;Rubric!$B$7,D28&lt;0)),"above a maximum or below zero",IF(AND(ISNUMBER(D28),E28="still failed: presented from the executed notebook",D28&gt;=Rubric!$B$7),"full marks need a demo that ran cold",IF(AND(ISNUMBER(D28),E28="machine failed: demo waits for the reserve"),"score after the demo runs in the reserve","ok")))</f>
        <v/>
      </c>
    </row>
    <row r="29">
      <c r="A29" s="9" t="inlineStr">
        <is>
          <t>G7</t>
        </is>
      </c>
      <c r="B29" s="9" t="n">
        <v>3</v>
      </c>
      <c r="C29" s="10" t="inlineStr">
        <is>
          <t>Y</t>
        </is>
      </c>
      <c r="D29" s="10" t="n"/>
      <c r="E29" s="9">
        <f>IF(INDEX(Groups!$E$3:$E$11,MATCH(A29,Groups!$A$3:$A$11,0))="","",INDEX(Groups!$E$3:$E$11,MATCH(A29,Groups!$A$3:$A$11,0)))</f>
        <v/>
      </c>
      <c r="F29" s="9">
        <f>INDEX(Groups!$J$3:$J$11,MATCH(A29,Groups!$A$3:$A$11,0))</f>
        <v/>
      </c>
      <c r="G29" s="9">
        <f>IF(C29="N","absent",IF(OR(NOT(ISNUMBER(D29)),NOT(ISNUMBER(F29))),"incomplete",D29+F29))</f>
        <v/>
      </c>
      <c r="H29" s="9">
        <f>IF(AND(ISNUMBER(D29),OR(D29&gt;Rubric!$B$7,D29&lt;0)),"above a maximum or below zero",IF(AND(ISNUMBER(D29),E29="still failed: presented from the executed notebook",D29&gt;=Rubric!$B$7),"full marks need a demo that ran cold",IF(AND(ISNUMBER(D29),E29="machine failed: demo waits for the reserve"),"score after the demo runs in the reserve","ok")))</f>
        <v/>
      </c>
    </row>
    <row r="30">
      <c r="A30" s="9" t="inlineStr">
        <is>
          <t>G7</t>
        </is>
      </c>
      <c r="B30" s="9" t="n">
        <v>4</v>
      </c>
      <c r="C30" s="10" t="inlineStr">
        <is>
          <t>Y</t>
        </is>
      </c>
      <c r="D30" s="10" t="n"/>
      <c r="E30" s="9">
        <f>IF(INDEX(Groups!$E$3:$E$11,MATCH(A30,Groups!$A$3:$A$11,0))="","",INDEX(Groups!$E$3:$E$11,MATCH(A30,Groups!$A$3:$A$11,0)))</f>
        <v/>
      </c>
      <c r="F30" s="9">
        <f>INDEX(Groups!$J$3:$J$11,MATCH(A30,Groups!$A$3:$A$11,0))</f>
        <v/>
      </c>
      <c r="G30" s="9">
        <f>IF(C30="N","absent",IF(OR(NOT(ISNUMBER(D30)),NOT(ISNUMBER(F30))),"incomplete",D30+F30))</f>
        <v/>
      </c>
      <c r="H30" s="9">
        <f>IF(AND(ISNUMBER(D30),OR(D30&gt;Rubric!$B$7,D30&lt;0)),"above a maximum or below zero",IF(AND(ISNUMBER(D30),E30="still failed: presented from the executed notebook",D30&gt;=Rubric!$B$7),"full marks need a demo that ran cold",IF(AND(ISNUMBER(D30),E30="machine failed: demo waits for the reserve"),"score after the demo runs in the reserve","ok")))</f>
        <v/>
      </c>
    </row>
    <row r="31">
      <c r="A31" s="9" t="inlineStr">
        <is>
          <t>G8</t>
        </is>
      </c>
      <c r="B31" s="9" t="n">
        <v>1</v>
      </c>
      <c r="C31" s="10" t="inlineStr">
        <is>
          <t>Y</t>
        </is>
      </c>
      <c r="D31" s="10" t="n"/>
      <c r="E31" s="9">
        <f>IF(INDEX(Groups!$E$3:$E$11,MATCH(A31,Groups!$A$3:$A$11,0))="","",INDEX(Groups!$E$3:$E$11,MATCH(A31,Groups!$A$3:$A$11,0)))</f>
        <v/>
      </c>
      <c r="F31" s="9">
        <f>INDEX(Groups!$J$3:$J$11,MATCH(A31,Groups!$A$3:$A$11,0))</f>
        <v/>
      </c>
      <c r="G31" s="9">
        <f>IF(C31="N","absent",IF(OR(NOT(ISNUMBER(D31)),NOT(ISNUMBER(F31))),"incomplete",D31+F31))</f>
        <v/>
      </c>
      <c r="H31" s="9">
        <f>IF(AND(ISNUMBER(D31),OR(D31&gt;Rubric!$B$7,D31&lt;0)),"above a maximum or below zero",IF(AND(ISNUMBER(D31),E31="still failed: presented from the executed notebook",D31&gt;=Rubric!$B$7),"full marks need a demo that ran cold",IF(AND(ISNUMBER(D31),E31="machine failed: demo waits for the reserve"),"score after the demo runs in the reserve","ok")))</f>
        <v/>
      </c>
    </row>
    <row r="32">
      <c r="A32" s="9" t="inlineStr">
        <is>
          <t>G8</t>
        </is>
      </c>
      <c r="B32" s="9" t="n">
        <v>2</v>
      </c>
      <c r="C32" s="10" t="inlineStr">
        <is>
          <t>Y</t>
        </is>
      </c>
      <c r="D32" s="10" t="n"/>
      <c r="E32" s="9">
        <f>IF(INDEX(Groups!$E$3:$E$11,MATCH(A32,Groups!$A$3:$A$11,0))="","",INDEX(Groups!$E$3:$E$11,MATCH(A32,Groups!$A$3:$A$11,0)))</f>
        <v/>
      </c>
      <c r="F32" s="9">
        <f>INDEX(Groups!$J$3:$J$11,MATCH(A32,Groups!$A$3:$A$11,0))</f>
        <v/>
      </c>
      <c r="G32" s="9">
        <f>IF(C32="N","absent",IF(OR(NOT(ISNUMBER(D32)),NOT(ISNUMBER(F32))),"incomplete",D32+F32))</f>
        <v/>
      </c>
      <c r="H32" s="9">
        <f>IF(AND(ISNUMBER(D32),OR(D32&gt;Rubric!$B$7,D32&lt;0)),"above a maximum or below zero",IF(AND(ISNUMBER(D32),E32="still failed: presented from the executed notebook",D32&gt;=Rubric!$B$7),"full marks need a demo that ran cold",IF(AND(ISNUMBER(D32),E32="machine failed: demo waits for the reserve"),"score after the demo runs in the reserve","ok")))</f>
        <v/>
      </c>
    </row>
    <row r="33">
      <c r="A33" s="9" t="inlineStr">
        <is>
          <t>G8</t>
        </is>
      </c>
      <c r="B33" s="9" t="n">
        <v>3</v>
      </c>
      <c r="C33" s="10" t="inlineStr">
        <is>
          <t>Y</t>
        </is>
      </c>
      <c r="D33" s="10" t="n"/>
      <c r="E33" s="9">
        <f>IF(INDEX(Groups!$E$3:$E$11,MATCH(A33,Groups!$A$3:$A$11,0))="","",INDEX(Groups!$E$3:$E$11,MATCH(A33,Groups!$A$3:$A$11,0)))</f>
        <v/>
      </c>
      <c r="F33" s="9">
        <f>INDEX(Groups!$J$3:$J$11,MATCH(A33,Groups!$A$3:$A$11,0))</f>
        <v/>
      </c>
      <c r="G33" s="9">
        <f>IF(C33="N","absent",IF(OR(NOT(ISNUMBER(D33)),NOT(ISNUMBER(F33))),"incomplete",D33+F33))</f>
        <v/>
      </c>
      <c r="H33" s="9">
        <f>IF(AND(ISNUMBER(D33),OR(D33&gt;Rubric!$B$7,D33&lt;0)),"above a maximum or below zero",IF(AND(ISNUMBER(D33),E33="still failed: presented from the executed notebook",D33&gt;=Rubric!$B$7),"full marks need a demo that ran cold",IF(AND(ISNUMBER(D33),E33="machine failed: demo waits for the reserve"),"score after the demo runs in the reserve","ok")))</f>
        <v/>
      </c>
    </row>
    <row r="34">
      <c r="A34" s="9" t="inlineStr">
        <is>
          <t>G8</t>
        </is>
      </c>
      <c r="B34" s="9" t="n">
        <v>4</v>
      </c>
      <c r="C34" s="10" t="inlineStr">
        <is>
          <t>Y</t>
        </is>
      </c>
      <c r="D34" s="10" t="n"/>
      <c r="E34" s="9">
        <f>IF(INDEX(Groups!$E$3:$E$11,MATCH(A34,Groups!$A$3:$A$11,0))="","",INDEX(Groups!$E$3:$E$11,MATCH(A34,Groups!$A$3:$A$11,0)))</f>
        <v/>
      </c>
      <c r="F34" s="9">
        <f>INDEX(Groups!$J$3:$J$11,MATCH(A34,Groups!$A$3:$A$11,0))</f>
        <v/>
      </c>
      <c r="G34" s="9">
        <f>IF(C34="N","absent",IF(OR(NOT(ISNUMBER(D34)),NOT(ISNUMBER(F34))),"incomplete",D34+F34))</f>
        <v/>
      </c>
      <c r="H34" s="9">
        <f>IF(AND(ISNUMBER(D34),OR(D34&gt;Rubric!$B$7,D34&lt;0)),"above a maximum or below zero",IF(AND(ISNUMBER(D34),E34="still failed: presented from the executed notebook",D34&gt;=Rubric!$B$7),"full marks need a demo that ran cold",IF(AND(ISNUMBER(D34),E34="machine failed: demo waits for the reserve"),"score after the demo runs in the reserve","ok")))</f>
        <v/>
      </c>
    </row>
    <row r="35">
      <c r="A35" s="9" t="inlineStr">
        <is>
          <t>G9</t>
        </is>
      </c>
      <c r="B35" s="9" t="n">
        <v>1</v>
      </c>
      <c r="C35" s="10" t="inlineStr">
        <is>
          <t>Y</t>
        </is>
      </c>
      <c r="D35" s="10" t="n"/>
      <c r="E35" s="9">
        <f>IF(INDEX(Groups!$E$3:$E$11,MATCH(A35,Groups!$A$3:$A$11,0))="","",INDEX(Groups!$E$3:$E$11,MATCH(A35,Groups!$A$3:$A$11,0)))</f>
        <v/>
      </c>
      <c r="F35" s="9">
        <f>INDEX(Groups!$J$3:$J$11,MATCH(A35,Groups!$A$3:$A$11,0))</f>
        <v/>
      </c>
      <c r="G35" s="9">
        <f>IF(C35="N","absent",IF(OR(NOT(ISNUMBER(D35)),NOT(ISNUMBER(F35))),"incomplete",D35+F35))</f>
        <v/>
      </c>
      <c r="H35" s="9">
        <f>IF(AND(ISNUMBER(D35),OR(D35&gt;Rubric!$B$7,D35&lt;0)),"above a maximum or below zero",IF(AND(ISNUMBER(D35),E35="still failed: presented from the executed notebook",D35&gt;=Rubric!$B$7),"full marks need a demo that ran cold",IF(AND(ISNUMBER(D35),E35="machine failed: demo waits for the reserve"),"score after the demo runs in the reserve","ok")))</f>
        <v/>
      </c>
    </row>
    <row r="36">
      <c r="A36" s="9" t="inlineStr">
        <is>
          <t>G9</t>
        </is>
      </c>
      <c r="B36" s="9" t="n">
        <v>2</v>
      </c>
      <c r="C36" s="10" t="inlineStr">
        <is>
          <t>Y</t>
        </is>
      </c>
      <c r="D36" s="10" t="n"/>
      <c r="E36" s="9">
        <f>IF(INDEX(Groups!$E$3:$E$11,MATCH(A36,Groups!$A$3:$A$11,0))="","",INDEX(Groups!$E$3:$E$11,MATCH(A36,Groups!$A$3:$A$11,0)))</f>
        <v/>
      </c>
      <c r="F36" s="9">
        <f>INDEX(Groups!$J$3:$J$11,MATCH(A36,Groups!$A$3:$A$11,0))</f>
        <v/>
      </c>
      <c r="G36" s="9">
        <f>IF(C36="N","absent",IF(OR(NOT(ISNUMBER(D36)),NOT(ISNUMBER(F36))),"incomplete",D36+F36))</f>
        <v/>
      </c>
      <c r="H36" s="9">
        <f>IF(AND(ISNUMBER(D36),OR(D36&gt;Rubric!$B$7,D36&lt;0)),"above a maximum or below zero",IF(AND(ISNUMBER(D36),E36="still failed: presented from the executed notebook",D36&gt;=Rubric!$B$7),"full marks need a demo that ran cold",IF(AND(ISNUMBER(D36),E36="machine failed: demo waits for the reserve"),"score after the demo runs in the reserve","ok")))</f>
        <v/>
      </c>
    </row>
    <row r="37">
      <c r="A37" s="9" t="inlineStr">
        <is>
          <t>G9</t>
        </is>
      </c>
      <c r="B37" s="9" t="n">
        <v>3</v>
      </c>
      <c r="C37" s="10" t="inlineStr">
        <is>
          <t>Y</t>
        </is>
      </c>
      <c r="D37" s="10" t="n"/>
      <c r="E37" s="9">
        <f>IF(INDEX(Groups!$E$3:$E$11,MATCH(A37,Groups!$A$3:$A$11,0))="","",INDEX(Groups!$E$3:$E$11,MATCH(A37,Groups!$A$3:$A$11,0)))</f>
        <v/>
      </c>
      <c r="F37" s="9">
        <f>INDEX(Groups!$J$3:$J$11,MATCH(A37,Groups!$A$3:$A$11,0))</f>
        <v/>
      </c>
      <c r="G37" s="9">
        <f>IF(C37="N","absent",IF(OR(NOT(ISNUMBER(D37)),NOT(ISNUMBER(F37))),"incomplete",D37+F37))</f>
        <v/>
      </c>
      <c r="H37" s="9">
        <f>IF(AND(ISNUMBER(D37),OR(D37&gt;Rubric!$B$7,D37&lt;0)),"above a maximum or below zero",IF(AND(ISNUMBER(D37),E37="still failed: presented from the executed notebook",D37&gt;=Rubric!$B$7),"full marks need a demo that ran cold",IF(AND(ISNUMBER(D37),E37="machine failed: demo waits for the reserve"),"score after the demo runs in the reserve","ok")))</f>
        <v/>
      </c>
    </row>
  </sheetData>
  <dataValidations count="1">
    <dataValidation sqref="C3 C4 C5 C6 C7 C8 C9 C10 C11 C12 C13 C14 C15 C16 C17 C18 C19 C20 C21 C22 C23 C24 C25 C26 C27 C28 C29 C30 C31 C32 C33 C34 C35 C36 C37" showDropDown="0" showInputMessage="0" showErrorMessage="0" allowBlank="0" type="list">
      <formula1>"Y,N"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64" customWidth="1" min="1" max="1"/>
    <col width="60" customWidth="1" min="2" max="2"/>
  </cols>
  <sheetData>
    <row r="1">
      <c r="A1" s="4" t="inlineStr">
        <is>
          <t>Summary: is every learner in use scored, inside the rubric and inside the demo rule?</t>
        </is>
      </c>
    </row>
    <row r="2">
      <c r="A2" s="5" t="inlineStr">
        <is>
          <t>What</t>
        </is>
      </c>
      <c r="B2" s="5" t="inlineStr">
        <is>
          <t>Result</t>
        </is>
      </c>
    </row>
    <row r="3">
      <c r="A3" s="11" t="inlineStr">
        <is>
          <t>Seats in use</t>
        </is>
      </c>
      <c r="B3" s="7">
        <f>COUNTIF(Learners!C3:C37,"Y")</f>
        <v/>
      </c>
    </row>
    <row r="4">
      <c r="A4" s="11" t="inlineStr">
        <is>
          <t>Learners fully scored</t>
        </is>
      </c>
      <c r="B4" s="7">
        <f>COUNT(Learners!G3:G37)</f>
        <v/>
      </c>
    </row>
    <row r="5">
      <c r="A5" s="11" t="inlineStr">
        <is>
          <t>Groups with all four group criteria scored</t>
        </is>
      </c>
      <c r="B5" s="7">
        <f>COUNT(Groups!J3:J11)</f>
        <v/>
      </c>
    </row>
    <row r="6">
      <c r="A6" s="11" t="inlineStr">
        <is>
          <t>Scores above a criterion's maximum or below zero</t>
        </is>
      </c>
      <c r="B6" s="7">
        <f>COUNTIF(Groups!K3:K11,"above*")+COUNTIF(Learners!H3:H37,"above*")</f>
        <v/>
      </c>
    </row>
    <row r="7">
      <c r="A7" s="11" t="inlineStr">
        <is>
          <t>Presentation and defence scores that break the demo rule</t>
        </is>
      </c>
      <c r="B7" s="7">
        <f>COUNTIF(Learners!H3:H37,"full marks*")</f>
        <v/>
      </c>
    </row>
    <row r="8">
      <c r="A8" s="11" t="inlineStr">
        <is>
          <t>Presentation and defence scores waiting for a demo in the reserve</t>
        </is>
      </c>
      <c r="B8" s="7">
        <f>COUNTIF(Learners!H3:H37,"score after*")</f>
        <v/>
      </c>
    </row>
    <row r="9">
      <c r="A9" s="11" t="inlineStr">
        <is>
          <t>Groups scored with no demo outcome recorded</t>
        </is>
      </c>
      <c r="B9" s="7">
        <f>COUNTIF(Groups!K3:K11,"record*")</f>
        <v/>
      </c>
    </row>
    <row r="10">
      <c r="A10" s="11" t="inlineStr">
        <is>
          <t>Rubric total check</t>
        </is>
      </c>
      <c r="B10" s="7">
        <f>IF(Rubric!$B$8=40,"the rubric adds to 40","the rubric adds to "&amp;Rubric!$B$8&amp;", not 40")</f>
        <v/>
      </c>
    </row>
    <row r="11">
      <c r="A11" s="11" t="inlineStr">
        <is>
          <t>Group part check</t>
        </is>
      </c>
      <c r="B11" s="7">
        <f>IF(Rubric!$B$9=34,"the group part adds to 34","the group part adds to "&amp;Rubric!$B$9&amp;", not 34")</f>
        <v/>
      </c>
    </row>
    <row r="12">
      <c r="A12" s="12" t="inlineStr">
        <is>
          <t>Verdict</t>
        </is>
      </c>
      <c r="B12" s="13">
        <f>IF(B6&gt;0,B6&amp;" score(s) outside the rubric",IF(B7&gt;0,B7&amp;" score(s) break the demo rule",IF(B8&gt;0,B8&amp;" score(s) wait for a demo in the reserve",IF(B9&gt;0,B9&amp;" group(s) need the demo's outcome",IF(B4=B3,"every learner in use is scored",B3-B4&amp;" learners still to score")))))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2026-10-01T11:58:05Z</dcterms:created>
  <dcterms:modified xmlns:dcterms="http://purl.org/dc/terms/" xmlns:xsi="http://www.w3.org/2001/XMLSchema-instance" xsi:type="dcterms:W3CDTF">2026-10-01T11:58:05Z</dcterms:modified>
</cp:coreProperties>
</file>