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ubric" sheetId="2" state="visible" r:id="rId4"/>
    <sheet name="Groups" sheetId="3" state="visible" r:id="rId5"/>
    <sheet name="Learner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<sst xmlns="http://schemas.openxmlformats.org/spreadsheetml/2006/main" count="139" uniqueCount="62">
  <si>
    <t xml:space="preserve">Build 1 mini project scoring sheet (TRAINER ONLY)</t>
  </si>
  <si>
    <t xml:space="preserve">The rubric is Build 1's mini project rubric as the requester approved it on 29 September 2026, recorded in data/programme/facts.yaml (evaluation.rubrics.W03). The first four criteria are scored once for the group, and every member receives those 34 marks; presentation and defence is scored for each learner on 6 marks, so a silent teammate cannot ride the group's score.</t>
  </si>
  <si>
    <t xml:space="preserve">Yellow cells with blue text are the inputs. On Groups: the sub-problem, the panel, the day, and the four group criteria. On Learners: whether the seat is in use and the presentation and defence score. Totals, checks and the summary are formulas.</t>
  </si>
  <si>
    <t xml:space="preserve">Score each group after its slot, never in front of it, from the panel's evidence notes and the question bank (content/W03/SAT/trainer/C2_W03_SAT_question_bank_TRAINER.md). A silent teammate's presentation and defence score waits for the separate question in the room's reserve.</t>
  </si>
  <si>
    <t xml:space="preserve">Mark an unused seat (the group of three, or an absent learner) N in the In use column; the row then reads absent and drops out of the counts. An absence is recorded with the Programme Head's decision in the grade closure workbook's Notes.</t>
  </si>
  <si>
    <t xml:space="preserve">Each learner's total out of 40 is copied once into the grade closure workbook (C2_W03_SAT_grade_closure_TRAINER.xlsx, Scores, Mini project). Learner names go only into the copy the Programme Head keeps, never into the committed file, because the repository is public.</t>
  </si>
  <si>
    <t xml:space="preserve">Mini project rubric, 40 marks per learner</t>
  </si>
  <si>
    <t xml:space="preserve">Criterion</t>
  </si>
  <si>
    <t xml:space="preserve">Marks</t>
  </si>
  <si>
    <t xml:space="preserve">What full marks look like</t>
  </si>
  <si>
    <t xml:space="preserve">Scored</t>
  </si>
  <si>
    <t xml:space="preserve">The question translated</t>
  </si>
  <si>
    <t xml:space="preserve">Dr Menon's words are mapped to the right Weeks 1 and 2 method, with the metric defined and the decision it feeds named.</t>
  </si>
  <si>
    <t xml:space="preserve">once per group</t>
  </si>
  <si>
    <t xml:space="preserve">The data made trustworthy</t>
  </si>
  <si>
    <t xml:space="preserve">The data is profiled before it is touched, every cleaning call is in the decisions log with its reason, and counts and rupees reconcile across files.</t>
  </si>
  <si>
    <t xml:space="preserve">The analysis</t>
  </si>
  <si>
    <t xml:space="preserve">The tree, ladder or fair comparison reaches the branch that explains the symptom, on the right denominator, with a chance test where one is needed.</t>
  </si>
  <si>
    <t xml:space="preserve">The claim</t>
  </si>
  <si>
    <t xml:space="preserve">One sentence carries its number, denominator, period and caveat, plus an action Dr Menon can take.</t>
  </si>
  <si>
    <t xml:space="preserve">Presentation and defence</t>
  </si>
  <si>
    <t xml:space="preserve">The live demo runs cold, and every member answers a challenge on the caveat.</t>
  </si>
  <si>
    <t xml:space="preserve">per learner</t>
  </si>
  <si>
    <t xml:space="preserve">Total</t>
  </si>
  <si>
    <t xml:space="preserve">Group part</t>
  </si>
  <si>
    <t xml:space="preserve">Source: data/programme/facts.yaml, evaluation.rubrics.W03.events.mini-project, approved 29 September 2026.</t>
  </si>
  <si>
    <t xml:space="preserve">Groups: the four group criteria, scored once per group</t>
  </si>
  <si>
    <t xml:space="preserve">Group</t>
  </si>
  <si>
    <t xml:space="preserve">Sub-problem</t>
  </si>
  <si>
    <t xml:space="preserve">Panel</t>
  </si>
  <si>
    <t xml:space="preserve">Day</t>
  </si>
  <si>
    <t xml:space="preserve">The question translated (of 8)</t>
  </si>
  <si>
    <t xml:space="preserve">The data made trustworthy (of 10)</t>
  </si>
  <si>
    <t xml:space="preserve">The analysis (of 10)</t>
  </si>
  <si>
    <t xml:space="preserve">The claim (of 6)</t>
  </si>
  <si>
    <t xml:space="preserve">Group part (of 34)</t>
  </si>
  <si>
    <t xml:space="preserve">Check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</si>
  <si>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</si>
  <si>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</si>
  <si>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</si>
  <si>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</si>
  <si>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</si>
  <si>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</si>
  <si>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</si>
  <si>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</si>
  <si>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</si>
  <si>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Learners: presentation and defence per learner, and each learner's total</t>
  </si>
  <si>
    <t xml:space="preserve">Seat</t>
  </si>
  <si>
    <t xml:space="preserve">In use (Y or N)</t>
  </si>
  <si>
    <t xml:space="preserve">Presentation and defence (of 6)</t>
  </si>
  <si>
    <t xml:space="preserve">Total (of 40)</t>
  </si>
  <si>
    <t xml:space="preserve">Y</t>
  </si>
  <si>
    <t xml:space="preserve">Summary</t>
  </si>
  <si>
    <t xml:space="preserve">What</t>
  </si>
  <si>
    <t xml:space="preserve">Result</t>
  </si>
  <si>
    <t xml:space="preserve">Seats in use</t>
  </si>
  <si>
    <t xml:space="preserve">Learners fully scored</t>
  </si>
  <si>
    <t xml:space="preserve">Groups with all four group criteria scored</t>
  </si>
  <si>
    <t xml:space="preserve">Scores above a criterion's maximum or below zero</t>
  </si>
  <si>
    <t xml:space="preserve">Rubric total checks</t>
  </si>
  <si>
    <t xml:space="preserve">Group part checks</t>
  </si>
  <si>
    <t xml:space="preserve">Verdict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</si>
</sst>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0F5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1A0F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A0F5C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0F5C"/>
        <bgColor rgb="FF000080"/>
      </patternFill>
    </fill>
    <fill>
      <patternFill patternType="solid">
        <fgColor rgb="FFFFF4B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3E6"/>
      </left>
      <right style="thin">
        <color rgb="FFC9C3E6"/>
      </right>
      <top style="thin">
        <color rgb="FFC9C3E6"/>
      </top>
      <bottom style="thin">
        <color rgb="FFC9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0F5C"/>
      <rgbColor rgb="FF808000"/>
      <rgbColor rgb="FF800080"/>
      <rgbColor rgb="FF008080"/>
      <rgbColor rgb="FFC0C0C0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9C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35.0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35.0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90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3" t="s">
        <v>6</v>
      </c>
    </row>
    <row r="2" customFormat="false" ht="15" hidden="false" customHeight="false" outlineLevel="0" collapsed="false">
      <c r="A2" s="4" t="s">
        <v>7</v>
      </c>
      <c r="B2" s="4" t="s">
        <v>8</v>
      </c>
      <c r="C2" s="4" t="s">
        <v>9</v>
      </c>
      <c r="D2" s="4" t="s">
        <v>10</v>
      </c>
    </row>
    <row r="3" customFormat="false" ht="23.85" hidden="false" customHeight="false" outlineLevel="0" collapsed="false">
      <c r="A3" s="5" t="s">
        <v>11</v>
      </c>
      <c r="B3" s="5" t="n">
        <v>8</v>
      </c>
      <c r="C3" s="5" t="s">
        <v>12</v>
      </c>
      <c r="D3" s="5" t="s">
        <v>13</v>
      </c>
    </row>
    <row r="4" customFormat="false" ht="23.85" hidden="false" customHeight="false" outlineLevel="0" collapsed="false">
      <c r="A4" s="5" t="s">
        <v>14</v>
      </c>
      <c r="B4" s="5" t="n">
        <v>10</v>
      </c>
      <c r="C4" s="5" t="s">
        <v>15</v>
      </c>
      <c r="D4" s="5" t="s">
        <v>13</v>
      </c>
    </row>
    <row r="5" customFormat="false" ht="23.85" hidden="false" customHeight="false" outlineLevel="0" collapsed="false">
      <c r="A5" s="5" t="s">
        <v>16</v>
      </c>
      <c r="B5" s="5" t="n">
        <v>10</v>
      </c>
      <c r="C5" s="5" t="s">
        <v>17</v>
      </c>
      <c r="D5" s="5" t="s">
        <v>13</v>
      </c>
    </row>
    <row r="6" customFormat="false" ht="15" hidden="false" customHeight="false" outlineLevel="0" collapsed="false">
      <c r="A6" s="5" t="s">
        <v>18</v>
      </c>
      <c r="B6" s="5" t="n">
        <v>6</v>
      </c>
      <c r="C6" s="5" t="s">
        <v>19</v>
      </c>
      <c r="D6" s="5" t="s">
        <v>13</v>
      </c>
    </row>
    <row r="7" customFormat="false" ht="15" hidden="false" customHeight="false" outlineLevel="0" collapsed="false">
      <c r="A7" s="5" t="s">
        <v>20</v>
      </c>
      <c r="B7" s="5" t="n">
        <v>6</v>
      </c>
      <c r="C7" s="5" t="s">
        <v>21</v>
      </c>
      <c r="D7" s="5" t="s">
        <v>22</v>
      </c>
    </row>
    <row r="8" customFormat="false" ht="15" hidden="false" customHeight="false" outlineLevel="0" collapsed="false">
      <c r="A8" s="6" t="s">
        <v>23</v>
      </c>
      <c r="B8" s="6" t="n">
        <f aca="false">SUM(B3:B7)</f>
        <v>40</v>
      </c>
    </row>
    <row r="9" customFormat="false" ht="15" hidden="false" customHeight="false" outlineLevel="0" collapsed="false">
      <c r="A9" s="6" t="s">
        <v>24</v>
      </c>
      <c r="B9" s="6" t="n">
        <f aca="false">SUM(B3:B6)</f>
        <v>34</v>
      </c>
    </row>
    <row r="11" customFormat="false" ht="15" hidden="false" customHeight="false" outlineLevel="0" collapsed="false">
      <c r="A11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6.15" hidden="false" customHeight="false" outlineLevel="0" collapsed="false">
      <c r="A1" s="3" t="s">
        <v>26</v>
      </c>
    </row>
    <row r="2" customFormat="false" ht="35.05" hidden="false" customHeight="false" outlineLevel="0" collapsed="false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</row>
    <row r="3" customFormat="false" ht="15" hidden="false" customHeight="false" outlineLevel="0" collapsed="false">
      <c r="A3" s="8" t="s">
        <v>37</v>
      </c>
      <c r="B3" s="9"/>
      <c r="C3" s="9"/>
      <c r="D3" s="9"/>
      <c r="E3" s="9"/>
      <c r="F3" s="9"/>
      <c r="G3" s="9"/>
      <c r="H3" s="9"/>
      <c r="I3" s="8" t="str">
        <f aca="false">IF(COUNT(E3:H3)&lt;4,"incomplete",SUM(E3:H3))</f>
        <v>incomplete</v>
      </c>
      <c r="J3" s="8" t="str">
        <f aca="false">IF(OR(E3&gt;Rubric!$B$3,F3&gt;Rubric!$B$4,G3&gt;Rubric!$B$5,H3&gt;Rubric!$B$6,MIN(E3:H3)&lt;0),"above a maximum or below zero","ok")</f>
        <v>ok</v>
      </c>
    </row>
    <row r="4" customFormat="false" ht="15" hidden="false" customHeight="false" outlineLevel="0" collapsed="false">
      <c r="A4" s="8" t="s">
        <v>38</v>
      </c>
      <c r="B4" s="9"/>
      <c r="C4" s="9"/>
      <c r="D4" s="9"/>
      <c r="E4" s="9"/>
      <c r="F4" s="9"/>
      <c r="G4" s="9"/>
      <c r="H4" s="9"/>
      <c r="I4" s="8" t="str">
        <f aca="false">IF(COUNT(E4:H4)&lt;4,"incomplete",SUM(E4:H4))</f>
        <v>incomplete</v>
      </c>
      <c r="J4" s="8" t="str">
        <f aca="false">IF(OR(E4&gt;Rubric!$B$3,F4&gt;Rubric!$B$4,G4&gt;Rubric!$B$5,H4&gt;Rubric!$B$6,MIN(E4:H4)&lt;0),"above a maximum or below zero","ok")</f>
        <v>ok</v>
      </c>
    </row>
    <row r="5" customFormat="false" ht="15" hidden="false" customHeight="false" outlineLevel="0" collapsed="false">
      <c r="A5" s="8" t="s">
        <v>39</v>
      </c>
      <c r="B5" s="9"/>
      <c r="C5" s="9"/>
      <c r="D5" s="9"/>
      <c r="E5" s="9"/>
      <c r="F5" s="9"/>
      <c r="G5" s="9"/>
      <c r="H5" s="9"/>
      <c r="I5" s="8" t="str">
        <f aca="false">IF(COUNT(E5:H5)&lt;4,"incomplete",SUM(E5:H5))</f>
        <v>incomplete</v>
      </c>
      <c r="J5" s="8" t="str">
        <f aca="false">IF(OR(E5&gt;Rubric!$B$3,F5&gt;Rubric!$B$4,G5&gt;Rubric!$B$5,H5&gt;Rubric!$B$6,MIN(E5:H5)&lt;0),"above a maximum or below zero","ok")</f>
        <v>ok</v>
      </c>
    </row>
    <row r="6" customFormat="false" ht="15" hidden="false" customHeight="false" outlineLevel="0" collapsed="false">
      <c r="A6" s="8" t="s">
        <v>40</v>
      </c>
      <c r="B6" s="9"/>
      <c r="C6" s="9"/>
      <c r="D6" s="9"/>
      <c r="E6" s="9"/>
      <c r="F6" s="9"/>
      <c r="G6" s="9"/>
      <c r="H6" s="9"/>
      <c r="I6" s="8" t="str">
        <f aca="false">IF(COUNT(E6:H6)&lt;4,"incomplete",SUM(E6:H6))</f>
        <v>incomplete</v>
      </c>
      <c r="J6" s="8" t="str">
        <f aca="false">IF(OR(E6&gt;Rubric!$B$3,F6&gt;Rubric!$B$4,G6&gt;Rubric!$B$5,H6&gt;Rubric!$B$6,MIN(E6:H6)&lt;0),"above a maximum or below zero","ok")</f>
        <v>ok</v>
      </c>
    </row>
    <row r="7" customFormat="false" ht="15" hidden="false" customHeight="false" outlineLevel="0" collapsed="false">
      <c r="A7" s="8" t="s">
        <v>41</v>
      </c>
      <c r="B7" s="9"/>
      <c r="C7" s="9"/>
      <c r="D7" s="9"/>
      <c r="E7" s="9"/>
      <c r="F7" s="9"/>
      <c r="G7" s="9"/>
      <c r="H7" s="9"/>
      <c r="I7" s="8" t="str">
        <f aca="false">IF(COUNT(E7:H7)&lt;4,"incomplete",SUM(E7:H7))</f>
        <v>incomplete</v>
      </c>
      <c r="J7" s="8" t="str">
        <f aca="false">IF(OR(E7&gt;Rubric!$B$3,F7&gt;Rubric!$B$4,G7&gt;Rubric!$B$5,H7&gt;Rubric!$B$6,MIN(E7:H7)&lt;0),"above a maximum or below zero","ok")</f>
        <v>ok</v>
      </c>
    </row>
    <row r="8" customFormat="false" ht="15" hidden="false" customHeight="false" outlineLevel="0" collapsed="false">
      <c r="A8" s="8" t="s">
        <v>42</v>
      </c>
      <c r="B8" s="9"/>
      <c r="C8" s="9"/>
      <c r="D8" s="9"/>
      <c r="E8" s="9"/>
      <c r="F8" s="9"/>
      <c r="G8" s="9"/>
      <c r="H8" s="9"/>
      <c r="I8" s="8" t="str">
        <f aca="false">IF(COUNT(E8:H8)&lt;4,"incomplete",SUM(E8:H8))</f>
        <v>incomplete</v>
      </c>
      <c r="J8" s="8" t="str">
        <f aca="false">IF(OR(E8&gt;Rubric!$B$3,F8&gt;Rubric!$B$4,G8&gt;Rubric!$B$5,H8&gt;Rubric!$B$6,MIN(E8:H8)&lt;0),"above a maximum or below zero","ok")</f>
        <v>ok</v>
      </c>
    </row>
    <row r="9" customFormat="false" ht="15" hidden="false" customHeight="false" outlineLevel="0" collapsed="false">
      <c r="A9" s="8" t="s">
        <v>43</v>
      </c>
      <c r="B9" s="9"/>
      <c r="C9" s="9"/>
      <c r="D9" s="9"/>
      <c r="E9" s="9"/>
      <c r="F9" s="9"/>
      <c r="G9" s="9"/>
      <c r="H9" s="9"/>
      <c r="I9" s="8" t="str">
        <f aca="false">IF(COUNT(E9:H9)&lt;4,"incomplete",SUM(E9:H9))</f>
        <v>incomplete</v>
      </c>
      <c r="J9" s="8" t="str">
        <f aca="false">IF(OR(E9&gt;Rubric!$B$3,F9&gt;Rubric!$B$4,G9&gt;Rubric!$B$5,H9&gt;Rubric!$B$6,MIN(E9:H9)&lt;0),"above a maximum or below zero","ok")</f>
        <v>ok</v>
      </c>
    </row>
    <row r="10" customFormat="false" ht="15" hidden="false" customHeight="false" outlineLevel="0" collapsed="false">
      <c r="A10" s="8" t="s">
        <v>44</v>
      </c>
      <c r="B10" s="9"/>
      <c r="C10" s="9"/>
      <c r="D10" s="9"/>
      <c r="E10" s="9"/>
      <c r="F10" s="9"/>
      <c r="G10" s="9"/>
      <c r="H10" s="9"/>
      <c r="I10" s="8" t="str">
        <f aca="false">IF(COUNT(E10:H10)&lt;4,"incomplete",SUM(E10:H10))</f>
        <v>incomplete</v>
      </c>
      <c r="J10" s="8" t="str">
        <f aca="false">IF(OR(E10&gt;Rubric!$B$3,F10&gt;Rubric!$B$4,G10&gt;Rubric!$B$5,H10&gt;Rubric!$B$6,MIN(E10:H10)&lt;0),"above a maximum or below zero","ok")</f>
        <v>ok</v>
      </c>
    </row>
    <row r="11" customFormat="false" ht="15" hidden="false" customHeight="false" outlineLevel="0" collapsed="false">
      <c r="A11" s="8" t="s">
        <v>45</v>
      </c>
      <c r="B11" s="9"/>
      <c r="C11" s="9"/>
      <c r="D11" s="9"/>
      <c r="E11" s="9"/>
      <c r="F11" s="9"/>
      <c r="G11" s="9"/>
      <c r="H11" s="9"/>
      <c r="I11" s="8" t="str">
        <f aca="false">IF(COUNT(E11:H11)&lt;4,"incomplete",SUM(E11:H11))</f>
        <v>incomplete</v>
      </c>
      <c r="J11" s="8" t="str">
        <f aca="false">IF(OR(E11&gt;Rubric!$B$3,F11&gt;Rubric!$B$4,G11&gt;Rubric!$B$5,H11&gt;Rubric!$B$6,MIN(E11:H11)&lt;0),"above a maximum or below zero","ok")</f>
        <v>ok</v>
      </c>
    </row>
  </sheetData>
  <dataValidations count="3">
    <dataValidation allowBlank="true" errorStyle="stop" operator="between" showDropDown="false" showErrorMessage="false" showInputMessage="false" sqref="B3:B11" type="list">
      <formula1>"1 revenue,2 bookings,3 billing,4 no-shows,5 campaign"</formula1>
      <formula2>0</formula2>
    </dataValidation>
    <dataValidation allowBlank="true" errorStyle="stop" operator="between" showDropDown="false" showErrorMessage="false" showInputMessage="false" sqref="C3:C11" type="list">
      <formula1>"the industry expert,the senior industry leader"</formula1>
      <formula2>0</formula2>
    </dataValidation>
    <dataValidation allowBlank="true" errorStyle="stop" operator="between" showDropDown="false" showErrorMessage="false" showInputMessage="false" sqref="D3:D11" type="list">
      <formula1>"Friday,Saturday"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16.15" hidden="false" customHeight="false" outlineLevel="0" collapsed="false">
      <c r="A1" s="3" t="s">
        <v>46</v>
      </c>
    </row>
    <row r="2" customFormat="false" ht="23.85" hidden="false" customHeight="false" outlineLevel="0" collapsed="false">
      <c r="A2" s="4" t="s">
        <v>27</v>
      </c>
      <c r="B2" s="4" t="s">
        <v>47</v>
      </c>
      <c r="C2" s="4" t="s">
        <v>48</v>
      </c>
      <c r="D2" s="4" t="s">
        <v>49</v>
      </c>
      <c r="E2" s="4" t="s">
        <v>35</v>
      </c>
      <c r="F2" s="4" t="s">
        <v>50</v>
      </c>
      <c r="G2" s="4" t="s">
        <v>36</v>
      </c>
    </row>
    <row r="3" customFormat="false" ht="15" hidden="false" customHeight="false" outlineLevel="0" collapsed="false">
      <c r="A3" s="8" t="s">
        <v>37</v>
      </c>
      <c r="B3" s="8" t="n">
        <v>1</v>
      </c>
      <c r="C3" s="9" t="s">
        <v>51</v>
      </c>
      <c r="D3" s="9"/>
      <c r="E3" s="8" t="str">
        <f aca="false">INDEX(Groups!$I$3:$I$11,MATCH(A3,Groups!$A$3:$A$11,0))</f>
        <v>incomplete</v>
      </c>
      <c r="F3" s="8" t="str">
        <f aca="false">IF(C3="N","absent",IF(OR(NOT(ISNUMBER(D3)),NOT(ISNUMBER(E3))),"incomplete",D3+E3))</f>
        <v>incomplete</v>
      </c>
      <c r="G3" s="8" t="str">
        <f aca="false">IF(AND(ISNUMBER(D3),OR(D3&gt;Rubric!$B$7,D3&lt;0)),"above a maximum or below zero","ok")</f>
        <v>ok</v>
      </c>
    </row>
    <row r="4" customFormat="false" ht="15" hidden="false" customHeight="false" outlineLevel="0" collapsed="false">
      <c r="A4" s="8" t="s">
        <v>37</v>
      </c>
      <c r="B4" s="8" t="n">
        <v>2</v>
      </c>
      <c r="C4" s="9" t="s">
        <v>51</v>
      </c>
      <c r="D4" s="9"/>
      <c r="E4" s="8" t="str">
        <f aca="false">INDEX(Groups!$I$3:$I$11,MATCH(A4,Groups!$A$3:$A$11,0))</f>
        <v>incomplete</v>
      </c>
      <c r="F4" s="8" t="str">
        <f aca="false">IF(C4="N","absent",IF(OR(NOT(ISNUMBER(D4)),NOT(ISNUMBER(E4))),"incomplete",D4+E4))</f>
        <v>incomplete</v>
      </c>
      <c r="G4" s="8" t="str">
        <f aca="false">IF(AND(ISNUMBER(D4),OR(D4&gt;Rubric!$B$7,D4&lt;0)),"above a maximum or below zero","ok")</f>
        <v>ok</v>
      </c>
    </row>
    <row r="5" customFormat="false" ht="15" hidden="false" customHeight="false" outlineLevel="0" collapsed="false">
      <c r="A5" s="8" t="s">
        <v>37</v>
      </c>
      <c r="B5" s="8" t="n">
        <v>3</v>
      </c>
      <c r="C5" s="9" t="s">
        <v>51</v>
      </c>
      <c r="D5" s="9"/>
      <c r="E5" s="8" t="str">
        <f aca="false">INDEX(Groups!$I$3:$I$11,MATCH(A5,Groups!$A$3:$A$11,0))</f>
        <v>incomplete</v>
      </c>
      <c r="F5" s="8" t="str">
        <f aca="false">IF(C5="N","absent",IF(OR(NOT(ISNUMBER(D5)),NOT(ISNUMBER(E5))),"incomplete",D5+E5))</f>
        <v>incomplete</v>
      </c>
      <c r="G5" s="8" t="str">
        <f aca="false">IF(AND(ISNUMBER(D5),OR(D5&gt;Rubric!$B$7,D5&lt;0)),"above a maximum or below zero","ok")</f>
        <v>ok</v>
      </c>
    </row>
    <row r="6" customFormat="false" ht="15" hidden="false" customHeight="false" outlineLevel="0" collapsed="false">
      <c r="A6" s="8" t="s">
        <v>37</v>
      </c>
      <c r="B6" s="8" t="n">
        <v>4</v>
      </c>
      <c r="C6" s="9" t="s">
        <v>51</v>
      </c>
      <c r="D6" s="9"/>
      <c r="E6" s="8" t="str">
        <f aca="false">INDEX(Groups!$I$3:$I$11,MATCH(A6,Groups!$A$3:$A$11,0))</f>
        <v>incomplete</v>
      </c>
      <c r="F6" s="8" t="str">
        <f aca="false">IF(C6="N","absent",IF(OR(NOT(ISNUMBER(D6)),NOT(ISNUMBER(E6))),"incomplete",D6+E6))</f>
        <v>incomplete</v>
      </c>
      <c r="G6" s="8" t="str">
        <f aca="false">IF(AND(ISNUMBER(D6),OR(D6&gt;Rubric!$B$7,D6&lt;0)),"above a maximum or below zero","ok")</f>
        <v>ok</v>
      </c>
    </row>
    <row r="7" customFormat="false" ht="15" hidden="false" customHeight="false" outlineLevel="0" collapsed="false">
      <c r="A7" s="8" t="s">
        <v>38</v>
      </c>
      <c r="B7" s="8" t="n">
        <v>1</v>
      </c>
      <c r="C7" s="9" t="s">
        <v>51</v>
      </c>
      <c r="D7" s="9"/>
      <c r="E7" s="8" t="str">
        <f aca="false">INDEX(Groups!$I$3:$I$11,MATCH(A7,Groups!$A$3:$A$11,0))</f>
        <v>incomplete</v>
      </c>
      <c r="F7" s="8" t="str">
        <f aca="false">IF(C7="N","absent",IF(OR(NOT(ISNUMBER(D7)),NOT(ISNUMBER(E7))),"incomplete",D7+E7))</f>
        <v>incomplete</v>
      </c>
      <c r="G7" s="8" t="str">
        <f aca="false">IF(AND(ISNUMBER(D7),OR(D7&gt;Rubric!$B$7,D7&lt;0)),"above a maximum or below zero","ok")</f>
        <v>ok</v>
      </c>
    </row>
    <row r="8" customFormat="false" ht="15" hidden="false" customHeight="false" outlineLevel="0" collapsed="false">
      <c r="A8" s="8" t="s">
        <v>38</v>
      </c>
      <c r="B8" s="8" t="n">
        <v>2</v>
      </c>
      <c r="C8" s="9" t="s">
        <v>51</v>
      </c>
      <c r="D8" s="9"/>
      <c r="E8" s="8" t="str">
        <f aca="false">INDEX(Groups!$I$3:$I$11,MATCH(A8,Groups!$A$3:$A$11,0))</f>
        <v>incomplete</v>
      </c>
      <c r="F8" s="8" t="str">
        <f aca="false">IF(C8="N","absent",IF(OR(NOT(ISNUMBER(D8)),NOT(ISNUMBER(E8))),"incomplete",D8+E8))</f>
        <v>incomplete</v>
      </c>
      <c r="G8" s="8" t="str">
        <f aca="false">IF(AND(ISNUMBER(D8),OR(D8&gt;Rubric!$B$7,D8&lt;0)),"above a maximum or below zero","ok")</f>
        <v>ok</v>
      </c>
    </row>
    <row r="9" customFormat="false" ht="15" hidden="false" customHeight="false" outlineLevel="0" collapsed="false">
      <c r="A9" s="8" t="s">
        <v>38</v>
      </c>
      <c r="B9" s="8" t="n">
        <v>3</v>
      </c>
      <c r="C9" s="9" t="s">
        <v>51</v>
      </c>
      <c r="D9" s="9"/>
      <c r="E9" s="8" t="str">
        <f aca="false">INDEX(Groups!$I$3:$I$11,MATCH(A9,Groups!$A$3:$A$11,0))</f>
        <v>incomplete</v>
      </c>
      <c r="F9" s="8" t="str">
        <f aca="false">IF(C9="N","absent",IF(OR(NOT(ISNUMBER(D9)),NOT(ISNUMBER(E9))),"incomplete",D9+E9))</f>
        <v>incomplete</v>
      </c>
      <c r="G9" s="8" t="str">
        <f aca="false">IF(AND(ISNUMBER(D9),OR(D9&gt;Rubric!$B$7,D9&lt;0)),"above a maximum or below zero","ok")</f>
        <v>ok</v>
      </c>
    </row>
    <row r="10" customFormat="false" ht="15" hidden="false" customHeight="false" outlineLevel="0" collapsed="false">
      <c r="A10" s="8" t="s">
        <v>38</v>
      </c>
      <c r="B10" s="8" t="n">
        <v>4</v>
      </c>
      <c r="C10" s="9" t="s">
        <v>51</v>
      </c>
      <c r="D10" s="9"/>
      <c r="E10" s="8" t="str">
        <f aca="false">INDEX(Groups!$I$3:$I$11,MATCH(A10,Groups!$A$3:$A$11,0))</f>
        <v>incomplete</v>
      </c>
      <c r="F10" s="8" t="str">
        <f aca="false">IF(C10="N","absent",IF(OR(NOT(ISNUMBER(D10)),NOT(ISNUMBER(E10))),"incomplete",D10+E10))</f>
        <v>incomplete</v>
      </c>
      <c r="G10" s="8" t="str">
        <f aca="false">IF(AND(ISNUMBER(D10),OR(D10&gt;Rubric!$B$7,D10&lt;0)),"above a maximum or below zero","ok")</f>
        <v>ok</v>
      </c>
    </row>
    <row r="11" customFormat="false" ht="15" hidden="false" customHeight="false" outlineLevel="0" collapsed="false">
      <c r="A11" s="8" t="s">
        <v>39</v>
      </c>
      <c r="B11" s="8" t="n">
        <v>1</v>
      </c>
      <c r="C11" s="9" t="s">
        <v>51</v>
      </c>
      <c r="D11" s="9"/>
      <c r="E11" s="8" t="str">
        <f aca="false">INDEX(Groups!$I$3:$I$11,MATCH(A11,Groups!$A$3:$A$11,0))</f>
        <v>incomplete</v>
      </c>
      <c r="F11" s="8" t="str">
        <f aca="false">IF(C11="N","absent",IF(OR(NOT(ISNUMBER(D11)),NOT(ISNUMBER(E11))),"incomplete",D11+E11))</f>
        <v>incomplete</v>
      </c>
      <c r="G11" s="8" t="str">
        <f aca="false">IF(AND(ISNUMBER(D11),OR(D11&gt;Rubric!$B$7,D11&lt;0)),"above a maximum or below zero","ok")</f>
        <v>ok</v>
      </c>
    </row>
    <row r="12" customFormat="false" ht="15" hidden="false" customHeight="false" outlineLevel="0" collapsed="false">
      <c r="A12" s="8" t="s">
        <v>39</v>
      </c>
      <c r="B12" s="8" t="n">
        <v>2</v>
      </c>
      <c r="C12" s="9" t="s">
        <v>51</v>
      </c>
      <c r="D12" s="9"/>
      <c r="E12" s="8" t="str">
        <f aca="false">INDEX(Groups!$I$3:$I$11,MATCH(A12,Groups!$A$3:$A$11,0))</f>
        <v>incomplete</v>
      </c>
      <c r="F12" s="8" t="str">
        <f aca="false">IF(C12="N","absent",IF(OR(NOT(ISNUMBER(D12)),NOT(ISNUMBER(E12))),"incomplete",D12+E12))</f>
        <v>incomplete</v>
      </c>
      <c r="G12" s="8" t="str">
        <f aca="false">IF(AND(ISNUMBER(D12),OR(D12&gt;Rubric!$B$7,D12&lt;0)),"above a maximum or below zero","ok")</f>
        <v>ok</v>
      </c>
    </row>
    <row r="13" customFormat="false" ht="15" hidden="false" customHeight="false" outlineLevel="0" collapsed="false">
      <c r="A13" s="8" t="s">
        <v>39</v>
      </c>
      <c r="B13" s="8" t="n">
        <v>3</v>
      </c>
      <c r="C13" s="9" t="s">
        <v>51</v>
      </c>
      <c r="D13" s="9"/>
      <c r="E13" s="8" t="str">
        <f aca="false">INDEX(Groups!$I$3:$I$11,MATCH(A13,Groups!$A$3:$A$11,0))</f>
        <v>incomplete</v>
      </c>
      <c r="F13" s="8" t="str">
        <f aca="false">IF(C13="N","absent",IF(OR(NOT(ISNUMBER(D13)),NOT(ISNUMBER(E13))),"incomplete",D13+E13))</f>
        <v>incomplete</v>
      </c>
      <c r="G13" s="8" t="str">
        <f aca="false">IF(AND(ISNUMBER(D13),OR(D13&gt;Rubric!$B$7,D13&lt;0)),"above a maximum or below zero","ok")</f>
        <v>ok</v>
      </c>
    </row>
    <row r="14" customFormat="false" ht="15" hidden="false" customHeight="false" outlineLevel="0" collapsed="false">
      <c r="A14" s="8" t="s">
        <v>39</v>
      </c>
      <c r="B14" s="8" t="n">
        <v>4</v>
      </c>
      <c r="C14" s="9" t="s">
        <v>51</v>
      </c>
      <c r="D14" s="9"/>
      <c r="E14" s="8" t="str">
        <f aca="false">INDEX(Groups!$I$3:$I$11,MATCH(A14,Groups!$A$3:$A$11,0))</f>
        <v>incomplete</v>
      </c>
      <c r="F14" s="8" t="str">
        <f aca="false">IF(C14="N","absent",IF(OR(NOT(ISNUMBER(D14)),NOT(ISNUMBER(E14))),"incomplete",D14+E14))</f>
        <v>incomplete</v>
      </c>
      <c r="G14" s="8" t="str">
        <f aca="false">IF(AND(ISNUMBER(D14),OR(D14&gt;Rubric!$B$7,D14&lt;0)),"above a maximum or below zero","ok")</f>
        <v>ok</v>
      </c>
    </row>
    <row r="15" customFormat="false" ht="15" hidden="false" customHeight="false" outlineLevel="0" collapsed="false">
      <c r="A15" s="8" t="s">
        <v>40</v>
      </c>
      <c r="B15" s="8" t="n">
        <v>1</v>
      </c>
      <c r="C15" s="9" t="s">
        <v>51</v>
      </c>
      <c r="D15" s="9"/>
      <c r="E15" s="8" t="str">
        <f aca="false">INDEX(Groups!$I$3:$I$11,MATCH(A15,Groups!$A$3:$A$11,0))</f>
        <v>incomplete</v>
      </c>
      <c r="F15" s="8" t="str">
        <f aca="false">IF(C15="N","absent",IF(OR(NOT(ISNUMBER(D15)),NOT(ISNUMBER(E15))),"incomplete",D15+E15))</f>
        <v>incomplete</v>
      </c>
      <c r="G15" s="8" t="str">
        <f aca="false">IF(AND(ISNUMBER(D15),OR(D15&gt;Rubric!$B$7,D15&lt;0)),"above a maximum or below zero","ok")</f>
        <v>ok</v>
      </c>
    </row>
    <row r="16" customFormat="false" ht="15" hidden="false" customHeight="false" outlineLevel="0" collapsed="false">
      <c r="A16" s="8" t="s">
        <v>40</v>
      </c>
      <c r="B16" s="8" t="n">
        <v>2</v>
      </c>
      <c r="C16" s="9" t="s">
        <v>51</v>
      </c>
      <c r="D16" s="9"/>
      <c r="E16" s="8" t="str">
        <f aca="false">INDEX(Groups!$I$3:$I$11,MATCH(A16,Groups!$A$3:$A$11,0))</f>
        <v>incomplete</v>
      </c>
      <c r="F16" s="8" t="str">
        <f aca="false">IF(C16="N","absent",IF(OR(NOT(ISNUMBER(D16)),NOT(ISNUMBER(E16))),"incomplete",D16+E16))</f>
        <v>incomplete</v>
      </c>
      <c r="G16" s="8" t="str">
        <f aca="false">IF(AND(ISNUMBER(D16),OR(D16&gt;Rubric!$B$7,D16&lt;0)),"above a maximum or below zero","ok")</f>
        <v>ok</v>
      </c>
    </row>
    <row r="17" customFormat="false" ht="15" hidden="false" customHeight="false" outlineLevel="0" collapsed="false">
      <c r="A17" s="8" t="s">
        <v>40</v>
      </c>
      <c r="B17" s="8" t="n">
        <v>3</v>
      </c>
      <c r="C17" s="9" t="s">
        <v>51</v>
      </c>
      <c r="D17" s="9"/>
      <c r="E17" s="8" t="str">
        <f aca="false">INDEX(Groups!$I$3:$I$11,MATCH(A17,Groups!$A$3:$A$11,0))</f>
        <v>incomplete</v>
      </c>
      <c r="F17" s="8" t="str">
        <f aca="false">IF(C17="N","absent",IF(OR(NOT(ISNUMBER(D17)),NOT(ISNUMBER(E17))),"incomplete",D17+E17))</f>
        <v>incomplete</v>
      </c>
      <c r="G17" s="8" t="str">
        <f aca="false">IF(AND(ISNUMBER(D17),OR(D17&gt;Rubric!$B$7,D17&lt;0)),"above a maximum or below zero","ok")</f>
        <v>ok</v>
      </c>
    </row>
    <row r="18" customFormat="false" ht="15" hidden="false" customHeight="false" outlineLevel="0" collapsed="false">
      <c r="A18" s="8" t="s">
        <v>40</v>
      </c>
      <c r="B18" s="8" t="n">
        <v>4</v>
      </c>
      <c r="C18" s="9" t="s">
        <v>51</v>
      </c>
      <c r="D18" s="9"/>
      <c r="E18" s="8" t="str">
        <f aca="false">INDEX(Groups!$I$3:$I$11,MATCH(A18,Groups!$A$3:$A$11,0))</f>
        <v>incomplete</v>
      </c>
      <c r="F18" s="8" t="str">
        <f aca="false">IF(C18="N","absent",IF(OR(NOT(ISNUMBER(D18)),NOT(ISNUMBER(E18))),"incomplete",D18+E18))</f>
        <v>incomplete</v>
      </c>
      <c r="G18" s="8" t="str">
        <f aca="false">IF(AND(ISNUMBER(D18),OR(D18&gt;Rubric!$B$7,D18&lt;0)),"above a maximum or below zero","ok")</f>
        <v>ok</v>
      </c>
    </row>
    <row r="19" customFormat="false" ht="15" hidden="false" customHeight="false" outlineLevel="0" collapsed="false">
      <c r="A19" s="8" t="s">
        <v>41</v>
      </c>
      <c r="B19" s="8" t="n">
        <v>1</v>
      </c>
      <c r="C19" s="9" t="s">
        <v>51</v>
      </c>
      <c r="D19" s="9"/>
      <c r="E19" s="8" t="str">
        <f aca="false">INDEX(Groups!$I$3:$I$11,MATCH(A19,Groups!$A$3:$A$11,0))</f>
        <v>incomplete</v>
      </c>
      <c r="F19" s="8" t="str">
        <f aca="false">IF(C19="N","absent",IF(OR(NOT(ISNUMBER(D19)),NOT(ISNUMBER(E19))),"incomplete",D19+E19))</f>
        <v>incomplete</v>
      </c>
      <c r="G19" s="8" t="str">
        <f aca="false">IF(AND(ISNUMBER(D19),OR(D19&gt;Rubric!$B$7,D19&lt;0)),"above a maximum or below zero","ok")</f>
        <v>ok</v>
      </c>
    </row>
    <row r="20" customFormat="false" ht="15" hidden="false" customHeight="false" outlineLevel="0" collapsed="false">
      <c r="A20" s="8" t="s">
        <v>41</v>
      </c>
      <c r="B20" s="8" t="n">
        <v>2</v>
      </c>
      <c r="C20" s="9" t="s">
        <v>51</v>
      </c>
      <c r="D20" s="9"/>
      <c r="E20" s="8" t="str">
        <f aca="false">INDEX(Groups!$I$3:$I$11,MATCH(A20,Groups!$A$3:$A$11,0))</f>
        <v>incomplete</v>
      </c>
      <c r="F20" s="8" t="str">
        <f aca="false">IF(C20="N","absent",IF(OR(NOT(ISNUMBER(D20)),NOT(ISNUMBER(E20))),"incomplete",D20+E20))</f>
        <v>incomplete</v>
      </c>
      <c r="G20" s="8" t="str">
        <f aca="false">IF(AND(ISNUMBER(D20),OR(D20&gt;Rubric!$B$7,D20&lt;0)),"above a maximum or below zero","ok")</f>
        <v>ok</v>
      </c>
    </row>
    <row r="21" customFormat="false" ht="15" hidden="false" customHeight="false" outlineLevel="0" collapsed="false">
      <c r="A21" s="8" t="s">
        <v>41</v>
      </c>
      <c r="B21" s="8" t="n">
        <v>3</v>
      </c>
      <c r="C21" s="9" t="s">
        <v>51</v>
      </c>
      <c r="D21" s="9"/>
      <c r="E21" s="8" t="str">
        <f aca="false">INDEX(Groups!$I$3:$I$11,MATCH(A21,Groups!$A$3:$A$11,0))</f>
        <v>incomplete</v>
      </c>
      <c r="F21" s="8" t="str">
        <f aca="false">IF(C21="N","absent",IF(OR(NOT(ISNUMBER(D21)),NOT(ISNUMBER(E21))),"incomplete",D21+E21))</f>
        <v>incomplete</v>
      </c>
      <c r="G21" s="8" t="str">
        <f aca="false">IF(AND(ISNUMBER(D21),OR(D21&gt;Rubric!$B$7,D21&lt;0)),"above a maximum or below zero","ok")</f>
        <v>ok</v>
      </c>
    </row>
    <row r="22" customFormat="false" ht="15" hidden="false" customHeight="false" outlineLevel="0" collapsed="false">
      <c r="A22" s="8" t="s">
        <v>41</v>
      </c>
      <c r="B22" s="8" t="n">
        <v>4</v>
      </c>
      <c r="C22" s="9" t="s">
        <v>51</v>
      </c>
      <c r="D22" s="9"/>
      <c r="E22" s="8" t="str">
        <f aca="false">INDEX(Groups!$I$3:$I$11,MATCH(A22,Groups!$A$3:$A$11,0))</f>
        <v>incomplete</v>
      </c>
      <c r="F22" s="8" t="str">
        <f aca="false">IF(C22="N","absent",IF(OR(NOT(ISNUMBER(D22)),NOT(ISNUMBER(E22))),"incomplete",D22+E22))</f>
        <v>incomplete</v>
      </c>
      <c r="G22" s="8" t="str">
        <f aca="false">IF(AND(ISNUMBER(D22),OR(D22&gt;Rubric!$B$7,D22&lt;0)),"above a maximum or below zero","ok")</f>
        <v>ok</v>
      </c>
    </row>
    <row r="23" customFormat="false" ht="15" hidden="false" customHeight="false" outlineLevel="0" collapsed="false">
      <c r="A23" s="8" t="s">
        <v>42</v>
      </c>
      <c r="B23" s="8" t="n">
        <v>1</v>
      </c>
      <c r="C23" s="9" t="s">
        <v>51</v>
      </c>
      <c r="D23" s="9"/>
      <c r="E23" s="8" t="str">
        <f aca="false">INDEX(Groups!$I$3:$I$11,MATCH(A23,Groups!$A$3:$A$11,0))</f>
        <v>incomplete</v>
      </c>
      <c r="F23" s="8" t="str">
        <f aca="false">IF(C23="N","absent",IF(OR(NOT(ISNUMBER(D23)),NOT(ISNUMBER(E23))),"incomplete",D23+E23))</f>
        <v>incomplete</v>
      </c>
      <c r="G23" s="8" t="str">
        <f aca="false">IF(AND(ISNUMBER(D23),OR(D23&gt;Rubric!$B$7,D23&lt;0)),"above a maximum or below zero","ok")</f>
        <v>ok</v>
      </c>
    </row>
    <row r="24" customFormat="false" ht="15" hidden="false" customHeight="false" outlineLevel="0" collapsed="false">
      <c r="A24" s="8" t="s">
        <v>42</v>
      </c>
      <c r="B24" s="8" t="n">
        <v>2</v>
      </c>
      <c r="C24" s="9" t="s">
        <v>51</v>
      </c>
      <c r="D24" s="9"/>
      <c r="E24" s="8" t="str">
        <f aca="false">INDEX(Groups!$I$3:$I$11,MATCH(A24,Groups!$A$3:$A$11,0))</f>
        <v>incomplete</v>
      </c>
      <c r="F24" s="8" t="str">
        <f aca="false">IF(C24="N","absent",IF(OR(NOT(ISNUMBER(D24)),NOT(ISNUMBER(E24))),"incomplete",D24+E24))</f>
        <v>incomplete</v>
      </c>
      <c r="G24" s="8" t="str">
        <f aca="false">IF(AND(ISNUMBER(D24),OR(D24&gt;Rubric!$B$7,D24&lt;0)),"above a maximum or below zero","ok")</f>
        <v>ok</v>
      </c>
    </row>
    <row r="25" customFormat="false" ht="15" hidden="false" customHeight="false" outlineLevel="0" collapsed="false">
      <c r="A25" s="8" t="s">
        <v>42</v>
      </c>
      <c r="B25" s="8" t="n">
        <v>3</v>
      </c>
      <c r="C25" s="9" t="s">
        <v>51</v>
      </c>
      <c r="D25" s="9"/>
      <c r="E25" s="8" t="str">
        <f aca="false">INDEX(Groups!$I$3:$I$11,MATCH(A25,Groups!$A$3:$A$11,0))</f>
        <v>incomplete</v>
      </c>
      <c r="F25" s="8" t="str">
        <f aca="false">IF(C25="N","absent",IF(OR(NOT(ISNUMBER(D25)),NOT(ISNUMBER(E25))),"incomplete",D25+E25))</f>
        <v>incomplete</v>
      </c>
      <c r="G25" s="8" t="str">
        <f aca="false">IF(AND(ISNUMBER(D25),OR(D25&gt;Rubric!$B$7,D25&lt;0)),"above a maximum or below zero","ok")</f>
        <v>ok</v>
      </c>
    </row>
    <row r="26" customFormat="false" ht="15" hidden="false" customHeight="false" outlineLevel="0" collapsed="false">
      <c r="A26" s="8" t="s">
        <v>42</v>
      </c>
      <c r="B26" s="8" t="n">
        <v>4</v>
      </c>
      <c r="C26" s="9" t="s">
        <v>51</v>
      </c>
      <c r="D26" s="9"/>
      <c r="E26" s="8" t="str">
        <f aca="false">INDEX(Groups!$I$3:$I$11,MATCH(A26,Groups!$A$3:$A$11,0))</f>
        <v>incomplete</v>
      </c>
      <c r="F26" s="8" t="str">
        <f aca="false">IF(C26="N","absent",IF(OR(NOT(ISNUMBER(D26)),NOT(ISNUMBER(E26))),"incomplete",D26+E26))</f>
        <v>incomplete</v>
      </c>
      <c r="G26" s="8" t="str">
        <f aca="false">IF(AND(ISNUMBER(D26),OR(D26&gt;Rubric!$B$7,D26&lt;0)),"above a maximum or below zero","ok")</f>
        <v>ok</v>
      </c>
    </row>
    <row r="27" customFormat="false" ht="15" hidden="false" customHeight="false" outlineLevel="0" collapsed="false">
      <c r="A27" s="8" t="s">
        <v>43</v>
      </c>
      <c r="B27" s="8" t="n">
        <v>1</v>
      </c>
      <c r="C27" s="9" t="s">
        <v>51</v>
      </c>
      <c r="D27" s="9"/>
      <c r="E27" s="8" t="str">
        <f aca="false">INDEX(Groups!$I$3:$I$11,MATCH(A27,Groups!$A$3:$A$11,0))</f>
        <v>incomplete</v>
      </c>
      <c r="F27" s="8" t="str">
        <f aca="false">IF(C27="N","absent",IF(OR(NOT(ISNUMBER(D27)),NOT(ISNUMBER(E27))),"incomplete",D27+E27))</f>
        <v>incomplete</v>
      </c>
      <c r="G27" s="8" t="str">
        <f aca="false">IF(AND(ISNUMBER(D27),OR(D27&gt;Rubric!$B$7,D27&lt;0)),"above a maximum or below zero","ok")</f>
        <v>ok</v>
      </c>
    </row>
    <row r="28" customFormat="false" ht="15" hidden="false" customHeight="false" outlineLevel="0" collapsed="false">
      <c r="A28" s="8" t="s">
        <v>43</v>
      </c>
      <c r="B28" s="8" t="n">
        <v>2</v>
      </c>
      <c r="C28" s="9" t="s">
        <v>51</v>
      </c>
      <c r="D28" s="9"/>
      <c r="E28" s="8" t="str">
        <f aca="false">INDEX(Groups!$I$3:$I$11,MATCH(A28,Groups!$A$3:$A$11,0))</f>
        <v>incomplete</v>
      </c>
      <c r="F28" s="8" t="str">
        <f aca="false">IF(C28="N","absent",IF(OR(NOT(ISNUMBER(D28)),NOT(ISNUMBER(E28))),"incomplete",D28+E28))</f>
        <v>incomplete</v>
      </c>
      <c r="G28" s="8" t="str">
        <f aca="false">IF(AND(ISNUMBER(D28),OR(D28&gt;Rubric!$B$7,D28&lt;0)),"above a maximum or below zero","ok")</f>
        <v>ok</v>
      </c>
    </row>
    <row r="29" customFormat="false" ht="15" hidden="false" customHeight="false" outlineLevel="0" collapsed="false">
      <c r="A29" s="8" t="s">
        <v>43</v>
      </c>
      <c r="B29" s="8" t="n">
        <v>3</v>
      </c>
      <c r="C29" s="9" t="s">
        <v>51</v>
      </c>
      <c r="D29" s="9"/>
      <c r="E29" s="8" t="str">
        <f aca="false">INDEX(Groups!$I$3:$I$11,MATCH(A29,Groups!$A$3:$A$11,0))</f>
        <v>incomplete</v>
      </c>
      <c r="F29" s="8" t="str">
        <f aca="false">IF(C29="N","absent",IF(OR(NOT(ISNUMBER(D29)),NOT(ISNUMBER(E29))),"incomplete",D29+E29))</f>
        <v>incomplete</v>
      </c>
      <c r="G29" s="8" t="str">
        <f aca="false">IF(AND(ISNUMBER(D29),OR(D29&gt;Rubric!$B$7,D29&lt;0)),"above a maximum or below zero","ok")</f>
        <v>ok</v>
      </c>
    </row>
    <row r="30" customFormat="false" ht="15" hidden="false" customHeight="false" outlineLevel="0" collapsed="false">
      <c r="A30" s="8" t="s">
        <v>43</v>
      </c>
      <c r="B30" s="8" t="n">
        <v>4</v>
      </c>
      <c r="C30" s="9" t="s">
        <v>51</v>
      </c>
      <c r="D30" s="9"/>
      <c r="E30" s="8" t="str">
        <f aca="false">INDEX(Groups!$I$3:$I$11,MATCH(A30,Groups!$A$3:$A$11,0))</f>
        <v>incomplete</v>
      </c>
      <c r="F30" s="8" t="str">
        <f aca="false">IF(C30="N","absent",IF(OR(NOT(ISNUMBER(D30)),NOT(ISNUMBER(E30))),"incomplete",D30+E30))</f>
        <v>incomplete</v>
      </c>
      <c r="G30" s="8" t="str">
        <f aca="false">IF(AND(ISNUMBER(D30),OR(D30&gt;Rubric!$B$7,D30&lt;0)),"above a maximum or below zero","ok")</f>
        <v>ok</v>
      </c>
    </row>
    <row r="31" customFormat="false" ht="15" hidden="false" customHeight="false" outlineLevel="0" collapsed="false">
      <c r="A31" s="8" t="s">
        <v>44</v>
      </c>
      <c r="B31" s="8" t="n">
        <v>1</v>
      </c>
      <c r="C31" s="9" t="s">
        <v>51</v>
      </c>
      <c r="D31" s="9"/>
      <c r="E31" s="8" t="str">
        <f aca="false">INDEX(Groups!$I$3:$I$11,MATCH(A31,Groups!$A$3:$A$11,0))</f>
        <v>incomplete</v>
      </c>
      <c r="F31" s="8" t="str">
        <f aca="false">IF(C31="N","absent",IF(OR(NOT(ISNUMBER(D31)),NOT(ISNUMBER(E31))),"incomplete",D31+E31))</f>
        <v>incomplete</v>
      </c>
      <c r="G31" s="8" t="str">
        <f aca="false">IF(AND(ISNUMBER(D31),OR(D31&gt;Rubric!$B$7,D31&lt;0)),"above a maximum or below zero","ok")</f>
        <v>ok</v>
      </c>
    </row>
    <row r="32" customFormat="false" ht="15" hidden="false" customHeight="false" outlineLevel="0" collapsed="false">
      <c r="A32" s="8" t="s">
        <v>44</v>
      </c>
      <c r="B32" s="8" t="n">
        <v>2</v>
      </c>
      <c r="C32" s="9" t="s">
        <v>51</v>
      </c>
      <c r="D32" s="9"/>
      <c r="E32" s="8" t="str">
        <f aca="false">INDEX(Groups!$I$3:$I$11,MATCH(A32,Groups!$A$3:$A$11,0))</f>
        <v>incomplete</v>
      </c>
      <c r="F32" s="8" t="str">
        <f aca="false">IF(C32="N","absent",IF(OR(NOT(ISNUMBER(D32)),NOT(ISNUMBER(E32))),"incomplete",D32+E32))</f>
        <v>incomplete</v>
      </c>
      <c r="G32" s="8" t="str">
        <f aca="false">IF(AND(ISNUMBER(D32),OR(D32&gt;Rubric!$B$7,D32&lt;0)),"above a maximum or below zero","ok")</f>
        <v>ok</v>
      </c>
    </row>
    <row r="33" customFormat="false" ht="15" hidden="false" customHeight="false" outlineLevel="0" collapsed="false">
      <c r="A33" s="8" t="s">
        <v>44</v>
      </c>
      <c r="B33" s="8" t="n">
        <v>3</v>
      </c>
      <c r="C33" s="9" t="s">
        <v>51</v>
      </c>
      <c r="D33" s="9"/>
      <c r="E33" s="8" t="str">
        <f aca="false">INDEX(Groups!$I$3:$I$11,MATCH(A33,Groups!$A$3:$A$11,0))</f>
        <v>incomplete</v>
      </c>
      <c r="F33" s="8" t="str">
        <f aca="false">IF(C33="N","absent",IF(OR(NOT(ISNUMBER(D33)),NOT(ISNUMBER(E33))),"incomplete",D33+E33))</f>
        <v>incomplete</v>
      </c>
      <c r="G33" s="8" t="str">
        <f aca="false">IF(AND(ISNUMBER(D33),OR(D33&gt;Rubric!$B$7,D33&lt;0)),"above a maximum or below zero","ok")</f>
        <v>ok</v>
      </c>
    </row>
    <row r="34" customFormat="false" ht="15" hidden="false" customHeight="false" outlineLevel="0" collapsed="false">
      <c r="A34" s="8" t="s">
        <v>44</v>
      </c>
      <c r="B34" s="8" t="n">
        <v>4</v>
      </c>
      <c r="C34" s="9" t="s">
        <v>51</v>
      </c>
      <c r="D34" s="9"/>
      <c r="E34" s="8" t="str">
        <f aca="false">INDEX(Groups!$I$3:$I$11,MATCH(A34,Groups!$A$3:$A$11,0))</f>
        <v>incomplete</v>
      </c>
      <c r="F34" s="8" t="str">
        <f aca="false">IF(C34="N","absent",IF(OR(NOT(ISNUMBER(D34)),NOT(ISNUMBER(E34))),"incomplete",D34+E34))</f>
        <v>incomplete</v>
      </c>
      <c r="G34" s="8" t="str">
        <f aca="false">IF(AND(ISNUMBER(D34),OR(D34&gt;Rubric!$B$7,D34&lt;0)),"above a maximum or below zero","ok")</f>
        <v>ok</v>
      </c>
    </row>
    <row r="35" customFormat="false" ht="15" hidden="false" customHeight="false" outlineLevel="0" collapsed="false">
      <c r="A35" s="8" t="s">
        <v>45</v>
      </c>
      <c r="B35" s="8" t="n">
        <v>1</v>
      </c>
      <c r="C35" s="9" t="s">
        <v>51</v>
      </c>
      <c r="D35" s="9"/>
      <c r="E35" s="8" t="str">
        <f aca="false">INDEX(Groups!$I$3:$I$11,MATCH(A35,Groups!$A$3:$A$11,0))</f>
        <v>incomplete</v>
      </c>
      <c r="F35" s="8" t="str">
        <f aca="false">IF(C35="N","absent",IF(OR(NOT(ISNUMBER(D35)),NOT(ISNUMBER(E35))),"incomplete",D35+E35))</f>
        <v>incomplete</v>
      </c>
      <c r="G35" s="8" t="str">
        <f aca="false">IF(AND(ISNUMBER(D35),OR(D35&gt;Rubric!$B$7,D35&lt;0)),"above a maximum or below zero","ok")</f>
        <v>ok</v>
      </c>
    </row>
    <row r="36" customFormat="false" ht="15" hidden="false" customHeight="false" outlineLevel="0" collapsed="false">
      <c r="A36" s="8" t="s">
        <v>45</v>
      </c>
      <c r="B36" s="8" t="n">
        <v>2</v>
      </c>
      <c r="C36" s="9" t="s">
        <v>51</v>
      </c>
      <c r="D36" s="9"/>
      <c r="E36" s="8" t="str">
        <f aca="false">INDEX(Groups!$I$3:$I$11,MATCH(A36,Groups!$A$3:$A$11,0))</f>
        <v>incomplete</v>
      </c>
      <c r="F36" s="8" t="str">
        <f aca="false">IF(C36="N","absent",IF(OR(NOT(ISNUMBER(D36)),NOT(ISNUMBER(E36))),"incomplete",D36+E36))</f>
        <v>incomplete</v>
      </c>
      <c r="G36" s="8" t="str">
        <f aca="false">IF(AND(ISNUMBER(D36),OR(D36&gt;Rubric!$B$7,D36&lt;0)),"above a maximum or below zero","ok")</f>
        <v>ok</v>
      </c>
    </row>
    <row r="37" customFormat="false" ht="15" hidden="false" customHeight="false" outlineLevel="0" collapsed="false">
      <c r="A37" s="8" t="s">
        <v>45</v>
      </c>
      <c r="B37" s="8" t="n">
        <v>3</v>
      </c>
      <c r="C37" s="9" t="s">
        <v>51</v>
      </c>
      <c r="D37" s="9"/>
      <c r="E37" s="8" t="str">
        <f aca="false">INDEX(Groups!$I$3:$I$11,MATCH(A37,Groups!$A$3:$A$11,0))</f>
        <v>incomplete</v>
      </c>
      <c r="F37" s="8" t="str">
        <f aca="false">IF(C37="N","absent",IF(OR(NOT(ISNUMBER(D37)),NOT(ISNUMBER(E37))),"incomplete",D37+E37))</f>
        <v>incomplete</v>
      </c>
      <c r="G37" s="8" t="str">
        <f aca="false">IF(AND(ISNUMBER(D37),OR(D37&gt;Rubric!$B$7,D37&lt;0)),"above a maximum or below zero","ok")</f>
        <v>ok</v>
      </c>
    </row>
    <row r="38" customFormat="false" ht="15" hidden="false" customHeight="false" outlineLevel="0" collapsed="false">
      <c r="A38" s="8" t="s">
        <v>45</v>
      </c>
      <c r="B38" s="8" t="n">
        <v>4</v>
      </c>
      <c r="C38" s="9" t="s">
        <v>51</v>
      </c>
      <c r="D38" s="9"/>
      <c r="E38" s="8" t="str">
        <f aca="false">INDEX(Groups!$I$3:$I$11,MATCH(A38,Groups!$A$3:$A$11,0))</f>
        <v>incomplete</v>
      </c>
      <c r="F38" s="8" t="str">
        <f aca="false">IF(C38="N","absent",IF(OR(NOT(ISNUMBER(D38)),NOT(ISNUMBER(E38))),"incomplete",D38+E38))</f>
        <v>incomplete</v>
      </c>
      <c r="G38" s="8" t="str">
        <f aca="false">IF(AND(ISNUMBER(D38),OR(D38&gt;Rubric!$B$7,D38&lt;0)),"above a maximum or below zero","ok")</f>
        <v>ok</v>
      </c>
    </row>
  </sheetData>
  <dataValidations count="1">
    <dataValidation allowBlank="false" errorStyle="stop" operator="between" showDropDown="false" showErrorMessage="false" showInputMessage="false" sqref="C3:C3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0"/>
  </cols>
  <sheetData>
    <row r="1" customFormat="false" ht="16.15" hidden="false" customHeight="false" outlineLevel="0" collapsed="false">
      <c r="A1" s="3" t="s">
        <v>52</v>
      </c>
    </row>
    <row r="2" customFormat="false" ht="15" hidden="false" customHeight="false" outlineLevel="0" collapsed="false">
      <c r="A2" s="4" t="s">
        <v>53</v>
      </c>
      <c r="B2" s="4" t="s">
        <v>54</v>
      </c>
    </row>
    <row r="3" customFormat="false" ht="15" hidden="false" customHeight="false" outlineLevel="0" collapsed="false">
      <c r="A3" s="10" t="s">
        <v>55</v>
      </c>
      <c r="B3" s="6" t="n">
        <f aca="false">COUNTIF(Learners!C3:C38,"Y")</f>
        <v>36</v>
      </c>
    </row>
    <row r="4" customFormat="false" ht="15" hidden="false" customHeight="false" outlineLevel="0" collapsed="false">
      <c r="A4" s="10" t="s">
        <v>56</v>
      </c>
      <c r="B4" s="6" t="n">
        <f aca="false">COUNT(Learners!F3:F38)</f>
        <v>0</v>
      </c>
    </row>
    <row r="5" customFormat="false" ht="15" hidden="false" customHeight="false" outlineLevel="0" collapsed="false">
      <c r="A5" s="10" t="s">
        <v>57</v>
      </c>
      <c r="B5" s="6" t="n">
        <f aca="false">COUNT(Groups!I3:I11)</f>
        <v>0</v>
      </c>
    </row>
    <row r="6" customFormat="false" ht="15" hidden="false" customHeight="false" outlineLevel="0" collapsed="false">
      <c r="A6" s="10" t="s">
        <v>58</v>
      </c>
      <c r="B6" s="6" t="n">
        <f aca="false">COUNTIF(Groups!J3:J11,"above*")+COUNTIF(Learners!G3:G38,"above*")</f>
        <v>0</v>
      </c>
    </row>
    <row r="7" customFormat="false" ht="15" hidden="false" customHeight="false" outlineLevel="0" collapsed="false">
      <c r="A7" s="10" t="s">
        <v>59</v>
      </c>
      <c r="B7" s="6" t="str">
        <f aca="false">IF(Rubric!$B$8=40,"the rubric adds to 40","the rubric adds to "&amp;Rubric!$B$8&amp;", not 40")</f>
        <v>the rubric adds to 40</v>
      </c>
    </row>
    <row r="8" customFormat="false" ht="15" hidden="false" customHeight="false" outlineLevel="0" collapsed="false">
      <c r="A8" s="10" t="s">
        <v>60</v>
      </c>
      <c r="B8" s="6" t="str">
        <f aca="false">IF(Rubric!$B$9=34,"the group part adds to 34","the group part adds to "&amp;Rubric!$B$9&amp;", not 34")</f>
        <v>the group part adds to 34</v>
      </c>
    </row>
    <row r="9" customFormat="false" ht="15" hidden="false" customHeight="false" outlineLevel="0" collapsed="false">
      <c r="A9" s="11" t="s">
        <v>61</v>
      </c>
      <c r="B9" s="12" t="str">
        <f aca="false">IF(B6&gt;0,B6&amp;" score(s) outside the rubric",IF(B4=B3,"every learner in use is scored",B3-B4&amp;" learners still to score"))</f>
        <v>36 learners still to score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2026-09-29T17:57:30Z</dcterms:created>
  <dc:creator>openpyxl</dc:creator>
  <dc:description/>
  <dc:language>en-US</dc:language>
  <cp:lastModifiedBy/>
  <dcterms:modified xsi:type="dcterms:W3CDTF">2026-09-29T17:57:30Z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