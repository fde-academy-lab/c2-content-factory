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Inputs" sheetId="2" state="visible" r:id="rId4"/>
    <sheet name="Prompts" sheetId="3" state="visible" r:id="rId5"/>
    <sheet name="Roster" sheetId="4" state="visible" r:id="rId6"/>
    <sheet name="Friday block two" sheetId="5" state="visible" r:id="rId7"/>
    <sheet name="Check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<sst xmlns="http://schemas.openxmlformats.org/spreadsheetml/2006/main" count="155" uniqueCount="109">
  <si>
    <t xml:space="preserve">Build 1 GD roster, Friday and Saturday morning (TRAINER ONLY)</t>
  </si>
  <si>
    <t xml:space="preserve">Yellow cells with blue text are the inputs. Everything else is a formula, so a changed input recomputes every end and every verdict.</t>
  </si>
  <si>
    <t xml:space="preserve">Times are minutes into the block, never clock times. A block runs 180 minutes (data/programme/facts.yaml).</t>
  </si>
  <si>
    <t xml:space="preserve">Stream A is the industry expert in the GD room. Stream B is the Principal Advisor online, hosted by the Academic TA in a second room.</t>
  </si>
  <si>
    <t xml:space="preserve">On Monday, replace the sub-problem values on Inputs with the Programme Head's allocation. The values shipped are an example so the checks have something to check.</t>
  </si>
  <si>
    <t xml:space="preserve">At the Friday opening, the Programme Head draws the GD order by lot and types each group's position on Inputs. Slot 1 is the first round; the card each slot carries is fixed on Roster so complexity climbs.</t>
  </si>
  <si>
    <t xml:space="preserve">Check reads the result: whether nine rounds fit, how the roster stretches for more groups, and whether any group meets a card on its own sub-problem.</t>
  </si>
  <si>
    <t xml:space="preserve">A clash means swapping the card with the other card of the same level on Roster, or with the spare, card 08.</t>
  </si>
  <si>
    <t xml:space="preserve">Inputs</t>
  </si>
  <si>
    <t xml:space="preserve">Setting</t>
  </si>
  <si>
    <t xml:space="preserve">Value</t>
  </si>
  <si>
    <t xml:space="preserve">Source</t>
  </si>
  <si>
    <t xml:space="preserve">Round length, minutes</t>
  </si>
  <si>
    <t xml:space="preserve">The row: about 30 minutes per group</t>
  </si>
  <si>
    <t xml:space="preserve">Opening before the first round, minutes</t>
  </si>
  <si>
    <t xml:space="preserve">The expert's opening to the whole cohort, Friday block one</t>
  </si>
  <si>
    <t xml:space="preserve">Block length, minutes</t>
  </si>
  <si>
    <t xml:space="preserve">data/programme/facts.yaml, campus_day</t>
  </si>
  <si>
    <t xml:space="preserve">Groups this build</t>
  </si>
  <si>
    <t xml:space="preserve">data/programme/facts.yaml, cohort.build_groups (stated); the tracker plans fifteen</t>
  </si>
  <si>
    <t xml:space="preserve">Rounds in the standard roster</t>
  </si>
  <si>
    <t xml:space="preserve">Seven on Friday and two on Saturday morning</t>
  </si>
  <si>
    <t xml:space="preserve">Saturday rounds per stream, most</t>
  </si>
  <si>
    <t xml:space="preserve">Past three, Saturday's presentations move back more than an hour</t>
  </si>
  <si>
    <t xml:space="preserve">Groups: sub-problem from Monday's allocation, GD position from Friday's draw</t>
  </si>
  <si>
    <t xml:space="preserve">Group</t>
  </si>
  <si>
    <t xml:space="preserve">Sub-problem (1 revenue, 2 bookings, 3 billing, 4 no-shows, 5 campaign)</t>
  </si>
  <si>
    <t xml:space="preserve">GD position drawn (1 to 9)</t>
  </si>
  <si>
    <t xml:space="preserve">G1</t>
  </si>
  <si>
    <t xml:space="preserve">G2</t>
  </si>
  <si>
    <t xml:space="preserve">G3</t>
  </si>
  <si>
    <t xml:space="preserve">G4</t>
  </si>
  <si>
    <t xml:space="preserve">G5</t>
  </si>
  <si>
    <t xml:space="preserve">G6</t>
  </si>
  <si>
    <t xml:space="preserve">G7</t>
  </si>
  <si>
    <t xml:space="preserve">G8</t>
  </si>
  <si>
    <t xml:space="preserve">G9</t>
  </si>
  <si>
    <t xml:space="preserve">The ten cards</t>
  </si>
  <si>
    <t xml:space="preserve">Card</t>
  </si>
  <si>
    <t xml:space="preserve">Title</t>
  </si>
  <si>
    <t xml:space="preserve">Level</t>
  </si>
  <si>
    <t xml:space="preserve">Overlaps sub-problem</t>
  </si>
  <si>
    <t xml:space="preserve">The festive price</t>
  </si>
  <si>
    <t xml:space="preserve">none</t>
  </si>
  <si>
    <t xml:space="preserve">The printed report</t>
  </si>
  <si>
    <t xml:space="preserve">Same-day reports in every city</t>
  </si>
  <si>
    <t xml:space="preserve">Closing the phone line</t>
  </si>
  <si>
    <t xml:space="preserve">Free home collection everywhere</t>
  </si>
  <si>
    <t xml:space="preserve">5</t>
  </si>
  <si>
    <t xml:space="preserve">The no-show league table</t>
  </si>
  <si>
    <t xml:space="preserve">4</t>
  </si>
  <si>
    <t xml:space="preserve">Pricing a corporate health-check contract</t>
  </si>
  <si>
    <t xml:space="preserve">1 and 3</t>
  </si>
  <si>
    <t xml:space="preserve">Where the next Rs 2 crore goes (the spare)</t>
  </si>
  <si>
    <t xml:space="preserve">The insurer's cashless tie-up</t>
  </si>
  <si>
    <t xml:space="preserve">The sample mix-up</t>
  </si>
  <si>
    <t xml:space="preserve">GD roster: nine rounds, complexity climbing with the slot</t>
  </si>
  <si>
    <t xml:space="preserve">Slot</t>
  </si>
  <si>
    <t xml:space="preserve">Day</t>
  </si>
  <si>
    <t xml:space="preserve">Block</t>
  </si>
  <si>
    <t xml:space="preserve">Stream</t>
  </si>
  <si>
    <t xml:space="preserve">Chair</t>
  </si>
  <si>
    <t xml:space="preserve">Room</t>
  </si>
  <si>
    <t xml:space="preserve">Start, minutes into the block</t>
  </si>
  <si>
    <t xml:space="preserve">End, minutes into the block</t>
  </si>
  <si>
    <t xml:space="preserve">Group's sub-problem</t>
  </si>
  <si>
    <t xml:space="preserve">Card overlaps</t>
  </si>
  <si>
    <t xml:space="preserve">Clash check</t>
  </si>
  <si>
    <t xml:space="preserve">Block check</t>
  </si>
  <si>
    <t xml:space="preserve">Friday</t>
  </si>
  <si>
    <t xml:space="preserve">one</t>
  </si>
  <si>
    <t xml:space="preserve">A</t>
  </si>
  <si>
    <t xml:space="preserve">The industry expert</t>
  </si>
  <si>
    <t xml:space="preserve">GD room</t>
  </si>
  <si>
    <t xml:space="preserve">B</t>
  </si>
  <si>
    <t xml:space="preserve">The Principal Advisor, online</t>
  </si>
  <si>
    <t xml:space="preserve">Second room</t>
  </si>
  <si>
    <t xml:space="preserve">Saturday</t>
  </si>
  <si>
    <t xml:space="preserve">morning</t>
  </si>
  <si>
    <t xml:space="preserve">Slots 1 to 7 run in Friday block one; slots 8 and 9 open Saturday morning, in parallel, before the presentations.</t>
  </si>
  <si>
    <t xml:space="preserve">Stream B's rounds 3 to 5 on Friday, and Saturday rounds beyond the first, are the stretch the Check sheet names when more groups run.</t>
  </si>
  <si>
    <t xml:space="preserve">Friday block two: the first tranche, the cold-run roll call and the draw</t>
  </si>
  <si>
    <t xml:space="preserve">Presentations in the first tranche</t>
  </si>
  <si>
    <t xml:space="preserve">Presentation slot, minutes</t>
  </si>
  <si>
    <t xml:space="preserve">GD notes consolidated by the expert, the Principal Advisor and the trainer, minutes</t>
  </si>
  <si>
    <t xml:space="preserve">Cold-run roll call, minutes per group</t>
  </si>
  <si>
    <t xml:space="preserve">Drawing Saturday's presentation order, minutes</t>
  </si>
  <si>
    <t xml:space="preserve">Part</t>
  </si>
  <si>
    <t xml:space="preserve">Minutes</t>
  </si>
  <si>
    <t xml:space="preserve">First tranche of presentations, before the expert</t>
  </si>
  <si>
    <t xml:space="preserve">GD notes consolidated (groups run cold run one)</t>
  </si>
  <si>
    <t xml:space="preserve">Cold-run roll call, every group</t>
  </si>
  <si>
    <t xml:space="preserve">Saturday's presentation order drawn</t>
  </si>
  <si>
    <t xml:space="preserve">Saturday handover and slack</t>
  </si>
  <si>
    <t xml:space="preserve">Block two check</t>
  </si>
  <si>
    <t xml:space="preserve">Check</t>
  </si>
  <si>
    <t xml:space="preserve">What</t>
  </si>
  <si>
    <t xml:space="preserve">Result</t>
  </si>
  <si>
    <t xml:space="preserve">GD minutes this build</t>
  </si>
  <si>
    <t xml:space="preserve">Rounds one stream can run in Friday block one</t>
  </si>
  <si>
    <t xml:space="preserve">Rounds both streams can run in Friday block one</t>
  </si>
  <si>
    <t xml:space="preserve">Rounds both streams can run on Saturday morning, at most</t>
  </si>
  <si>
    <t xml:space="preserve">Most groups the two expert days hold</t>
  </si>
  <si>
    <t xml:space="preserve">The roster for this many groups</t>
  </si>
  <si>
    <t xml:space="preserve">Clashes between a card and its group's sub-problem</t>
  </si>
  <si>
    <t xml:space="preserve">Clash verdict</t>
  </si>
  <si>
    <t xml:space="preserve">Rounds that run past their block</t>
  </si>
  <si>
    <t xml:space="preserve">Block verdict</t>
  </si>
  <si>
    <t xml:space="preserve">Groups drawn to one slot each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</si>
</sst>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23.8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30"/>
    <col collapsed="false" customWidth="true" hidden="false" outlineLevel="0" max="3" min="3" style="0" width="60"/>
  </cols>
  <sheetData>
    <row r="1" customFormat="false" ht="15" hidden="false" customHeight="false" outlineLevel="0" collapsed="false">
      <c r="A1" s="1" t="s">
        <v>8</v>
      </c>
      <c r="B1" s="2"/>
      <c r="C1" s="2"/>
    </row>
    <row r="2" customFormat="false" ht="15" hidden="false" customHeight="false" outlineLevel="0" collapsed="false">
      <c r="A2" s="3" t="s">
        <v>9</v>
      </c>
      <c r="B2" s="3" t="s">
        <v>10</v>
      </c>
      <c r="C2" s="3" t="s">
        <v>11</v>
      </c>
    </row>
    <row r="3" customFormat="false" ht="15" hidden="false" customHeight="false" outlineLevel="0" collapsed="false">
      <c r="A3" s="2" t="s">
        <v>12</v>
      </c>
      <c r="B3" s="4" t="n">
        <v>30</v>
      </c>
      <c r="C3" s="2" t="s">
        <v>13</v>
      </c>
    </row>
    <row r="4" customFormat="false" ht="15" hidden="false" customHeight="false" outlineLevel="0" collapsed="false">
      <c r="A4" s="2" t="s">
        <v>14</v>
      </c>
      <c r="B4" s="4" t="n">
        <v>15</v>
      </c>
      <c r="C4" s="2" t="s">
        <v>15</v>
      </c>
    </row>
    <row r="5" customFormat="false" ht="15" hidden="false" customHeight="false" outlineLevel="0" collapsed="false">
      <c r="A5" s="2" t="s">
        <v>16</v>
      </c>
      <c r="B5" s="4" t="n">
        <v>180</v>
      </c>
      <c r="C5" s="2" t="s">
        <v>17</v>
      </c>
    </row>
    <row r="6" customFormat="false" ht="15" hidden="false" customHeight="false" outlineLevel="0" collapsed="false">
      <c r="A6" s="2" t="s">
        <v>18</v>
      </c>
      <c r="B6" s="4" t="n">
        <v>9</v>
      </c>
      <c r="C6" s="2" t="s">
        <v>19</v>
      </c>
    </row>
    <row r="7" customFormat="false" ht="15" hidden="false" customHeight="false" outlineLevel="0" collapsed="false">
      <c r="A7" s="2" t="s">
        <v>20</v>
      </c>
      <c r="B7" s="4" t="n">
        <v>9</v>
      </c>
      <c r="C7" s="2" t="s">
        <v>21</v>
      </c>
    </row>
    <row r="8" customFormat="false" ht="15" hidden="false" customHeight="false" outlineLevel="0" collapsed="false">
      <c r="A8" s="2" t="s">
        <v>22</v>
      </c>
      <c r="B8" s="4" t="n">
        <v>3</v>
      </c>
      <c r="C8" s="2" t="s">
        <v>23</v>
      </c>
    </row>
    <row r="9" customFormat="false" ht="15" hidden="false" customHeight="false" outlineLevel="0" collapsed="false">
      <c r="A9" s="2"/>
      <c r="B9" s="2"/>
      <c r="C9" s="2"/>
    </row>
    <row r="10" customFormat="false" ht="15" hidden="false" customHeight="false" outlineLevel="0" collapsed="false">
      <c r="A10" s="2"/>
      <c r="B10" s="2"/>
      <c r="C10" s="2"/>
    </row>
    <row r="11" customFormat="false" ht="23.85" hidden="false" customHeight="false" outlineLevel="0" collapsed="false">
      <c r="A11" s="5" t="s">
        <v>24</v>
      </c>
      <c r="B11" s="2"/>
      <c r="C11" s="2"/>
    </row>
    <row r="12" customFormat="false" ht="23.85" hidden="false" customHeight="false" outlineLevel="0" collapsed="false">
      <c r="A12" s="3" t="s">
        <v>25</v>
      </c>
      <c r="B12" s="3" t="s">
        <v>26</v>
      </c>
      <c r="C12" s="3" t="s">
        <v>27</v>
      </c>
    </row>
    <row r="13" customFormat="false" ht="15" hidden="false" customHeight="false" outlineLevel="0" collapsed="false">
      <c r="A13" s="2" t="s">
        <v>28</v>
      </c>
      <c r="B13" s="4" t="n">
        <v>1</v>
      </c>
      <c r="C13" s="4" t="n">
        <v>1</v>
      </c>
    </row>
    <row r="14" customFormat="false" ht="15" hidden="false" customHeight="false" outlineLevel="0" collapsed="false">
      <c r="A14" s="2" t="s">
        <v>29</v>
      </c>
      <c r="B14" s="4" t="n">
        <v>1</v>
      </c>
      <c r="C14" s="4" t="n">
        <v>2</v>
      </c>
    </row>
    <row r="15" customFormat="false" ht="15" hidden="false" customHeight="false" outlineLevel="0" collapsed="false">
      <c r="A15" s="2" t="s">
        <v>30</v>
      </c>
      <c r="B15" s="4" t="n">
        <v>2</v>
      </c>
      <c r="C15" s="4" t="n">
        <v>3</v>
      </c>
    </row>
    <row r="16" customFormat="false" ht="15" hidden="false" customHeight="false" outlineLevel="0" collapsed="false">
      <c r="A16" s="2" t="s">
        <v>31</v>
      </c>
      <c r="B16" s="4" t="n">
        <v>2</v>
      </c>
      <c r="C16" s="4" t="n">
        <v>4</v>
      </c>
    </row>
    <row r="17" customFormat="false" ht="15" hidden="false" customHeight="false" outlineLevel="0" collapsed="false">
      <c r="A17" s="2" t="s">
        <v>32</v>
      </c>
      <c r="B17" s="4" t="n">
        <v>3</v>
      </c>
      <c r="C17" s="4" t="n">
        <v>5</v>
      </c>
    </row>
    <row r="18" customFormat="false" ht="15" hidden="false" customHeight="false" outlineLevel="0" collapsed="false">
      <c r="A18" s="2" t="s">
        <v>33</v>
      </c>
      <c r="B18" s="4" t="n">
        <v>3</v>
      </c>
      <c r="C18" s="4" t="n">
        <v>6</v>
      </c>
    </row>
    <row r="19" customFormat="false" ht="15" hidden="false" customHeight="false" outlineLevel="0" collapsed="false">
      <c r="A19" s="2" t="s">
        <v>34</v>
      </c>
      <c r="B19" s="4" t="n">
        <v>4</v>
      </c>
      <c r="C19" s="4" t="n">
        <v>7</v>
      </c>
    </row>
    <row r="20" customFormat="false" ht="15" hidden="false" customHeight="false" outlineLevel="0" collapsed="false">
      <c r="A20" s="2" t="s">
        <v>35</v>
      </c>
      <c r="B20" s="4" t="n">
        <v>4</v>
      </c>
      <c r="C20" s="4" t="n">
        <v>8</v>
      </c>
    </row>
    <row r="21" customFormat="false" ht="15" hidden="false" customHeight="false" outlineLevel="0" collapsed="false">
      <c r="A21" s="2" t="s">
        <v>36</v>
      </c>
      <c r="B21" s="4" t="n">
        <v>5</v>
      </c>
      <c r="C21" s="4" t="n">
        <v>9</v>
      </c>
    </row>
  </sheetData>
  <dataValidations count="1">
    <dataValidation allowBlank="false" errorStyle="stop" operator="between" showDropDown="false" showErrorMessage="false" showInputMessage="false" sqref="B13:B21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4"/>
    <col collapsed="false" customWidth="true" hidden="false" outlineLevel="0" max="3" min="3" style="0" width="8"/>
    <col collapsed="false" customWidth="true" hidden="false" outlineLevel="0" max="4" min="4" style="0" width="22"/>
  </cols>
  <sheetData>
    <row r="1" customFormat="false" ht="26.85" hidden="false" customHeight="false" outlineLevel="0" collapsed="false">
      <c r="A1" s="1" t="s">
        <v>37</v>
      </c>
      <c r="B1" s="2"/>
      <c r="C1" s="2"/>
      <c r="D1" s="2"/>
    </row>
    <row r="2" customFormat="false" ht="15" hidden="false" customHeight="false" outlineLevel="0" collapsed="false">
      <c r="A2" s="3" t="s">
        <v>38</v>
      </c>
      <c r="B2" s="3" t="s">
        <v>39</v>
      </c>
      <c r="C2" s="3" t="s">
        <v>40</v>
      </c>
      <c r="D2" s="3" t="s">
        <v>41</v>
      </c>
    </row>
    <row r="3" customFormat="false" ht="15" hidden="false" customHeight="false" outlineLevel="0" collapsed="false">
      <c r="A3" s="6" t="n">
        <v>1</v>
      </c>
      <c r="B3" s="2" t="s">
        <v>42</v>
      </c>
      <c r="C3" s="2" t="n">
        <v>1</v>
      </c>
      <c r="D3" s="2" t="s">
        <v>43</v>
      </c>
    </row>
    <row r="4" customFormat="false" ht="15" hidden="false" customHeight="false" outlineLevel="0" collapsed="false">
      <c r="A4" s="6" t="n">
        <v>2</v>
      </c>
      <c r="B4" s="2" t="s">
        <v>44</v>
      </c>
      <c r="C4" s="2" t="n">
        <v>1</v>
      </c>
      <c r="D4" s="2" t="s">
        <v>43</v>
      </c>
    </row>
    <row r="5" customFormat="false" ht="15" hidden="false" customHeight="false" outlineLevel="0" collapsed="false">
      <c r="A5" s="6" t="n">
        <v>3</v>
      </c>
      <c r="B5" s="2" t="s">
        <v>45</v>
      </c>
      <c r="C5" s="2" t="n">
        <v>2</v>
      </c>
      <c r="D5" s="2" t="s">
        <v>43</v>
      </c>
    </row>
    <row r="6" customFormat="false" ht="15" hidden="false" customHeight="false" outlineLevel="0" collapsed="false">
      <c r="A6" s="6" t="n">
        <v>4</v>
      </c>
      <c r="B6" s="2" t="s">
        <v>46</v>
      </c>
      <c r="C6" s="2" t="n">
        <v>2</v>
      </c>
      <c r="D6" s="2" t="s">
        <v>43</v>
      </c>
    </row>
    <row r="7" customFormat="false" ht="15" hidden="false" customHeight="false" outlineLevel="0" collapsed="false">
      <c r="A7" s="6" t="n">
        <v>5</v>
      </c>
      <c r="B7" s="2" t="s">
        <v>47</v>
      </c>
      <c r="C7" s="2" t="n">
        <v>3</v>
      </c>
      <c r="D7" s="2" t="s">
        <v>48</v>
      </c>
    </row>
    <row r="8" customFormat="false" ht="15" hidden="false" customHeight="false" outlineLevel="0" collapsed="false">
      <c r="A8" s="6" t="n">
        <v>6</v>
      </c>
      <c r="B8" s="2" t="s">
        <v>49</v>
      </c>
      <c r="C8" s="2" t="n">
        <v>3</v>
      </c>
      <c r="D8" s="2" t="s">
        <v>50</v>
      </c>
    </row>
    <row r="9" customFormat="false" ht="15" hidden="false" customHeight="false" outlineLevel="0" collapsed="false">
      <c r="A9" s="6" t="n">
        <v>7</v>
      </c>
      <c r="B9" s="2" t="s">
        <v>51</v>
      </c>
      <c r="C9" s="2" t="n">
        <v>4</v>
      </c>
      <c r="D9" s="2" t="s">
        <v>52</v>
      </c>
    </row>
    <row r="10" customFormat="false" ht="15" hidden="false" customHeight="false" outlineLevel="0" collapsed="false">
      <c r="A10" s="6" t="n">
        <v>8</v>
      </c>
      <c r="B10" s="2" t="s">
        <v>53</v>
      </c>
      <c r="C10" s="2" t="n">
        <v>4</v>
      </c>
      <c r="D10" s="2" t="s">
        <v>43</v>
      </c>
    </row>
    <row r="11" customFormat="false" ht="15" hidden="false" customHeight="false" outlineLevel="0" collapsed="false">
      <c r="A11" s="6" t="n">
        <v>9</v>
      </c>
      <c r="B11" s="2" t="s">
        <v>54</v>
      </c>
      <c r="C11" s="2" t="n">
        <v>5</v>
      </c>
      <c r="D11" s="2" t="s">
        <v>43</v>
      </c>
    </row>
    <row r="12" customFormat="false" ht="15" hidden="false" customHeight="false" outlineLevel="0" collapsed="false">
      <c r="A12" s="6" t="n">
        <v>10</v>
      </c>
      <c r="B12" s="2" t="s">
        <v>55</v>
      </c>
      <c r="C12" s="2" t="n">
        <v>5</v>
      </c>
      <c r="D12" s="2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28"/>
    <col collapsed="false" customWidth="true" hidden="false" outlineLevel="0" max="6" min="6" style="0" width="13"/>
    <col collapsed="false" customWidth="true" hidden="false" outlineLevel="0" max="8" min="7" style="0" width="14"/>
    <col collapsed="false" customWidth="true" hidden="false" outlineLevel="0" max="10" min="9" style="0" width="7"/>
    <col collapsed="false" customWidth="true" hidden="false" outlineLevel="0" max="11" min="11" style="0" width="14"/>
    <col collapsed="false" customWidth="true" hidden="false" outlineLevel="0" max="13" min="12" style="0" width="12"/>
    <col collapsed="false" customWidth="true" hidden="false" outlineLevel="0" max="14" min="14" style="0" width="40"/>
    <col collapsed="false" customWidth="true" hidden="false" outlineLevel="0" max="15" min="15" style="0" width="18"/>
  </cols>
  <sheetData>
    <row r="1" customFormat="false" ht="153.7" hidden="false" customHeight="false" outlineLevel="0" collapsed="false">
      <c r="A1" s="1" t="s">
        <v>56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customFormat="false" ht="23.85" hidden="false" customHeight="false" outlineLevel="0" collapsed="false">
      <c r="A3" s="3" t="s">
        <v>57</v>
      </c>
      <c r="B3" s="3" t="s">
        <v>58</v>
      </c>
      <c r="C3" s="3" t="s">
        <v>59</v>
      </c>
      <c r="D3" s="3" t="s">
        <v>60</v>
      </c>
      <c r="E3" s="3" t="s">
        <v>61</v>
      </c>
      <c r="F3" s="3" t="s">
        <v>62</v>
      </c>
      <c r="G3" s="3" t="s">
        <v>63</v>
      </c>
      <c r="H3" s="3" t="s">
        <v>64</v>
      </c>
      <c r="I3" s="3" t="s">
        <v>40</v>
      </c>
      <c r="J3" s="3" t="s">
        <v>38</v>
      </c>
      <c r="K3" s="3" t="s">
        <v>25</v>
      </c>
      <c r="L3" s="3" t="s">
        <v>65</v>
      </c>
      <c r="M3" s="3" t="s">
        <v>66</v>
      </c>
      <c r="N3" s="3" t="s">
        <v>67</v>
      </c>
      <c r="O3" s="3" t="s">
        <v>68</v>
      </c>
    </row>
    <row r="4" customFormat="false" ht="15" hidden="false" customHeight="false" outlineLevel="0" collapsed="false">
      <c r="A4" s="2" t="n">
        <v>1</v>
      </c>
      <c r="B4" s="2" t="s">
        <v>69</v>
      </c>
      <c r="C4" s="2" t="s">
        <v>70</v>
      </c>
      <c r="D4" s="2" t="s">
        <v>71</v>
      </c>
      <c r="E4" s="2" t="s">
        <v>72</v>
      </c>
      <c r="F4" s="2" t="s">
        <v>73</v>
      </c>
      <c r="G4" s="2" t="n">
        <f aca="false">Inputs!$B$4</f>
        <v>15</v>
      </c>
      <c r="H4" s="2" t="n">
        <f aca="false">G4+Inputs!$B$3</f>
        <v>45</v>
      </c>
      <c r="I4" s="2" t="n">
        <f aca="false">INDEX(Prompts!$C$3:$C$12,MATCH(J4,Prompts!$A$3:$A$12,0))</f>
        <v>1</v>
      </c>
      <c r="J4" s="7" t="n">
        <v>1</v>
      </c>
      <c r="K4" s="2" t="str">
        <f aca="false">IFERROR(INDEX(Inputs!$A$13:$A$21,MATCH(A4,Inputs!$C$13:$C$21,0)),"no group drawn")</f>
        <v>G1</v>
      </c>
      <c r="L4" s="2" t="n">
        <f aca="false">IFERROR(INDEX(Inputs!$B$13:$B$21,MATCH(K4,Inputs!$A$13:$A$21,0)),"")</f>
        <v>1</v>
      </c>
      <c r="M4" s="2" t="str">
        <f aca="false">INDEX(Prompts!$D$3:$D$12,MATCH(J4,Prompts!$A$3:$A$12,0))</f>
        <v>none</v>
      </c>
      <c r="N4" s="2" t="str">
        <f aca="false">IF(L4="","no group",IF(ISNUMBER(SEARCH(L4,M4)),"swap: the card meets the group's own sub-problem","ok"))</f>
        <v>ok</v>
      </c>
      <c r="O4" s="2" t="str">
        <f aca="false">IF(H4&gt;Inputs!$B$5,"over the block end","inside the block")</f>
        <v>inside the block</v>
      </c>
    </row>
    <row r="5" customFormat="false" ht="15" hidden="false" customHeight="false" outlineLevel="0" collapsed="false">
      <c r="A5" s="2" t="n">
        <v>2</v>
      </c>
      <c r="B5" s="2" t="s">
        <v>69</v>
      </c>
      <c r="C5" s="2" t="s">
        <v>70</v>
      </c>
      <c r="D5" s="2" t="s">
        <v>74</v>
      </c>
      <c r="E5" s="2" t="s">
        <v>75</v>
      </c>
      <c r="F5" s="2" t="s">
        <v>76</v>
      </c>
      <c r="G5" s="2" t="n">
        <f aca="false">Inputs!$B$4</f>
        <v>15</v>
      </c>
      <c r="H5" s="2" t="n">
        <f aca="false">G5+Inputs!$B$3</f>
        <v>45</v>
      </c>
      <c r="I5" s="2" t="n">
        <f aca="false">INDEX(Prompts!$C$3:$C$12,MATCH(J5,Prompts!$A$3:$A$12,0))</f>
        <v>1</v>
      </c>
      <c r="J5" s="7" t="n">
        <v>2</v>
      </c>
      <c r="K5" s="2" t="str">
        <f aca="false">IFERROR(INDEX(Inputs!$A$13:$A$21,MATCH(A5,Inputs!$C$13:$C$21,0)),"no group drawn")</f>
        <v>G2</v>
      </c>
      <c r="L5" s="2" t="n">
        <f aca="false">IFERROR(INDEX(Inputs!$B$13:$B$21,MATCH(K5,Inputs!$A$13:$A$21,0)),"")</f>
        <v>1</v>
      </c>
      <c r="M5" s="2" t="str">
        <f aca="false">INDEX(Prompts!$D$3:$D$12,MATCH(J5,Prompts!$A$3:$A$12,0))</f>
        <v>none</v>
      </c>
      <c r="N5" s="2" t="str">
        <f aca="false">IF(L5="","no group",IF(ISNUMBER(SEARCH(L5,M5)),"swap: the card meets the group's own sub-problem","ok"))</f>
        <v>ok</v>
      </c>
      <c r="O5" s="2" t="str">
        <f aca="false">IF(H5&gt;Inputs!$B$5,"over the block end","inside the block")</f>
        <v>inside the block</v>
      </c>
    </row>
    <row r="6" customFormat="false" ht="15" hidden="false" customHeight="false" outlineLevel="0" collapsed="false">
      <c r="A6" s="2" t="n">
        <v>3</v>
      </c>
      <c r="B6" s="2" t="s">
        <v>69</v>
      </c>
      <c r="C6" s="2" t="s">
        <v>70</v>
      </c>
      <c r="D6" s="2" t="s">
        <v>71</v>
      </c>
      <c r="E6" s="2" t="s">
        <v>72</v>
      </c>
      <c r="F6" s="2" t="s">
        <v>73</v>
      </c>
      <c r="G6" s="2" t="n">
        <f aca="false">Inputs!$B$4+Inputs!$B$3</f>
        <v>45</v>
      </c>
      <c r="H6" s="2" t="n">
        <f aca="false">G6+Inputs!$B$3</f>
        <v>75</v>
      </c>
      <c r="I6" s="2" t="n">
        <f aca="false">INDEX(Prompts!$C$3:$C$12,MATCH(J6,Prompts!$A$3:$A$12,0))</f>
        <v>2</v>
      </c>
      <c r="J6" s="7" t="n">
        <v>3</v>
      </c>
      <c r="K6" s="2" t="str">
        <f aca="false">IFERROR(INDEX(Inputs!$A$13:$A$21,MATCH(A6,Inputs!$C$13:$C$21,0)),"no group drawn")</f>
        <v>G3</v>
      </c>
      <c r="L6" s="2" t="n">
        <f aca="false">IFERROR(INDEX(Inputs!$B$13:$B$21,MATCH(K6,Inputs!$A$13:$A$21,0)),"")</f>
        <v>2</v>
      </c>
      <c r="M6" s="2" t="str">
        <f aca="false">INDEX(Prompts!$D$3:$D$12,MATCH(J6,Prompts!$A$3:$A$12,0))</f>
        <v>none</v>
      </c>
      <c r="N6" s="2" t="str">
        <f aca="false">IF(L6="","no group",IF(ISNUMBER(SEARCH(L6,M6)),"swap: the card meets the group's own sub-problem","ok"))</f>
        <v>ok</v>
      </c>
      <c r="O6" s="2" t="str">
        <f aca="false">IF(H6&gt;Inputs!$B$5,"over the block end","inside the block")</f>
        <v>inside the block</v>
      </c>
    </row>
    <row r="7" customFormat="false" ht="15" hidden="false" customHeight="false" outlineLevel="0" collapsed="false">
      <c r="A7" s="2" t="n">
        <v>4</v>
      </c>
      <c r="B7" s="2" t="s">
        <v>69</v>
      </c>
      <c r="C7" s="2" t="s">
        <v>70</v>
      </c>
      <c r="D7" s="2" t="s">
        <v>74</v>
      </c>
      <c r="E7" s="2" t="s">
        <v>75</v>
      </c>
      <c r="F7" s="2" t="s">
        <v>76</v>
      </c>
      <c r="G7" s="2" t="n">
        <f aca="false">Inputs!$B$4+Inputs!$B$3</f>
        <v>45</v>
      </c>
      <c r="H7" s="2" t="n">
        <f aca="false">G7+Inputs!$B$3</f>
        <v>75</v>
      </c>
      <c r="I7" s="2" t="n">
        <f aca="false">INDEX(Prompts!$C$3:$C$12,MATCH(J7,Prompts!$A$3:$A$12,0))</f>
        <v>2</v>
      </c>
      <c r="J7" s="7" t="n">
        <v>4</v>
      </c>
      <c r="K7" s="2" t="str">
        <f aca="false">IFERROR(INDEX(Inputs!$A$13:$A$21,MATCH(A7,Inputs!$C$13:$C$21,0)),"no group drawn")</f>
        <v>G4</v>
      </c>
      <c r="L7" s="2" t="n">
        <f aca="false">IFERROR(INDEX(Inputs!$B$13:$B$21,MATCH(K7,Inputs!$A$13:$A$21,0)),"")</f>
        <v>2</v>
      </c>
      <c r="M7" s="2" t="str">
        <f aca="false">INDEX(Prompts!$D$3:$D$12,MATCH(J7,Prompts!$A$3:$A$12,0))</f>
        <v>none</v>
      </c>
      <c r="N7" s="2" t="str">
        <f aca="false">IF(L7="","no group",IF(ISNUMBER(SEARCH(L7,M7)),"swap: the card meets the group's own sub-problem","ok"))</f>
        <v>ok</v>
      </c>
      <c r="O7" s="2" t="str">
        <f aca="false">IF(H7&gt;Inputs!$B$5,"over the block end","inside the block")</f>
        <v>inside the block</v>
      </c>
    </row>
    <row r="8" customFormat="false" ht="15" hidden="false" customHeight="false" outlineLevel="0" collapsed="false">
      <c r="A8" s="2" t="n">
        <v>5</v>
      </c>
      <c r="B8" s="2" t="s">
        <v>69</v>
      </c>
      <c r="C8" s="2" t="s">
        <v>70</v>
      </c>
      <c r="D8" s="2" t="s">
        <v>71</v>
      </c>
      <c r="E8" s="2" t="s">
        <v>72</v>
      </c>
      <c r="F8" s="2" t="s">
        <v>73</v>
      </c>
      <c r="G8" s="2" t="n">
        <f aca="false">Inputs!$B$4+2*Inputs!$B$3</f>
        <v>75</v>
      </c>
      <c r="H8" s="2" t="n">
        <f aca="false">G8+Inputs!$B$3</f>
        <v>105</v>
      </c>
      <c r="I8" s="2" t="n">
        <f aca="false">INDEX(Prompts!$C$3:$C$12,MATCH(J8,Prompts!$A$3:$A$12,0))</f>
        <v>3</v>
      </c>
      <c r="J8" s="7" t="n">
        <v>5</v>
      </c>
      <c r="K8" s="2" t="str">
        <f aca="false">IFERROR(INDEX(Inputs!$A$13:$A$21,MATCH(A8,Inputs!$C$13:$C$21,0)),"no group drawn")</f>
        <v>G5</v>
      </c>
      <c r="L8" s="2" t="n">
        <f aca="false">IFERROR(INDEX(Inputs!$B$13:$B$21,MATCH(K8,Inputs!$A$13:$A$21,0)),"")</f>
        <v>3</v>
      </c>
      <c r="M8" s="2" t="str">
        <f aca="false">INDEX(Prompts!$D$3:$D$12,MATCH(J8,Prompts!$A$3:$A$12,0))</f>
        <v>5</v>
      </c>
      <c r="N8" s="2" t="str">
        <f aca="false">IF(L8="","no group",IF(ISNUMBER(SEARCH(L8,M8)),"swap: the card meets the group's own sub-problem","ok"))</f>
        <v>ok</v>
      </c>
      <c r="O8" s="2" t="str">
        <f aca="false">IF(H8&gt;Inputs!$B$5,"over the block end","inside the block")</f>
        <v>inside the block</v>
      </c>
    </row>
    <row r="9" customFormat="false" ht="15" hidden="false" customHeight="false" outlineLevel="0" collapsed="false">
      <c r="A9" s="2" t="n">
        <v>6</v>
      </c>
      <c r="B9" s="2" t="s">
        <v>69</v>
      </c>
      <c r="C9" s="2" t="s">
        <v>70</v>
      </c>
      <c r="D9" s="2" t="s">
        <v>71</v>
      </c>
      <c r="E9" s="2" t="s">
        <v>72</v>
      </c>
      <c r="F9" s="2" t="s">
        <v>73</v>
      </c>
      <c r="G9" s="2" t="n">
        <f aca="false">Inputs!$B$4+3*Inputs!$B$3</f>
        <v>105</v>
      </c>
      <c r="H9" s="2" t="n">
        <f aca="false">G9+Inputs!$B$3</f>
        <v>135</v>
      </c>
      <c r="I9" s="2" t="n">
        <f aca="false">INDEX(Prompts!$C$3:$C$12,MATCH(J9,Prompts!$A$3:$A$12,0))</f>
        <v>3</v>
      </c>
      <c r="J9" s="7" t="n">
        <v>6</v>
      </c>
      <c r="K9" s="2" t="str">
        <f aca="false">IFERROR(INDEX(Inputs!$A$13:$A$21,MATCH(A9,Inputs!$C$13:$C$21,0)),"no group drawn")</f>
        <v>G6</v>
      </c>
      <c r="L9" s="2" t="n">
        <f aca="false">IFERROR(INDEX(Inputs!$B$13:$B$21,MATCH(K9,Inputs!$A$13:$A$21,0)),"")</f>
        <v>3</v>
      </c>
      <c r="M9" s="2" t="str">
        <f aca="false">INDEX(Prompts!$D$3:$D$12,MATCH(J9,Prompts!$A$3:$A$12,0))</f>
        <v>4</v>
      </c>
      <c r="N9" s="2" t="str">
        <f aca="false">IF(L9="","no group",IF(ISNUMBER(SEARCH(L9,M9)),"swap: the card meets the group's own sub-problem","ok"))</f>
        <v>ok</v>
      </c>
      <c r="O9" s="2" t="str">
        <f aca="false">IF(H9&gt;Inputs!$B$5,"over the block end","inside the block")</f>
        <v>inside the block</v>
      </c>
    </row>
    <row r="10" customFormat="false" ht="15" hidden="false" customHeight="false" outlineLevel="0" collapsed="false">
      <c r="A10" s="2" t="n">
        <v>7</v>
      </c>
      <c r="B10" s="2" t="s">
        <v>69</v>
      </c>
      <c r="C10" s="2" t="s">
        <v>70</v>
      </c>
      <c r="D10" s="2" t="s">
        <v>71</v>
      </c>
      <c r="E10" s="2" t="s">
        <v>72</v>
      </c>
      <c r="F10" s="2" t="s">
        <v>73</v>
      </c>
      <c r="G10" s="2" t="n">
        <f aca="false">Inputs!$B$4+4*Inputs!$B$3</f>
        <v>135</v>
      </c>
      <c r="H10" s="2" t="n">
        <f aca="false">G10+Inputs!$B$3</f>
        <v>165</v>
      </c>
      <c r="I10" s="2" t="n">
        <f aca="false">INDEX(Prompts!$C$3:$C$12,MATCH(J10,Prompts!$A$3:$A$12,0))</f>
        <v>4</v>
      </c>
      <c r="J10" s="7" t="n">
        <v>7</v>
      </c>
      <c r="K10" s="2" t="str">
        <f aca="false">IFERROR(INDEX(Inputs!$A$13:$A$21,MATCH(A10,Inputs!$C$13:$C$21,0)),"no group drawn")</f>
        <v>G7</v>
      </c>
      <c r="L10" s="2" t="n">
        <f aca="false">IFERROR(INDEX(Inputs!$B$13:$B$21,MATCH(K10,Inputs!$A$13:$A$21,0)),"")</f>
        <v>4</v>
      </c>
      <c r="M10" s="2" t="str">
        <f aca="false">INDEX(Prompts!$D$3:$D$12,MATCH(J10,Prompts!$A$3:$A$12,0))</f>
        <v>1 and 3</v>
      </c>
      <c r="N10" s="2" t="str">
        <f aca="false">IF(L10="","no group",IF(ISNUMBER(SEARCH(L10,M10)),"swap: the card meets the group's own sub-problem","ok"))</f>
        <v>ok</v>
      </c>
      <c r="O10" s="2" t="str">
        <f aca="false">IF(H10&gt;Inputs!$B$5,"over the block end","inside the block")</f>
        <v>inside the block</v>
      </c>
    </row>
    <row r="11" customFormat="false" ht="15" hidden="false" customHeight="false" outlineLevel="0" collapsed="false">
      <c r="A11" s="2" t="n">
        <v>8</v>
      </c>
      <c r="B11" s="2" t="s">
        <v>77</v>
      </c>
      <c r="C11" s="2" t="s">
        <v>78</v>
      </c>
      <c r="D11" s="2" t="s">
        <v>71</v>
      </c>
      <c r="E11" s="2" t="s">
        <v>72</v>
      </c>
      <c r="F11" s="2" t="s">
        <v>73</v>
      </c>
      <c r="G11" s="2" t="n">
        <f aca="false">0</f>
        <v>0</v>
      </c>
      <c r="H11" s="2" t="n">
        <f aca="false">G11+Inputs!$B$3</f>
        <v>30</v>
      </c>
      <c r="I11" s="2" t="n">
        <f aca="false">INDEX(Prompts!$C$3:$C$12,MATCH(J11,Prompts!$A$3:$A$12,0))</f>
        <v>5</v>
      </c>
      <c r="J11" s="7" t="n">
        <v>9</v>
      </c>
      <c r="K11" s="2" t="str">
        <f aca="false">IFERROR(INDEX(Inputs!$A$13:$A$21,MATCH(A11,Inputs!$C$13:$C$21,0)),"no group drawn")</f>
        <v>G8</v>
      </c>
      <c r="L11" s="2" t="n">
        <f aca="false">IFERROR(INDEX(Inputs!$B$13:$B$21,MATCH(K11,Inputs!$A$13:$A$21,0)),"")</f>
        <v>4</v>
      </c>
      <c r="M11" s="2" t="str">
        <f aca="false">INDEX(Prompts!$D$3:$D$12,MATCH(J11,Prompts!$A$3:$A$12,0))</f>
        <v>none</v>
      </c>
      <c r="N11" s="2" t="str">
        <f aca="false">IF(L11="","no group",IF(ISNUMBER(SEARCH(L11,M11)),"swap: the card meets the group's own sub-problem","ok"))</f>
        <v>ok</v>
      </c>
      <c r="O11" s="2" t="str">
        <f aca="false">IF(H11&gt;Inputs!$B$5,"over the block end","inside the block")</f>
        <v>inside the block</v>
      </c>
    </row>
    <row r="12" customFormat="false" ht="15" hidden="false" customHeight="false" outlineLevel="0" collapsed="false">
      <c r="A12" s="2" t="n">
        <v>9</v>
      </c>
      <c r="B12" s="2" t="s">
        <v>77</v>
      </c>
      <c r="C12" s="2" t="s">
        <v>78</v>
      </c>
      <c r="D12" s="2" t="s">
        <v>74</v>
      </c>
      <c r="E12" s="2" t="s">
        <v>75</v>
      </c>
      <c r="F12" s="2" t="s">
        <v>76</v>
      </c>
      <c r="G12" s="2" t="n">
        <f aca="false">0</f>
        <v>0</v>
      </c>
      <c r="H12" s="2" t="n">
        <f aca="false">G12+Inputs!$B$3</f>
        <v>30</v>
      </c>
      <c r="I12" s="2" t="n">
        <f aca="false">INDEX(Prompts!$C$3:$C$12,MATCH(J12,Prompts!$A$3:$A$12,0))</f>
        <v>5</v>
      </c>
      <c r="J12" s="7" t="n">
        <v>10</v>
      </c>
      <c r="K12" s="2" t="str">
        <f aca="false">IFERROR(INDEX(Inputs!$A$13:$A$21,MATCH(A12,Inputs!$C$13:$C$21,0)),"no group drawn")</f>
        <v>G9</v>
      </c>
      <c r="L12" s="2" t="n">
        <f aca="false">IFERROR(INDEX(Inputs!$B$13:$B$21,MATCH(K12,Inputs!$A$13:$A$21,0)),"")</f>
        <v>5</v>
      </c>
      <c r="M12" s="2" t="str">
        <f aca="false">INDEX(Prompts!$D$3:$D$12,MATCH(J12,Prompts!$A$3:$A$12,0))</f>
        <v>none</v>
      </c>
      <c r="N12" s="2" t="str">
        <f aca="false">IF(L12="","no group",IF(ISNUMBER(SEARCH(L12,M12)),"swap: the card meets the group's own sub-problem","ok"))</f>
        <v>ok</v>
      </c>
      <c r="O12" s="2" t="str">
        <f aca="false">IF(H12&gt;Inputs!$B$5,"over the block end","inside the block")</f>
        <v>inside the block</v>
      </c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91.75" hidden="false" customHeight="false" outlineLevel="0" collapsed="false">
      <c r="A15" s="2" t="s">
        <v>79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customFormat="false" ht="225.35" hidden="false" customHeight="false" outlineLevel="0" collapsed="false">
      <c r="A16" s="2" t="s">
        <v>80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6"/>
    <col collapsed="false" customWidth="true" hidden="false" outlineLevel="0" max="4" min="3" style="0" width="18"/>
  </cols>
  <sheetData>
    <row r="1" customFormat="false" ht="15" hidden="false" customHeight="false" outlineLevel="0" collapsed="false">
      <c r="A1" s="1" t="s">
        <v>81</v>
      </c>
      <c r="B1" s="2"/>
      <c r="C1" s="2"/>
      <c r="D1" s="2"/>
    </row>
    <row r="2" customFormat="false" ht="15" hidden="false" customHeight="false" outlineLevel="0" collapsed="false">
      <c r="A2" s="2"/>
      <c r="B2" s="2"/>
      <c r="C2" s="2"/>
      <c r="D2" s="2"/>
    </row>
    <row r="3" customFormat="false" ht="15" hidden="false" customHeight="false" outlineLevel="0" collapsed="false">
      <c r="A3" s="2" t="s">
        <v>82</v>
      </c>
      <c r="B3" s="4" t="n">
        <v>3</v>
      </c>
      <c r="C3" s="2"/>
      <c r="D3" s="2"/>
    </row>
    <row r="4" customFormat="false" ht="15" hidden="false" customHeight="false" outlineLevel="0" collapsed="false">
      <c r="A4" s="2" t="s">
        <v>83</v>
      </c>
      <c r="B4" s="4" t="n">
        <v>30</v>
      </c>
      <c r="C4" s="2"/>
      <c r="D4" s="2"/>
    </row>
    <row r="5" customFormat="false" ht="15" hidden="false" customHeight="false" outlineLevel="0" collapsed="false">
      <c r="A5" s="2" t="s">
        <v>84</v>
      </c>
      <c r="B5" s="4" t="n">
        <v>20</v>
      </c>
      <c r="C5" s="2"/>
      <c r="D5" s="2"/>
    </row>
    <row r="6" customFormat="false" ht="15" hidden="false" customHeight="false" outlineLevel="0" collapsed="false">
      <c r="A6" s="2" t="s">
        <v>85</v>
      </c>
      <c r="B6" s="4" t="n">
        <v>3</v>
      </c>
      <c r="C6" s="2"/>
      <c r="D6" s="2"/>
    </row>
    <row r="7" customFormat="false" ht="15" hidden="false" customHeight="false" outlineLevel="0" collapsed="false">
      <c r="A7" s="2" t="s">
        <v>86</v>
      </c>
      <c r="B7" s="4" t="n">
        <v>10</v>
      </c>
      <c r="C7" s="2"/>
      <c r="D7" s="2"/>
    </row>
    <row r="8" customFormat="false" ht="15" hidden="false" customHeight="false" outlineLevel="0" collapsed="false">
      <c r="A8" s="2"/>
      <c r="B8" s="2"/>
      <c r="C8" s="2"/>
      <c r="D8" s="2"/>
    </row>
    <row r="9" customFormat="false" ht="23.85" hidden="false" customHeight="false" outlineLevel="0" collapsed="false">
      <c r="A9" s="3" t="s">
        <v>87</v>
      </c>
      <c r="B9" s="3" t="s">
        <v>88</v>
      </c>
      <c r="C9" s="3" t="s">
        <v>63</v>
      </c>
      <c r="D9" s="3" t="s">
        <v>64</v>
      </c>
    </row>
    <row r="10" customFormat="false" ht="15" hidden="false" customHeight="false" outlineLevel="0" collapsed="false">
      <c r="A10" s="2" t="s">
        <v>89</v>
      </c>
      <c r="B10" s="2" t="n">
        <f aca="false">B3*B4</f>
        <v>90</v>
      </c>
      <c r="C10" s="2" t="n">
        <f aca="false">0</f>
        <v>0</v>
      </c>
      <c r="D10" s="2" t="n">
        <f aca="false">C10+B10</f>
        <v>90</v>
      </c>
    </row>
    <row r="11" customFormat="false" ht="15" hidden="false" customHeight="false" outlineLevel="0" collapsed="false">
      <c r="A11" s="2" t="s">
        <v>90</v>
      </c>
      <c r="B11" s="2" t="n">
        <f aca="false">B5</f>
        <v>20</v>
      </c>
      <c r="C11" s="2" t="n">
        <f aca="false">D10</f>
        <v>90</v>
      </c>
      <c r="D11" s="2" t="n">
        <f aca="false">C11+B11</f>
        <v>110</v>
      </c>
    </row>
    <row r="12" customFormat="false" ht="15" hidden="false" customHeight="false" outlineLevel="0" collapsed="false">
      <c r="A12" s="2" t="s">
        <v>91</v>
      </c>
      <c r="B12" s="2" t="n">
        <f aca="false">B6*Inputs!B6</f>
        <v>27</v>
      </c>
      <c r="C12" s="2" t="n">
        <f aca="false">D11</f>
        <v>110</v>
      </c>
      <c r="D12" s="2" t="n">
        <f aca="false">C12+B12</f>
        <v>137</v>
      </c>
    </row>
    <row r="13" customFormat="false" ht="15" hidden="false" customHeight="false" outlineLevel="0" collapsed="false">
      <c r="A13" s="2" t="s">
        <v>92</v>
      </c>
      <c r="B13" s="2" t="n">
        <f aca="false">B7</f>
        <v>10</v>
      </c>
      <c r="C13" s="2" t="n">
        <f aca="false">D12</f>
        <v>137</v>
      </c>
      <c r="D13" s="2" t="n">
        <f aca="false">C13+B13</f>
        <v>147</v>
      </c>
    </row>
    <row r="14" customFormat="false" ht="15" hidden="false" customHeight="false" outlineLevel="0" collapsed="false">
      <c r="A14" s="2" t="s">
        <v>93</v>
      </c>
      <c r="B14" s="2" t="n">
        <f aca="false">Inputs!B5-SUM(B10:B13)</f>
        <v>33</v>
      </c>
      <c r="C14" s="2" t="n">
        <f aca="false">D13</f>
        <v>147</v>
      </c>
      <c r="D14" s="2" t="n">
        <f aca="false">C14+B14</f>
        <v>180</v>
      </c>
    </row>
    <row r="15" customFormat="false" ht="15" hidden="false" customHeight="false" outlineLevel="0" collapsed="false">
      <c r="A15" s="2"/>
      <c r="B15" s="2"/>
      <c r="C15" s="2"/>
      <c r="D15" s="2"/>
    </row>
    <row r="16" customFormat="false" ht="23.85" hidden="false" customHeight="false" outlineLevel="0" collapsed="false">
      <c r="A16" s="2" t="s">
        <v>94</v>
      </c>
      <c r="B16" s="2" t="str">
        <f aca="false">IF(B14&lt;0,"block two runs over by "&amp;-B14&amp;" minutes: shorten the tranche","block two fits with "&amp;B14&amp;" minutes of slack")</f>
        <v>block two fits with 33 minutes of slack</v>
      </c>
      <c r="C16" s="2"/>
      <c r="D1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00"/>
  </cols>
  <sheetData>
    <row r="1" customFormat="false" ht="15" hidden="false" customHeight="false" outlineLevel="0" collapsed="false">
      <c r="A1" s="1" t="s">
        <v>95</v>
      </c>
      <c r="B1" s="2"/>
    </row>
    <row r="2" customFormat="false" ht="15" hidden="false" customHeight="false" outlineLevel="0" collapsed="false">
      <c r="A2" s="3" t="s">
        <v>96</v>
      </c>
      <c r="B2" s="3" t="s">
        <v>97</v>
      </c>
    </row>
    <row r="3" customFormat="false" ht="15" hidden="false" customHeight="false" outlineLevel="0" collapsed="false">
      <c r="A3" s="2" t="s">
        <v>98</v>
      </c>
      <c r="B3" s="2" t="n">
        <f aca="false">Inputs!B6*Inputs!B3</f>
        <v>270</v>
      </c>
    </row>
    <row r="4" customFormat="false" ht="15" hidden="false" customHeight="false" outlineLevel="0" collapsed="false">
      <c r="A4" s="2" t="s">
        <v>99</v>
      </c>
      <c r="B4" s="2" t="n">
        <f aca="false">INT((Inputs!B5-Inputs!B4)/Inputs!B3)</f>
        <v>5</v>
      </c>
    </row>
    <row r="5" customFormat="false" ht="15" hidden="false" customHeight="false" outlineLevel="0" collapsed="false">
      <c r="A5" s="2" t="s">
        <v>100</v>
      </c>
      <c r="B5" s="2" t="n">
        <f aca="false">2*B4</f>
        <v>10</v>
      </c>
    </row>
    <row r="6" customFormat="false" ht="15" hidden="false" customHeight="false" outlineLevel="0" collapsed="false">
      <c r="A6" s="2" t="s">
        <v>101</v>
      </c>
      <c r="B6" s="2" t="n">
        <f aca="false">2*Inputs!B8</f>
        <v>6</v>
      </c>
    </row>
    <row r="7" customFormat="false" ht="15" hidden="false" customHeight="false" outlineLevel="0" collapsed="false">
      <c r="A7" s="2" t="s">
        <v>102</v>
      </c>
      <c r="B7" s="2" t="n">
        <f aca="false">B5+B6</f>
        <v>16</v>
      </c>
    </row>
    <row r="8" customFormat="false" ht="15" hidden="false" customHeight="false" outlineLevel="0" collapsed="false">
      <c r="A8" s="2" t="s">
        <v>103</v>
      </c>
      <c r="B8" s="2" t="str">
        <f aca="false">IF(Inputs!B6&lt;=Inputs!B7,"standard roster: nine rounds, seven on Friday and two on Saturday morning",IF(Inputs!B6&lt;=B5+2,"stretch: stream B runs more Friday rounds, up to "&amp;B5&amp;" rounds across both streams in block one, and Saturday keeps its two",IF(Inputs!B6&lt;=B7,"stretch: stream B runs all Friday rounds and both streams run up to "&amp;Inputs!B8&amp;" Saturday rounds, which moves Saturday presentations back by up to "&amp;(Inputs!B8-1)*Inputs!B3&amp;" minutes","over the two expert days: the Programme Head adds a third chair")))</f>
        <v>standard roster: nine rounds, seven on Friday and two on Saturday morning</v>
      </c>
    </row>
    <row r="9" customFormat="false" ht="15" hidden="false" customHeight="false" outlineLevel="0" collapsed="false">
      <c r="A9" s="2" t="s">
        <v>104</v>
      </c>
      <c r="B9" s="2" t="n">
        <f aca="false">COUNTIF(Roster!N4:N12,"swap*")</f>
        <v>0</v>
      </c>
    </row>
    <row r="10" customFormat="false" ht="15" hidden="false" customHeight="false" outlineLevel="0" collapsed="false">
      <c r="A10" s="2" t="s">
        <v>105</v>
      </c>
      <c r="B10" s="2" t="str">
        <f aca="false">IF(B9=0,"no group meets its own sub-problem",B9&amp;" clash: swap within the level or use card 08")</f>
        <v>no group meets its own sub-problem</v>
      </c>
    </row>
    <row r="11" customFormat="false" ht="15" hidden="false" customHeight="false" outlineLevel="0" collapsed="false">
      <c r="A11" s="2" t="s">
        <v>106</v>
      </c>
      <c r="B11" s="2" t="n">
        <f aca="false">COUNTIF(Roster!O4:O12,"over*")</f>
        <v>0</v>
      </c>
    </row>
    <row r="12" customFormat="false" ht="15" hidden="false" customHeight="false" outlineLevel="0" collapsed="false">
      <c r="A12" s="2" t="s">
        <v>107</v>
      </c>
      <c r="B12" s="2" t="str">
        <f aca="false">IF(B11=0,"every round ends inside its block",B11&amp;" round runs past the block end")</f>
        <v>every round ends inside its block</v>
      </c>
    </row>
    <row r="13" customFormat="false" ht="15" hidden="false" customHeight="false" outlineLevel="0" collapsed="false">
      <c r="A13" s="2" t="s">
        <v>108</v>
      </c>
      <c r="B13" s="2" t="str">
        <f aca="false">IF(SUMPRODUCT((COUNTIF(Inputs!C13:C21,Inputs!C13:C21)&gt;1)*1)=0,"every group sits exactly one GD","two groups share a slot: redraw")</f>
        <v>every group sits exactly one GD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2026-09-29T17:34:01Z</dcterms:created>
  <dc:creator>openpyxl</dc:creator>
  <dc:description/>
  <dc:language>en-US</dc:language>
  <cp:lastModifiedBy/>
  <dcterms:modified xsi:type="dcterms:W3CDTF">2026-09-29T17:34:01Z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