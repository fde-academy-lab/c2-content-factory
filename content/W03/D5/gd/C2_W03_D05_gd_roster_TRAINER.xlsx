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Prompts" sheetId="3" state="visible" r:id="rId5"/>
    <sheet name="Roster" sheetId="4" state="visible" r:id="rId6"/>
    <sheet name="Friday block two" sheetId="5" state="visible" r:id="rId7"/>
    <sheet name="Check"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<sst xmlns="http://schemas.openxmlformats.org/spreadsheetml/2006/main" count="167" uniqueCount="113">
  <si>
    <t xml:space="preserve">Build 1 GD roster, Friday and Saturday morning (TRAINER ONLY)</t>
  </si>
  <si>
    <t xml:space="preserve">Yellow cells with blue text are the inputs. Everything else is a formula, so a changed input recomputes every end and every verdict.</t>
  </si>
  <si>
    <t xml:space="preserve">Times are minutes into the block, never clock times. A block runs 180 minutes (data/programme/facts.yaml, campus_day).</t>
  </si>
  <si>
    <t xml:space="preserve">Stream A is the industry expert in the GD room. Stream B is the Principal Advisor online, hosted by the Academic TA in a second room.</t>
  </si>
  <si>
    <t xml:space="preserve">On Monday, replace the sub-problem values on Inputs with the Programme Head's allocation. The values shipped are an example, placed so that the shipped draw shows no clash.</t>
  </si>
  <si>
    <t xml:space="preserve">At the Friday opening, the Programme Head draws the GD order by lot and types each group's position on Inputs. Slot 1 is the first round; the card each slot carries is fixed on Roster, so complexity climbs with the slot.</t>
  </si>
  <si>
    <t xml:space="preserve">Cards 07 to 10 read for four minutes and discuss for seventeen; cards 01 to 06 read for three and discuss for eighteen. Every round is 30 minutes.</t>
  </si>
  <si>
    <t xml:space="preserve">Check reads the result: the GD minutes, how the roster stretches for more groups, whether every round ends inside its block, and whether any group meets a card it is kept from.</t>
  </si>
  <si>
    <t xml:space="preserve">A clash means swapping the card with the other card of the same level on Roster, if that card's own flag allows, or with the spare, card 08, which is kept from nobody.</t>
  </si>
  <si>
    <t xml:space="preserve">Inputs</t>
  </si>
  <si>
    <t xml:space="preserve">Setting</t>
  </si>
  <si>
    <t xml:space="preserve">Value</t>
  </si>
  <si>
    <t xml:space="preserve">Source</t>
  </si>
  <si>
    <t xml:space="preserve">Round length, minutes</t>
  </si>
  <si>
    <t xml:space="preserve">The row: about 30 minutes per group</t>
  </si>
  <si>
    <t xml:space="preserve">Opening before the first round, minutes</t>
  </si>
  <si>
    <t xml:space="preserve">The expert's opening to the whole cohort, Friday block one</t>
  </si>
  <si>
    <t xml:space="preserve">Block length, minutes</t>
  </si>
  <si>
    <t xml:space="preserve">data/programme/facts.yaml, campus_day</t>
  </si>
  <si>
    <t xml:space="preserve">Groups this build</t>
  </si>
  <si>
    <t xml:space="preserve">data/programme/facts.yaml, cohort.build_groups (stated); the tracker plans fifteen</t>
  </si>
  <si>
    <t xml:space="preserve">Rounds in the standard roster</t>
  </si>
  <si>
    <t xml:space="preserve">Seven on Friday and two on Saturday morning</t>
  </si>
  <si>
    <t xml:space="preserve">Saturday rounds per stream, most</t>
  </si>
  <si>
    <t xml:space="preserve">Past three, Saturday's presentations move back more than an hour</t>
  </si>
  <si>
    <t xml:space="preserve">Groups: sub-problem from Monday's allocation, GD position from Friday's draw</t>
  </si>
  <si>
    <t xml:space="preserve">Group</t>
  </si>
  <si>
    <t xml:space="preserve">Sub-problem (1 revenue, 2 bookings, 3 billing, 4 no-shows, 5 campaign)</t>
  </si>
  <si>
    <t xml:space="preserve">GD position drawn (1 to 9)</t>
  </si>
  <si>
    <t xml:space="preserve">G1</t>
  </si>
  <si>
    <t xml:space="preserve">G2</t>
  </si>
  <si>
    <t xml:space="preserve">G3</t>
  </si>
  <si>
    <t xml:space="preserve">G4</t>
  </si>
  <si>
    <t xml:space="preserve">G5</t>
  </si>
  <si>
    <t xml:space="preserve">G6</t>
  </si>
  <si>
    <t xml:space="preserve">G7</t>
  </si>
  <si>
    <t xml:space="preserve">G8</t>
  </si>
  <si>
    <t xml:space="preserve">G9</t>
  </si>
  <si>
    <t xml:space="preserve">The ten cards</t>
  </si>
  <si>
    <t xml:space="preserve">Card</t>
  </si>
  <si>
    <t xml:space="preserve">The card's question</t>
  </si>
  <si>
    <t xml:space="preserve">Level</t>
  </si>
  <si>
    <t xml:space="preserve">Kept from sub-problems</t>
  </si>
  <si>
    <t xml:space="preserve">Read, then discuss</t>
  </si>
  <si>
    <t xml:space="preserve">Should Kalpa cut the self-pay price of its Whole-body wellness panel from $299 to $249?</t>
  </si>
  <si>
    <t xml:space="preserve">none</t>
  </si>
  <si>
    <t xml:space="preserve">3, then 18</t>
  </si>
  <si>
    <t xml:space="preserve">Should Kalpa stop posting paper statements and bill patients by text and email only?</t>
  </si>
  <si>
    <t xml:space="preserve">Should Kalpa promise same-day results in all six metros?</t>
  </si>
  <si>
    <t xml:space="preserve">Should Kalpa close its phone booking line and move every patient online?</t>
  </si>
  <si>
    <t xml:space="preserve">Is the vendor's 30 percent fall in denials good enough to buy on?</t>
  </si>
  <si>
    <t xml:space="preserve">3 and 5</t>
  </si>
  <si>
    <t xml:space="preserve">Should the lab director rank the six labs monthly on turnaround?</t>
  </si>
  <si>
    <t xml:space="preserve">4</t>
  </si>
  <si>
    <t xml:space="preserve">Where should the board's $2 million for growth go?</t>
  </si>
  <si>
    <t xml:space="preserve">4, then 17</t>
  </si>
  <si>
    <t xml:space="preserve">Should Kalpa sign the plan's preferred-lab offer in Dallas? (the spare)</t>
  </si>
  <si>
    <t xml:space="preserve">What does Dr Menon do in the week the clearinghouse is down?</t>
  </si>
  <si>
    <t xml:space="preserve">3</t>
  </si>
  <si>
    <t xml:space="preserve">Should Kalpa move its Texas Medicaid claim work to Bengaluru?</t>
  </si>
  <si>
    <t xml:space="preserve">GD roster: nine rounds, complexity climbing with the slot</t>
  </si>
  <si>
    <t xml:space="preserve">Slot</t>
  </si>
  <si>
    <t xml:space="preserve">Day</t>
  </si>
  <si>
    <t xml:space="preserve">Block</t>
  </si>
  <si>
    <t xml:space="preserve">Stream</t>
  </si>
  <si>
    <t xml:space="preserve">Chair</t>
  </si>
  <si>
    <t xml:space="preserve">Room</t>
  </si>
  <si>
    <t xml:space="preserve">Start, minutes into the block</t>
  </si>
  <si>
    <t xml:space="preserve">End, minutes into the block</t>
  </si>
  <si>
    <t xml:space="preserve">Group's sub-problem</t>
  </si>
  <si>
    <t xml:space="preserve">Card is kept from</t>
  </si>
  <si>
    <t xml:space="preserve">Clash check</t>
  </si>
  <si>
    <t xml:space="preserve">Block check</t>
  </si>
  <si>
    <t xml:space="preserve">Friday</t>
  </si>
  <si>
    <t xml:space="preserve">one</t>
  </si>
  <si>
    <t xml:space="preserve">A</t>
  </si>
  <si>
    <t xml:space="preserve">The industry expert</t>
  </si>
  <si>
    <t xml:space="preserve">GD room</t>
  </si>
  <si>
    <t xml:space="preserve">B</t>
  </si>
  <si>
    <t xml:space="preserve">The Principal Advisor, online</t>
  </si>
  <si>
    <t xml:space="preserve">Second room</t>
  </si>
  <si>
    <t xml:space="preserve">Saturday</t>
  </si>
  <si>
    <t xml:space="preserve">morning</t>
  </si>
  <si>
    <t xml:space="preserve">Slots 1 to 7 run in Friday block one; slots 8 and 9 open Saturday morning, in parallel, before the presentations.</t>
  </si>
  <si>
    <t xml:space="preserve">Stream B's rounds 3 to 5 on Friday, and Saturday rounds beyond the first, are the stretch the Check sheet names when more groups run.</t>
  </si>
  <si>
    <t xml:space="preserve">Friday block two: the first tranche, the cold-run roll call and the draw</t>
  </si>
  <si>
    <t xml:space="preserve">Presentations in the first tranche</t>
  </si>
  <si>
    <t xml:space="preserve">Presentation slot, minutes</t>
  </si>
  <si>
    <t xml:space="preserve">GD notes consolidated by the expert, the Principal Advisor and the trainer, minutes</t>
  </si>
  <si>
    <t xml:space="preserve">Cold-run roll call, minutes per group</t>
  </si>
  <si>
    <t xml:space="preserve">Drawing Saturday's presentation order, minutes</t>
  </si>
  <si>
    <t xml:space="preserve">Part</t>
  </si>
  <si>
    <t xml:space="preserve">Minutes</t>
  </si>
  <si>
    <t xml:space="preserve">First tranche of presentations, before the expert</t>
  </si>
  <si>
    <t xml:space="preserve">GD notes consolidated (groups run cold run one)</t>
  </si>
  <si>
    <t xml:space="preserve">Cold-run roll call, every group</t>
  </si>
  <si>
    <t xml:space="preserve">Saturday's presentation order drawn</t>
  </si>
  <si>
    <t xml:space="preserve">Saturday handover and slack</t>
  </si>
  <si>
    <t xml:space="preserve">Block two check</t>
  </si>
  <si>
    <t xml:space="preserve">Check</t>
  </si>
  <si>
    <t xml:space="preserve">What</t>
  </si>
  <si>
    <t xml:space="preserve">Result</t>
  </si>
  <si>
    <t xml:space="preserve">GD minutes this build</t>
  </si>
  <si>
    <t xml:space="preserve">Rounds one stream can run in Friday block one</t>
  </si>
  <si>
    <t xml:space="preserve">Rounds both streams can run in Friday block one</t>
  </si>
  <si>
    <t xml:space="preserve">Rounds both streams can run on Saturday morning, at most</t>
  </si>
  <si>
    <t xml:space="preserve">Most groups the two expert days hold</t>
  </si>
  <si>
    <t xml:space="preserve">The roster for this many groups</t>
  </si>
  <si>
    <t xml:space="preserve">Clashes between a card and its group's sub-problem</t>
  </si>
  <si>
    <t xml:space="preserve">Clash verdict</t>
  </si>
  <si>
    <t xml:space="preserve">Rounds that run past their block</t>
  </si>
  <si>
    <t xml:space="preserve">Block verdict</t>
  </si>
  <si>
    <t xml:space="preserve">Groups drawn to one slot each</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</si>
</sst>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70"/>
  </cols>
  <sheetData>
    <row r="1" customFormat="false" ht="15" hidden="false" customHeight="false" outlineLevel="0" collapsed="false">
      <c r="A1" s="1" t="s">
        <v>9</v>
      </c>
    </row>
    <row r="2" customFormat="false" ht="15" hidden="false" customHeight="false" outlineLevel="0" collapsed="false">
      <c r="A2" s="3" t="s">
        <v>10</v>
      </c>
      <c r="B2" s="3" t="s">
        <v>11</v>
      </c>
      <c r="C2" s="3" t="s">
        <v>12</v>
      </c>
    </row>
    <row r="3" customFormat="false" ht="15" hidden="false" customHeight="false" outlineLevel="0" collapsed="false">
      <c r="A3" s="2" t="s">
        <v>13</v>
      </c>
      <c r="B3" s="4" t="n">
        <v>30</v>
      </c>
      <c r="C3" s="2" t="s">
        <v>14</v>
      </c>
    </row>
    <row r="4" customFormat="false" ht="15" hidden="false" customHeight="false" outlineLevel="0" collapsed="false">
      <c r="A4" s="2" t="s">
        <v>15</v>
      </c>
      <c r="B4" s="4" t="n">
        <v>15</v>
      </c>
      <c r="C4" s="2" t="s">
        <v>16</v>
      </c>
    </row>
    <row r="5" customFormat="false" ht="15" hidden="false" customHeight="false" outlineLevel="0" collapsed="false">
      <c r="A5" s="2" t="s">
        <v>17</v>
      </c>
      <c r="B5" s="4" t="n">
        <v>180</v>
      </c>
      <c r="C5" s="2" t="s">
        <v>18</v>
      </c>
    </row>
    <row r="6" customFormat="false" ht="15" hidden="false" customHeight="false" outlineLevel="0" collapsed="false">
      <c r="A6" s="2" t="s">
        <v>19</v>
      </c>
      <c r="B6" s="4" t="n">
        <v>9</v>
      </c>
      <c r="C6" s="2" t="s">
        <v>20</v>
      </c>
    </row>
    <row r="7" customFormat="false" ht="15" hidden="false" customHeight="false" outlineLevel="0" collapsed="false">
      <c r="A7" s="2" t="s">
        <v>21</v>
      </c>
      <c r="B7" s="4" t="n">
        <v>9</v>
      </c>
      <c r="C7" s="2" t="s">
        <v>22</v>
      </c>
    </row>
    <row r="8" customFormat="false" ht="15" hidden="false" customHeight="false" outlineLevel="0" collapsed="false">
      <c r="A8" s="2" t="s">
        <v>23</v>
      </c>
      <c r="B8" s="4" t="n">
        <v>3</v>
      </c>
      <c r="C8" s="2" t="s">
        <v>24</v>
      </c>
    </row>
    <row r="11" customFormat="false" ht="23.85" hidden="false" customHeight="false" outlineLevel="0" collapsed="false">
      <c r="A11" s="1" t="s">
        <v>25</v>
      </c>
    </row>
    <row r="12" customFormat="false" ht="23.85" hidden="false" customHeight="false" outlineLevel="0" collapsed="false">
      <c r="A12" s="3" t="s">
        <v>26</v>
      </c>
      <c r="B12" s="3" t="s">
        <v>27</v>
      </c>
      <c r="C12" s="3" t="s">
        <v>28</v>
      </c>
    </row>
    <row r="13" customFormat="false" ht="15" hidden="false" customHeight="false" outlineLevel="0" collapsed="false">
      <c r="A13" s="2" t="s">
        <v>29</v>
      </c>
      <c r="B13" s="4" t="n">
        <v>3</v>
      </c>
      <c r="C13" s="4" t="n">
        <v>1</v>
      </c>
    </row>
    <row r="14" customFormat="false" ht="15" hidden="false" customHeight="false" outlineLevel="0" collapsed="false">
      <c r="A14" s="2" t="s">
        <v>30</v>
      </c>
      <c r="B14" s="4" t="n">
        <v>3</v>
      </c>
      <c r="C14" s="4" t="n">
        <v>2</v>
      </c>
    </row>
    <row r="15" customFormat="false" ht="15" hidden="false" customHeight="false" outlineLevel="0" collapsed="false">
      <c r="A15" s="2" t="s">
        <v>31</v>
      </c>
      <c r="B15" s="4" t="n">
        <v>1</v>
      </c>
      <c r="C15" s="4" t="n">
        <v>3</v>
      </c>
    </row>
    <row r="16" customFormat="false" ht="15" hidden="false" customHeight="false" outlineLevel="0" collapsed="false">
      <c r="A16" s="2" t="s">
        <v>32</v>
      </c>
      <c r="B16" s="4" t="n">
        <v>1</v>
      </c>
      <c r="C16" s="4" t="n">
        <v>4</v>
      </c>
    </row>
    <row r="17" customFormat="false" ht="15" hidden="false" customHeight="false" outlineLevel="0" collapsed="false">
      <c r="A17" s="2" t="s">
        <v>33</v>
      </c>
      <c r="B17" s="4" t="n">
        <v>2</v>
      </c>
      <c r="C17" s="4" t="n">
        <v>5</v>
      </c>
    </row>
    <row r="18" customFormat="false" ht="15" hidden="false" customHeight="false" outlineLevel="0" collapsed="false">
      <c r="A18" s="2" t="s">
        <v>34</v>
      </c>
      <c r="B18" s="4" t="n">
        <v>2</v>
      </c>
      <c r="C18" s="4" t="n">
        <v>6</v>
      </c>
    </row>
    <row r="19" customFormat="false" ht="15" hidden="false" customHeight="false" outlineLevel="0" collapsed="false">
      <c r="A19" s="2" t="s">
        <v>35</v>
      </c>
      <c r="B19" s="4" t="n">
        <v>4</v>
      </c>
      <c r="C19" s="4" t="n">
        <v>7</v>
      </c>
    </row>
    <row r="20" customFormat="false" ht="15" hidden="false" customHeight="false" outlineLevel="0" collapsed="false">
      <c r="A20" s="2" t="s">
        <v>36</v>
      </c>
      <c r="B20" s="4" t="n">
        <v>4</v>
      </c>
      <c r="C20" s="4" t="n">
        <v>8</v>
      </c>
    </row>
    <row r="21" customFormat="false" ht="15" hidden="false" customHeight="false" outlineLevel="0" collapsed="false">
      <c r="A21" s="2" t="s">
        <v>37</v>
      </c>
      <c r="B21" s="4" t="n">
        <v>5</v>
      </c>
      <c r="C21" s="4" t="n">
        <v>9</v>
      </c>
    </row>
  </sheetData>
  <dataValidations count="1">
    <dataValidation allowBlank="false" errorStyle="stop" operator="between" showDropDown="false" showErrorMessage="false" showInputMessage="false" sqref="B13:B2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7"/>
    <col collapsed="false" customWidth="true" hidden="false" outlineLevel="0" max="4" min="4" style="0" width="22"/>
    <col collapsed="false" customWidth="true" hidden="false" outlineLevel="0" max="5" min="5" style="0" width="18"/>
  </cols>
  <sheetData>
    <row r="1" customFormat="false" ht="23.85" hidden="false" customHeight="false" outlineLevel="0" collapsed="false">
      <c r="A1" s="1" t="s">
        <v>38</v>
      </c>
    </row>
    <row r="2" customFormat="false" ht="15" hidden="false" customHeight="false" outlineLevel="0" collapsed="false">
      <c r="A2" s="3" t="s">
        <v>39</v>
      </c>
      <c r="B2" s="3" t="s">
        <v>40</v>
      </c>
      <c r="C2" s="3" t="s">
        <v>41</v>
      </c>
      <c r="D2" s="3" t="s">
        <v>42</v>
      </c>
      <c r="E2" s="3" t="s">
        <v>43</v>
      </c>
    </row>
    <row r="3" customFormat="false" ht="15" hidden="false" customHeight="false" outlineLevel="0" collapsed="false">
      <c r="A3" s="2" t="n">
        <v>1</v>
      </c>
      <c r="B3" s="2" t="s">
        <v>44</v>
      </c>
      <c r="C3" s="2" t="n">
        <v>1</v>
      </c>
      <c r="D3" s="2" t="s">
        <v>45</v>
      </c>
      <c r="E3" s="2" t="s">
        <v>46</v>
      </c>
    </row>
    <row r="4" customFormat="false" ht="15" hidden="false" customHeight="false" outlineLevel="0" collapsed="false">
      <c r="A4" s="2" t="n">
        <v>2</v>
      </c>
      <c r="B4" s="2" t="s">
        <v>47</v>
      </c>
      <c r="C4" s="2" t="n">
        <v>1</v>
      </c>
      <c r="D4" s="2" t="s">
        <v>45</v>
      </c>
      <c r="E4" s="2" t="s">
        <v>46</v>
      </c>
    </row>
    <row r="5" customFormat="false" ht="15" hidden="false" customHeight="false" outlineLevel="0" collapsed="false">
      <c r="A5" s="2" t="n">
        <v>3</v>
      </c>
      <c r="B5" s="2" t="s">
        <v>48</v>
      </c>
      <c r="C5" s="2" t="n">
        <v>2</v>
      </c>
      <c r="D5" s="2" t="s">
        <v>45</v>
      </c>
      <c r="E5" s="2" t="s">
        <v>46</v>
      </c>
    </row>
    <row r="6" customFormat="false" ht="15" hidden="false" customHeight="false" outlineLevel="0" collapsed="false">
      <c r="A6" s="2" t="n">
        <v>4</v>
      </c>
      <c r="B6" s="2" t="s">
        <v>49</v>
      </c>
      <c r="C6" s="2" t="n">
        <v>2</v>
      </c>
      <c r="D6" s="2" t="s">
        <v>45</v>
      </c>
      <c r="E6" s="2" t="s">
        <v>46</v>
      </c>
    </row>
    <row r="7" customFormat="false" ht="15" hidden="false" customHeight="false" outlineLevel="0" collapsed="false">
      <c r="A7" s="2" t="n">
        <v>5</v>
      </c>
      <c r="B7" s="2" t="s">
        <v>50</v>
      </c>
      <c r="C7" s="2" t="n">
        <v>3</v>
      </c>
      <c r="D7" s="2" t="s">
        <v>51</v>
      </c>
      <c r="E7" s="2" t="s">
        <v>46</v>
      </c>
    </row>
    <row r="8" customFormat="false" ht="15" hidden="false" customHeight="false" outlineLevel="0" collapsed="false">
      <c r="A8" s="2" t="n">
        <v>6</v>
      </c>
      <c r="B8" s="2" t="s">
        <v>52</v>
      </c>
      <c r="C8" s="2" t="n">
        <v>3</v>
      </c>
      <c r="D8" s="2" t="s">
        <v>53</v>
      </c>
      <c r="E8" s="2" t="s">
        <v>46</v>
      </c>
    </row>
    <row r="9" customFormat="false" ht="15" hidden="false" customHeight="false" outlineLevel="0" collapsed="false">
      <c r="A9" s="2" t="n">
        <v>7</v>
      </c>
      <c r="B9" s="2" t="s">
        <v>54</v>
      </c>
      <c r="C9" s="2" t="n">
        <v>4</v>
      </c>
      <c r="D9" s="2" t="s">
        <v>45</v>
      </c>
      <c r="E9" s="2" t="s">
        <v>55</v>
      </c>
    </row>
    <row r="10" customFormat="false" ht="15" hidden="false" customHeight="false" outlineLevel="0" collapsed="false">
      <c r="A10" s="2" t="n">
        <v>8</v>
      </c>
      <c r="B10" s="2" t="s">
        <v>56</v>
      </c>
      <c r="C10" s="2" t="n">
        <v>4</v>
      </c>
      <c r="D10" s="2" t="s">
        <v>45</v>
      </c>
      <c r="E10" s="2" t="s">
        <v>55</v>
      </c>
    </row>
    <row r="11" customFormat="false" ht="15" hidden="false" customHeight="false" outlineLevel="0" collapsed="false">
      <c r="A11" s="2" t="n">
        <v>9</v>
      </c>
      <c r="B11" s="2" t="s">
        <v>57</v>
      </c>
      <c r="C11" s="2" t="n">
        <v>5</v>
      </c>
      <c r="D11" s="2" t="s">
        <v>58</v>
      </c>
      <c r="E11" s="2" t="s">
        <v>55</v>
      </c>
    </row>
    <row r="12" customFormat="false" ht="15" hidden="false" customHeight="false" outlineLevel="0" collapsed="false">
      <c r="A12" s="2" t="n">
        <v>10</v>
      </c>
      <c r="B12" s="2" t="s">
        <v>59</v>
      </c>
      <c r="C12" s="2" t="n">
        <v>5</v>
      </c>
      <c r="D12" s="2" t="s">
        <v>45</v>
      </c>
      <c r="E12" s="2"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9"/>
    <col collapsed="false" customWidth="true" hidden="false" outlineLevel="0" max="4" min="4" style="0" width="7"/>
    <col collapsed="false" customWidth="true" hidden="false" outlineLevel="0" max="5" min="5" style="0" width="28"/>
    <col collapsed="false" customWidth="true" hidden="false" outlineLevel="0" max="6" min="6" style="0" width="13"/>
    <col collapsed="false" customWidth="true" hidden="false" outlineLevel="0" max="8" min="7" style="0" width="12"/>
    <col collapsed="false" customWidth="true" hidden="false" outlineLevel="0" max="10" min="9" style="0" width="7"/>
    <col collapsed="false" customWidth="true" hidden="false" outlineLevel="0" max="11" min="11" style="0" width="13"/>
    <col collapsed="false" customWidth="true" hidden="false" outlineLevel="0" max="12" min="12" style="0" width="12"/>
    <col collapsed="false" customWidth="true" hidden="false" outlineLevel="0" max="13" min="13" style="0" width="14"/>
    <col collapsed="false" customWidth="true" hidden="false" outlineLevel="0" max="14" min="14" style="0" width="34"/>
    <col collapsed="false" customWidth="true" hidden="false" outlineLevel="0" max="15" min="15" style="0" width="18"/>
  </cols>
  <sheetData>
    <row r="1" customFormat="false" ht="102.2" hidden="false" customHeight="false" outlineLevel="0" collapsed="false">
      <c r="A1" s="1" t="s">
        <v>60</v>
      </c>
    </row>
    <row r="3" customFormat="false" ht="23.85" hidden="false" customHeight="false" outlineLevel="0" collapsed="false">
      <c r="A3" s="3" t="s">
        <v>61</v>
      </c>
      <c r="B3" s="3" t="s">
        <v>62</v>
      </c>
      <c r="C3" s="3" t="s">
        <v>63</v>
      </c>
      <c r="D3" s="3" t="s">
        <v>64</v>
      </c>
      <c r="E3" s="3" t="s">
        <v>65</v>
      </c>
      <c r="F3" s="3" t="s">
        <v>66</v>
      </c>
      <c r="G3" s="3" t="s">
        <v>67</v>
      </c>
      <c r="H3" s="3" t="s">
        <v>68</v>
      </c>
      <c r="I3" s="3" t="s">
        <v>41</v>
      </c>
      <c r="J3" s="3" t="s">
        <v>39</v>
      </c>
      <c r="K3" s="3" t="s">
        <v>26</v>
      </c>
      <c r="L3" s="3" t="s">
        <v>69</v>
      </c>
      <c r="M3" s="3" t="s">
        <v>70</v>
      </c>
      <c r="N3" s="3" t="s">
        <v>71</v>
      </c>
      <c r="O3" s="3" t="s">
        <v>72</v>
      </c>
    </row>
    <row r="4" customFormat="false" ht="15" hidden="false" customHeight="false" outlineLevel="0" collapsed="false">
      <c r="A4" s="2" t="n">
        <v>1</v>
      </c>
      <c r="B4" s="2" t="s">
        <v>73</v>
      </c>
      <c r="C4" s="2" t="s">
        <v>74</v>
      </c>
      <c r="D4" s="2" t="s">
        <v>75</v>
      </c>
      <c r="E4" s="2" t="s">
        <v>76</v>
      </c>
      <c r="F4" s="2" t="s">
        <v>77</v>
      </c>
      <c r="G4" s="2" t="n">
        <f aca="false">Inputs!$B$4</f>
        <v>15</v>
      </c>
      <c r="H4" s="2" t="n">
        <f aca="false">G4+Inputs!$B$3</f>
        <v>45</v>
      </c>
      <c r="I4" s="2" t="n">
        <f aca="false">INDEX(Prompts!$C$3:$C$12,MATCH(J4,Prompts!$A$3:$A$12,0))</f>
        <v>1</v>
      </c>
      <c r="J4" s="4" t="n">
        <v>1</v>
      </c>
      <c r="K4" s="2" t="str">
        <f aca="false">IFERROR(INDEX(Inputs!$A$13:$A$21,MATCH(A4,Inputs!$C$13:$C$21,0)),"no group drawn")</f>
        <v>G1</v>
      </c>
      <c r="L4" s="2" t="n">
        <f aca="false">IFERROR(INDEX(Inputs!$B$13:$B$21,MATCH(K4,Inputs!$A$13:$A$21,0)),"")</f>
        <v>3</v>
      </c>
      <c r="M4" s="2" t="str">
        <f aca="false">INDEX(Prompts!$D$3:$D$12,MATCH(J4,Prompts!$A$3:$A$12,0))</f>
        <v>none</v>
      </c>
      <c r="N4" s="2" t="str">
        <f aca="false">IF(L4="","no group",IF(ISNUMBER(SEARCH(L4,M4)),"swap: the card meets the group's own sub-problem","ok"))</f>
        <v>ok</v>
      </c>
      <c r="O4" s="2" t="str">
        <f aca="false">IF(H4&gt;Inputs!$B$5,"over the block end","inside the block")</f>
        <v>inside the block</v>
      </c>
    </row>
    <row r="5" customFormat="false" ht="15" hidden="false" customHeight="false" outlineLevel="0" collapsed="false">
      <c r="A5" s="2" t="n">
        <v>2</v>
      </c>
      <c r="B5" s="2" t="s">
        <v>73</v>
      </c>
      <c r="C5" s="2" t="s">
        <v>74</v>
      </c>
      <c r="D5" s="2" t="s">
        <v>78</v>
      </c>
      <c r="E5" s="2" t="s">
        <v>79</v>
      </c>
      <c r="F5" s="2" t="s">
        <v>80</v>
      </c>
      <c r="G5" s="2" t="n">
        <f aca="false">Inputs!$B$4</f>
        <v>15</v>
      </c>
      <c r="H5" s="2" t="n">
        <f aca="false">G5+Inputs!$B$3</f>
        <v>45</v>
      </c>
      <c r="I5" s="2" t="n">
        <f aca="false">INDEX(Prompts!$C$3:$C$12,MATCH(J5,Prompts!$A$3:$A$12,0))</f>
        <v>1</v>
      </c>
      <c r="J5" s="4" t="n">
        <v>2</v>
      </c>
      <c r="K5" s="2" t="str">
        <f aca="false">IFERROR(INDEX(Inputs!$A$13:$A$21,MATCH(A5,Inputs!$C$13:$C$21,0)),"no group drawn")</f>
        <v>G2</v>
      </c>
      <c r="L5" s="2" t="n">
        <f aca="false">IFERROR(INDEX(Inputs!$B$13:$B$21,MATCH(K5,Inputs!$A$13:$A$21,0)),"")</f>
        <v>3</v>
      </c>
      <c r="M5" s="2" t="str">
        <f aca="false">INDEX(Prompts!$D$3:$D$12,MATCH(J5,Prompts!$A$3:$A$12,0))</f>
        <v>none</v>
      </c>
      <c r="N5" s="2" t="str">
        <f aca="false">IF(L5="","no group",IF(ISNUMBER(SEARCH(L5,M5)),"swap: the card meets the group's own sub-problem","ok"))</f>
        <v>ok</v>
      </c>
      <c r="O5" s="2" t="str">
        <f aca="false">IF(H5&gt;Inputs!$B$5,"over the block end","inside the block")</f>
        <v>inside the block</v>
      </c>
    </row>
    <row r="6" customFormat="false" ht="15" hidden="false" customHeight="false" outlineLevel="0" collapsed="false">
      <c r="A6" s="2" t="n">
        <v>3</v>
      </c>
      <c r="B6" s="2" t="s">
        <v>73</v>
      </c>
      <c r="C6" s="2" t="s">
        <v>74</v>
      </c>
      <c r="D6" s="2" t="s">
        <v>75</v>
      </c>
      <c r="E6" s="2" t="s">
        <v>76</v>
      </c>
      <c r="F6" s="2" t="s">
        <v>77</v>
      </c>
      <c r="G6" s="2" t="n">
        <f aca="false">Inputs!$B$4+Inputs!$B$3</f>
        <v>45</v>
      </c>
      <c r="H6" s="2" t="n">
        <f aca="false">G6+Inputs!$B$3</f>
        <v>75</v>
      </c>
      <c r="I6" s="2" t="n">
        <f aca="false">INDEX(Prompts!$C$3:$C$12,MATCH(J6,Prompts!$A$3:$A$12,0))</f>
        <v>2</v>
      </c>
      <c r="J6" s="4" t="n">
        <v>3</v>
      </c>
      <c r="K6" s="2" t="str">
        <f aca="false">IFERROR(INDEX(Inputs!$A$13:$A$21,MATCH(A6,Inputs!$C$13:$C$21,0)),"no group drawn")</f>
        <v>G3</v>
      </c>
      <c r="L6" s="2" t="n">
        <f aca="false">IFERROR(INDEX(Inputs!$B$13:$B$21,MATCH(K6,Inputs!$A$13:$A$21,0)),"")</f>
        <v>1</v>
      </c>
      <c r="M6" s="2" t="str">
        <f aca="false">INDEX(Prompts!$D$3:$D$12,MATCH(J6,Prompts!$A$3:$A$12,0))</f>
        <v>none</v>
      </c>
      <c r="N6" s="2" t="str">
        <f aca="false">IF(L6="","no group",IF(ISNUMBER(SEARCH(L6,M6)),"swap: the card meets the group's own sub-problem","ok"))</f>
        <v>ok</v>
      </c>
      <c r="O6" s="2" t="str">
        <f aca="false">IF(H6&gt;Inputs!$B$5,"over the block end","inside the block")</f>
        <v>inside the block</v>
      </c>
    </row>
    <row r="7" customFormat="false" ht="15" hidden="false" customHeight="false" outlineLevel="0" collapsed="false">
      <c r="A7" s="2" t="n">
        <v>4</v>
      </c>
      <c r="B7" s="2" t="s">
        <v>73</v>
      </c>
      <c r="C7" s="2" t="s">
        <v>74</v>
      </c>
      <c r="D7" s="2" t="s">
        <v>78</v>
      </c>
      <c r="E7" s="2" t="s">
        <v>79</v>
      </c>
      <c r="F7" s="2" t="s">
        <v>80</v>
      </c>
      <c r="G7" s="2" t="n">
        <f aca="false">Inputs!$B$4+Inputs!$B$3</f>
        <v>45</v>
      </c>
      <c r="H7" s="2" t="n">
        <f aca="false">G7+Inputs!$B$3</f>
        <v>75</v>
      </c>
      <c r="I7" s="2" t="n">
        <f aca="false">INDEX(Prompts!$C$3:$C$12,MATCH(J7,Prompts!$A$3:$A$12,0))</f>
        <v>2</v>
      </c>
      <c r="J7" s="4" t="n">
        <v>4</v>
      </c>
      <c r="K7" s="2" t="str">
        <f aca="false">IFERROR(INDEX(Inputs!$A$13:$A$21,MATCH(A7,Inputs!$C$13:$C$21,0)),"no group drawn")</f>
        <v>G4</v>
      </c>
      <c r="L7" s="2" t="n">
        <f aca="false">IFERROR(INDEX(Inputs!$B$13:$B$21,MATCH(K7,Inputs!$A$13:$A$21,0)),"")</f>
        <v>1</v>
      </c>
      <c r="M7" s="2" t="str">
        <f aca="false">INDEX(Prompts!$D$3:$D$12,MATCH(J7,Prompts!$A$3:$A$12,0))</f>
        <v>none</v>
      </c>
      <c r="N7" s="2" t="str">
        <f aca="false">IF(L7="","no group",IF(ISNUMBER(SEARCH(L7,M7)),"swap: the card meets the group's own sub-problem","ok"))</f>
        <v>ok</v>
      </c>
      <c r="O7" s="2" t="str">
        <f aca="false">IF(H7&gt;Inputs!$B$5,"over the block end","inside the block")</f>
        <v>inside the block</v>
      </c>
    </row>
    <row r="8" customFormat="false" ht="15" hidden="false" customHeight="false" outlineLevel="0" collapsed="false">
      <c r="A8" s="2" t="n">
        <v>5</v>
      </c>
      <c r="B8" s="2" t="s">
        <v>73</v>
      </c>
      <c r="C8" s="2" t="s">
        <v>74</v>
      </c>
      <c r="D8" s="2" t="s">
        <v>75</v>
      </c>
      <c r="E8" s="2" t="s">
        <v>76</v>
      </c>
      <c r="F8" s="2" t="s">
        <v>77</v>
      </c>
      <c r="G8" s="2" t="n">
        <f aca="false">Inputs!$B$4+2*Inputs!$B$3</f>
        <v>75</v>
      </c>
      <c r="H8" s="2" t="n">
        <f aca="false">G8+Inputs!$B$3</f>
        <v>105</v>
      </c>
      <c r="I8" s="2" t="n">
        <f aca="false">INDEX(Prompts!$C$3:$C$12,MATCH(J8,Prompts!$A$3:$A$12,0))</f>
        <v>3</v>
      </c>
      <c r="J8" s="4" t="n">
        <v>5</v>
      </c>
      <c r="K8" s="2" t="str">
        <f aca="false">IFERROR(INDEX(Inputs!$A$13:$A$21,MATCH(A8,Inputs!$C$13:$C$21,0)),"no group drawn")</f>
        <v>G5</v>
      </c>
      <c r="L8" s="2" t="n">
        <f aca="false">IFERROR(INDEX(Inputs!$B$13:$B$21,MATCH(K8,Inputs!$A$13:$A$21,0)),"")</f>
        <v>2</v>
      </c>
      <c r="M8" s="2" t="str">
        <f aca="false">INDEX(Prompts!$D$3:$D$12,MATCH(J8,Prompts!$A$3:$A$12,0))</f>
        <v>3 and 5</v>
      </c>
      <c r="N8" s="2" t="str">
        <f aca="false">IF(L8="","no group",IF(ISNUMBER(SEARCH(L8,M8)),"swap: the card meets the group's own sub-problem","ok"))</f>
        <v>ok</v>
      </c>
      <c r="O8" s="2" t="str">
        <f aca="false">IF(H8&gt;Inputs!$B$5,"over the block end","inside the block")</f>
        <v>inside the block</v>
      </c>
    </row>
    <row r="9" customFormat="false" ht="15" hidden="false" customHeight="false" outlineLevel="0" collapsed="false">
      <c r="A9" s="2" t="n">
        <v>6</v>
      </c>
      <c r="B9" s="2" t="s">
        <v>73</v>
      </c>
      <c r="C9" s="2" t="s">
        <v>74</v>
      </c>
      <c r="D9" s="2" t="s">
        <v>75</v>
      </c>
      <c r="E9" s="2" t="s">
        <v>76</v>
      </c>
      <c r="F9" s="2" t="s">
        <v>77</v>
      </c>
      <c r="G9" s="2" t="n">
        <f aca="false">Inputs!$B$4+3*Inputs!$B$3</f>
        <v>105</v>
      </c>
      <c r="H9" s="2" t="n">
        <f aca="false">G9+Inputs!$B$3</f>
        <v>135</v>
      </c>
      <c r="I9" s="2" t="n">
        <f aca="false">INDEX(Prompts!$C$3:$C$12,MATCH(J9,Prompts!$A$3:$A$12,0))</f>
        <v>3</v>
      </c>
      <c r="J9" s="4" t="n">
        <v>6</v>
      </c>
      <c r="K9" s="2" t="str">
        <f aca="false">IFERROR(INDEX(Inputs!$A$13:$A$21,MATCH(A9,Inputs!$C$13:$C$21,0)),"no group drawn")</f>
        <v>G6</v>
      </c>
      <c r="L9" s="2" t="n">
        <f aca="false">IFERROR(INDEX(Inputs!$B$13:$B$21,MATCH(K9,Inputs!$A$13:$A$21,0)),"")</f>
        <v>2</v>
      </c>
      <c r="M9" s="2" t="str">
        <f aca="false">INDEX(Prompts!$D$3:$D$12,MATCH(J9,Prompts!$A$3:$A$12,0))</f>
        <v>4</v>
      </c>
      <c r="N9" s="2" t="str">
        <f aca="false">IF(L9="","no group",IF(ISNUMBER(SEARCH(L9,M9)),"swap: the card meets the group's own sub-problem","ok"))</f>
        <v>ok</v>
      </c>
      <c r="O9" s="2" t="str">
        <f aca="false">IF(H9&gt;Inputs!$B$5,"over the block end","inside the block")</f>
        <v>inside the block</v>
      </c>
    </row>
    <row r="10" customFormat="false" ht="15" hidden="false" customHeight="false" outlineLevel="0" collapsed="false">
      <c r="A10" s="2" t="n">
        <v>7</v>
      </c>
      <c r="B10" s="2" t="s">
        <v>73</v>
      </c>
      <c r="C10" s="2" t="s">
        <v>74</v>
      </c>
      <c r="D10" s="2" t="s">
        <v>75</v>
      </c>
      <c r="E10" s="2" t="s">
        <v>76</v>
      </c>
      <c r="F10" s="2" t="s">
        <v>77</v>
      </c>
      <c r="G10" s="2" t="n">
        <f aca="false">Inputs!$B$4+4*Inputs!$B$3</f>
        <v>135</v>
      </c>
      <c r="H10" s="2" t="n">
        <f aca="false">G10+Inputs!$B$3</f>
        <v>165</v>
      </c>
      <c r="I10" s="2" t="n">
        <f aca="false">INDEX(Prompts!$C$3:$C$12,MATCH(J10,Prompts!$A$3:$A$12,0))</f>
        <v>4</v>
      </c>
      <c r="J10" s="4" t="n">
        <v>7</v>
      </c>
      <c r="K10" s="2" t="str">
        <f aca="false">IFERROR(INDEX(Inputs!$A$13:$A$21,MATCH(A10,Inputs!$C$13:$C$21,0)),"no group drawn")</f>
        <v>G7</v>
      </c>
      <c r="L10" s="2" t="n">
        <f aca="false">IFERROR(INDEX(Inputs!$B$13:$B$21,MATCH(K10,Inputs!$A$13:$A$21,0)),"")</f>
        <v>4</v>
      </c>
      <c r="M10" s="2" t="str">
        <f aca="false">INDEX(Prompts!$D$3:$D$12,MATCH(J10,Prompts!$A$3:$A$12,0))</f>
        <v>none</v>
      </c>
      <c r="N10" s="2" t="str">
        <f aca="false">IF(L10="","no group",IF(ISNUMBER(SEARCH(L10,M10)),"swap: the card meets the group's own sub-problem","ok"))</f>
        <v>ok</v>
      </c>
      <c r="O10" s="2" t="str">
        <f aca="false">IF(H10&gt;Inputs!$B$5,"over the block end","inside the block")</f>
        <v>inside the block</v>
      </c>
    </row>
    <row r="11" customFormat="false" ht="15" hidden="false" customHeight="false" outlineLevel="0" collapsed="false">
      <c r="A11" s="2" t="n">
        <v>8</v>
      </c>
      <c r="B11" s="2" t="s">
        <v>81</v>
      </c>
      <c r="C11" s="2" t="s">
        <v>82</v>
      </c>
      <c r="D11" s="2" t="s">
        <v>75</v>
      </c>
      <c r="E11" s="2" t="s">
        <v>76</v>
      </c>
      <c r="F11" s="2" t="s">
        <v>77</v>
      </c>
      <c r="G11" s="2" t="n">
        <f aca="false">0</f>
        <v>0</v>
      </c>
      <c r="H11" s="2" t="n">
        <f aca="false">G11+Inputs!$B$3</f>
        <v>30</v>
      </c>
      <c r="I11" s="2" t="n">
        <f aca="false">INDEX(Prompts!$C$3:$C$12,MATCH(J11,Prompts!$A$3:$A$12,0))</f>
        <v>5</v>
      </c>
      <c r="J11" s="4" t="n">
        <v>9</v>
      </c>
      <c r="K11" s="2" t="str">
        <f aca="false">IFERROR(INDEX(Inputs!$A$13:$A$21,MATCH(A11,Inputs!$C$13:$C$21,0)),"no group drawn")</f>
        <v>G8</v>
      </c>
      <c r="L11" s="2" t="n">
        <f aca="false">IFERROR(INDEX(Inputs!$B$13:$B$21,MATCH(K11,Inputs!$A$13:$A$21,0)),"")</f>
        <v>4</v>
      </c>
      <c r="M11" s="2" t="str">
        <f aca="false">INDEX(Prompts!$D$3:$D$12,MATCH(J11,Prompts!$A$3:$A$12,0))</f>
        <v>3</v>
      </c>
      <c r="N11" s="2" t="str">
        <f aca="false">IF(L11="","no group",IF(ISNUMBER(SEARCH(L11,M11)),"swap: the card meets the group's own sub-problem","ok"))</f>
        <v>ok</v>
      </c>
      <c r="O11" s="2" t="str">
        <f aca="false">IF(H11&gt;Inputs!$B$5,"over the block end","inside the block")</f>
        <v>inside the block</v>
      </c>
    </row>
    <row r="12" customFormat="false" ht="15" hidden="false" customHeight="false" outlineLevel="0" collapsed="false">
      <c r="A12" s="2" t="n">
        <v>9</v>
      </c>
      <c r="B12" s="2" t="s">
        <v>81</v>
      </c>
      <c r="C12" s="2" t="s">
        <v>82</v>
      </c>
      <c r="D12" s="2" t="s">
        <v>78</v>
      </c>
      <c r="E12" s="2" t="s">
        <v>79</v>
      </c>
      <c r="F12" s="2" t="s">
        <v>80</v>
      </c>
      <c r="G12" s="2" t="n">
        <f aca="false">0</f>
        <v>0</v>
      </c>
      <c r="H12" s="2" t="n">
        <f aca="false">G12+Inputs!$B$3</f>
        <v>30</v>
      </c>
      <c r="I12" s="2" t="n">
        <f aca="false">INDEX(Prompts!$C$3:$C$12,MATCH(J12,Prompts!$A$3:$A$12,0))</f>
        <v>5</v>
      </c>
      <c r="J12" s="4" t="n">
        <v>10</v>
      </c>
      <c r="K12" s="2" t="str">
        <f aca="false">IFERROR(INDEX(Inputs!$A$13:$A$21,MATCH(A12,Inputs!$C$13:$C$21,0)),"no group drawn")</f>
        <v>G9</v>
      </c>
      <c r="L12" s="2" t="n">
        <f aca="false">IFERROR(INDEX(Inputs!$B$13:$B$21,MATCH(K12,Inputs!$A$13:$A$21,0)),"")</f>
        <v>5</v>
      </c>
      <c r="M12" s="2" t="str">
        <f aca="false">INDEX(Prompts!$D$3:$D$12,MATCH(J12,Prompts!$A$3:$A$12,0))</f>
        <v>none</v>
      </c>
      <c r="N12" s="2" t="str">
        <f aca="false">IF(L12="","no group",IF(ISNUMBER(SEARCH(L12,M12)),"swap: the card meets the group's own sub-problem","ok"))</f>
        <v>ok</v>
      </c>
      <c r="O12" s="2" t="str">
        <f aca="false">IF(H12&gt;Inputs!$B$5,"over the block end","inside the block")</f>
        <v>inside the block</v>
      </c>
    </row>
    <row r="15" customFormat="false" ht="191.75" hidden="false" customHeight="false" outlineLevel="0" collapsed="false">
      <c r="A15" s="2" t="s">
        <v>83</v>
      </c>
    </row>
    <row r="16" customFormat="false" ht="225.35" hidden="false" customHeight="false" outlineLevel="0" collapsed="false">
      <c r="A16" s="2"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0"/>
    <col collapsed="false" customWidth="true" hidden="false" outlineLevel="0" max="2" min="2" style="0" width="46"/>
    <col collapsed="false" customWidth="true" hidden="false" outlineLevel="0" max="4" min="3" style="0" width="16"/>
  </cols>
  <sheetData>
    <row r="1" customFormat="false" ht="15" hidden="false" customHeight="false" outlineLevel="0" collapsed="false">
      <c r="A1" s="1" t="s">
        <v>85</v>
      </c>
    </row>
    <row r="3" customFormat="false" ht="15" hidden="false" customHeight="false" outlineLevel="0" collapsed="false">
      <c r="A3" s="2" t="s">
        <v>86</v>
      </c>
      <c r="B3" s="4" t="n">
        <v>3</v>
      </c>
    </row>
    <row r="4" customFormat="false" ht="15" hidden="false" customHeight="false" outlineLevel="0" collapsed="false">
      <c r="A4" s="2" t="s">
        <v>87</v>
      </c>
      <c r="B4" s="4" t="n">
        <v>30</v>
      </c>
    </row>
    <row r="5" customFormat="false" ht="15" hidden="false" customHeight="false" outlineLevel="0" collapsed="false">
      <c r="A5" s="2" t="s">
        <v>88</v>
      </c>
      <c r="B5" s="4" t="n">
        <v>20</v>
      </c>
    </row>
    <row r="6" customFormat="false" ht="15" hidden="false" customHeight="false" outlineLevel="0" collapsed="false">
      <c r="A6" s="2" t="s">
        <v>89</v>
      </c>
      <c r="B6" s="4" t="n">
        <v>3</v>
      </c>
    </row>
    <row r="7" customFormat="false" ht="15" hidden="false" customHeight="false" outlineLevel="0" collapsed="false">
      <c r="A7" s="2" t="s">
        <v>90</v>
      </c>
      <c r="B7" s="4" t="n">
        <v>10</v>
      </c>
    </row>
    <row r="9" customFormat="false" ht="23.85" hidden="false" customHeight="false" outlineLevel="0" collapsed="false">
      <c r="A9" s="3" t="s">
        <v>91</v>
      </c>
      <c r="B9" s="3" t="s">
        <v>92</v>
      </c>
      <c r="C9" s="3" t="s">
        <v>67</v>
      </c>
      <c r="D9" s="3" t="s">
        <v>68</v>
      </c>
    </row>
    <row r="10" customFormat="false" ht="15" hidden="false" customHeight="false" outlineLevel="0" collapsed="false">
      <c r="A10" s="2" t="s">
        <v>93</v>
      </c>
      <c r="B10" s="2" t="n">
        <f aca="false">B3*B4</f>
        <v>90</v>
      </c>
      <c r="C10" s="2" t="n">
        <f aca="false">0</f>
        <v>0</v>
      </c>
      <c r="D10" s="2" t="n">
        <f aca="false">C10+B10</f>
        <v>90</v>
      </c>
    </row>
    <row r="11" customFormat="false" ht="15" hidden="false" customHeight="false" outlineLevel="0" collapsed="false">
      <c r="A11" s="2" t="s">
        <v>94</v>
      </c>
      <c r="B11" s="2" t="n">
        <f aca="false">B5</f>
        <v>20</v>
      </c>
      <c r="C11" s="2" t="n">
        <f aca="false">D10</f>
        <v>90</v>
      </c>
      <c r="D11" s="2" t="n">
        <f aca="false">C11+B11</f>
        <v>110</v>
      </c>
    </row>
    <row r="12" customFormat="false" ht="15" hidden="false" customHeight="false" outlineLevel="0" collapsed="false">
      <c r="A12" s="2" t="s">
        <v>95</v>
      </c>
      <c r="B12" s="2" t="n">
        <f aca="false">B6*Inputs!B6</f>
        <v>27</v>
      </c>
      <c r="C12" s="2" t="n">
        <f aca="false">D11</f>
        <v>110</v>
      </c>
      <c r="D12" s="2" t="n">
        <f aca="false">C12+B12</f>
        <v>137</v>
      </c>
    </row>
    <row r="13" customFormat="false" ht="15" hidden="false" customHeight="false" outlineLevel="0" collapsed="false">
      <c r="A13" s="2" t="s">
        <v>96</v>
      </c>
      <c r="B13" s="2" t="n">
        <f aca="false">B7</f>
        <v>10</v>
      </c>
      <c r="C13" s="2" t="n">
        <f aca="false">D12</f>
        <v>137</v>
      </c>
      <c r="D13" s="2" t="n">
        <f aca="false">C13+B13</f>
        <v>147</v>
      </c>
    </row>
    <row r="14" customFormat="false" ht="15" hidden="false" customHeight="false" outlineLevel="0" collapsed="false">
      <c r="A14" s="2" t="s">
        <v>97</v>
      </c>
      <c r="B14" s="2" t="n">
        <f aca="false">Inputs!B5-SUM(B10:B13)</f>
        <v>33</v>
      </c>
      <c r="C14" s="2" t="n">
        <f aca="false">D13</f>
        <v>147</v>
      </c>
      <c r="D14" s="2" t="n">
        <f aca="false">C14+B14</f>
        <v>180</v>
      </c>
    </row>
    <row r="16" customFormat="false" ht="15" hidden="false" customHeight="false" outlineLevel="0" collapsed="false">
      <c r="A16" s="2" t="s">
        <v>98</v>
      </c>
      <c r="B16" s="2" t="str">
        <f aca="false">IF(B14&lt;0,"block two runs over by "&amp;-B14&amp;" minutes: shorten the tranche","block two fits with "&amp;B14&amp;" minutes of slack")</f>
        <v>block two fits with 33 minutes of slack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90"/>
  </cols>
  <sheetData>
    <row r="1" customFormat="false" ht="15" hidden="false" customHeight="false" outlineLevel="0" collapsed="false">
      <c r="A1" s="1" t="s">
        <v>99</v>
      </c>
    </row>
    <row r="2" customFormat="false" ht="15" hidden="false" customHeight="false" outlineLevel="0" collapsed="false">
      <c r="A2" s="3" t="s">
        <v>100</v>
      </c>
      <c r="B2" s="3" t="s">
        <v>101</v>
      </c>
    </row>
    <row r="3" customFormat="false" ht="15" hidden="false" customHeight="false" outlineLevel="0" collapsed="false">
      <c r="A3" s="2" t="s">
        <v>102</v>
      </c>
      <c r="B3" s="2" t="n">
        <f aca="false">Inputs!B6*Inputs!B3</f>
        <v>270</v>
      </c>
    </row>
    <row r="4" customFormat="false" ht="15" hidden="false" customHeight="false" outlineLevel="0" collapsed="false">
      <c r="A4" s="2" t="s">
        <v>103</v>
      </c>
      <c r="B4" s="2" t="n">
        <f aca="false">INT((Inputs!B5-Inputs!B4)/Inputs!B3)</f>
        <v>5</v>
      </c>
    </row>
    <row r="5" customFormat="false" ht="15" hidden="false" customHeight="false" outlineLevel="0" collapsed="false">
      <c r="A5" s="2" t="s">
        <v>104</v>
      </c>
      <c r="B5" s="2" t="n">
        <f aca="false">2*B4</f>
        <v>10</v>
      </c>
    </row>
    <row r="6" customFormat="false" ht="15" hidden="false" customHeight="false" outlineLevel="0" collapsed="false">
      <c r="A6" s="2" t="s">
        <v>105</v>
      </c>
      <c r="B6" s="2" t="n">
        <f aca="false">2*Inputs!B8</f>
        <v>6</v>
      </c>
    </row>
    <row r="7" customFormat="false" ht="15" hidden="false" customHeight="false" outlineLevel="0" collapsed="false">
      <c r="A7" s="2" t="s">
        <v>106</v>
      </c>
      <c r="B7" s="2" t="n">
        <f aca="false">B5+B6</f>
        <v>16</v>
      </c>
    </row>
    <row r="8" customFormat="false" ht="15" hidden="false" customHeight="false" outlineLevel="0" collapsed="false">
      <c r="A8" s="2" t="s">
        <v>107</v>
      </c>
      <c r="B8" s="2" t="str">
        <f aca="false">IF(Inputs!B6&lt;=Inputs!B7,"standard roster: nine rounds, seven on Friday and two on Saturday morning",IF(Inputs!B6&lt;=B5+2,"stretch: stream B runs more Friday rounds, up to "&amp;B5&amp;" rounds across both streams in block one, and Saturday keeps its two",IF(Inputs!B6&lt;=B7,"stretch: stream B runs all Friday rounds and both streams run up to "&amp;Inputs!B8&amp;" Saturday rounds, which moves Saturday presentations back by up to "&amp;(Inputs!B8-1)*Inputs!B3&amp;" minutes","over the two expert days: the Programme Head adds a third chair")))</f>
        <v>standard roster: nine rounds, seven on Friday and two on Saturday morning</v>
      </c>
    </row>
    <row r="9" customFormat="false" ht="15" hidden="false" customHeight="false" outlineLevel="0" collapsed="false">
      <c r="A9" s="2" t="s">
        <v>108</v>
      </c>
      <c r="B9" s="2" t="n">
        <f aca="false">COUNTIF(Roster!N4:N12,"swap*")</f>
        <v>0</v>
      </c>
    </row>
    <row r="10" customFormat="false" ht="15" hidden="false" customHeight="false" outlineLevel="0" collapsed="false">
      <c r="A10" s="2" t="s">
        <v>109</v>
      </c>
      <c r="B10" s="2" t="str">
        <f aca="false">IF(B9=0,"no group meets its own sub-problem",B9&amp;" clash: swap within the level or use card 08")</f>
        <v>no group meets its own sub-problem</v>
      </c>
    </row>
    <row r="11" customFormat="false" ht="15" hidden="false" customHeight="false" outlineLevel="0" collapsed="false">
      <c r="A11" s="2" t="s">
        <v>110</v>
      </c>
      <c r="B11" s="2" t="n">
        <f aca="false">COUNTIF(Roster!O4:O12,"over*")</f>
        <v>0</v>
      </c>
    </row>
    <row r="12" customFormat="false" ht="15" hidden="false" customHeight="false" outlineLevel="0" collapsed="false">
      <c r="A12" s="2" t="s">
        <v>111</v>
      </c>
      <c r="B12" s="2" t="str">
        <f aca="false">IF(B11=0,"every round ends inside its block",B11&amp;" round runs past the block end")</f>
        <v>every round ends inside its block</v>
      </c>
    </row>
    <row r="13" customFormat="false" ht="15" hidden="false" customHeight="false" outlineLevel="0" collapsed="false">
      <c r="A13" s="2" t="s">
        <v>112</v>
      </c>
      <c r="B13" s="2" t="str">
        <f aca="false">IF(SUMPRODUCT((COUNTIF(Inputs!C13:C21,Inputs!C13:C21)&gt;1)*1)=0,"every group sits exactly one GD","two groups share a slot: redraw")</f>
        <v>every group sits exactly one GD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2026-10-01T10:53:36Z</dcterms:created>
  <dc:creator>openpyxl</dc:creator>
  <dc:description/>
  <dc:language>en-US</dc:language>
  <cp:lastModifiedBy/>
  <dcterms:modified xsi:type="dcterms:W3CDTF">2026-10-01T10:53:36Z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