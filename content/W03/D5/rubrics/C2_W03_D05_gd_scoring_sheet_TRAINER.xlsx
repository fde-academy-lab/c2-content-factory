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ubric" sheetId="2" state="visible" r:id="rId4"/>
    <sheet name="Score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<sst xmlns="http://schemas.openxmlformats.org/spreadsheetml/2006/main" count="128" uniqueCount="58">
  <si>
    <t xml:space="preserve">Build 1 GD scoring sheet (TRAINER ONLY)</t>
  </si>
  <si>
    <t xml:space="preserve">The rubric is Build 1's GD rubric as the requester approved it on 29 September 2026, recorded in data/programme/facts.yaml (evaluation.rubrics.W03). The GD is worth 30 marks and each learner is scored alone.</t>
  </si>
  <si>
    <t xml:space="preserve">Yellow cells with blue text are the inputs: the learner's name, whether the learner sat the round, the slot and card from the roster, and the four criterion scores. Totals, checks and the summary are formulas.</t>
  </si>
  <si>
    <t xml:space="preserve">Learner names go into the copy the Programme Head keeps, never into the committed file, because the repository is public.</t>
  </si>
  <si>
    <t xml:space="preserve">Score from the chair's evidence notes (see gd/C2_W03_D05_gd_facilitation_TRAINER.md), which record each learner's contributions with the minute and the move.</t>
  </si>
  <si>
    <t xml:space="preserve">Mark an empty seat or an absent learner N in the Sat column; the row then reads absent and drops out of the counts. A Sat cell left empty reads 'type Y or N in Sat', and the Summary's verdict names it until it is filled.</t>
  </si>
  <si>
    <t xml:space="preserve">The Scores sheet holds 35 seats, one per learner: eight groups of four and G9 of three, as Thursday's roster and Saturday's sheets seat the cohort. Relabel the seats if Monday's allocation put the group of three elsewhere.</t>
  </si>
  <si>
    <t xml:space="preserve">The rubric scores the moves a learner makes, whatever card the group drew, so the same move earns the same marks on a level 5 card as on a level 1 card. What full marks look like on each card is in gd/C2_W03_D05_gd_prompts_TRAINER.md, one block per card.</t>
  </si>
  <si>
    <t xml:space="preserve">GD rubric, 30 marks per learner</t>
  </si>
  <si>
    <t xml:space="preserve">Criterion</t>
  </si>
  <si>
    <t xml:space="preserve">Marks</t>
  </si>
  <si>
    <t xml:space="preserve">What full marks look like</t>
  </si>
  <si>
    <t xml:space="preserve">Structures the problem</t>
  </si>
  <si>
    <t xml:space="preserve">The learner frames the decision and the metric before arguing.</t>
  </si>
  <si>
    <t xml:space="preserve">Uses evidence</t>
  </si>
  <si>
    <t xml:space="preserve">The learner takes a position and defends it with a number from the exhibit.</t>
  </si>
  <si>
    <t xml:space="preserve">Engages</t>
  </si>
  <si>
    <t xml:space="preserve">The learner builds on or challenges another member's point and brings a quiet member in.</t>
  </si>
  <si>
    <t xml:space="preserve">Lands a conclusion</t>
  </si>
  <si>
    <t xml:space="preserve">The discussion ends on a recommendation and its main risk.</t>
  </si>
  <si>
    <t xml:space="preserve">Total</t>
  </si>
  <si>
    <t xml:space="preserve">Source: data/programme/facts.yaml, evaluation.rubrics.W03.events.gd, approved 29 September 2026.</t>
  </si>
  <si>
    <t xml:space="preserve">Scores, one row per learner</t>
  </si>
  <si>
    <t xml:space="preserve">Group</t>
  </si>
  <si>
    <t xml:space="preserve">Seat</t>
  </si>
  <si>
    <t xml:space="preserve">Learner</t>
  </si>
  <si>
    <t xml:space="preserve">Sat the round (Y or N)</t>
  </si>
  <si>
    <t xml:space="preserve">Slot</t>
  </si>
  <si>
    <t xml:space="preserve">Card</t>
  </si>
  <si>
    <t xml:space="preserve">Chair</t>
  </si>
  <si>
    <t xml:space="preserve">Structures the problem (of 8)</t>
  </si>
  <si>
    <t xml:space="preserve">Uses evidence (of 8)</t>
  </si>
  <si>
    <t xml:space="preserve">Engages (of 8)</t>
  </si>
  <si>
    <t xml:space="preserve">Lands a conclusion (of 6)</t>
  </si>
  <si>
    <t xml:space="preserve">Total (of 30)</t>
  </si>
  <si>
    <t xml:space="preserve">Check</t>
  </si>
  <si>
    <t xml:space="preserve">G1</t>
  </si>
  <si>
    <t xml:space="preserve">Y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</si>
  <si>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</si>
  <si>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</si>
  <si>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</si>
  <si>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</si>
  <si>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</si>
  <si>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</si>
  <si>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</si>
  <si>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</si>
  <si>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Summary</t>
  </si>
  <si>
    <t xml:space="preserve">What</t>
  </si>
  <si>
    <t xml:space="preserve">Result</t>
  </si>
  <si>
    <t xml:space="preserve">Learners who sat a round</t>
  </si>
  <si>
    <t xml:space="preserve">Learners fully scored</t>
  </si>
  <si>
    <t xml:space="preserve">Scores above a criterion's maximum or below zero</t>
  </si>
  <si>
    <t xml:space="preserve">Rubric total checks</t>
  </si>
  <si>
    <t xml:space="preserve">Verdict</t>
  </si>
  <si>
    <t xml:space="preserve">Rows whose Sat cell is neither Y nor N</t>
  </si>
  <si>
    <t xml:space="preserve">Group means, for the Programme Head's read; each learner's own total is the grade</t>
  </si>
  <si>
    <t xml:space="preserve">Mean total</t>
  </si>
  <si>
    <t xml:space="preserve">Learners scored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</si>
</sst>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1" t="s">
        <v>1</v>
      </c>
    </row>
    <row r="4" customFormat="false" ht="23.8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1" t="s">
        <v>4</v>
      </c>
    </row>
    <row r="7" customFormat="false" ht="23.85" hidden="false" customHeight="false" outlineLevel="0" collapsed="false">
      <c r="A7" s="1" t="s">
        <v>5</v>
      </c>
    </row>
    <row r="8" customFormat="false" ht="23.85" hidden="false" customHeight="false" outlineLevel="0" collapsed="false">
      <c r="A8" s="1" t="s">
        <v>6</v>
      </c>
    </row>
    <row r="9" customFormat="false" ht="23.85" hidden="false" customHeight="false" outlineLevel="0" collapsed="false">
      <c r="A9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</row>
    <row r="3" customFormat="false" ht="15" hidden="false" customHeight="false" outlineLevel="0" collapsed="false">
      <c r="A3" s="1" t="s">
        <v>12</v>
      </c>
      <c r="B3" s="1" t="n">
        <v>8</v>
      </c>
      <c r="C3" s="1" t="s">
        <v>13</v>
      </c>
    </row>
    <row r="4" customFormat="false" ht="15" hidden="false" customHeight="false" outlineLevel="0" collapsed="false">
      <c r="A4" s="1" t="s">
        <v>14</v>
      </c>
      <c r="B4" s="1" t="n">
        <v>8</v>
      </c>
      <c r="C4" s="1" t="s">
        <v>15</v>
      </c>
    </row>
    <row r="5" customFormat="false" ht="15" hidden="false" customHeight="false" outlineLevel="0" collapsed="false">
      <c r="A5" s="1" t="s">
        <v>16</v>
      </c>
      <c r="B5" s="1" t="n">
        <v>8</v>
      </c>
      <c r="C5" s="1" t="s">
        <v>17</v>
      </c>
    </row>
    <row r="6" customFormat="false" ht="15" hidden="false" customHeight="false" outlineLevel="0" collapsed="false">
      <c r="A6" s="1" t="s">
        <v>18</v>
      </c>
      <c r="B6" s="1" t="n">
        <v>6</v>
      </c>
      <c r="C6" s="1" t="s">
        <v>19</v>
      </c>
    </row>
    <row r="7" customFormat="false" ht="15" hidden="false" customHeight="false" outlineLevel="0" collapsed="false">
      <c r="A7" s="1" t="s">
        <v>20</v>
      </c>
      <c r="B7" s="1" t="n">
        <f aca="false">SUM(B3:B6)</f>
        <v>30</v>
      </c>
    </row>
    <row r="9" customFormat="false" ht="35.05" hidden="false" customHeight="false" outlineLevel="0" collapsed="false">
      <c r="A9" s="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26"/>
  </cols>
  <sheetData>
    <row r="1" customFormat="false" ht="46.25" hidden="false" customHeight="false" outlineLevel="0" collapsed="false">
      <c r="A1" s="1" t="s">
        <v>22</v>
      </c>
    </row>
    <row r="2" customFormat="false" ht="23.85" hidden="false" customHeight="false" outlineLevel="0" collapsed="false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</row>
    <row r="3" customFormat="false" ht="15" hidden="false" customHeight="false" outlineLevel="0" collapsed="false">
      <c r="A3" s="1" t="s">
        <v>36</v>
      </c>
      <c r="B3" s="1" t="n">
        <v>1</v>
      </c>
      <c r="C3" s="3"/>
      <c r="D3" s="3" t="s">
        <v>37</v>
      </c>
      <c r="E3" s="3"/>
      <c r="F3" s="3"/>
      <c r="G3" s="3"/>
      <c r="H3" s="3"/>
      <c r="I3" s="3"/>
      <c r="J3" s="3"/>
      <c r="K3" s="3"/>
      <c r="L3" s="1" t="str">
        <f aca="false">IF(D3="N","absent",IF(D3&lt;&gt;"Y","type Y or N in Sat",IF(COUNT(H3:K3)&lt;4,"incomplete",SUM(H3:K3))))</f>
        <v>incomplete</v>
      </c>
      <c r="M3" s="1" t="str">
        <f aca="false">IF(OR(H3&gt;Rubric!$B$3,I3&gt;Rubric!$B$4,J3&gt;Rubric!$B$5,K3&gt;Rubric!$B$6,MIN(H3:K3)&lt;0),"above a maximum or below zero","ok")</f>
        <v>ok</v>
      </c>
    </row>
    <row r="4" customFormat="false" ht="15" hidden="false" customHeight="false" outlineLevel="0" collapsed="false">
      <c r="A4" s="1" t="s">
        <v>36</v>
      </c>
      <c r="B4" s="1" t="n">
        <v>2</v>
      </c>
      <c r="C4" s="3"/>
      <c r="D4" s="3" t="s">
        <v>37</v>
      </c>
      <c r="E4" s="3"/>
      <c r="F4" s="3"/>
      <c r="G4" s="3"/>
      <c r="H4" s="3"/>
      <c r="I4" s="3"/>
      <c r="J4" s="3"/>
      <c r="K4" s="3"/>
      <c r="L4" s="1" t="str">
        <f aca="false">IF(D4="N","absent",IF(D4&lt;&gt;"Y","type Y or N in Sat",IF(COUNT(H4:K4)&lt;4,"incomplete",SUM(H4:K4))))</f>
        <v>incomplete</v>
      </c>
      <c r="M4" s="1" t="str">
        <f aca="false">IF(OR(H4&gt;Rubric!$B$3,I4&gt;Rubric!$B$4,J4&gt;Rubric!$B$5,K4&gt;Rubric!$B$6,MIN(H4:K4)&lt;0),"above a maximum or below zero","ok")</f>
        <v>ok</v>
      </c>
    </row>
    <row r="5" customFormat="false" ht="15" hidden="false" customHeight="false" outlineLevel="0" collapsed="false">
      <c r="A5" s="1" t="s">
        <v>36</v>
      </c>
      <c r="B5" s="1" t="n">
        <v>3</v>
      </c>
      <c r="C5" s="3"/>
      <c r="D5" s="3" t="s">
        <v>37</v>
      </c>
      <c r="E5" s="3"/>
      <c r="F5" s="3"/>
      <c r="G5" s="3"/>
      <c r="H5" s="3"/>
      <c r="I5" s="3"/>
      <c r="J5" s="3"/>
      <c r="K5" s="3"/>
      <c r="L5" s="1" t="str">
        <f aca="false">IF(D5="N","absent",IF(D5&lt;&gt;"Y","type Y or N in Sat",IF(COUNT(H5:K5)&lt;4,"incomplete",SUM(H5:K5))))</f>
        <v>incomplete</v>
      </c>
      <c r="M5" s="1" t="str">
        <f aca="false">IF(OR(H5&gt;Rubric!$B$3,I5&gt;Rubric!$B$4,J5&gt;Rubric!$B$5,K5&gt;Rubric!$B$6,MIN(H5:K5)&lt;0),"above a maximum or below zero","ok")</f>
        <v>ok</v>
      </c>
    </row>
    <row r="6" customFormat="false" ht="15" hidden="false" customHeight="false" outlineLevel="0" collapsed="false">
      <c r="A6" s="1" t="s">
        <v>36</v>
      </c>
      <c r="B6" s="1" t="n">
        <v>4</v>
      </c>
      <c r="C6" s="3"/>
      <c r="D6" s="3" t="s">
        <v>37</v>
      </c>
      <c r="E6" s="3"/>
      <c r="F6" s="3"/>
      <c r="G6" s="3"/>
      <c r="H6" s="3"/>
      <c r="I6" s="3"/>
      <c r="J6" s="3"/>
      <c r="K6" s="3"/>
      <c r="L6" s="1" t="str">
        <f aca="false">IF(D6="N","absent",IF(D6&lt;&gt;"Y","type Y or N in Sat",IF(COUNT(H6:K6)&lt;4,"incomplete",SUM(H6:K6))))</f>
        <v>incomplete</v>
      </c>
      <c r="M6" s="1" t="str">
        <f aca="false">IF(OR(H6&gt;Rubric!$B$3,I6&gt;Rubric!$B$4,J6&gt;Rubric!$B$5,K6&gt;Rubric!$B$6,MIN(H6:K6)&lt;0),"above a maximum or below zero","ok")</f>
        <v>ok</v>
      </c>
    </row>
    <row r="7" customFormat="false" ht="15" hidden="false" customHeight="false" outlineLevel="0" collapsed="false">
      <c r="A7" s="1" t="s">
        <v>38</v>
      </c>
      <c r="B7" s="1" t="n">
        <v>1</v>
      </c>
      <c r="C7" s="3"/>
      <c r="D7" s="3" t="s">
        <v>37</v>
      </c>
      <c r="E7" s="3"/>
      <c r="F7" s="3"/>
      <c r="G7" s="3"/>
      <c r="H7" s="3"/>
      <c r="I7" s="3"/>
      <c r="J7" s="3"/>
      <c r="K7" s="3"/>
      <c r="L7" s="1" t="str">
        <f aca="false">IF(D7="N","absent",IF(D7&lt;&gt;"Y","type Y or N in Sat",IF(COUNT(H7:K7)&lt;4,"incomplete",SUM(H7:K7))))</f>
        <v>incomplete</v>
      </c>
      <c r="M7" s="1" t="str">
        <f aca="false">IF(OR(H7&gt;Rubric!$B$3,I7&gt;Rubric!$B$4,J7&gt;Rubric!$B$5,K7&gt;Rubric!$B$6,MIN(H7:K7)&lt;0),"above a maximum or below zero","ok")</f>
        <v>ok</v>
      </c>
    </row>
    <row r="8" customFormat="false" ht="15" hidden="false" customHeight="false" outlineLevel="0" collapsed="false">
      <c r="A8" s="1" t="s">
        <v>38</v>
      </c>
      <c r="B8" s="1" t="n">
        <v>2</v>
      </c>
      <c r="C8" s="3"/>
      <c r="D8" s="3" t="s">
        <v>37</v>
      </c>
      <c r="E8" s="3"/>
      <c r="F8" s="3"/>
      <c r="G8" s="3"/>
      <c r="H8" s="3"/>
      <c r="I8" s="3"/>
      <c r="J8" s="3"/>
      <c r="K8" s="3"/>
      <c r="L8" s="1" t="str">
        <f aca="false">IF(D8="N","absent",IF(D8&lt;&gt;"Y","type Y or N in Sat",IF(COUNT(H8:K8)&lt;4,"incomplete",SUM(H8:K8))))</f>
        <v>incomplete</v>
      </c>
      <c r="M8" s="1" t="str">
        <f aca="false">IF(OR(H8&gt;Rubric!$B$3,I8&gt;Rubric!$B$4,J8&gt;Rubric!$B$5,K8&gt;Rubric!$B$6,MIN(H8:K8)&lt;0),"above a maximum or below zero","ok")</f>
        <v>ok</v>
      </c>
    </row>
    <row r="9" customFormat="false" ht="15" hidden="false" customHeight="false" outlineLevel="0" collapsed="false">
      <c r="A9" s="1" t="s">
        <v>38</v>
      </c>
      <c r="B9" s="1" t="n">
        <v>3</v>
      </c>
      <c r="C9" s="3"/>
      <c r="D9" s="3" t="s">
        <v>37</v>
      </c>
      <c r="E9" s="3"/>
      <c r="F9" s="3"/>
      <c r="G9" s="3"/>
      <c r="H9" s="3"/>
      <c r="I9" s="3"/>
      <c r="J9" s="3"/>
      <c r="K9" s="3"/>
      <c r="L9" s="1" t="str">
        <f aca="false">IF(D9="N","absent",IF(D9&lt;&gt;"Y","type Y or N in Sat",IF(COUNT(H9:K9)&lt;4,"incomplete",SUM(H9:K9))))</f>
        <v>incomplete</v>
      </c>
      <c r="M9" s="1" t="str">
        <f aca="false">IF(OR(H9&gt;Rubric!$B$3,I9&gt;Rubric!$B$4,J9&gt;Rubric!$B$5,K9&gt;Rubric!$B$6,MIN(H9:K9)&lt;0),"above a maximum or below zero","ok")</f>
        <v>ok</v>
      </c>
    </row>
    <row r="10" customFormat="false" ht="15" hidden="false" customHeight="false" outlineLevel="0" collapsed="false">
      <c r="A10" s="1" t="s">
        <v>38</v>
      </c>
      <c r="B10" s="1" t="n">
        <v>4</v>
      </c>
      <c r="C10" s="3"/>
      <c r="D10" s="3" t="s">
        <v>37</v>
      </c>
      <c r="E10" s="3"/>
      <c r="F10" s="3"/>
      <c r="G10" s="3"/>
      <c r="H10" s="3"/>
      <c r="I10" s="3"/>
      <c r="J10" s="3"/>
      <c r="K10" s="3"/>
      <c r="L10" s="1" t="str">
        <f aca="false">IF(D10="N","absent",IF(D10&lt;&gt;"Y","type Y or N in Sat",IF(COUNT(H10:K10)&lt;4,"incomplete",SUM(H10:K10))))</f>
        <v>incomplete</v>
      </c>
      <c r="M10" s="1" t="str">
        <f aca="false">IF(OR(H10&gt;Rubric!$B$3,I10&gt;Rubric!$B$4,J10&gt;Rubric!$B$5,K10&gt;Rubric!$B$6,MIN(H10:K10)&lt;0),"above a maximum or below zero","ok")</f>
        <v>ok</v>
      </c>
    </row>
    <row r="11" customFormat="false" ht="15" hidden="false" customHeight="false" outlineLevel="0" collapsed="false">
      <c r="A11" s="1" t="s">
        <v>39</v>
      </c>
      <c r="B11" s="1" t="n">
        <v>1</v>
      </c>
      <c r="C11" s="3"/>
      <c r="D11" s="3" t="s">
        <v>37</v>
      </c>
      <c r="E11" s="3"/>
      <c r="F11" s="3"/>
      <c r="G11" s="3"/>
      <c r="H11" s="3"/>
      <c r="I11" s="3"/>
      <c r="J11" s="3"/>
      <c r="K11" s="3"/>
      <c r="L11" s="1" t="str">
        <f aca="false">IF(D11="N","absent",IF(D11&lt;&gt;"Y","type Y or N in Sat",IF(COUNT(H11:K11)&lt;4,"incomplete",SUM(H11:K11))))</f>
        <v>incomplete</v>
      </c>
      <c r="M11" s="1" t="str">
        <f aca="false">IF(OR(H11&gt;Rubric!$B$3,I11&gt;Rubric!$B$4,J11&gt;Rubric!$B$5,K11&gt;Rubric!$B$6,MIN(H11:K11)&lt;0),"above a maximum or below zero","ok")</f>
        <v>ok</v>
      </c>
    </row>
    <row r="12" customFormat="false" ht="15" hidden="false" customHeight="false" outlineLevel="0" collapsed="false">
      <c r="A12" s="1" t="s">
        <v>39</v>
      </c>
      <c r="B12" s="1" t="n">
        <v>2</v>
      </c>
      <c r="C12" s="3"/>
      <c r="D12" s="3" t="s">
        <v>37</v>
      </c>
      <c r="E12" s="3"/>
      <c r="F12" s="3"/>
      <c r="G12" s="3"/>
      <c r="H12" s="3"/>
      <c r="I12" s="3"/>
      <c r="J12" s="3"/>
      <c r="K12" s="3"/>
      <c r="L12" s="1" t="str">
        <f aca="false">IF(D12="N","absent",IF(D12&lt;&gt;"Y","type Y or N in Sat",IF(COUNT(H12:K12)&lt;4,"incomplete",SUM(H12:K12))))</f>
        <v>incomplete</v>
      </c>
      <c r="M12" s="1" t="str">
        <f aca="false">IF(OR(H12&gt;Rubric!$B$3,I12&gt;Rubric!$B$4,J12&gt;Rubric!$B$5,K12&gt;Rubric!$B$6,MIN(H12:K12)&lt;0),"above a maximum or below zero","ok")</f>
        <v>ok</v>
      </c>
    </row>
    <row r="13" customFormat="false" ht="15" hidden="false" customHeight="false" outlineLevel="0" collapsed="false">
      <c r="A13" s="1" t="s">
        <v>39</v>
      </c>
      <c r="B13" s="1" t="n">
        <v>3</v>
      </c>
      <c r="C13" s="3"/>
      <c r="D13" s="3" t="s">
        <v>37</v>
      </c>
      <c r="E13" s="3"/>
      <c r="F13" s="3"/>
      <c r="G13" s="3"/>
      <c r="H13" s="3"/>
      <c r="I13" s="3"/>
      <c r="J13" s="3"/>
      <c r="K13" s="3"/>
      <c r="L13" s="1" t="str">
        <f aca="false">IF(D13="N","absent",IF(D13&lt;&gt;"Y","type Y or N in Sat",IF(COUNT(H13:K13)&lt;4,"incomplete",SUM(H13:K13))))</f>
        <v>incomplete</v>
      </c>
      <c r="M13" s="1" t="str">
        <f aca="false">IF(OR(H13&gt;Rubric!$B$3,I13&gt;Rubric!$B$4,J13&gt;Rubric!$B$5,K13&gt;Rubric!$B$6,MIN(H13:K13)&lt;0),"above a maximum or below zero","ok")</f>
        <v>ok</v>
      </c>
    </row>
    <row r="14" customFormat="false" ht="15" hidden="false" customHeight="false" outlineLevel="0" collapsed="false">
      <c r="A14" s="1" t="s">
        <v>39</v>
      </c>
      <c r="B14" s="1" t="n">
        <v>4</v>
      </c>
      <c r="C14" s="3"/>
      <c r="D14" s="3" t="s">
        <v>37</v>
      </c>
      <c r="E14" s="3"/>
      <c r="F14" s="3"/>
      <c r="G14" s="3"/>
      <c r="H14" s="3"/>
      <c r="I14" s="3"/>
      <c r="J14" s="3"/>
      <c r="K14" s="3"/>
      <c r="L14" s="1" t="str">
        <f aca="false">IF(D14="N","absent",IF(D14&lt;&gt;"Y","type Y or N in Sat",IF(COUNT(H14:K14)&lt;4,"incomplete",SUM(H14:K14))))</f>
        <v>incomplete</v>
      </c>
      <c r="M14" s="1" t="str">
        <f aca="false">IF(OR(H14&gt;Rubric!$B$3,I14&gt;Rubric!$B$4,J14&gt;Rubric!$B$5,K14&gt;Rubric!$B$6,MIN(H14:K14)&lt;0),"above a maximum or below zero","ok")</f>
        <v>ok</v>
      </c>
    </row>
    <row r="15" customFormat="false" ht="15" hidden="false" customHeight="false" outlineLevel="0" collapsed="false">
      <c r="A15" s="1" t="s">
        <v>40</v>
      </c>
      <c r="B15" s="1" t="n">
        <v>1</v>
      </c>
      <c r="C15" s="3"/>
      <c r="D15" s="3" t="s">
        <v>37</v>
      </c>
      <c r="E15" s="3"/>
      <c r="F15" s="3"/>
      <c r="G15" s="3"/>
      <c r="H15" s="3"/>
      <c r="I15" s="3"/>
      <c r="J15" s="3"/>
      <c r="K15" s="3"/>
      <c r="L15" s="1" t="str">
        <f aca="false">IF(D15="N","absent",IF(D15&lt;&gt;"Y","type Y or N in Sat",IF(COUNT(H15:K15)&lt;4,"incomplete",SUM(H15:K15))))</f>
        <v>incomplete</v>
      </c>
      <c r="M15" s="1" t="str">
        <f aca="false">IF(OR(H15&gt;Rubric!$B$3,I15&gt;Rubric!$B$4,J15&gt;Rubric!$B$5,K15&gt;Rubric!$B$6,MIN(H15:K15)&lt;0),"above a maximum or below zero","ok")</f>
        <v>ok</v>
      </c>
    </row>
    <row r="16" customFormat="false" ht="15" hidden="false" customHeight="false" outlineLevel="0" collapsed="false">
      <c r="A16" s="1" t="s">
        <v>40</v>
      </c>
      <c r="B16" s="1" t="n">
        <v>2</v>
      </c>
      <c r="C16" s="3"/>
      <c r="D16" s="3" t="s">
        <v>37</v>
      </c>
      <c r="E16" s="3"/>
      <c r="F16" s="3"/>
      <c r="G16" s="3"/>
      <c r="H16" s="3"/>
      <c r="I16" s="3"/>
      <c r="J16" s="3"/>
      <c r="K16" s="3"/>
      <c r="L16" s="1" t="str">
        <f aca="false">IF(D16="N","absent",IF(D16&lt;&gt;"Y","type Y or N in Sat",IF(COUNT(H16:K16)&lt;4,"incomplete",SUM(H16:K16))))</f>
        <v>incomplete</v>
      </c>
      <c r="M16" s="1" t="str">
        <f aca="false">IF(OR(H16&gt;Rubric!$B$3,I16&gt;Rubric!$B$4,J16&gt;Rubric!$B$5,K16&gt;Rubric!$B$6,MIN(H16:K16)&lt;0),"above a maximum or below zero","ok")</f>
        <v>ok</v>
      </c>
    </row>
    <row r="17" customFormat="false" ht="15" hidden="false" customHeight="false" outlineLevel="0" collapsed="false">
      <c r="A17" s="1" t="s">
        <v>40</v>
      </c>
      <c r="B17" s="1" t="n">
        <v>3</v>
      </c>
      <c r="C17" s="3"/>
      <c r="D17" s="3" t="s">
        <v>37</v>
      </c>
      <c r="E17" s="3"/>
      <c r="F17" s="3"/>
      <c r="G17" s="3"/>
      <c r="H17" s="3"/>
      <c r="I17" s="3"/>
      <c r="J17" s="3"/>
      <c r="K17" s="3"/>
      <c r="L17" s="1" t="str">
        <f aca="false">IF(D17="N","absent",IF(D17&lt;&gt;"Y","type Y or N in Sat",IF(COUNT(H17:K17)&lt;4,"incomplete",SUM(H17:K17))))</f>
        <v>incomplete</v>
      </c>
      <c r="M17" s="1" t="str">
        <f aca="false">IF(OR(H17&gt;Rubric!$B$3,I17&gt;Rubric!$B$4,J17&gt;Rubric!$B$5,K17&gt;Rubric!$B$6,MIN(H17:K17)&lt;0),"above a maximum or below zero","ok")</f>
        <v>ok</v>
      </c>
    </row>
    <row r="18" customFormat="false" ht="15" hidden="false" customHeight="false" outlineLevel="0" collapsed="false">
      <c r="A18" s="1" t="s">
        <v>40</v>
      </c>
      <c r="B18" s="1" t="n">
        <v>4</v>
      </c>
      <c r="C18" s="3"/>
      <c r="D18" s="3" t="s">
        <v>37</v>
      </c>
      <c r="E18" s="3"/>
      <c r="F18" s="3"/>
      <c r="G18" s="3"/>
      <c r="H18" s="3"/>
      <c r="I18" s="3"/>
      <c r="J18" s="3"/>
      <c r="K18" s="3"/>
      <c r="L18" s="1" t="str">
        <f aca="false">IF(D18="N","absent",IF(D18&lt;&gt;"Y","type Y or N in Sat",IF(COUNT(H18:K18)&lt;4,"incomplete",SUM(H18:K18))))</f>
        <v>incomplete</v>
      </c>
      <c r="M18" s="1" t="str">
        <f aca="false">IF(OR(H18&gt;Rubric!$B$3,I18&gt;Rubric!$B$4,J18&gt;Rubric!$B$5,K18&gt;Rubric!$B$6,MIN(H18:K18)&lt;0),"above a maximum or below zero","ok")</f>
        <v>ok</v>
      </c>
    </row>
    <row r="19" customFormat="false" ht="15" hidden="false" customHeight="false" outlineLevel="0" collapsed="false">
      <c r="A19" s="1" t="s">
        <v>41</v>
      </c>
      <c r="B19" s="1" t="n">
        <v>1</v>
      </c>
      <c r="C19" s="3"/>
      <c r="D19" s="3" t="s">
        <v>37</v>
      </c>
      <c r="E19" s="3"/>
      <c r="F19" s="3"/>
      <c r="G19" s="3"/>
      <c r="H19" s="3"/>
      <c r="I19" s="3"/>
      <c r="J19" s="3"/>
      <c r="K19" s="3"/>
      <c r="L19" s="1" t="str">
        <f aca="false">IF(D19="N","absent",IF(D19&lt;&gt;"Y","type Y or N in Sat",IF(COUNT(H19:K19)&lt;4,"incomplete",SUM(H19:K19))))</f>
        <v>incomplete</v>
      </c>
      <c r="M19" s="1" t="str">
        <f aca="false">IF(OR(H19&gt;Rubric!$B$3,I19&gt;Rubric!$B$4,J19&gt;Rubric!$B$5,K19&gt;Rubric!$B$6,MIN(H19:K19)&lt;0),"above a maximum or below zero","ok")</f>
        <v>ok</v>
      </c>
    </row>
    <row r="20" customFormat="false" ht="15" hidden="false" customHeight="false" outlineLevel="0" collapsed="false">
      <c r="A20" s="1" t="s">
        <v>41</v>
      </c>
      <c r="B20" s="1" t="n">
        <v>2</v>
      </c>
      <c r="C20" s="3"/>
      <c r="D20" s="3" t="s">
        <v>37</v>
      </c>
      <c r="E20" s="3"/>
      <c r="F20" s="3"/>
      <c r="G20" s="3"/>
      <c r="H20" s="3"/>
      <c r="I20" s="3"/>
      <c r="J20" s="3"/>
      <c r="K20" s="3"/>
      <c r="L20" s="1" t="str">
        <f aca="false">IF(D20="N","absent",IF(D20&lt;&gt;"Y","type Y or N in Sat",IF(COUNT(H20:K20)&lt;4,"incomplete",SUM(H20:K20))))</f>
        <v>incomplete</v>
      </c>
      <c r="M20" s="1" t="str">
        <f aca="false">IF(OR(H20&gt;Rubric!$B$3,I20&gt;Rubric!$B$4,J20&gt;Rubric!$B$5,K20&gt;Rubric!$B$6,MIN(H20:K20)&lt;0),"above a maximum or below zero","ok")</f>
        <v>ok</v>
      </c>
    </row>
    <row r="21" customFormat="false" ht="15" hidden="false" customHeight="false" outlineLevel="0" collapsed="false">
      <c r="A21" s="1" t="s">
        <v>41</v>
      </c>
      <c r="B21" s="1" t="n">
        <v>3</v>
      </c>
      <c r="C21" s="3"/>
      <c r="D21" s="3" t="s">
        <v>37</v>
      </c>
      <c r="E21" s="3"/>
      <c r="F21" s="3"/>
      <c r="G21" s="3"/>
      <c r="H21" s="3"/>
      <c r="I21" s="3"/>
      <c r="J21" s="3"/>
      <c r="K21" s="3"/>
      <c r="L21" s="1" t="str">
        <f aca="false">IF(D21="N","absent",IF(D21&lt;&gt;"Y","type Y or N in Sat",IF(COUNT(H21:K21)&lt;4,"incomplete",SUM(H21:K21))))</f>
        <v>incomplete</v>
      </c>
      <c r="M21" s="1" t="str">
        <f aca="false">IF(OR(H21&gt;Rubric!$B$3,I21&gt;Rubric!$B$4,J21&gt;Rubric!$B$5,K21&gt;Rubric!$B$6,MIN(H21:K21)&lt;0),"above a maximum or below zero","ok")</f>
        <v>ok</v>
      </c>
    </row>
    <row r="22" customFormat="false" ht="15" hidden="false" customHeight="false" outlineLevel="0" collapsed="false">
      <c r="A22" s="1" t="s">
        <v>41</v>
      </c>
      <c r="B22" s="1" t="n">
        <v>4</v>
      </c>
      <c r="C22" s="3"/>
      <c r="D22" s="3" t="s">
        <v>37</v>
      </c>
      <c r="E22" s="3"/>
      <c r="F22" s="3"/>
      <c r="G22" s="3"/>
      <c r="H22" s="3"/>
      <c r="I22" s="3"/>
      <c r="J22" s="3"/>
      <c r="K22" s="3"/>
      <c r="L22" s="1" t="str">
        <f aca="false">IF(D22="N","absent",IF(D22&lt;&gt;"Y","type Y or N in Sat",IF(COUNT(H22:K22)&lt;4,"incomplete",SUM(H22:K22))))</f>
        <v>incomplete</v>
      </c>
      <c r="M22" s="1" t="str">
        <f aca="false">IF(OR(H22&gt;Rubric!$B$3,I22&gt;Rubric!$B$4,J22&gt;Rubric!$B$5,K22&gt;Rubric!$B$6,MIN(H22:K22)&lt;0),"above a maximum or below zero","ok")</f>
        <v>ok</v>
      </c>
    </row>
    <row r="23" customFormat="false" ht="15" hidden="false" customHeight="false" outlineLevel="0" collapsed="false">
      <c r="A23" s="1" t="s">
        <v>42</v>
      </c>
      <c r="B23" s="1" t="n">
        <v>1</v>
      </c>
      <c r="C23" s="3"/>
      <c r="D23" s="3" t="s">
        <v>37</v>
      </c>
      <c r="E23" s="3"/>
      <c r="F23" s="3"/>
      <c r="G23" s="3"/>
      <c r="H23" s="3"/>
      <c r="I23" s="3"/>
      <c r="J23" s="3"/>
      <c r="K23" s="3"/>
      <c r="L23" s="1" t="str">
        <f aca="false">IF(D23="N","absent",IF(D23&lt;&gt;"Y","type Y or N in Sat",IF(COUNT(H23:K23)&lt;4,"incomplete",SUM(H23:K23))))</f>
        <v>incomplete</v>
      </c>
      <c r="M23" s="1" t="str">
        <f aca="false">IF(OR(H23&gt;Rubric!$B$3,I23&gt;Rubric!$B$4,J23&gt;Rubric!$B$5,K23&gt;Rubric!$B$6,MIN(H23:K23)&lt;0),"above a maximum or below zero","ok")</f>
        <v>ok</v>
      </c>
    </row>
    <row r="24" customFormat="false" ht="15" hidden="false" customHeight="false" outlineLevel="0" collapsed="false">
      <c r="A24" s="1" t="s">
        <v>42</v>
      </c>
      <c r="B24" s="1" t="n">
        <v>2</v>
      </c>
      <c r="C24" s="3"/>
      <c r="D24" s="3" t="s">
        <v>37</v>
      </c>
      <c r="E24" s="3"/>
      <c r="F24" s="3"/>
      <c r="G24" s="3"/>
      <c r="H24" s="3"/>
      <c r="I24" s="3"/>
      <c r="J24" s="3"/>
      <c r="K24" s="3"/>
      <c r="L24" s="1" t="str">
        <f aca="false">IF(D24="N","absent",IF(D24&lt;&gt;"Y","type Y or N in Sat",IF(COUNT(H24:K24)&lt;4,"incomplete",SUM(H24:K24))))</f>
        <v>incomplete</v>
      </c>
      <c r="M24" s="1" t="str">
        <f aca="false">IF(OR(H24&gt;Rubric!$B$3,I24&gt;Rubric!$B$4,J24&gt;Rubric!$B$5,K24&gt;Rubric!$B$6,MIN(H24:K24)&lt;0),"above a maximum or below zero","ok")</f>
        <v>ok</v>
      </c>
    </row>
    <row r="25" customFormat="false" ht="15" hidden="false" customHeight="false" outlineLevel="0" collapsed="false">
      <c r="A25" s="1" t="s">
        <v>42</v>
      </c>
      <c r="B25" s="1" t="n">
        <v>3</v>
      </c>
      <c r="C25" s="3"/>
      <c r="D25" s="3" t="s">
        <v>37</v>
      </c>
      <c r="E25" s="3"/>
      <c r="F25" s="3"/>
      <c r="G25" s="3"/>
      <c r="H25" s="3"/>
      <c r="I25" s="3"/>
      <c r="J25" s="3"/>
      <c r="K25" s="3"/>
      <c r="L25" s="1" t="str">
        <f aca="false">IF(D25="N","absent",IF(D25&lt;&gt;"Y","type Y or N in Sat",IF(COUNT(H25:K25)&lt;4,"incomplete",SUM(H25:K25))))</f>
        <v>incomplete</v>
      </c>
      <c r="M25" s="1" t="str">
        <f aca="false">IF(OR(H25&gt;Rubric!$B$3,I25&gt;Rubric!$B$4,J25&gt;Rubric!$B$5,K25&gt;Rubric!$B$6,MIN(H25:K25)&lt;0),"above a maximum or below zero","ok")</f>
        <v>ok</v>
      </c>
    </row>
    <row r="26" customFormat="false" ht="15" hidden="false" customHeight="false" outlineLevel="0" collapsed="false">
      <c r="A26" s="1" t="s">
        <v>42</v>
      </c>
      <c r="B26" s="1" t="n">
        <v>4</v>
      </c>
      <c r="C26" s="3"/>
      <c r="D26" s="3" t="s">
        <v>37</v>
      </c>
      <c r="E26" s="3"/>
      <c r="F26" s="3"/>
      <c r="G26" s="3"/>
      <c r="H26" s="3"/>
      <c r="I26" s="3"/>
      <c r="J26" s="3"/>
      <c r="K26" s="3"/>
      <c r="L26" s="1" t="str">
        <f aca="false">IF(D26="N","absent",IF(D26&lt;&gt;"Y","type Y or N in Sat",IF(COUNT(H26:K26)&lt;4,"incomplete",SUM(H26:K26))))</f>
        <v>incomplete</v>
      </c>
      <c r="M26" s="1" t="str">
        <f aca="false">IF(OR(H26&gt;Rubric!$B$3,I26&gt;Rubric!$B$4,J26&gt;Rubric!$B$5,K26&gt;Rubric!$B$6,MIN(H26:K26)&lt;0),"above a maximum or below zero","ok")</f>
        <v>ok</v>
      </c>
    </row>
    <row r="27" customFormat="false" ht="15" hidden="false" customHeight="false" outlineLevel="0" collapsed="false">
      <c r="A27" s="1" t="s">
        <v>43</v>
      </c>
      <c r="B27" s="1" t="n">
        <v>1</v>
      </c>
      <c r="C27" s="3"/>
      <c r="D27" s="3" t="s">
        <v>37</v>
      </c>
      <c r="E27" s="3"/>
      <c r="F27" s="3"/>
      <c r="G27" s="3"/>
      <c r="H27" s="3"/>
      <c r="I27" s="3"/>
      <c r="J27" s="3"/>
      <c r="K27" s="3"/>
      <c r="L27" s="1" t="str">
        <f aca="false">IF(D27="N","absent",IF(D27&lt;&gt;"Y","type Y or N in Sat",IF(COUNT(H27:K27)&lt;4,"incomplete",SUM(H27:K27))))</f>
        <v>incomplete</v>
      </c>
      <c r="M27" s="1" t="str">
        <f aca="false">IF(OR(H27&gt;Rubric!$B$3,I27&gt;Rubric!$B$4,J27&gt;Rubric!$B$5,K27&gt;Rubric!$B$6,MIN(H27:K27)&lt;0),"above a maximum or below zero","ok")</f>
        <v>ok</v>
      </c>
    </row>
    <row r="28" customFormat="false" ht="15" hidden="false" customHeight="false" outlineLevel="0" collapsed="false">
      <c r="A28" s="1" t="s">
        <v>43</v>
      </c>
      <c r="B28" s="1" t="n">
        <v>2</v>
      </c>
      <c r="C28" s="3"/>
      <c r="D28" s="3" t="s">
        <v>37</v>
      </c>
      <c r="E28" s="3"/>
      <c r="F28" s="3"/>
      <c r="G28" s="3"/>
      <c r="H28" s="3"/>
      <c r="I28" s="3"/>
      <c r="J28" s="3"/>
      <c r="K28" s="3"/>
      <c r="L28" s="1" t="str">
        <f aca="false">IF(D28="N","absent",IF(D28&lt;&gt;"Y","type Y or N in Sat",IF(COUNT(H28:K28)&lt;4,"incomplete",SUM(H28:K28))))</f>
        <v>incomplete</v>
      </c>
      <c r="M28" s="1" t="str">
        <f aca="false">IF(OR(H28&gt;Rubric!$B$3,I28&gt;Rubric!$B$4,J28&gt;Rubric!$B$5,K28&gt;Rubric!$B$6,MIN(H28:K28)&lt;0),"above a maximum or below zero","ok")</f>
        <v>ok</v>
      </c>
    </row>
    <row r="29" customFormat="false" ht="15" hidden="false" customHeight="false" outlineLevel="0" collapsed="false">
      <c r="A29" s="1" t="s">
        <v>43</v>
      </c>
      <c r="B29" s="1" t="n">
        <v>3</v>
      </c>
      <c r="C29" s="3"/>
      <c r="D29" s="3" t="s">
        <v>37</v>
      </c>
      <c r="E29" s="3"/>
      <c r="F29" s="3"/>
      <c r="G29" s="3"/>
      <c r="H29" s="3"/>
      <c r="I29" s="3"/>
      <c r="J29" s="3"/>
      <c r="K29" s="3"/>
      <c r="L29" s="1" t="str">
        <f aca="false">IF(D29="N","absent",IF(D29&lt;&gt;"Y","type Y or N in Sat",IF(COUNT(H29:K29)&lt;4,"incomplete",SUM(H29:K29))))</f>
        <v>incomplete</v>
      </c>
      <c r="M29" s="1" t="str">
        <f aca="false">IF(OR(H29&gt;Rubric!$B$3,I29&gt;Rubric!$B$4,J29&gt;Rubric!$B$5,K29&gt;Rubric!$B$6,MIN(H29:K29)&lt;0),"above a maximum or below zero","ok")</f>
        <v>ok</v>
      </c>
    </row>
    <row r="30" customFormat="false" ht="15" hidden="false" customHeight="false" outlineLevel="0" collapsed="false">
      <c r="A30" s="1" t="s">
        <v>43</v>
      </c>
      <c r="B30" s="1" t="n">
        <v>4</v>
      </c>
      <c r="C30" s="3"/>
      <c r="D30" s="3" t="s">
        <v>37</v>
      </c>
      <c r="E30" s="3"/>
      <c r="F30" s="3"/>
      <c r="G30" s="3"/>
      <c r="H30" s="3"/>
      <c r="I30" s="3"/>
      <c r="J30" s="3"/>
      <c r="K30" s="3"/>
      <c r="L30" s="1" t="str">
        <f aca="false">IF(D30="N","absent",IF(D30&lt;&gt;"Y","type Y or N in Sat",IF(COUNT(H30:K30)&lt;4,"incomplete",SUM(H30:K30))))</f>
        <v>incomplete</v>
      </c>
      <c r="M30" s="1" t="str">
        <f aca="false">IF(OR(H30&gt;Rubric!$B$3,I30&gt;Rubric!$B$4,J30&gt;Rubric!$B$5,K30&gt;Rubric!$B$6,MIN(H30:K30)&lt;0),"above a maximum or below zero","ok")</f>
        <v>ok</v>
      </c>
    </row>
    <row r="31" customFormat="false" ht="15" hidden="false" customHeight="false" outlineLevel="0" collapsed="false">
      <c r="A31" s="1" t="s">
        <v>44</v>
      </c>
      <c r="B31" s="1" t="n">
        <v>1</v>
      </c>
      <c r="C31" s="3"/>
      <c r="D31" s="3" t="s">
        <v>37</v>
      </c>
      <c r="E31" s="3"/>
      <c r="F31" s="3"/>
      <c r="G31" s="3"/>
      <c r="H31" s="3"/>
      <c r="I31" s="3"/>
      <c r="J31" s="3"/>
      <c r="K31" s="3"/>
      <c r="L31" s="1" t="str">
        <f aca="false">IF(D31="N","absent",IF(D31&lt;&gt;"Y","type Y or N in Sat",IF(COUNT(H31:K31)&lt;4,"incomplete",SUM(H31:K31))))</f>
        <v>incomplete</v>
      </c>
      <c r="M31" s="1" t="str">
        <f aca="false">IF(OR(H31&gt;Rubric!$B$3,I31&gt;Rubric!$B$4,J31&gt;Rubric!$B$5,K31&gt;Rubric!$B$6,MIN(H31:K31)&lt;0),"above a maximum or below zero","ok")</f>
        <v>ok</v>
      </c>
    </row>
    <row r="32" customFormat="false" ht="15" hidden="false" customHeight="false" outlineLevel="0" collapsed="false">
      <c r="A32" s="1" t="s">
        <v>44</v>
      </c>
      <c r="B32" s="1" t="n">
        <v>2</v>
      </c>
      <c r="C32" s="3"/>
      <c r="D32" s="3" t="s">
        <v>37</v>
      </c>
      <c r="E32" s="3"/>
      <c r="F32" s="3"/>
      <c r="G32" s="3"/>
      <c r="H32" s="3"/>
      <c r="I32" s="3"/>
      <c r="J32" s="3"/>
      <c r="K32" s="3"/>
      <c r="L32" s="1" t="str">
        <f aca="false">IF(D32="N","absent",IF(D32&lt;&gt;"Y","type Y or N in Sat",IF(COUNT(H32:K32)&lt;4,"incomplete",SUM(H32:K32))))</f>
        <v>incomplete</v>
      </c>
      <c r="M32" s="1" t="str">
        <f aca="false">IF(OR(H32&gt;Rubric!$B$3,I32&gt;Rubric!$B$4,J32&gt;Rubric!$B$5,K32&gt;Rubric!$B$6,MIN(H32:K32)&lt;0),"above a maximum or below zero","ok")</f>
        <v>ok</v>
      </c>
    </row>
    <row r="33" customFormat="false" ht="15" hidden="false" customHeight="false" outlineLevel="0" collapsed="false">
      <c r="A33" s="1" t="s">
        <v>44</v>
      </c>
      <c r="B33" s="1" t="n">
        <v>3</v>
      </c>
      <c r="C33" s="3"/>
      <c r="D33" s="3" t="s">
        <v>37</v>
      </c>
      <c r="E33" s="3"/>
      <c r="F33" s="3"/>
      <c r="G33" s="3"/>
      <c r="H33" s="3"/>
      <c r="I33" s="3"/>
      <c r="J33" s="3"/>
      <c r="K33" s="3"/>
      <c r="L33" s="1" t="str">
        <f aca="false">IF(D33="N","absent",IF(D33&lt;&gt;"Y","type Y or N in Sat",IF(COUNT(H33:K33)&lt;4,"incomplete",SUM(H33:K33))))</f>
        <v>incomplete</v>
      </c>
      <c r="M33" s="1" t="str">
        <f aca="false">IF(OR(H33&gt;Rubric!$B$3,I33&gt;Rubric!$B$4,J33&gt;Rubric!$B$5,K33&gt;Rubric!$B$6,MIN(H33:K33)&lt;0),"above a maximum or below zero","ok")</f>
        <v>ok</v>
      </c>
    </row>
    <row r="34" customFormat="false" ht="15" hidden="false" customHeight="false" outlineLevel="0" collapsed="false">
      <c r="A34" s="1" t="s">
        <v>44</v>
      </c>
      <c r="B34" s="1" t="n">
        <v>4</v>
      </c>
      <c r="C34" s="3"/>
      <c r="D34" s="3" t="s">
        <v>37</v>
      </c>
      <c r="E34" s="3"/>
      <c r="F34" s="3"/>
      <c r="G34" s="3"/>
      <c r="H34" s="3"/>
      <c r="I34" s="3"/>
      <c r="J34" s="3"/>
      <c r="K34" s="3"/>
      <c r="L34" s="1" t="str">
        <f aca="false">IF(D34="N","absent",IF(D34&lt;&gt;"Y","type Y or N in Sat",IF(COUNT(H34:K34)&lt;4,"incomplete",SUM(H34:K34))))</f>
        <v>incomplete</v>
      </c>
      <c r="M34" s="1" t="str">
        <f aca="false">IF(OR(H34&gt;Rubric!$B$3,I34&gt;Rubric!$B$4,J34&gt;Rubric!$B$5,K34&gt;Rubric!$B$6,MIN(H34:K34)&lt;0),"above a maximum or below zero","ok")</f>
        <v>ok</v>
      </c>
    </row>
    <row r="35" customFormat="false" ht="15" hidden="false" customHeight="false" outlineLevel="0" collapsed="false">
      <c r="A35" s="1" t="s">
        <v>45</v>
      </c>
      <c r="B35" s="1" t="n">
        <v>1</v>
      </c>
      <c r="C35" s="3"/>
      <c r="D35" s="3" t="s">
        <v>37</v>
      </c>
      <c r="E35" s="3"/>
      <c r="F35" s="3"/>
      <c r="G35" s="3"/>
      <c r="H35" s="3"/>
      <c r="I35" s="3"/>
      <c r="J35" s="3"/>
      <c r="K35" s="3"/>
      <c r="L35" s="1" t="str">
        <f aca="false">IF(D35="N","absent",IF(D35&lt;&gt;"Y","type Y or N in Sat",IF(COUNT(H35:K35)&lt;4,"incomplete",SUM(H35:K35))))</f>
        <v>incomplete</v>
      </c>
      <c r="M35" s="1" t="str">
        <f aca="false">IF(OR(H35&gt;Rubric!$B$3,I35&gt;Rubric!$B$4,J35&gt;Rubric!$B$5,K35&gt;Rubric!$B$6,MIN(H35:K35)&lt;0),"above a maximum or below zero","ok")</f>
        <v>ok</v>
      </c>
    </row>
    <row r="36" customFormat="false" ht="15" hidden="false" customHeight="false" outlineLevel="0" collapsed="false">
      <c r="A36" s="1" t="s">
        <v>45</v>
      </c>
      <c r="B36" s="1" t="n">
        <v>2</v>
      </c>
      <c r="C36" s="3"/>
      <c r="D36" s="3" t="s">
        <v>37</v>
      </c>
      <c r="E36" s="3"/>
      <c r="F36" s="3"/>
      <c r="G36" s="3"/>
      <c r="H36" s="3"/>
      <c r="I36" s="3"/>
      <c r="J36" s="3"/>
      <c r="K36" s="3"/>
      <c r="L36" s="1" t="str">
        <f aca="false">IF(D36="N","absent",IF(D36&lt;&gt;"Y","type Y or N in Sat",IF(COUNT(H36:K36)&lt;4,"incomplete",SUM(H36:K36))))</f>
        <v>incomplete</v>
      </c>
      <c r="M36" s="1" t="str">
        <f aca="false">IF(OR(H36&gt;Rubric!$B$3,I36&gt;Rubric!$B$4,J36&gt;Rubric!$B$5,K36&gt;Rubric!$B$6,MIN(H36:K36)&lt;0),"above a maximum or below zero","ok")</f>
        <v>ok</v>
      </c>
    </row>
    <row r="37" customFormat="false" ht="15" hidden="false" customHeight="false" outlineLevel="0" collapsed="false">
      <c r="A37" s="1" t="s">
        <v>45</v>
      </c>
      <c r="B37" s="1" t="n">
        <v>3</v>
      </c>
      <c r="C37" s="3"/>
      <c r="D37" s="3" t="s">
        <v>37</v>
      </c>
      <c r="E37" s="3"/>
      <c r="F37" s="3"/>
      <c r="G37" s="3"/>
      <c r="H37" s="3"/>
      <c r="I37" s="3"/>
      <c r="J37" s="3"/>
      <c r="K37" s="3"/>
      <c r="L37" s="1" t="str">
        <f aca="false">IF(D37="N","absent",IF(D37&lt;&gt;"Y","type Y or N in Sat",IF(COUNT(H37:K37)&lt;4,"incomplete",SUM(H37:K37))))</f>
        <v>incomplete</v>
      </c>
      <c r="M37" s="1" t="str">
        <f aca="false">IF(OR(H37&gt;Rubric!$B$3,I37&gt;Rubric!$B$4,J37&gt;Rubric!$B$5,K37&gt;Rubric!$B$6,MIN(H37:K37)&lt;0),"above a maximum or below zero","ok")</f>
        <v>ok</v>
      </c>
    </row>
  </sheetData>
  <dataValidations count="1">
    <dataValidation allowBlank="false" error="Type Y if the learner sat the round, or N." errorStyle="stop" errorTitle="Sat the round" operator="between" showDropDown="false" showErrorMessage="true" showInputMessage="false" sqref="D3:D3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  <c r="B2" s="2" t="s">
        <v>48</v>
      </c>
    </row>
    <row r="3" customFormat="false" ht="15" hidden="false" customHeight="false" outlineLevel="0" collapsed="false">
      <c r="A3" s="1" t="s">
        <v>49</v>
      </c>
      <c r="B3" s="1" t="n">
        <f aca="false">COUNTIF(Scores!D3:D37,"Y")</f>
        <v>35</v>
      </c>
    </row>
    <row r="4" customFormat="false" ht="15" hidden="false" customHeight="false" outlineLevel="0" collapsed="false">
      <c r="A4" s="1" t="s">
        <v>50</v>
      </c>
      <c r="B4" s="1" t="n">
        <f aca="false">COUNTIFS(Scores!D3:D37,"Y",Scores!L3:L37,"&gt;=0")</f>
        <v>0</v>
      </c>
    </row>
    <row r="5" customFormat="false" ht="15" hidden="false" customHeight="false" outlineLevel="0" collapsed="false">
      <c r="A5" s="1" t="s">
        <v>51</v>
      </c>
      <c r="B5" s="1" t="n">
        <f aca="false">COUNTIF(Scores!M3:M37,"above*")</f>
        <v>0</v>
      </c>
    </row>
    <row r="6" customFormat="false" ht="15" hidden="false" customHeight="false" outlineLevel="0" collapsed="false">
      <c r="A6" s="1" t="s">
        <v>52</v>
      </c>
      <c r="B6" s="1" t="str">
        <f aca="false">IF(Rubric!B7=30,"the rubric adds to 30","the rubric adds to "&amp;Rubric!B7&amp;", not 30")</f>
        <v>the rubric adds to 30</v>
      </c>
    </row>
    <row r="7" customFormat="false" ht="15" hidden="false" customHeight="false" outlineLevel="0" collapsed="false">
      <c r="A7" s="1" t="s">
        <v>53</v>
      </c>
      <c r="B7" s="1" t="str">
        <f aca="false">IF(B5&gt;0,B5&amp;" row(s) hold a score outside the rubric",IF(B8&gt;0,B8&amp;" row(s) need Y or N in the Sat column",IF(B4=B3,"every learner who sat a round is scored",B3-B4&amp;" learners still to score")))</f>
        <v>35 learners still to score</v>
      </c>
    </row>
    <row r="8" customFormat="false" ht="15" hidden="false" customHeight="false" outlineLevel="0" collapsed="false">
      <c r="A8" s="1" t="s">
        <v>54</v>
      </c>
      <c r="B8" s="1" t="n">
        <f aca="false">ROWS(Scores!D3:D37)-COUNTIF(Scores!D3:D37,"Y")-COUNTIF(Scores!D3:D37,"N")</f>
        <v>0</v>
      </c>
    </row>
    <row r="10" customFormat="false" ht="23.85" hidden="false" customHeight="false" outlineLevel="0" collapsed="false">
      <c r="A10" s="1" t="s">
        <v>55</v>
      </c>
    </row>
    <row r="11" customFormat="false" ht="15" hidden="false" customHeight="false" outlineLevel="0" collapsed="false">
      <c r="A11" s="2" t="s">
        <v>23</v>
      </c>
      <c r="B11" s="2" t="s">
        <v>56</v>
      </c>
      <c r="C11" s="2" t="s">
        <v>57</v>
      </c>
    </row>
    <row r="12" customFormat="false" ht="15" hidden="false" customHeight="false" outlineLevel="0" collapsed="false">
      <c r="A12" s="1" t="s">
        <v>36</v>
      </c>
      <c r="B12" s="1" t="str">
        <f aca="false">IFERROR(AVERAGEIF(Scores!A3:A37,A12,Scores!L3:L37),"none scored")</f>
        <v>none scored</v>
      </c>
      <c r="C12" s="1" t="n">
        <f aca="false">COUNTIFS(Scores!A3:A37,A12,Scores!L3:L37,"&gt;=0")</f>
        <v>0</v>
      </c>
    </row>
    <row r="13" customFormat="false" ht="15" hidden="false" customHeight="false" outlineLevel="0" collapsed="false">
      <c r="A13" s="1" t="s">
        <v>38</v>
      </c>
      <c r="B13" s="1" t="str">
        <f aca="false">IFERROR(AVERAGEIF(Scores!A3:A37,A13,Scores!L3:L37),"none scored")</f>
        <v>none scored</v>
      </c>
      <c r="C13" s="1" t="n">
        <f aca="false">COUNTIFS(Scores!A3:A37,A13,Scores!L3:L37,"&gt;=0")</f>
        <v>0</v>
      </c>
    </row>
    <row r="14" customFormat="false" ht="15" hidden="false" customHeight="false" outlineLevel="0" collapsed="false">
      <c r="A14" s="1" t="s">
        <v>39</v>
      </c>
      <c r="B14" s="1" t="str">
        <f aca="false">IFERROR(AVERAGEIF(Scores!A3:A37,A14,Scores!L3:L37),"none scored")</f>
        <v>none scored</v>
      </c>
      <c r="C14" s="1" t="n">
        <f aca="false">COUNTIFS(Scores!A3:A37,A14,Scores!L3:L37,"&gt;=0")</f>
        <v>0</v>
      </c>
    </row>
    <row r="15" customFormat="false" ht="15" hidden="false" customHeight="false" outlineLevel="0" collapsed="false">
      <c r="A15" s="1" t="s">
        <v>40</v>
      </c>
      <c r="B15" s="1" t="str">
        <f aca="false">IFERROR(AVERAGEIF(Scores!A3:A37,A15,Scores!L3:L37),"none scored")</f>
        <v>none scored</v>
      </c>
      <c r="C15" s="1" t="n">
        <f aca="false">COUNTIFS(Scores!A3:A37,A15,Scores!L3:L37,"&gt;=0")</f>
        <v>0</v>
      </c>
    </row>
    <row r="16" customFormat="false" ht="15" hidden="false" customHeight="false" outlineLevel="0" collapsed="false">
      <c r="A16" s="1" t="s">
        <v>41</v>
      </c>
      <c r="B16" s="1" t="str">
        <f aca="false">IFERROR(AVERAGEIF(Scores!A3:A37,A16,Scores!L3:L37),"none scored")</f>
        <v>none scored</v>
      </c>
      <c r="C16" s="1" t="n">
        <f aca="false">COUNTIFS(Scores!A3:A37,A16,Scores!L3:L37,"&gt;=0")</f>
        <v>0</v>
      </c>
    </row>
    <row r="17" customFormat="false" ht="15" hidden="false" customHeight="false" outlineLevel="0" collapsed="false">
      <c r="A17" s="1" t="s">
        <v>42</v>
      </c>
      <c r="B17" s="1" t="str">
        <f aca="false">IFERROR(AVERAGEIF(Scores!A3:A37,A17,Scores!L3:L37),"none scored")</f>
        <v>none scored</v>
      </c>
      <c r="C17" s="1" t="n">
        <f aca="false">COUNTIFS(Scores!A3:A37,A17,Scores!L3:L37,"&gt;=0")</f>
        <v>0</v>
      </c>
    </row>
    <row r="18" customFormat="false" ht="15" hidden="false" customHeight="false" outlineLevel="0" collapsed="false">
      <c r="A18" s="1" t="s">
        <v>43</v>
      </c>
      <c r="B18" s="1" t="str">
        <f aca="false">IFERROR(AVERAGEIF(Scores!A3:A37,A18,Scores!L3:L37),"none scored")</f>
        <v>none scored</v>
      </c>
      <c r="C18" s="1" t="n">
        <f aca="false">COUNTIFS(Scores!A3:A37,A18,Scores!L3:L37,"&gt;=0")</f>
        <v>0</v>
      </c>
    </row>
    <row r="19" customFormat="false" ht="15" hidden="false" customHeight="false" outlineLevel="0" collapsed="false">
      <c r="A19" s="1" t="s">
        <v>44</v>
      </c>
      <c r="B19" s="1" t="str">
        <f aca="false">IFERROR(AVERAGEIF(Scores!A3:A37,A19,Scores!L3:L37),"none scored")</f>
        <v>none scored</v>
      </c>
      <c r="C19" s="1" t="n">
        <f aca="false">COUNTIFS(Scores!A3:A37,A19,Scores!L3:L37,"&gt;=0")</f>
        <v>0</v>
      </c>
    </row>
    <row r="20" customFormat="false" ht="15" hidden="false" customHeight="false" outlineLevel="0" collapsed="false">
      <c r="A20" s="1" t="s">
        <v>45</v>
      </c>
      <c r="B20" s="1" t="str">
        <f aca="false">IFERROR(AVERAGEIF(Scores!A3:A37,A20,Scores!L3:L37),"none scored")</f>
        <v>none scored</v>
      </c>
      <c r="C20" s="1" t="n">
        <f aca="false">COUNTIFS(Scores!A3:A37,A20,Scores!L3:L37,"&gt;=0")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2026-10-04T18:14:07Z</dcterms:created>
  <dc:creator>openpyxl</dc:creator>
  <dc:description/>
  <dc:language>en-US</dc:language>
  <cp:lastModifiedBy/>
  <dcterms:modified xsi:type="dcterms:W3CDTF">2026-10-04T18:14:07Z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