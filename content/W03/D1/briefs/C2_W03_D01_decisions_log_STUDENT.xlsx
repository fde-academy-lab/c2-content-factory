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Log" sheetId="2" state="visible" r:id="rId2"/>
    <sheet xmlns:r="http://schemas.openxmlformats.org/officeDocument/2006/relationships" name="Reconcile" sheetId="3" state="visible" r:id="rId3"/>
    <sheet xmlns:r="http://schemas.openxmlformats.org/officeDocument/2006/relationships" name="Examp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A0F5C"/>
      <sz val="14"/>
    </font>
    <font>
      <name val="Arial"/>
      <i val="1"/>
      <color rgb="00000000"/>
    </font>
    <font>
      <name val="Arial"/>
      <b val="1"/>
      <color rgb="00FFFFFF"/>
    </font>
    <font>
      <name val="Arial"/>
      <color rgb="00000000"/>
    </font>
    <font>
      <name val="Arial"/>
      <b val="1"/>
      <color rgb="00000000"/>
    </font>
    <font>
      <name val="Arial"/>
      <b val="1"/>
      <color rgb="001A0F5C"/>
    </font>
    <font>
      <name val="Arial"/>
    </font>
  </fonts>
  <fills count="5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EEEAF9"/>
      </patternFill>
    </fill>
    <fill>
      <patternFill patternType="solid">
        <fgColor rgb="00FFF7D6"/>
      </patternFill>
    </fill>
  </fills>
  <borders count="6">
    <border>
      <left/>
      <right/>
      <top/>
      <bottom/>
      <diagonal/>
    </border>
    <border>
      <left style="thin">
        <color rgb="00B8B2D6"/>
      </left>
      <right style="thin">
        <color rgb="00B8B2D6"/>
      </right>
      <top style="thin">
        <color rgb="00B8B2D6"/>
      </top>
      <bottom style="thin">
        <color rgb="00B8B2D6"/>
      </bottom>
    </border>
    <border>
      <left/>
      <right/>
      <top style="thin">
        <color rgb="00B8B2D6"/>
      </top>
      <bottom/>
      <diagonal/>
    </border>
    <border>
      <left/>
      <right style="thin">
        <color rgb="00B8B2D6"/>
      </right>
      <top style="thin">
        <color rgb="00B8B2D6"/>
      </top>
      <bottom/>
      <diagonal/>
    </border>
    <border>
      <left/>
      <right/>
      <top style="thin">
        <color rgb="00B8B2D6"/>
      </top>
      <bottom style="thin">
        <color rgb="00B8B2D6"/>
      </bottom>
      <diagonal/>
    </border>
    <border>
      <left/>
      <right style="thin">
        <color rgb="00B8B2D6"/>
      </right>
      <top style="thin">
        <color rgb="00B8B2D6"/>
      </top>
      <bottom style="thin">
        <color rgb="00B8B2D6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3" fontId="4" fillId="3" borderId="1" applyAlignment="1" pivotButton="0" quotePrefix="0" xfId="0">
      <alignment vertical="top" wrapText="1"/>
    </xf>
    <xf numFmtId="3" fontId="4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6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GCC</author>
  </authors>
  <commentList>
    <comment ref="H4" authorId="0" shapeId="0">
      <text>
        <t>removes rows: the rows leave the clean file (dropped or rejected). keeps rows: looked at and kept, flagged or not. changes values: the rows stay and a value is converted, mapped or filled.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do you fill this log?</t>
        </is>
      </c>
    </row>
    <row r="3">
      <c r="A3" s="2" t="inlineStr">
        <is>
          <t>1. One row on the Log sheet for every decision that changes, removes or keeps a row on purpose.</t>
        </is>
      </c>
    </row>
    <row r="4">
      <c r="A4" s="2" t="inlineStr">
        <is>
          <t>2. File and kind are drop-down lists; the kind tells the Reconcile sheet which rows left.</t>
        </is>
      </c>
    </row>
    <row r="5">
      <c r="A5" s="2" t="inlineStr">
        <is>
          <t>3. Rows is the number of rows the decision applies to, counted, never estimated.</t>
        </is>
      </c>
    </row>
    <row r="6">
      <c r="A6" s="2" t="inlineStr">
        <is>
          <t>4. On the Reconcile sheet, type the rows in your clean output for each file you use.</t>
        </is>
      </c>
    </row>
    <row r="7">
      <c r="A7" s="2" t="inlineStr">
        <is>
          <t>5. A file that does not reconcile means a row went somewhere the log does not say. Find it before anyone acts on a number built from that file.</t>
        </is>
      </c>
    </row>
    <row r="8">
      <c r="A8" s="2" t="inlineStr">
        <is>
          <t>6. Your notebook or SQL must reproduce every count in this log from the raw files.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8" customWidth="1" min="3" max="3"/>
    <col width="16" customWidth="1" min="4" max="4"/>
    <col width="32" customWidth="1" min="5" max="5"/>
    <col width="9" customWidth="1" min="6" max="6"/>
    <col width="34" customWidth="1" min="7" max="7"/>
    <col width="16" customWidth="1" min="8" max="8"/>
    <col width="50" customWidth="1" min="9" max="9"/>
  </cols>
  <sheetData>
    <row r="1">
      <c r="A1" s="1" t="inlineStr">
        <is>
          <t>Which rows did the group change, remove or keep on purpose, and why?</t>
        </is>
      </c>
    </row>
    <row r="2">
      <c r="A2" s="3" t="inlineStr">
        <is>
          <t>The Week 1 Wednesday shape, one row per decision, plus the file and the kind of decision so the Reconcile sheet can count rows out.</t>
        </is>
      </c>
    </row>
    <row r="4">
      <c r="A4" s="4" t="inlineStr">
        <is>
          <t>#</t>
        </is>
      </c>
      <c r="B4" s="4" t="inlineStr">
        <is>
          <t>Day</t>
        </is>
      </c>
      <c r="C4" s="4" t="inlineStr">
        <is>
          <t>File</t>
        </is>
      </c>
      <c r="D4" s="4" t="inlineStr">
        <is>
          <t>Field</t>
        </is>
      </c>
      <c r="E4" s="4" t="inlineStr">
        <is>
          <t>Issue</t>
        </is>
      </c>
      <c r="F4" s="4" t="inlineStr">
        <is>
          <t>Rows</t>
        </is>
      </c>
      <c r="G4" s="4" t="inlineStr">
        <is>
          <t>Decision</t>
        </is>
      </c>
      <c r="H4" s="4" t="inlineStr">
        <is>
          <t>Kind</t>
        </is>
      </c>
      <c r="I4" s="4" t="inlineStr">
        <is>
          <t>Reason</t>
        </is>
      </c>
    </row>
    <row r="5">
      <c r="A5" s="5">
        <f>IF(D5="","",ROW()-4)</f>
        <v/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>
        <f>IF(D6="","",ROW()-4)</f>
        <v/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>
        <f>IF(D7="","",ROW()-4)</f>
        <v/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>
        <f>IF(D8="","",ROW()-4)</f>
        <v/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5">
        <f>IF(D9="","",ROW()-4)</f>
        <v/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>
        <f>IF(D10="","",ROW()-4)</f>
        <v/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5">
        <f>IF(D11="","",ROW()-4)</f>
        <v/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>
        <f>IF(D12="","",ROW()-4)</f>
        <v/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5">
        <f>IF(D13="","",ROW()-4)</f>
        <v/>
      </c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5">
        <f>IF(D14="","",ROW()-4)</f>
        <v/>
      </c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5">
        <f>IF(D15="","",ROW()-4)</f>
        <v/>
      </c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5">
        <f>IF(D16="","",ROW()-4)</f>
        <v/>
      </c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5">
        <f>IF(D17="","",ROW()-4)</f>
        <v/>
      </c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5">
        <f>IF(D18="","",ROW()-4)</f>
        <v/>
      </c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5">
        <f>IF(D19="","",ROW()-4)</f>
        <v/>
      </c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5">
        <f>IF(D20="","",ROW()-4)</f>
        <v/>
      </c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5">
        <f>IF(D21="","",ROW()-4)</f>
        <v/>
      </c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5">
        <f>IF(D22="","",ROW()-4)</f>
        <v/>
      </c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5">
        <f>IF(D23="","",ROW()-4)</f>
        <v/>
      </c>
      <c r="B23" s="6" t="n"/>
      <c r="C23" s="6" t="n"/>
      <c r="D23" s="6" t="n"/>
      <c r="E23" s="6" t="n"/>
      <c r="F23" s="6" t="n"/>
      <c r="G23" s="6" t="n"/>
      <c r="H23" s="6" t="n"/>
      <c r="I23" s="6" t="n"/>
    </row>
    <row r="24">
      <c r="A24" s="5">
        <f>IF(D24="","",ROW()-4)</f>
        <v/>
      </c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5">
        <f>IF(D25="","",ROW()-4)</f>
        <v/>
      </c>
      <c r="B25" s="6" t="n"/>
      <c r="C25" s="6" t="n"/>
      <c r="D25" s="6" t="n"/>
      <c r="E25" s="6" t="n"/>
      <c r="F25" s="6" t="n"/>
      <c r="G25" s="6" t="n"/>
      <c r="H25" s="6" t="n"/>
      <c r="I25" s="6" t="n"/>
    </row>
    <row r="26">
      <c r="A26" s="5">
        <f>IF(D26="","",ROW()-4)</f>
        <v/>
      </c>
      <c r="B26" s="6" t="n"/>
      <c r="C26" s="6" t="n"/>
      <c r="D26" s="6" t="n"/>
      <c r="E26" s="6" t="n"/>
      <c r="F26" s="6" t="n"/>
      <c r="G26" s="6" t="n"/>
      <c r="H26" s="6" t="n"/>
      <c r="I26" s="6" t="n"/>
    </row>
    <row r="27">
      <c r="A27" s="5">
        <f>IF(D27="","",ROW()-4)</f>
        <v/>
      </c>
      <c r="B27" s="6" t="n"/>
      <c r="C27" s="6" t="n"/>
      <c r="D27" s="6" t="n"/>
      <c r="E27" s="6" t="n"/>
      <c r="F27" s="6" t="n"/>
      <c r="G27" s="6" t="n"/>
      <c r="H27" s="6" t="n"/>
      <c r="I27" s="6" t="n"/>
    </row>
    <row r="28">
      <c r="A28" s="5">
        <f>IF(D28="","",ROW()-4)</f>
        <v/>
      </c>
      <c r="B28" s="6" t="n"/>
      <c r="C28" s="6" t="n"/>
      <c r="D28" s="6" t="n"/>
      <c r="E28" s="6" t="n"/>
      <c r="F28" s="6" t="n"/>
      <c r="G28" s="6" t="n"/>
      <c r="H28" s="6" t="n"/>
      <c r="I28" s="6" t="n"/>
    </row>
    <row r="29">
      <c r="A29" s="5">
        <f>IF(D29="","",ROW()-4)</f>
        <v/>
      </c>
      <c r="B29" s="6" t="n"/>
      <c r="C29" s="6" t="n"/>
      <c r="D29" s="6" t="n"/>
      <c r="E29" s="6" t="n"/>
      <c r="F29" s="6" t="n"/>
      <c r="G29" s="6" t="n"/>
      <c r="H29" s="6" t="n"/>
      <c r="I29" s="6" t="n"/>
    </row>
    <row r="30">
      <c r="A30" s="5">
        <f>IF(D30="","",ROW()-4)</f>
        <v/>
      </c>
      <c r="B30" s="6" t="n"/>
      <c r="C30" s="6" t="n"/>
      <c r="D30" s="6" t="n"/>
      <c r="E30" s="6" t="n"/>
      <c r="F30" s="6" t="n"/>
      <c r="G30" s="6" t="n"/>
      <c r="H30" s="6" t="n"/>
      <c r="I30" s="6" t="n"/>
    </row>
    <row r="31">
      <c r="A31" s="5">
        <f>IF(D31="","",ROW()-4)</f>
        <v/>
      </c>
      <c r="B31" s="6" t="n"/>
      <c r="C31" s="6" t="n"/>
      <c r="D31" s="6" t="n"/>
      <c r="E31" s="6" t="n"/>
      <c r="F31" s="6" t="n"/>
      <c r="G31" s="6" t="n"/>
      <c r="H31" s="6" t="n"/>
      <c r="I31" s="6" t="n"/>
    </row>
    <row r="32">
      <c r="A32" s="5">
        <f>IF(D32="","",ROW()-4)</f>
        <v/>
      </c>
      <c r="B32" s="6" t="n"/>
      <c r="C32" s="6" t="n"/>
      <c r="D32" s="6" t="n"/>
      <c r="E32" s="6" t="n"/>
      <c r="F32" s="6" t="n"/>
      <c r="G32" s="6" t="n"/>
      <c r="H32" s="6" t="n"/>
      <c r="I32" s="6" t="n"/>
    </row>
    <row r="33">
      <c r="A33" s="5">
        <f>IF(D33="","",ROW()-4)</f>
        <v/>
      </c>
      <c r="B33" s="6" t="n"/>
      <c r="C33" s="6" t="n"/>
      <c r="D33" s="6" t="n"/>
      <c r="E33" s="6" t="n"/>
      <c r="F33" s="6" t="n"/>
      <c r="G33" s="6" t="n"/>
      <c r="H33" s="6" t="n"/>
      <c r="I33" s="6" t="n"/>
    </row>
    <row r="34">
      <c r="A34" s="5">
        <f>IF(D34="","",ROW()-4)</f>
        <v/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5">
        <f>IF(D35="","",ROW()-4)</f>
        <v/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>
        <f>IF(D36="","",ROW()-4)</f>
        <v/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7">
      <c r="A37" s="5">
        <f>IF(D37="","",ROW()-4)</f>
        <v/>
      </c>
      <c r="B37" s="6" t="n"/>
      <c r="C37" s="6" t="n"/>
      <c r="D37" s="6" t="n"/>
      <c r="E37" s="6" t="n"/>
      <c r="F37" s="6" t="n"/>
      <c r="G37" s="6" t="n"/>
      <c r="H37" s="6" t="n"/>
      <c r="I37" s="6" t="n"/>
    </row>
    <row r="38">
      <c r="A38" s="5">
        <f>IF(D38="","",ROW()-4)</f>
        <v/>
      </c>
      <c r="B38" s="6" t="n"/>
      <c r="C38" s="6" t="n"/>
      <c r="D38" s="6" t="n"/>
      <c r="E38" s="6" t="n"/>
      <c r="F38" s="6" t="n"/>
      <c r="G38" s="6" t="n"/>
      <c r="H38" s="6" t="n"/>
      <c r="I38" s="6" t="n"/>
    </row>
    <row r="39">
      <c r="A39" s="5">
        <f>IF(D39="","",ROW()-4)</f>
        <v/>
      </c>
      <c r="B39" s="6" t="n"/>
      <c r="C39" s="6" t="n"/>
      <c r="D39" s="6" t="n"/>
      <c r="E39" s="6" t="n"/>
      <c r="F39" s="6" t="n"/>
      <c r="G39" s="6" t="n"/>
      <c r="H39" s="6" t="n"/>
      <c r="I39" s="6" t="n"/>
    </row>
    <row r="40">
      <c r="A40" s="5">
        <f>IF(D40="","",ROW()-4)</f>
        <v/>
      </c>
      <c r="B40" s="6" t="n"/>
      <c r="C40" s="6" t="n"/>
      <c r="D40" s="6" t="n"/>
      <c r="E40" s="6" t="n"/>
      <c r="F40" s="6" t="n"/>
      <c r="G40" s="6" t="n"/>
      <c r="H40" s="6" t="n"/>
      <c r="I40" s="6" t="n"/>
    </row>
    <row r="41">
      <c r="A41" s="5">
        <f>IF(D41="","",ROW()-4)</f>
        <v/>
      </c>
      <c r="B41" s="6" t="n"/>
      <c r="C41" s="6" t="n"/>
      <c r="D41" s="6" t="n"/>
      <c r="E41" s="6" t="n"/>
      <c r="F41" s="6" t="n"/>
      <c r="G41" s="6" t="n"/>
      <c r="H41" s="6" t="n"/>
      <c r="I41" s="6" t="n"/>
    </row>
    <row r="42">
      <c r="A42" s="5">
        <f>IF(D42="","",ROW()-4)</f>
        <v/>
      </c>
      <c r="B42" s="6" t="n"/>
      <c r="C42" s="6" t="n"/>
      <c r="D42" s="6" t="n"/>
      <c r="E42" s="6" t="n"/>
      <c r="F42" s="6" t="n"/>
      <c r="G42" s="6" t="n"/>
      <c r="H42" s="6" t="n"/>
      <c r="I42" s="6" t="n"/>
    </row>
    <row r="43">
      <c r="A43" s="5">
        <f>IF(D43="","",ROW()-4)</f>
        <v/>
      </c>
      <c r="B43" s="6" t="n"/>
      <c r="C43" s="6" t="n"/>
      <c r="D43" s="6" t="n"/>
      <c r="E43" s="6" t="n"/>
      <c r="F43" s="6" t="n"/>
      <c r="G43" s="6" t="n"/>
      <c r="H43" s="6" t="n"/>
      <c r="I43" s="6" t="n"/>
    </row>
    <row r="44">
      <c r="A44" s="5">
        <f>IF(D44="","",ROW()-4)</f>
        <v/>
      </c>
      <c r="B44" s="6" t="n"/>
      <c r="C44" s="6" t="n"/>
      <c r="D44" s="6" t="n"/>
      <c r="E44" s="6" t="n"/>
      <c r="F44" s="6" t="n"/>
      <c r="G44" s="6" t="n"/>
      <c r="H44" s="6" t="n"/>
      <c r="I44" s="6" t="n"/>
    </row>
    <row r="45">
      <c r="A45" s="5">
        <f>IF(D45="","",ROW()-4)</f>
        <v/>
      </c>
      <c r="B45" s="6" t="n"/>
      <c r="C45" s="6" t="n"/>
      <c r="D45" s="6" t="n"/>
      <c r="E45" s="6" t="n"/>
      <c r="F45" s="6" t="n"/>
      <c r="G45" s="6" t="n"/>
      <c r="H45" s="6" t="n"/>
      <c r="I45" s="6" t="n"/>
    </row>
    <row r="46">
      <c r="A46" s="5">
        <f>IF(D46="","",ROW()-4)</f>
        <v/>
      </c>
      <c r="B46" s="6" t="n"/>
      <c r="C46" s="6" t="n"/>
      <c r="D46" s="6" t="n"/>
      <c r="E46" s="6" t="n"/>
      <c r="F46" s="6" t="n"/>
      <c r="G46" s="6" t="n"/>
      <c r="H46" s="6" t="n"/>
      <c r="I46" s="6" t="n"/>
    </row>
    <row r="47">
      <c r="A47" s="5">
        <f>IF(D47="","",ROW()-4)</f>
        <v/>
      </c>
      <c r="B47" s="6" t="n"/>
      <c r="C47" s="6" t="n"/>
      <c r="D47" s="6" t="n"/>
      <c r="E47" s="6" t="n"/>
      <c r="F47" s="6" t="n"/>
      <c r="G47" s="6" t="n"/>
      <c r="H47" s="6" t="n"/>
      <c r="I47" s="6" t="n"/>
    </row>
    <row r="48">
      <c r="A48" s="5">
        <f>IF(D48="","",ROW()-4)</f>
        <v/>
      </c>
      <c r="B48" s="6" t="n"/>
      <c r="C48" s="6" t="n"/>
      <c r="D48" s="6" t="n"/>
      <c r="E48" s="6" t="n"/>
      <c r="F48" s="6" t="n"/>
      <c r="G48" s="6" t="n"/>
      <c r="H48" s="6" t="n"/>
      <c r="I48" s="6" t="n"/>
    </row>
    <row r="49">
      <c r="A49" s="5">
        <f>IF(D49="","",ROW()-4)</f>
        <v/>
      </c>
      <c r="B49" s="6" t="n"/>
      <c r="C49" s="6" t="n"/>
      <c r="D49" s="6" t="n"/>
      <c r="E49" s="6" t="n"/>
      <c r="F49" s="6" t="n"/>
      <c r="G49" s="6" t="n"/>
      <c r="H49" s="6" t="n"/>
      <c r="I49" s="6" t="n"/>
    </row>
    <row r="50">
      <c r="A50" s="5">
        <f>IF(D50="","",ROW()-4)</f>
        <v/>
      </c>
      <c r="B50" s="6" t="n"/>
      <c r="C50" s="6" t="n"/>
      <c r="D50" s="6" t="n"/>
      <c r="E50" s="6" t="n"/>
      <c r="F50" s="6" t="n"/>
      <c r="G50" s="6" t="n"/>
      <c r="H50" s="6" t="n"/>
      <c r="I50" s="6" t="n"/>
    </row>
    <row r="51">
      <c r="A51" s="5">
        <f>IF(D51="","",ROW()-4)</f>
        <v/>
      </c>
      <c r="B51" s="6" t="n"/>
      <c r="C51" s="6" t="n"/>
      <c r="D51" s="6" t="n"/>
      <c r="E51" s="6" t="n"/>
      <c r="F51" s="6" t="n"/>
      <c r="G51" s="6" t="n"/>
      <c r="H51" s="6" t="n"/>
      <c r="I51" s="6" t="n"/>
    </row>
    <row r="52">
      <c r="A52" s="5">
        <f>IF(D52="","",ROW()-4)</f>
        <v/>
      </c>
      <c r="B52" s="6" t="n"/>
      <c r="C52" s="6" t="n"/>
      <c r="D52" s="6" t="n"/>
      <c r="E52" s="6" t="n"/>
      <c r="F52" s="6" t="n"/>
      <c r="G52" s="6" t="n"/>
      <c r="H52" s="6" t="n"/>
      <c r="I52" s="6" t="n"/>
    </row>
    <row r="53">
      <c r="A53" s="5">
        <f>IF(D53="","",ROW()-4)</f>
        <v/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>
        <f>IF(D54="","",ROW()-4)</f>
        <v/>
      </c>
      <c r="B54" s="6" t="n"/>
      <c r="C54" s="6" t="n"/>
      <c r="D54" s="6" t="n"/>
      <c r="E54" s="6" t="n"/>
      <c r="F54" s="6" t="n"/>
      <c r="G54" s="6" t="n"/>
      <c r="H54" s="6" t="n"/>
      <c r="I54" s="6" t="n"/>
    </row>
    <row r="55">
      <c r="A55" s="5">
        <f>IF(D55="","",ROW()-4)</f>
        <v/>
      </c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>
        <f>IF(D56="","",ROW()-4)</f>
        <v/>
      </c>
      <c r="B56" s="6" t="n"/>
      <c r="C56" s="6" t="n"/>
      <c r="D56" s="6" t="n"/>
      <c r="E56" s="6" t="n"/>
      <c r="F56" s="6" t="n"/>
      <c r="G56" s="6" t="n"/>
      <c r="H56" s="6" t="n"/>
      <c r="I56" s="6" t="n"/>
    </row>
    <row r="57">
      <c r="A57" s="5">
        <f>IF(D57="","",ROW()-4)</f>
        <v/>
      </c>
      <c r="B57" s="6" t="n"/>
      <c r="C57" s="6" t="n"/>
      <c r="D57" s="6" t="n"/>
      <c r="E57" s="6" t="n"/>
      <c r="F57" s="6" t="n"/>
      <c r="G57" s="6" t="n"/>
      <c r="H57" s="6" t="n"/>
      <c r="I57" s="6" t="n"/>
    </row>
    <row r="58">
      <c r="A58" s="5">
        <f>IF(D58="","",ROW()-4)</f>
        <v/>
      </c>
      <c r="B58" s="6" t="n"/>
      <c r="C58" s="6" t="n"/>
      <c r="D58" s="6" t="n"/>
      <c r="E58" s="6" t="n"/>
      <c r="F58" s="6" t="n"/>
      <c r="G58" s="6" t="n"/>
      <c r="H58" s="6" t="n"/>
      <c r="I58" s="6" t="n"/>
    </row>
    <row r="59">
      <c r="A59" s="5">
        <f>IF(D59="","",ROW()-4)</f>
        <v/>
      </c>
      <c r="B59" s="6" t="n"/>
      <c r="C59" s="6" t="n"/>
      <c r="D59" s="6" t="n"/>
      <c r="E59" s="6" t="n"/>
      <c r="F59" s="6" t="n"/>
      <c r="G59" s="6" t="n"/>
      <c r="H59" s="6" t="n"/>
      <c r="I59" s="6" t="n"/>
    </row>
    <row r="60">
      <c r="A60" s="5">
        <f>IF(D60="","",ROW()-4)</f>
        <v/>
      </c>
      <c r="B60" s="6" t="n"/>
      <c r="C60" s="6" t="n"/>
      <c r="D60" s="6" t="n"/>
      <c r="E60" s="6" t="n"/>
      <c r="F60" s="6" t="n"/>
      <c r="G60" s="6" t="n"/>
      <c r="H60" s="6" t="n"/>
      <c r="I60" s="6" t="n"/>
    </row>
    <row r="61">
      <c r="A61" s="5">
        <f>IF(D61="","",ROW()-4)</f>
        <v/>
      </c>
      <c r="B61" s="6" t="n"/>
      <c r="C61" s="6" t="n"/>
      <c r="D61" s="6" t="n"/>
      <c r="E61" s="6" t="n"/>
      <c r="F61" s="6" t="n"/>
      <c r="G61" s="6" t="n"/>
      <c r="H61" s="6" t="n"/>
      <c r="I61" s="6" t="n"/>
    </row>
    <row r="62">
      <c r="A62" s="5">
        <f>IF(D62="","",ROW()-4)</f>
        <v/>
      </c>
      <c r="B62" s="6" t="n"/>
      <c r="C62" s="6" t="n"/>
      <c r="D62" s="6" t="n"/>
      <c r="E62" s="6" t="n"/>
      <c r="F62" s="6" t="n"/>
      <c r="G62" s="6" t="n"/>
      <c r="H62" s="6" t="n"/>
      <c r="I62" s="6" t="n"/>
    </row>
    <row r="63">
      <c r="A63" s="5">
        <f>IF(D63="","",ROW()-4)</f>
        <v/>
      </c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>
        <f>IF(D64="","",ROW()-4)</f>
        <v/>
      </c>
      <c r="B64" s="6" t="n"/>
      <c r="C64" s="6" t="n"/>
      <c r="D64" s="6" t="n"/>
      <c r="E64" s="6" t="n"/>
      <c r="F64" s="6" t="n"/>
      <c r="G64" s="6" t="n"/>
      <c r="H64" s="6" t="n"/>
      <c r="I64" s="6" t="n"/>
    </row>
  </sheetData>
  <dataValidations count="3">
    <dataValidation sqref="B5:B64" showDropDown="0" showInputMessage="0" showErrorMessage="0" allowBlank="1" type="list">
      <formula1>"Monday,Wednesday,Thursday,Friday,Saturday"</formula1>
    </dataValidation>
    <dataValidation sqref="C5:C64" showDropDown="0" showInputMessage="0" showErrorMessage="0" allowBlank="1" type="list">
      <formula1>=Reconcile!$A$5:$A$14</formula1>
    </dataValidation>
    <dataValidation sqref="H5:H64" showDropDown="0" showInputMessage="0" showErrorMessage="0" allowBlank="1" type="list">
      <formula1>"removes rows,keeps rows,changes values"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6" customWidth="1" min="3" max="3"/>
    <col width="16" customWidth="1" min="4" max="4"/>
    <col width="14" customWidth="1" min="5" max="5"/>
    <col width="52" customWidth="1" min="6" max="6"/>
  </cols>
  <sheetData>
    <row r="1">
      <c r="A1" s="1" t="inlineStr">
        <is>
          <t>Do rows in equal clean rows plus rows removed, file by file?</t>
        </is>
      </c>
    </row>
    <row r="2">
      <c r="A2" s="3" t="inlineStr">
        <is>
          <t>Rows in are counted from the files. Type the rows in your clean output; the rest is computed from the Log sheet.</t>
        </is>
      </c>
    </row>
    <row r="4">
      <c r="A4" s="4" t="inlineStr">
        <is>
          <t>File</t>
        </is>
      </c>
      <c r="B4" s="4" t="inlineStr">
        <is>
          <t>Rows in</t>
        </is>
      </c>
      <c r="C4" s="4" t="inlineStr">
        <is>
          <t>Rows removed (from the log)</t>
        </is>
      </c>
      <c r="D4" s="4" t="inlineStr">
        <is>
          <t>Rows in your clean output</t>
        </is>
      </c>
      <c r="E4" s="4" t="inlineStr">
        <is>
          <t>Clean plus removed</t>
        </is>
      </c>
      <c r="F4" s="4" t="inlineStr">
        <is>
          <t>Where it stands</t>
        </is>
      </c>
    </row>
    <row r="5">
      <c r="A5" s="5" t="inlineStr">
        <is>
          <t>patients</t>
        </is>
      </c>
      <c r="B5" s="7" t="n">
        <v>6700</v>
      </c>
      <c r="C5" s="5">
        <f>SUMIFS(Log!$F$5:$F$64,Log!$C$5:$C$64,A5,Log!$H$5:$H$64,"removes rows")</f>
        <v/>
      </c>
      <c r="D5" s="8" t="n"/>
      <c r="E5" s="7">
        <f>IF(D5="","",D5+C5)</f>
        <v/>
      </c>
      <c r="F5" s="5">
        <f>IF(D5="","not counted yet",IF(E5=B5,"reconciles",IF(E5&lt;B5,"short by "&amp;(B5-E5)&amp;" rows: find where they went","over by "&amp;(E5-B5)&amp;" rows: a row was counted twice")))</f>
        <v/>
      </c>
    </row>
    <row r="6">
      <c r="A6" s="5" t="inlineStr">
        <is>
          <t>sites</t>
        </is>
      </c>
      <c r="B6" s="7" t="n">
        <v>18</v>
      </c>
      <c r="C6" s="5">
        <f>SUMIFS(Log!$F$5:$F$64,Log!$C$5:$C$64,A6,Log!$H$5:$H$64,"removes rows")</f>
        <v/>
      </c>
      <c r="D6" s="8" t="n"/>
      <c r="E6" s="7">
        <f>IF(D6="","",D6+C6)</f>
        <v/>
      </c>
      <c r="F6" s="5">
        <f>IF(D6="","not counted yet",IF(E6=B6,"reconciles",IF(E6&lt;B6,"short by "&amp;(B6-E6)&amp;" rows: find where they went","over by "&amp;(E6-B6)&amp;" rows: a row was counted twice")))</f>
        <v/>
      </c>
    </row>
    <row r="7">
      <c r="A7" s="5" t="inlineStr">
        <is>
          <t>test_catalogue</t>
        </is>
      </c>
      <c r="B7" s="7" t="n">
        <v>16</v>
      </c>
      <c r="C7" s="5">
        <f>SUMIFS(Log!$F$5:$F$64,Log!$C$5:$C$64,A7,Log!$H$5:$H$64,"removes rows")</f>
        <v/>
      </c>
      <c r="D7" s="8" t="n"/>
      <c r="E7" s="7">
        <f>IF(D7="","",D7+C7)</f>
        <v/>
      </c>
      <c r="F7" s="5">
        <f>IF(D7="","not counted yet",IF(E7=B7,"reconciles",IF(E7&lt;B7,"short by "&amp;(B7-E7)&amp;" rows: find where they went","over by "&amp;(E7-B7)&amp;" rows: a row was counted twice")))</f>
        <v/>
      </c>
    </row>
    <row r="8">
      <c r="A8" s="5" t="inlineStr">
        <is>
          <t>bookings_legacy</t>
        </is>
      </c>
      <c r="B8" s="7" t="n">
        <v>11729</v>
      </c>
      <c r="C8" s="5">
        <f>SUMIFS(Log!$F$5:$F$64,Log!$C$5:$C$64,A8,Log!$H$5:$H$64,"removes rows")</f>
        <v/>
      </c>
      <c r="D8" s="8" t="n"/>
      <c r="E8" s="7">
        <f>IF(D8="","",D8+C8)</f>
        <v/>
      </c>
      <c r="F8" s="5">
        <f>IF(D8="","not counted yet",IF(E8=B8,"reconciles",IF(E8&lt;B8,"short by "&amp;(B8-E8)&amp;" rows: find where they went","over by "&amp;(E8-B8)&amp;" rows: a row was counted twice")))</f>
        <v/>
      </c>
    </row>
    <row r="9">
      <c r="A9" s="5" t="inlineStr">
        <is>
          <t>bookings_newsys</t>
        </is>
      </c>
      <c r="B9" s="7" t="n">
        <v>153</v>
      </c>
      <c r="C9" s="5">
        <f>SUMIFS(Log!$F$5:$F$64,Log!$C$5:$C$64,A9,Log!$H$5:$H$64,"removes rows")</f>
        <v/>
      </c>
      <c r="D9" s="8" t="n"/>
      <c r="E9" s="7">
        <f>IF(D9="","",D9+C9)</f>
        <v/>
      </c>
      <c r="F9" s="5">
        <f>IF(D9="","not counted yet",IF(E9=B9,"reconciles",IF(E9&lt;B9,"short by "&amp;(B9-E9)&amp;" rows: find where they went","over by "&amp;(E9-B9)&amp;" rows: a row was counted twice")))</f>
        <v/>
      </c>
    </row>
    <row r="10">
      <c r="A10" s="5" t="inlineStr">
        <is>
          <t>booking_tests</t>
        </is>
      </c>
      <c r="B10" s="7" t="n">
        <v>51456</v>
      </c>
      <c r="C10" s="5">
        <f>SUMIFS(Log!$F$5:$F$64,Log!$C$5:$C$64,A10,Log!$H$5:$H$64,"removes rows")</f>
        <v/>
      </c>
      <c r="D10" s="8" t="n"/>
      <c r="E10" s="7">
        <f>IF(D10="","",D10+C10)</f>
        <v/>
      </c>
      <c r="F10" s="5">
        <f>IF(D10="","not counted yet",IF(E10=B10,"reconciles",IF(E10&lt;B10,"short by "&amp;(B10-E10)&amp;" rows: find where they went","over by "&amp;(E10-B10)&amp;" rows: a row was counted twice")))</f>
        <v/>
      </c>
    </row>
    <row r="11">
      <c r="A11" s="5" t="inlineStr">
        <is>
          <t>claims</t>
        </is>
      </c>
      <c r="B11" s="7" t="n">
        <v>11356</v>
      </c>
      <c r="C11" s="5">
        <f>SUMIFS(Log!$F$5:$F$64,Log!$C$5:$C$64,A11,Log!$H$5:$H$64,"removes rows")</f>
        <v/>
      </c>
      <c r="D11" s="8" t="n"/>
      <c r="E11" s="7">
        <f>IF(D11="","",D11+C11)</f>
        <v/>
      </c>
      <c r="F11" s="5">
        <f>IF(D11="","not counted yet",IF(E11=B11,"reconciles",IF(E11&lt;B11,"short by "&amp;(B11-E11)&amp;" rows: find where they went","over by "&amp;(E11-B11)&amp;" rows: a row was counted twice")))</f>
        <v/>
      </c>
    </row>
    <row r="12">
      <c r="A12" s="5" t="inlineStr">
        <is>
          <t>remittances</t>
        </is>
      </c>
      <c r="B12" s="7" t="n">
        <v>11343</v>
      </c>
      <c r="C12" s="5">
        <f>SUMIFS(Log!$F$5:$F$64,Log!$C$5:$C$64,A12,Log!$H$5:$H$64,"removes rows")</f>
        <v/>
      </c>
      <c r="D12" s="8" t="n"/>
      <c r="E12" s="7">
        <f>IF(D12="","",D12+C12)</f>
        <v/>
      </c>
      <c r="F12" s="5">
        <f>IF(D12="","not counted yet",IF(E12=B12,"reconciles",IF(E12&lt;B12,"short by "&amp;(B12-E12)&amp;" rows: find where they went","over by "&amp;(E12-B12)&amp;" rows: a row was counted twice")))</f>
        <v/>
      </c>
    </row>
    <row r="13">
      <c r="A13" s="5" t="inlineStr">
        <is>
          <t>appointments</t>
        </is>
      </c>
      <c r="B13" s="7" t="n">
        <v>7133</v>
      </c>
      <c r="C13" s="5">
        <f>SUMIFS(Log!$F$5:$F$64,Log!$C$5:$C$64,A13,Log!$H$5:$H$64,"removes rows")</f>
        <v/>
      </c>
      <c r="D13" s="8" t="n"/>
      <c r="E13" s="7">
        <f>IF(D13="","",D13+C13)</f>
        <v/>
      </c>
      <c r="F13" s="5">
        <f>IF(D13="","not counted yet",IF(E13=B13,"reconciles",IF(E13&lt;B13,"short by "&amp;(B13-E13)&amp;" rows: find where they went","over by "&amp;(E13-B13)&amp;" rows: a row was counted twice")))</f>
        <v/>
      </c>
    </row>
    <row r="14">
      <c r="A14" s="5" t="inlineStr">
        <is>
          <t>campaign</t>
        </is>
      </c>
      <c r="B14" s="7" t="n">
        <v>2381</v>
      </c>
      <c r="C14" s="5">
        <f>SUMIFS(Log!$F$5:$F$64,Log!$C$5:$C$64,A14,Log!$H$5:$H$64,"removes rows")</f>
        <v/>
      </c>
      <c r="D14" s="8" t="n"/>
      <c r="E14" s="7">
        <f>IF(D14="","",D14+C14)</f>
        <v/>
      </c>
      <c r="F14" s="5">
        <f>IF(D14="","not counted yet",IF(E14=B14,"reconciles",IF(E14&lt;B14,"short by "&amp;(B14-E14)&amp;" rows: find where they went","over by "&amp;(E14-B14)&amp;" rows: a row was counted twice")))</f>
        <v/>
      </c>
    </row>
    <row r="16">
      <c r="A16" s="9" t="inlineStr">
        <is>
          <t>Files counted</t>
        </is>
      </c>
      <c r="B16" s="5">
        <f>COUNTIF(F5:F14,"&lt;&gt;not counted yet")</f>
        <v/>
      </c>
    </row>
    <row r="17">
      <c r="A17" s="9" t="inlineStr">
        <is>
          <t>Files that reconcile</t>
        </is>
      </c>
      <c r="B17" s="5">
        <f>COUNTIF(F5:F14,"reconciles")</f>
        <v/>
      </c>
    </row>
    <row r="18">
      <c r="A18" s="9" t="inlineStr">
        <is>
          <t>Where the group stands</t>
        </is>
      </c>
      <c r="B18" s="10">
        <f>IF(B16=0,"No file counted yet: profile before you touch",IF(B17=B16,B17&amp;" of "&amp;B16&amp;" counted files reconcile",(B16-B17)&amp;" counted files do not reconcile: stop and find the rows"))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  <col width="26" customWidth="1" min="4" max="4"/>
    <col width="70" customWidth="1" min="5" max="5"/>
  </cols>
  <sheetData>
    <row r="1">
      <c r="A1" s="1" t="inlineStr">
        <is>
          <t>What does one row of a decisions log hold, column by column?</t>
        </is>
      </c>
    </row>
    <row r="2">
      <c r="A2" s="3" t="inlineStr">
        <is>
          <t>One invented row in the Week 1 Wednesday shape, then what each column takes. Your rows are about Kalpa Health's files.</t>
        </is>
      </c>
    </row>
    <row r="4">
      <c r="A4" s="4" t="inlineStr">
        <is>
          <t>Field</t>
        </is>
      </c>
      <c r="B4" s="4" t="inlineStr">
        <is>
          <t>Issue</t>
        </is>
      </c>
      <c r="C4" s="4" t="inlineStr">
        <is>
          <t>Rows</t>
        </is>
      </c>
      <c r="D4" s="4" t="inlineStr">
        <is>
          <t>Decision</t>
        </is>
      </c>
      <c r="E4" s="4" t="inlineStr">
        <is>
          <t>Reason</t>
        </is>
      </c>
    </row>
    <row r="5">
      <c r="A5" s="11" t="inlineStr">
        <is>
          <t>status</t>
        </is>
      </c>
      <c r="B5" s="11" t="inlineStr">
        <is>
          <t>Empty</t>
        </is>
      </c>
      <c r="C5" s="11" t="n">
        <v>1</v>
      </c>
      <c r="D5" s="11" t="inlineStr">
        <is>
          <t>Keep and flag</t>
        </is>
      </c>
      <c r="E5" s="11" t="inlineStr">
        <is>
          <t>The visit happened and its outcome is unknown: dropping the row would remove a real booking, and a default would invent an outcome</t>
        </is>
      </c>
    </row>
    <row r="7">
      <c r="A7" s="12" t="inlineStr">
        <is>
          <t>What each column takes</t>
        </is>
      </c>
    </row>
    <row r="8">
      <c r="A8" s="9" t="inlineStr">
        <is>
          <t>Field</t>
        </is>
      </c>
      <c r="B8" s="11" t="inlineStr">
        <is>
          <t>The column the decision is about, as the file names it</t>
        </is>
      </c>
      <c r="C8" s="13" t="n"/>
      <c r="D8" s="13" t="n"/>
      <c r="E8" s="14" t="n"/>
    </row>
    <row r="9">
      <c r="A9" s="9" t="inlineStr">
        <is>
          <t>Issue</t>
        </is>
      </c>
      <c r="B9" s="11" t="inlineStr">
        <is>
          <t>What you saw, in a few words another group could check</t>
        </is>
      </c>
      <c r="C9" s="13" t="n"/>
      <c r="D9" s="13" t="n"/>
      <c r="E9" s="14" t="n"/>
    </row>
    <row r="10">
      <c r="A10" s="9" t="inlineStr">
        <is>
          <t>Rows</t>
        </is>
      </c>
      <c r="B10" s="11" t="inlineStr">
        <is>
          <t>How many rows the decision touches, counted from the file and never estimated</t>
        </is>
      </c>
      <c r="C10" s="13" t="n"/>
      <c r="D10" s="13" t="n"/>
      <c r="E10" s="14" t="n"/>
    </row>
    <row r="11">
      <c r="A11" s="9" t="inlineStr">
        <is>
          <t>Decision</t>
        </is>
      </c>
      <c r="B11" s="11" t="inlineStr">
        <is>
          <t>Keep, keep and flag, remove, or change, and how</t>
        </is>
      </c>
      <c r="C11" s="13" t="n"/>
      <c r="D11" s="13" t="n"/>
      <c r="E11" s="14" t="n"/>
    </row>
    <row r="12">
      <c r="A12" s="9" t="inlineStr">
        <is>
          <t>Reason</t>
        </is>
      </c>
      <c r="B12" s="11" t="inlineStr">
        <is>
          <t>Why, in a sentence an auditor would accept; a reason that restates the issue is not a reason, and a kept row belongs in the log too</t>
        </is>
      </c>
      <c r="C12" s="13" t="n"/>
      <c r="D12" s="13" t="n"/>
      <c r="E12" s="14" t="n"/>
    </row>
  </sheetData>
  <mergeCells count="5">
    <mergeCell ref="B9:E9"/>
    <mergeCell ref="B8:E8"/>
    <mergeCell ref="B12:E12"/>
    <mergeCell ref="B11:E11"/>
    <mergeCell ref="B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2026-10-01T02:11:26Z</dcterms:created>
  <dcterms:modified xmlns:dcterms="http://purl.org/dc/terms/" xmlns:xsi="http://www.w3.org/2001/XMLSchema-instance" xsi:type="dcterms:W3CDTF">2026-10-01T02:11:26Z</dcterms:modified>
</cp:coreProperties>
</file>