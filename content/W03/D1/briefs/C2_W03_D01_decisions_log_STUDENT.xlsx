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How to use" sheetId="1" state="visible" r:id="rId3"/>
    <sheet name="Log" sheetId="2" state="visible" r:id="rId4"/>
    <sheet name="Reconcile" sheetId="3" state="visible" r:id="rId5"/>
    <sheet name="Exampl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4" authorId="0">
      <text>
        <r>
          <rPr>
            <sz val="10"/>
            <rFont val="Arial"/>
            <family val="2"/>
          </rPr>
          <t xml:space="preserve">removes rows: the rows leave the clean file (dropped or rejected). keeps rows: looked at and kept, flagged or not. changes values: the rows stay and a value is converted, mapped or filled.</t>
        </r>
      </text>
    </comment>
  </commentList>
</comments>
</file>

<file path=xl/sharedStrings.xml><?xml version="1.0" encoding="utf-8"?>
<sst xmlns="http://schemas.openxmlformats.org/spreadsheetml/2006/main" count="67" uniqueCount="58">
  <si>
    <t xml:space="preserve">How to use this log</t>
  </si>
  <si>
    <t xml:space="preserve">1. One row on the Log sheet for every decision that changes, removes or keeps a row on purpose.</t>
  </si>
  <si>
    <t xml:space="preserve">2. File and kind are drop-down lists; the kind tells the Reconcile sheet which rows left.</t>
  </si>
  <si>
    <t xml:space="preserve">3. Rows is the number of rows the decision applies to, counted, never estimated.</t>
  </si>
  <si>
    <t xml:space="preserve">4. On the Reconcile sheet, type the rows in your clean output for each file you use.</t>
  </si>
  <si>
    <t xml:space="preserve">5. A file that does not reconcile means a row went somewhere the log does not say. Find it before anyone acts on a number built from that file.</t>
  </si>
  <si>
    <t xml:space="preserve">6. Your notebook or SQL must reproduce every count in this log from the raw files.</t>
  </si>
  <si>
    <t xml:space="preserve">Decisions log</t>
  </si>
  <si>
    <t xml:space="preserve">The Week 1 Wednesday shape, one row per decision, plus the file and the kind of decision so the Reconcile sheet can count rows out.</t>
  </si>
  <si>
    <t xml:space="preserve">#</t>
  </si>
  <si>
    <t xml:space="preserve">Day</t>
  </si>
  <si>
    <t xml:space="preserve">File</t>
  </si>
  <si>
    <t xml:space="preserve">Field</t>
  </si>
  <si>
    <t xml:space="preserve">Issue</t>
  </si>
  <si>
    <t xml:space="preserve">Rows</t>
  </si>
  <si>
    <t xml:space="preserve">Decision</t>
  </si>
  <si>
    <t xml:space="preserve">Kind</t>
  </si>
  <si>
    <t xml:space="preserve">Reason</t>
  </si>
  <si>
    <t xml:space="preserve">Input equals clean plus removed, file by file</t>
  </si>
  <si>
    <t xml:space="preserve">Rows in are counted from the files. Type the rows in your clean output; the rest is computed from the Log sheet.</t>
  </si>
  <si>
    <t xml:space="preserve">Rows in</t>
  </si>
  <si>
    <t xml:space="preserve">Rows removed (from the log)</t>
  </si>
  <si>
    <t xml:space="preserve">Rows in your clean output</t>
  </si>
  <si>
    <t xml:space="preserve">Clean plus removed</t>
  </si>
  <si>
    <t xml:space="preserve">Where it stands</t>
  </si>
  <si>
    <t xml:space="preserve">patients</t>
  </si>
  <si>
    <t xml:space="preserve">clinics</t>
  </si>
  <si>
    <t xml:space="preserve">test_catalogue</t>
  </si>
  <si>
    <t xml:space="preserve">bookings_legacy</t>
  </si>
  <si>
    <t xml:space="preserve">bookings_newsys</t>
  </si>
  <si>
    <t xml:space="preserve">booking_tests</t>
  </si>
  <si>
    <t xml:space="preserve">invoices</t>
  </si>
  <si>
    <t xml:space="preserve">payments</t>
  </si>
  <si>
    <t xml:space="preserve">appointments</t>
  </si>
  <si>
    <t xml:space="preserve">campaign</t>
  </si>
  <si>
    <t xml:space="preserve">Files counted</t>
  </si>
  <si>
    <t xml:space="preserve">Files that reconcile</t>
  </si>
  <si>
    <t xml:space="preserve">Where the group stands</t>
  </si>
  <si>
    <t xml:space="preserve">Rows from the Week 1 Wednesday log, in Kalpa Retail</t>
  </si>
  <si>
    <t xml:space="preserve">The shape you already know. Your rows are about Kalpa Health's files.</t>
  </si>
  <si>
    <t xml:space="preserve">order_id</t>
  </si>
  <si>
    <t xml:space="preserve">Repeated</t>
  </si>
  <si>
    <t xml:space="preserve">Drop the later occurrence</t>
  </si>
  <si>
    <t xml:space="preserve">The Q1 migration re-ran a batch, and every field on the pairs is identical</t>
  </si>
  <si>
    <t xml:space="preserve">Repeated, dates differ</t>
  </si>
  <si>
    <t xml:space="preserve">Keep the later date, drop the earlier</t>
  </si>
  <si>
    <t xml:space="preserve">One order recorded twice during the migration window; the later record matches the payment date</t>
  </si>
  <si>
    <t xml:space="preserve">status</t>
  </si>
  <si>
    <t xml:space="preserve">Empty</t>
  </si>
  <si>
    <t xml:space="preserve">Reject</t>
  </si>
  <si>
    <t xml:space="preserve">An order with no status cannot be placed in any reading of sales</t>
  </si>
  <si>
    <t xml:space="preserve">amount</t>
  </si>
  <si>
    <t xml:space="preserve">Text twelve</t>
  </si>
  <si>
    <t xml:space="preserve">Any substitute value would be invented revenue</t>
  </si>
  <si>
    <t xml:space="preserve">Rs 4,80,000 outlier</t>
  </si>
  <si>
    <t xml:space="preserve">Keep, flagged</t>
  </si>
  <si>
    <t xml:space="preserve">A real corporate order. Described with the median rather than the mean.</t>
  </si>
  <si>
    <t xml:space="preserve">A reason that restates the issue is not a reason. The kept row is the one an auditor asks about, so it goes in the log too.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</si>
</sst>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A0F5C"/>
      <name val="Arial"/>
      <family val="0"/>
      <charset val="1"/>
    </font>
    <font>
      <sz val="11"/>
      <name val="Arial"/>
      <family val="0"/>
      <charset val="1"/>
    </font>
    <font>
      <i val="true"/>
      <sz val="11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0"/>
      <name val="Arial"/>
      <family val="2"/>
    </font>
    <font>
      <b val="true"/>
      <sz val="11"/>
      <color rgb="FF000000"/>
      <name val="Arial"/>
      <family val="0"/>
      <charset val="1"/>
    </font>
    <font>
      <i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A0F5C"/>
        <bgColor rgb="FF000080"/>
      </patternFill>
    </fill>
    <fill>
      <patternFill patternType="solid">
        <fgColor rgb="FFEEEAF9"/>
        <bgColor rgb="FFFFF7D6"/>
      </patternFill>
    </fill>
    <fill>
      <patternFill patternType="solid">
        <fgColor rgb="FFFFF7D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8B2D6"/>
      </left>
      <right style="thin">
        <color rgb="FFB8B2D6"/>
      </right>
      <top style="thin">
        <color rgb="FFB8B2D6"/>
      </top>
      <bottom style="thin">
        <color rgb="FFB8B2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A0F5C"/>
      <rgbColor rgb="FF808000"/>
      <rgbColor rgb="FF800080"/>
      <rgbColor rgb="FF008080"/>
      <rgbColor rgb="FFB8B2D6"/>
      <rgbColor rgb="FF808080"/>
      <rgbColor rgb="FF9999FF"/>
      <rgbColor rgb="FF993366"/>
      <rgbColor rgb="FFFFF7D6"/>
      <rgbColor rgb="FFEEEAF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32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6"/>
    <col collapsed="false" customWidth="true" hidden="false" outlineLevel="0" max="9" min="9" style="0" width="50"/>
  </cols>
  <sheetData>
    <row r="1" customFormat="false" ht="17.35" hidden="false" customHeight="false" outlineLevel="0" collapsed="false">
      <c r="A1" s="1" t="s">
        <v>7</v>
      </c>
    </row>
    <row r="2" customFormat="false" ht="15" hidden="false" customHeight="false" outlineLevel="0" collapsed="false">
      <c r="A2" s="3" t="s">
        <v>8</v>
      </c>
    </row>
    <row r="4" customFormat="false" ht="15" hidden="false" customHeight="false" outlineLevel="0" collapsed="false">
      <c r="A4" s="4" t="s">
        <v>9</v>
      </c>
      <c r="B4" s="4" t="s">
        <v>10</v>
      </c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</row>
    <row r="5" customFormat="false" ht="15" hidden="false" customHeight="false" outlineLevel="0" collapsed="false">
      <c r="A5" s="5" t="str">
        <f aca="false">IF(D5="","",ROW()-4)</f>
        <v/>
      </c>
      <c r="B5" s="6"/>
      <c r="C5" s="6"/>
      <c r="D5" s="6"/>
      <c r="E5" s="6"/>
      <c r="F5" s="6"/>
      <c r="G5" s="6"/>
      <c r="H5" s="6"/>
      <c r="I5" s="6"/>
    </row>
    <row r="6" customFormat="false" ht="15" hidden="false" customHeight="false" outlineLevel="0" collapsed="false">
      <c r="A6" s="5" t="str">
        <f aca="false">IF(D6="","",ROW()-4)</f>
        <v/>
      </c>
      <c r="B6" s="6"/>
      <c r="C6" s="6"/>
      <c r="D6" s="6"/>
      <c r="E6" s="6"/>
      <c r="F6" s="6"/>
      <c r="G6" s="6"/>
      <c r="H6" s="6"/>
      <c r="I6" s="6"/>
    </row>
    <row r="7" customFormat="false" ht="15" hidden="false" customHeight="false" outlineLevel="0" collapsed="false">
      <c r="A7" s="5" t="str">
        <f aca="false">IF(D7="","",ROW()-4)</f>
        <v/>
      </c>
      <c r="B7" s="6"/>
      <c r="C7" s="6"/>
      <c r="D7" s="6"/>
      <c r="E7" s="6"/>
      <c r="F7" s="6"/>
      <c r="G7" s="6"/>
      <c r="H7" s="6"/>
      <c r="I7" s="6"/>
    </row>
    <row r="8" customFormat="false" ht="15" hidden="false" customHeight="false" outlineLevel="0" collapsed="false">
      <c r="A8" s="5" t="str">
        <f aca="false">IF(D8="","",ROW()-4)</f>
        <v/>
      </c>
      <c r="B8" s="6"/>
      <c r="C8" s="6"/>
      <c r="D8" s="6"/>
      <c r="E8" s="6"/>
      <c r="F8" s="6"/>
      <c r="G8" s="6"/>
      <c r="H8" s="6"/>
      <c r="I8" s="6"/>
    </row>
    <row r="9" customFormat="false" ht="15" hidden="false" customHeight="false" outlineLevel="0" collapsed="false">
      <c r="A9" s="5" t="str">
        <f aca="false">IF(D9="","",ROW()-4)</f>
        <v/>
      </c>
      <c r="B9" s="6"/>
      <c r="C9" s="6"/>
      <c r="D9" s="6"/>
      <c r="E9" s="6"/>
      <c r="F9" s="6"/>
      <c r="G9" s="6"/>
      <c r="H9" s="6"/>
      <c r="I9" s="6"/>
    </row>
    <row r="10" customFormat="false" ht="15" hidden="false" customHeight="false" outlineLevel="0" collapsed="false">
      <c r="A10" s="5" t="str">
        <f aca="false">IF(D10="","",ROW()-4)</f>
        <v/>
      </c>
      <c r="B10" s="6"/>
      <c r="C10" s="6"/>
      <c r="D10" s="6"/>
      <c r="E10" s="6"/>
      <c r="F10" s="6"/>
      <c r="G10" s="6"/>
      <c r="H10" s="6"/>
      <c r="I10" s="6"/>
    </row>
    <row r="11" customFormat="false" ht="15" hidden="false" customHeight="false" outlineLevel="0" collapsed="false">
      <c r="A11" s="5" t="str">
        <f aca="false">IF(D11="","",ROW()-4)</f>
        <v/>
      </c>
      <c r="B11" s="6"/>
      <c r="C11" s="6"/>
      <c r="D11" s="6"/>
      <c r="E11" s="6"/>
      <c r="F11" s="6"/>
      <c r="G11" s="6"/>
      <c r="H11" s="6"/>
      <c r="I11" s="6"/>
    </row>
    <row r="12" customFormat="false" ht="15" hidden="false" customHeight="false" outlineLevel="0" collapsed="false">
      <c r="A12" s="5" t="str">
        <f aca="false">IF(D12="","",ROW()-4)</f>
        <v/>
      </c>
      <c r="B12" s="6"/>
      <c r="C12" s="6"/>
      <c r="D12" s="6"/>
      <c r="E12" s="6"/>
      <c r="F12" s="6"/>
      <c r="G12" s="6"/>
      <c r="H12" s="6"/>
      <c r="I12" s="6"/>
    </row>
    <row r="13" customFormat="false" ht="15" hidden="false" customHeight="false" outlineLevel="0" collapsed="false">
      <c r="A13" s="5" t="str">
        <f aca="false">IF(D13="","",ROW()-4)</f>
        <v/>
      </c>
      <c r="B13" s="6"/>
      <c r="C13" s="6"/>
      <c r="D13" s="6"/>
      <c r="E13" s="6"/>
      <c r="F13" s="6"/>
      <c r="G13" s="6"/>
      <c r="H13" s="6"/>
      <c r="I13" s="6"/>
    </row>
    <row r="14" customFormat="false" ht="15" hidden="false" customHeight="false" outlineLevel="0" collapsed="false">
      <c r="A14" s="5" t="str">
        <f aca="false">IF(D14="","",ROW()-4)</f>
        <v/>
      </c>
      <c r="B14" s="6"/>
      <c r="C14" s="6"/>
      <c r="D14" s="6"/>
      <c r="E14" s="6"/>
      <c r="F14" s="6"/>
      <c r="G14" s="6"/>
      <c r="H14" s="6"/>
      <c r="I14" s="6"/>
    </row>
    <row r="15" customFormat="false" ht="15" hidden="false" customHeight="false" outlineLevel="0" collapsed="false">
      <c r="A15" s="5" t="str">
        <f aca="false">IF(D15="","",ROW()-4)</f>
        <v/>
      </c>
      <c r="B15" s="6"/>
      <c r="C15" s="6"/>
      <c r="D15" s="6"/>
      <c r="E15" s="6"/>
      <c r="F15" s="6"/>
      <c r="G15" s="6"/>
      <c r="H15" s="6"/>
      <c r="I15" s="6"/>
    </row>
    <row r="16" customFormat="false" ht="15" hidden="false" customHeight="false" outlineLevel="0" collapsed="false">
      <c r="A16" s="5" t="str">
        <f aca="false">IF(D16="","",ROW()-4)</f>
        <v/>
      </c>
      <c r="B16" s="6"/>
      <c r="C16" s="6"/>
      <c r="D16" s="6"/>
      <c r="E16" s="6"/>
      <c r="F16" s="6"/>
      <c r="G16" s="6"/>
      <c r="H16" s="6"/>
      <c r="I16" s="6"/>
    </row>
    <row r="17" customFormat="false" ht="15" hidden="false" customHeight="false" outlineLevel="0" collapsed="false">
      <c r="A17" s="5" t="str">
        <f aca="false">IF(D17="","",ROW()-4)</f>
        <v/>
      </c>
      <c r="B17" s="6"/>
      <c r="C17" s="6"/>
      <c r="D17" s="6"/>
      <c r="E17" s="6"/>
      <c r="F17" s="6"/>
      <c r="G17" s="6"/>
      <c r="H17" s="6"/>
      <c r="I17" s="6"/>
    </row>
    <row r="18" customFormat="false" ht="15" hidden="false" customHeight="false" outlineLevel="0" collapsed="false">
      <c r="A18" s="5" t="str">
        <f aca="false">IF(D18="","",ROW()-4)</f>
        <v/>
      </c>
      <c r="B18" s="6"/>
      <c r="C18" s="6"/>
      <c r="D18" s="6"/>
      <c r="E18" s="6"/>
      <c r="F18" s="6"/>
      <c r="G18" s="6"/>
      <c r="H18" s="6"/>
      <c r="I18" s="6"/>
    </row>
    <row r="19" customFormat="false" ht="15" hidden="false" customHeight="false" outlineLevel="0" collapsed="false">
      <c r="A19" s="5" t="str">
        <f aca="false">IF(D19="","",ROW()-4)</f>
        <v/>
      </c>
      <c r="B19" s="6"/>
      <c r="C19" s="6"/>
      <c r="D19" s="6"/>
      <c r="E19" s="6"/>
      <c r="F19" s="6"/>
      <c r="G19" s="6"/>
      <c r="H19" s="6"/>
      <c r="I19" s="6"/>
    </row>
    <row r="20" customFormat="false" ht="15" hidden="false" customHeight="false" outlineLevel="0" collapsed="false">
      <c r="A20" s="5" t="str">
        <f aca="false">IF(D20="","",ROW()-4)</f>
        <v/>
      </c>
      <c r="B20" s="6"/>
      <c r="C20" s="6"/>
      <c r="D20" s="6"/>
      <c r="E20" s="6"/>
      <c r="F20" s="6"/>
      <c r="G20" s="6"/>
      <c r="H20" s="6"/>
      <c r="I20" s="6"/>
    </row>
    <row r="21" customFormat="false" ht="15" hidden="false" customHeight="false" outlineLevel="0" collapsed="false">
      <c r="A21" s="5" t="str">
        <f aca="false">IF(D21="","",ROW()-4)</f>
        <v/>
      </c>
      <c r="B21" s="6"/>
      <c r="C21" s="6"/>
      <c r="D21" s="6"/>
      <c r="E21" s="6"/>
      <c r="F21" s="6"/>
      <c r="G21" s="6"/>
      <c r="H21" s="6"/>
      <c r="I21" s="6"/>
    </row>
    <row r="22" customFormat="false" ht="15" hidden="false" customHeight="false" outlineLevel="0" collapsed="false">
      <c r="A22" s="5" t="str">
        <f aca="false">IF(D22="","",ROW()-4)</f>
        <v/>
      </c>
      <c r="B22" s="6"/>
      <c r="C22" s="6"/>
      <c r="D22" s="6"/>
      <c r="E22" s="6"/>
      <c r="F22" s="6"/>
      <c r="G22" s="6"/>
      <c r="H22" s="6"/>
      <c r="I22" s="6"/>
    </row>
    <row r="23" customFormat="false" ht="15" hidden="false" customHeight="false" outlineLevel="0" collapsed="false">
      <c r="A23" s="5" t="str">
        <f aca="false">IF(D23="","",ROW()-4)</f>
        <v/>
      </c>
      <c r="B23" s="6"/>
      <c r="C23" s="6"/>
      <c r="D23" s="6"/>
      <c r="E23" s="6"/>
      <c r="F23" s="6"/>
      <c r="G23" s="6"/>
      <c r="H23" s="6"/>
      <c r="I23" s="6"/>
    </row>
    <row r="24" customFormat="false" ht="15" hidden="false" customHeight="false" outlineLevel="0" collapsed="false">
      <c r="A24" s="5" t="str">
        <f aca="false">IF(D24="","",ROW()-4)</f>
        <v/>
      </c>
      <c r="B24" s="6"/>
      <c r="C24" s="6"/>
      <c r="D24" s="6"/>
      <c r="E24" s="6"/>
      <c r="F24" s="6"/>
      <c r="G24" s="6"/>
      <c r="H24" s="6"/>
      <c r="I24" s="6"/>
    </row>
    <row r="25" customFormat="false" ht="15" hidden="false" customHeight="false" outlineLevel="0" collapsed="false">
      <c r="A25" s="5" t="str">
        <f aca="false">IF(D25="","",ROW()-4)</f>
        <v/>
      </c>
      <c r="B25" s="6"/>
      <c r="C25" s="6"/>
      <c r="D25" s="6"/>
      <c r="E25" s="6"/>
      <c r="F25" s="6"/>
      <c r="G25" s="6"/>
      <c r="H25" s="6"/>
      <c r="I25" s="6"/>
    </row>
    <row r="26" customFormat="false" ht="15" hidden="false" customHeight="false" outlineLevel="0" collapsed="false">
      <c r="A26" s="5" t="str">
        <f aca="false">IF(D26="","",ROW()-4)</f>
        <v/>
      </c>
      <c r="B26" s="6"/>
      <c r="C26" s="6"/>
      <c r="D26" s="6"/>
      <c r="E26" s="6"/>
      <c r="F26" s="6"/>
      <c r="G26" s="6"/>
      <c r="H26" s="6"/>
      <c r="I26" s="6"/>
    </row>
    <row r="27" customFormat="false" ht="15" hidden="false" customHeight="false" outlineLevel="0" collapsed="false">
      <c r="A27" s="5" t="str">
        <f aca="false">IF(D27="","",ROW()-4)</f>
        <v/>
      </c>
      <c r="B27" s="6"/>
      <c r="C27" s="6"/>
      <c r="D27" s="6"/>
      <c r="E27" s="6"/>
      <c r="F27" s="6"/>
      <c r="G27" s="6"/>
      <c r="H27" s="6"/>
      <c r="I27" s="6"/>
    </row>
    <row r="28" customFormat="false" ht="15" hidden="false" customHeight="false" outlineLevel="0" collapsed="false">
      <c r="A28" s="5" t="str">
        <f aca="false">IF(D28="","",ROW()-4)</f>
        <v/>
      </c>
      <c r="B28" s="6"/>
      <c r="C28" s="6"/>
      <c r="D28" s="6"/>
      <c r="E28" s="6"/>
      <c r="F28" s="6"/>
      <c r="G28" s="6"/>
      <c r="H28" s="6"/>
      <c r="I28" s="6"/>
    </row>
    <row r="29" customFormat="false" ht="15" hidden="false" customHeight="false" outlineLevel="0" collapsed="false">
      <c r="A29" s="5" t="str">
        <f aca="false">IF(D29="","",ROW()-4)</f>
        <v/>
      </c>
      <c r="B29" s="6"/>
      <c r="C29" s="6"/>
      <c r="D29" s="6"/>
      <c r="E29" s="6"/>
      <c r="F29" s="6"/>
      <c r="G29" s="6"/>
      <c r="H29" s="6"/>
      <c r="I29" s="6"/>
    </row>
    <row r="30" customFormat="false" ht="15" hidden="false" customHeight="false" outlineLevel="0" collapsed="false">
      <c r="A30" s="5" t="str">
        <f aca="false">IF(D30="","",ROW()-4)</f>
        <v/>
      </c>
      <c r="B30" s="6"/>
      <c r="C30" s="6"/>
      <c r="D30" s="6"/>
      <c r="E30" s="6"/>
      <c r="F30" s="6"/>
      <c r="G30" s="6"/>
      <c r="H30" s="6"/>
      <c r="I30" s="6"/>
    </row>
    <row r="31" customFormat="false" ht="15" hidden="false" customHeight="false" outlineLevel="0" collapsed="false">
      <c r="A31" s="5" t="str">
        <f aca="false">IF(D31="","",ROW()-4)</f>
        <v/>
      </c>
      <c r="B31" s="6"/>
      <c r="C31" s="6"/>
      <c r="D31" s="6"/>
      <c r="E31" s="6"/>
      <c r="F31" s="6"/>
      <c r="G31" s="6"/>
      <c r="H31" s="6"/>
      <c r="I31" s="6"/>
    </row>
    <row r="32" customFormat="false" ht="15" hidden="false" customHeight="false" outlineLevel="0" collapsed="false">
      <c r="A32" s="5" t="str">
        <f aca="false">IF(D32="","",ROW()-4)</f>
        <v/>
      </c>
      <c r="B32" s="6"/>
      <c r="C32" s="6"/>
      <c r="D32" s="6"/>
      <c r="E32" s="6"/>
      <c r="F32" s="6"/>
      <c r="G32" s="6"/>
      <c r="H32" s="6"/>
      <c r="I32" s="6"/>
    </row>
    <row r="33" customFormat="false" ht="15" hidden="false" customHeight="false" outlineLevel="0" collapsed="false">
      <c r="A33" s="5" t="str">
        <f aca="false">IF(D33="","",ROW()-4)</f>
        <v/>
      </c>
      <c r="B33" s="6"/>
      <c r="C33" s="6"/>
      <c r="D33" s="6"/>
      <c r="E33" s="6"/>
      <c r="F33" s="6"/>
      <c r="G33" s="6"/>
      <c r="H33" s="6"/>
      <c r="I33" s="6"/>
    </row>
    <row r="34" customFormat="false" ht="15" hidden="false" customHeight="false" outlineLevel="0" collapsed="false">
      <c r="A34" s="5" t="str">
        <f aca="false">IF(D34="","",ROW()-4)</f>
        <v/>
      </c>
      <c r="B34" s="6"/>
      <c r="C34" s="6"/>
      <c r="D34" s="6"/>
      <c r="E34" s="6"/>
      <c r="F34" s="6"/>
      <c r="G34" s="6"/>
      <c r="H34" s="6"/>
      <c r="I34" s="6"/>
    </row>
    <row r="35" customFormat="false" ht="15" hidden="false" customHeight="false" outlineLevel="0" collapsed="false">
      <c r="A35" s="5" t="str">
        <f aca="false">IF(D35="","",ROW()-4)</f>
        <v/>
      </c>
      <c r="B35" s="6"/>
      <c r="C35" s="6"/>
      <c r="D35" s="6"/>
      <c r="E35" s="6"/>
      <c r="F35" s="6"/>
      <c r="G35" s="6"/>
      <c r="H35" s="6"/>
      <c r="I35" s="6"/>
    </row>
    <row r="36" customFormat="false" ht="15" hidden="false" customHeight="false" outlineLevel="0" collapsed="false">
      <c r="A36" s="5" t="str">
        <f aca="false">IF(D36="","",ROW()-4)</f>
        <v/>
      </c>
      <c r="B36" s="6"/>
      <c r="C36" s="6"/>
      <c r="D36" s="6"/>
      <c r="E36" s="6"/>
      <c r="F36" s="6"/>
      <c r="G36" s="6"/>
      <c r="H36" s="6"/>
      <c r="I36" s="6"/>
    </row>
    <row r="37" customFormat="false" ht="15" hidden="false" customHeight="false" outlineLevel="0" collapsed="false">
      <c r="A37" s="5" t="str">
        <f aca="false">IF(D37="","",ROW()-4)</f>
        <v/>
      </c>
      <c r="B37" s="6"/>
      <c r="C37" s="6"/>
      <c r="D37" s="6"/>
      <c r="E37" s="6"/>
      <c r="F37" s="6"/>
      <c r="G37" s="6"/>
      <c r="H37" s="6"/>
      <c r="I37" s="6"/>
    </row>
    <row r="38" customFormat="false" ht="15" hidden="false" customHeight="false" outlineLevel="0" collapsed="false">
      <c r="A38" s="5" t="str">
        <f aca="false">IF(D38="","",ROW()-4)</f>
        <v/>
      </c>
      <c r="B38" s="6"/>
      <c r="C38" s="6"/>
      <c r="D38" s="6"/>
      <c r="E38" s="6"/>
      <c r="F38" s="6"/>
      <c r="G38" s="6"/>
      <c r="H38" s="6"/>
      <c r="I38" s="6"/>
    </row>
    <row r="39" customFormat="false" ht="15" hidden="false" customHeight="false" outlineLevel="0" collapsed="false">
      <c r="A39" s="5" t="str">
        <f aca="false">IF(D39="","",ROW()-4)</f>
        <v/>
      </c>
      <c r="B39" s="6"/>
      <c r="C39" s="6"/>
      <c r="D39" s="6"/>
      <c r="E39" s="6"/>
      <c r="F39" s="6"/>
      <c r="G39" s="6"/>
      <c r="H39" s="6"/>
      <c r="I39" s="6"/>
    </row>
    <row r="40" customFormat="false" ht="15" hidden="false" customHeight="false" outlineLevel="0" collapsed="false">
      <c r="A40" s="5" t="str">
        <f aca="false">IF(D40="","",ROW()-4)</f>
        <v/>
      </c>
      <c r="B40" s="6"/>
      <c r="C40" s="6"/>
      <c r="D40" s="6"/>
      <c r="E40" s="6"/>
      <c r="F40" s="6"/>
      <c r="G40" s="6"/>
      <c r="H40" s="6"/>
      <c r="I40" s="6"/>
    </row>
    <row r="41" customFormat="false" ht="15" hidden="false" customHeight="false" outlineLevel="0" collapsed="false">
      <c r="A41" s="5" t="str">
        <f aca="false">IF(D41="","",ROW()-4)</f>
        <v/>
      </c>
      <c r="B41" s="6"/>
      <c r="C41" s="6"/>
      <c r="D41" s="6"/>
      <c r="E41" s="6"/>
      <c r="F41" s="6"/>
      <c r="G41" s="6"/>
      <c r="H41" s="6"/>
      <c r="I41" s="6"/>
    </row>
    <row r="42" customFormat="false" ht="15" hidden="false" customHeight="false" outlineLevel="0" collapsed="false">
      <c r="A42" s="5" t="str">
        <f aca="false">IF(D42="","",ROW()-4)</f>
        <v/>
      </c>
      <c r="B42" s="6"/>
      <c r="C42" s="6"/>
      <c r="D42" s="6"/>
      <c r="E42" s="6"/>
      <c r="F42" s="6"/>
      <c r="G42" s="6"/>
      <c r="H42" s="6"/>
      <c r="I42" s="6"/>
    </row>
    <row r="43" customFormat="false" ht="15" hidden="false" customHeight="false" outlineLevel="0" collapsed="false">
      <c r="A43" s="5" t="str">
        <f aca="false">IF(D43="","",ROW()-4)</f>
        <v/>
      </c>
      <c r="B43" s="6"/>
      <c r="C43" s="6"/>
      <c r="D43" s="6"/>
      <c r="E43" s="6"/>
      <c r="F43" s="6"/>
      <c r="G43" s="6"/>
      <c r="H43" s="6"/>
      <c r="I43" s="6"/>
    </row>
    <row r="44" customFormat="false" ht="15" hidden="false" customHeight="false" outlineLevel="0" collapsed="false">
      <c r="A44" s="5" t="str">
        <f aca="false">IF(D44="","",ROW()-4)</f>
        <v/>
      </c>
      <c r="B44" s="6"/>
      <c r="C44" s="6"/>
      <c r="D44" s="6"/>
      <c r="E44" s="6"/>
      <c r="F44" s="6"/>
      <c r="G44" s="6"/>
      <c r="H44" s="6"/>
      <c r="I44" s="6"/>
    </row>
    <row r="45" customFormat="false" ht="15" hidden="false" customHeight="false" outlineLevel="0" collapsed="false">
      <c r="A45" s="5" t="str">
        <f aca="false">IF(D45="","",ROW()-4)</f>
        <v/>
      </c>
      <c r="B45" s="6"/>
      <c r="C45" s="6"/>
      <c r="D45" s="6"/>
      <c r="E45" s="6"/>
      <c r="F45" s="6"/>
      <c r="G45" s="6"/>
      <c r="H45" s="6"/>
      <c r="I45" s="6"/>
    </row>
    <row r="46" customFormat="false" ht="15" hidden="false" customHeight="false" outlineLevel="0" collapsed="false">
      <c r="A46" s="5" t="str">
        <f aca="false">IF(D46="","",ROW()-4)</f>
        <v/>
      </c>
      <c r="B46" s="6"/>
      <c r="C46" s="6"/>
      <c r="D46" s="6"/>
      <c r="E46" s="6"/>
      <c r="F46" s="6"/>
      <c r="G46" s="6"/>
      <c r="H46" s="6"/>
      <c r="I46" s="6"/>
    </row>
    <row r="47" customFormat="false" ht="15" hidden="false" customHeight="false" outlineLevel="0" collapsed="false">
      <c r="A47" s="5" t="str">
        <f aca="false">IF(D47="","",ROW()-4)</f>
        <v/>
      </c>
      <c r="B47" s="6"/>
      <c r="C47" s="6"/>
      <c r="D47" s="6"/>
      <c r="E47" s="6"/>
      <c r="F47" s="6"/>
      <c r="G47" s="6"/>
      <c r="H47" s="6"/>
      <c r="I47" s="6"/>
    </row>
    <row r="48" customFormat="false" ht="15" hidden="false" customHeight="false" outlineLevel="0" collapsed="false">
      <c r="A48" s="5" t="str">
        <f aca="false">IF(D48="","",ROW()-4)</f>
        <v/>
      </c>
      <c r="B48" s="6"/>
      <c r="C48" s="6"/>
      <c r="D48" s="6"/>
      <c r="E48" s="6"/>
      <c r="F48" s="6"/>
      <c r="G48" s="6"/>
      <c r="H48" s="6"/>
      <c r="I48" s="6"/>
    </row>
    <row r="49" customFormat="false" ht="15" hidden="false" customHeight="false" outlineLevel="0" collapsed="false">
      <c r="A49" s="5" t="str">
        <f aca="false">IF(D49="","",ROW()-4)</f>
        <v/>
      </c>
      <c r="B49" s="6"/>
      <c r="C49" s="6"/>
      <c r="D49" s="6"/>
      <c r="E49" s="6"/>
      <c r="F49" s="6"/>
      <c r="G49" s="6"/>
      <c r="H49" s="6"/>
      <c r="I49" s="6"/>
    </row>
    <row r="50" customFormat="false" ht="15" hidden="false" customHeight="false" outlineLevel="0" collapsed="false">
      <c r="A50" s="5" t="str">
        <f aca="false">IF(D50="","",ROW()-4)</f>
        <v/>
      </c>
      <c r="B50" s="6"/>
      <c r="C50" s="6"/>
      <c r="D50" s="6"/>
      <c r="E50" s="6"/>
      <c r="F50" s="6"/>
      <c r="G50" s="6"/>
      <c r="H50" s="6"/>
      <c r="I50" s="6"/>
    </row>
    <row r="51" customFormat="false" ht="15" hidden="false" customHeight="false" outlineLevel="0" collapsed="false">
      <c r="A51" s="5" t="str">
        <f aca="false">IF(D51="","",ROW()-4)</f>
        <v/>
      </c>
      <c r="B51" s="6"/>
      <c r="C51" s="6"/>
      <c r="D51" s="6"/>
      <c r="E51" s="6"/>
      <c r="F51" s="6"/>
      <c r="G51" s="6"/>
      <c r="H51" s="6"/>
      <c r="I51" s="6"/>
    </row>
    <row r="52" customFormat="false" ht="15" hidden="false" customHeight="false" outlineLevel="0" collapsed="false">
      <c r="A52" s="5" t="str">
        <f aca="false">IF(D52="","",ROW()-4)</f>
        <v/>
      </c>
      <c r="B52" s="6"/>
      <c r="C52" s="6"/>
      <c r="D52" s="6"/>
      <c r="E52" s="6"/>
      <c r="F52" s="6"/>
      <c r="G52" s="6"/>
      <c r="H52" s="6"/>
      <c r="I52" s="6"/>
    </row>
    <row r="53" customFormat="false" ht="15" hidden="false" customHeight="false" outlineLevel="0" collapsed="false">
      <c r="A53" s="5" t="str">
        <f aca="false">IF(D53="","",ROW()-4)</f>
        <v/>
      </c>
      <c r="B53" s="6"/>
      <c r="C53" s="6"/>
      <c r="D53" s="6"/>
      <c r="E53" s="6"/>
      <c r="F53" s="6"/>
      <c r="G53" s="6"/>
      <c r="H53" s="6"/>
      <c r="I53" s="6"/>
    </row>
    <row r="54" customFormat="false" ht="15" hidden="false" customHeight="false" outlineLevel="0" collapsed="false">
      <c r="A54" s="5" t="str">
        <f aca="false">IF(D54="","",ROW()-4)</f>
        <v/>
      </c>
      <c r="B54" s="6"/>
      <c r="C54" s="6"/>
      <c r="D54" s="6"/>
      <c r="E54" s="6"/>
      <c r="F54" s="6"/>
      <c r="G54" s="6"/>
      <c r="H54" s="6"/>
      <c r="I54" s="6"/>
    </row>
    <row r="55" customFormat="false" ht="15" hidden="false" customHeight="false" outlineLevel="0" collapsed="false">
      <c r="A55" s="5" t="str">
        <f aca="false">IF(D55="","",ROW()-4)</f>
        <v/>
      </c>
      <c r="B55" s="6"/>
      <c r="C55" s="6"/>
      <c r="D55" s="6"/>
      <c r="E55" s="6"/>
      <c r="F55" s="6"/>
      <c r="G55" s="6"/>
      <c r="H55" s="6"/>
      <c r="I55" s="6"/>
    </row>
    <row r="56" customFormat="false" ht="15" hidden="false" customHeight="false" outlineLevel="0" collapsed="false">
      <c r="A56" s="5" t="str">
        <f aca="false">IF(D56="","",ROW()-4)</f>
        <v/>
      </c>
      <c r="B56" s="6"/>
      <c r="C56" s="6"/>
      <c r="D56" s="6"/>
      <c r="E56" s="6"/>
      <c r="F56" s="6"/>
      <c r="G56" s="6"/>
      <c r="H56" s="6"/>
      <c r="I56" s="6"/>
    </row>
    <row r="57" customFormat="false" ht="15" hidden="false" customHeight="false" outlineLevel="0" collapsed="false">
      <c r="A57" s="5" t="str">
        <f aca="false">IF(D57="","",ROW()-4)</f>
        <v/>
      </c>
      <c r="B57" s="6"/>
      <c r="C57" s="6"/>
      <c r="D57" s="6"/>
      <c r="E57" s="6"/>
      <c r="F57" s="6"/>
      <c r="G57" s="6"/>
      <c r="H57" s="6"/>
      <c r="I57" s="6"/>
    </row>
    <row r="58" customFormat="false" ht="15" hidden="false" customHeight="false" outlineLevel="0" collapsed="false">
      <c r="A58" s="5" t="str">
        <f aca="false">IF(D58="","",ROW()-4)</f>
        <v/>
      </c>
      <c r="B58" s="6"/>
      <c r="C58" s="6"/>
      <c r="D58" s="6"/>
      <c r="E58" s="6"/>
      <c r="F58" s="6"/>
      <c r="G58" s="6"/>
      <c r="H58" s="6"/>
      <c r="I58" s="6"/>
    </row>
    <row r="59" customFormat="false" ht="15" hidden="false" customHeight="false" outlineLevel="0" collapsed="false">
      <c r="A59" s="5" t="str">
        <f aca="false">IF(D59="","",ROW()-4)</f>
        <v/>
      </c>
      <c r="B59" s="6"/>
      <c r="C59" s="6"/>
      <c r="D59" s="6"/>
      <c r="E59" s="6"/>
      <c r="F59" s="6"/>
      <c r="G59" s="6"/>
      <c r="H59" s="6"/>
      <c r="I59" s="6"/>
    </row>
    <row r="60" customFormat="false" ht="15" hidden="false" customHeight="false" outlineLevel="0" collapsed="false">
      <c r="A60" s="5" t="str">
        <f aca="false">IF(D60="","",ROW()-4)</f>
        <v/>
      </c>
      <c r="B60" s="6"/>
      <c r="C60" s="6"/>
      <c r="D60" s="6"/>
      <c r="E60" s="6"/>
      <c r="F60" s="6"/>
      <c r="G60" s="6"/>
      <c r="H60" s="6"/>
      <c r="I60" s="6"/>
    </row>
    <row r="61" customFormat="false" ht="15" hidden="false" customHeight="false" outlineLevel="0" collapsed="false">
      <c r="A61" s="5" t="str">
        <f aca="false">IF(D61="","",ROW()-4)</f>
        <v/>
      </c>
      <c r="B61" s="6"/>
      <c r="C61" s="6"/>
      <c r="D61" s="6"/>
      <c r="E61" s="6"/>
      <c r="F61" s="6"/>
      <c r="G61" s="6"/>
      <c r="H61" s="6"/>
      <c r="I61" s="6"/>
    </row>
    <row r="62" customFormat="false" ht="15" hidden="false" customHeight="false" outlineLevel="0" collapsed="false">
      <c r="A62" s="5" t="str">
        <f aca="false">IF(D62="","",ROW()-4)</f>
        <v/>
      </c>
      <c r="B62" s="6"/>
      <c r="C62" s="6"/>
      <c r="D62" s="6"/>
      <c r="E62" s="6"/>
      <c r="F62" s="6"/>
      <c r="G62" s="6"/>
      <c r="H62" s="6"/>
      <c r="I62" s="6"/>
    </row>
    <row r="63" customFormat="false" ht="15" hidden="false" customHeight="false" outlineLevel="0" collapsed="false">
      <c r="A63" s="5" t="str">
        <f aca="false">IF(D63="","",ROW()-4)</f>
        <v/>
      </c>
      <c r="B63" s="6"/>
      <c r="C63" s="6"/>
      <c r="D63" s="6"/>
      <c r="E63" s="6"/>
      <c r="F63" s="6"/>
      <c r="G63" s="6"/>
      <c r="H63" s="6"/>
      <c r="I63" s="6"/>
    </row>
    <row r="64" customFormat="false" ht="15" hidden="false" customHeight="false" outlineLevel="0" collapsed="false">
      <c r="A64" s="5" t="str">
        <f aca="false">IF(D64="","",ROW()-4)</f>
        <v/>
      </c>
      <c r="B64" s="6"/>
      <c r="C64" s="6"/>
      <c r="D64" s="6"/>
      <c r="E64" s="6"/>
      <c r="F64" s="6"/>
      <c r="G64" s="6"/>
      <c r="H64" s="6"/>
      <c r="I64" s="6"/>
    </row>
  </sheetData>
  <dataValidations count="3">
    <dataValidation allowBlank="true" errorStyle="stop" operator="between" showDropDown="false" showErrorMessage="false" showInputMessage="false" sqref="B5:B64" type="list">
      <formula1>"Monday,Wednesday,Thursday,Friday,Saturday"</formula1>
      <formula2>0</formula2>
    </dataValidation>
    <dataValidation allowBlank="true" errorStyle="stop" operator="between" showDropDown="false" showErrorMessage="false" showInputMessage="false" sqref="C5:C64" type="list">
      <formula1>Reconcile!$A$5:$A$14</formula1>
      <formula2>0</formula2>
    </dataValidation>
    <dataValidation allowBlank="true" errorStyle="stop" operator="between" showDropDown="false" showErrorMessage="false" showInputMessage="false" sqref="H5:H64" type="list">
      <formula1>"removes rows,keeps rows,changes values"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4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52"/>
  </cols>
  <sheetData>
    <row r="1" customFormat="false" ht="17.35" hidden="false" customHeight="false" outlineLevel="0" collapsed="false">
      <c r="A1" s="1" t="s">
        <v>18</v>
      </c>
    </row>
    <row r="2" customFormat="false" ht="15" hidden="false" customHeight="false" outlineLevel="0" collapsed="false">
      <c r="A2" s="3" t="s">
        <v>19</v>
      </c>
    </row>
    <row r="4" customFormat="false" ht="26.85" hidden="false" customHeight="false" outlineLevel="0" collapsed="false">
      <c r="A4" s="4" t="s">
        <v>11</v>
      </c>
      <c r="B4" s="4" t="s">
        <v>20</v>
      </c>
      <c r="C4" s="4" t="s">
        <v>21</v>
      </c>
      <c r="D4" s="4" t="s">
        <v>22</v>
      </c>
      <c r="E4" s="4" t="s">
        <v>23</v>
      </c>
      <c r="F4" s="4" t="s">
        <v>24</v>
      </c>
    </row>
    <row r="5" customFormat="false" ht="15" hidden="false" customHeight="false" outlineLevel="0" collapsed="false">
      <c r="A5" s="5" t="s">
        <v>25</v>
      </c>
      <c r="B5" s="7" t="n">
        <v>6700</v>
      </c>
      <c r="C5" s="5" t="n">
        <f aca="false">SUMIFS(Log!$F$5:$F$64,Log!$C$5:$C$64,A5,Log!$H$5:$H$64,"removes rows")</f>
        <v>0</v>
      </c>
      <c r="D5" s="8"/>
      <c r="E5" s="7" t="str">
        <f aca="false">IF(D5="","",D5+C5)</f>
        <v/>
      </c>
      <c r="F5" s="5" t="str">
        <f aca="false">IF(D5="","not counted yet",IF(E5=B5,"reconciles",IF(E5&lt;B5,"short by "&amp;(B5-E5)&amp;" rows: find where they went","over by "&amp;(E5-B5)&amp;" rows: a row was counted twice")))</f>
        <v>not counted yet</v>
      </c>
    </row>
    <row r="6" customFormat="false" ht="15" hidden="false" customHeight="false" outlineLevel="0" collapsed="false">
      <c r="A6" s="5" t="s">
        <v>26</v>
      </c>
      <c r="B6" s="7" t="n">
        <v>18</v>
      </c>
      <c r="C6" s="5" t="n">
        <f aca="false">SUMIFS(Log!$F$5:$F$64,Log!$C$5:$C$64,A6,Log!$H$5:$H$64,"removes rows")</f>
        <v>0</v>
      </c>
      <c r="D6" s="8"/>
      <c r="E6" s="7" t="str">
        <f aca="false">IF(D6="","",D6+C6)</f>
        <v/>
      </c>
      <c r="F6" s="5" t="str">
        <f aca="false">IF(D6="","not counted yet",IF(E6=B6,"reconciles",IF(E6&lt;B6,"short by "&amp;(B6-E6)&amp;" rows: find where they went","over by "&amp;(E6-B6)&amp;" rows: a row was counted twice")))</f>
        <v>not counted yet</v>
      </c>
    </row>
    <row r="7" customFormat="false" ht="15" hidden="false" customHeight="false" outlineLevel="0" collapsed="false">
      <c r="A7" s="5" t="s">
        <v>27</v>
      </c>
      <c r="B7" s="7" t="n">
        <v>16</v>
      </c>
      <c r="C7" s="5" t="n">
        <f aca="false">SUMIFS(Log!$F$5:$F$64,Log!$C$5:$C$64,A7,Log!$H$5:$H$64,"removes rows")</f>
        <v>0</v>
      </c>
      <c r="D7" s="8"/>
      <c r="E7" s="7" t="str">
        <f aca="false">IF(D7="","",D7+C7)</f>
        <v/>
      </c>
      <c r="F7" s="5" t="str">
        <f aca="false">IF(D7="","not counted yet",IF(E7=B7,"reconciles",IF(E7&lt;B7,"short by "&amp;(B7-E7)&amp;" rows: find where they went","over by "&amp;(E7-B7)&amp;" rows: a row was counted twice")))</f>
        <v>not counted yet</v>
      </c>
    </row>
    <row r="8" customFormat="false" ht="15" hidden="false" customHeight="false" outlineLevel="0" collapsed="false">
      <c r="A8" s="5" t="s">
        <v>28</v>
      </c>
      <c r="B8" s="7" t="n">
        <v>11729</v>
      </c>
      <c r="C8" s="5" t="n">
        <f aca="false">SUMIFS(Log!$F$5:$F$64,Log!$C$5:$C$64,A8,Log!$H$5:$H$64,"removes rows")</f>
        <v>0</v>
      </c>
      <c r="D8" s="8"/>
      <c r="E8" s="7" t="str">
        <f aca="false">IF(D8="","",D8+C8)</f>
        <v/>
      </c>
      <c r="F8" s="5" t="str">
        <f aca="false">IF(D8="","not counted yet",IF(E8=B8,"reconciles",IF(E8&lt;B8,"short by "&amp;(B8-E8)&amp;" rows: find where they went","over by "&amp;(E8-B8)&amp;" rows: a row was counted twice")))</f>
        <v>not counted yet</v>
      </c>
    </row>
    <row r="9" customFormat="false" ht="15" hidden="false" customHeight="false" outlineLevel="0" collapsed="false">
      <c r="A9" s="5" t="s">
        <v>29</v>
      </c>
      <c r="B9" s="7" t="n">
        <v>153</v>
      </c>
      <c r="C9" s="5" t="n">
        <f aca="false">SUMIFS(Log!$F$5:$F$64,Log!$C$5:$C$64,A9,Log!$H$5:$H$64,"removes rows")</f>
        <v>0</v>
      </c>
      <c r="D9" s="8"/>
      <c r="E9" s="7" t="str">
        <f aca="false">IF(D9="","",D9+C9)</f>
        <v/>
      </c>
      <c r="F9" s="5" t="str">
        <f aca="false">IF(D9="","not counted yet",IF(E9=B9,"reconciles",IF(E9&lt;B9,"short by "&amp;(B9-E9)&amp;" rows: find where they went","over by "&amp;(E9-B9)&amp;" rows: a row was counted twice")))</f>
        <v>not counted yet</v>
      </c>
    </row>
    <row r="10" customFormat="false" ht="15" hidden="false" customHeight="false" outlineLevel="0" collapsed="false">
      <c r="A10" s="5" t="s">
        <v>30</v>
      </c>
      <c r="B10" s="7" t="n">
        <v>51456</v>
      </c>
      <c r="C10" s="5" t="n">
        <f aca="false">SUMIFS(Log!$F$5:$F$64,Log!$C$5:$C$64,A10,Log!$H$5:$H$64,"removes rows")</f>
        <v>0</v>
      </c>
      <c r="D10" s="8"/>
      <c r="E10" s="7" t="str">
        <f aca="false">IF(D10="","",D10+C10)</f>
        <v/>
      </c>
      <c r="F10" s="5" t="str">
        <f aca="false">IF(D10="","not counted yet",IF(E10=B10,"reconciles",IF(E10&lt;B10,"short by "&amp;(B10-E10)&amp;" rows: find where they went","over by "&amp;(E10-B10)&amp;" rows: a row was counted twice")))</f>
        <v>not counted yet</v>
      </c>
    </row>
    <row r="11" customFormat="false" ht="15" hidden="false" customHeight="false" outlineLevel="0" collapsed="false">
      <c r="A11" s="5" t="s">
        <v>31</v>
      </c>
      <c r="B11" s="7" t="n">
        <v>11356</v>
      </c>
      <c r="C11" s="5" t="n">
        <f aca="false">SUMIFS(Log!$F$5:$F$64,Log!$C$5:$C$64,A11,Log!$H$5:$H$64,"removes rows")</f>
        <v>0</v>
      </c>
      <c r="D11" s="8"/>
      <c r="E11" s="7" t="str">
        <f aca="false">IF(D11="","",D11+C11)</f>
        <v/>
      </c>
      <c r="F11" s="5" t="str">
        <f aca="false">IF(D11="","not counted yet",IF(E11=B11,"reconciles",IF(E11&lt;B11,"short by "&amp;(B11-E11)&amp;" rows: find where they went","over by "&amp;(E11-B11)&amp;" rows: a row was counted twice")))</f>
        <v>not counted yet</v>
      </c>
    </row>
    <row r="12" customFormat="false" ht="15" hidden="false" customHeight="false" outlineLevel="0" collapsed="false">
      <c r="A12" s="5" t="s">
        <v>32</v>
      </c>
      <c r="B12" s="7" t="n">
        <v>11289</v>
      </c>
      <c r="C12" s="5" t="n">
        <f aca="false">SUMIFS(Log!$F$5:$F$64,Log!$C$5:$C$64,A12,Log!$H$5:$H$64,"removes rows")</f>
        <v>0</v>
      </c>
      <c r="D12" s="8"/>
      <c r="E12" s="7" t="str">
        <f aca="false">IF(D12="","",D12+C12)</f>
        <v/>
      </c>
      <c r="F12" s="5" t="str">
        <f aca="false">IF(D12="","not counted yet",IF(E12=B12,"reconciles",IF(E12&lt;B12,"short by "&amp;(B12-E12)&amp;" rows: find where they went","over by "&amp;(E12-B12)&amp;" rows: a row was counted twice")))</f>
        <v>not counted yet</v>
      </c>
    </row>
    <row r="13" customFormat="false" ht="15" hidden="false" customHeight="false" outlineLevel="0" collapsed="false">
      <c r="A13" s="5" t="s">
        <v>33</v>
      </c>
      <c r="B13" s="7" t="n">
        <v>7133</v>
      </c>
      <c r="C13" s="5" t="n">
        <f aca="false">SUMIFS(Log!$F$5:$F$64,Log!$C$5:$C$64,A13,Log!$H$5:$H$64,"removes rows")</f>
        <v>0</v>
      </c>
      <c r="D13" s="8"/>
      <c r="E13" s="7" t="str">
        <f aca="false">IF(D13="","",D13+C13)</f>
        <v/>
      </c>
      <c r="F13" s="5" t="str">
        <f aca="false">IF(D13="","not counted yet",IF(E13=B13,"reconciles",IF(E13&lt;B13,"short by "&amp;(B13-E13)&amp;" rows: find where they went","over by "&amp;(E13-B13)&amp;" rows: a row was counted twice")))</f>
        <v>not counted yet</v>
      </c>
    </row>
    <row r="14" customFormat="false" ht="15" hidden="false" customHeight="false" outlineLevel="0" collapsed="false">
      <c r="A14" s="5" t="s">
        <v>34</v>
      </c>
      <c r="B14" s="7" t="n">
        <v>2381</v>
      </c>
      <c r="C14" s="5" t="n">
        <f aca="false">SUMIFS(Log!$F$5:$F$64,Log!$C$5:$C$64,A14,Log!$H$5:$H$64,"removes rows")</f>
        <v>0</v>
      </c>
      <c r="D14" s="8"/>
      <c r="E14" s="7" t="str">
        <f aca="false">IF(D14="","",D14+C14)</f>
        <v/>
      </c>
      <c r="F14" s="5" t="str">
        <f aca="false">IF(D14="","not counted yet",IF(E14=B14,"reconciles",IF(E14&lt;B14,"short by "&amp;(B14-E14)&amp;" rows: find where they went","over by "&amp;(E14-B14)&amp;" rows: a row was counted twice")))</f>
        <v>not counted yet</v>
      </c>
    </row>
    <row r="16" customFormat="false" ht="15" hidden="false" customHeight="false" outlineLevel="0" collapsed="false">
      <c r="A16" s="9" t="s">
        <v>35</v>
      </c>
      <c r="B16" s="5" t="n">
        <f aca="false">COUNTIF(F5:F14,"&lt;&gt;not counted yet")</f>
        <v>0</v>
      </c>
    </row>
    <row r="17" customFormat="false" ht="15" hidden="false" customHeight="false" outlineLevel="0" collapsed="false">
      <c r="A17" s="9" t="s">
        <v>36</v>
      </c>
      <c r="B17" s="5" t="n">
        <f aca="false">COUNTIF(F5:F14,"reconciles")</f>
        <v>0</v>
      </c>
    </row>
    <row r="18" customFormat="false" ht="52.2" hidden="false" customHeight="false" outlineLevel="0" collapsed="false">
      <c r="A18" s="9" t="s">
        <v>37</v>
      </c>
      <c r="B18" s="10" t="str">
        <f aca="false">IF(B16=0,"No file counted yet: profile before you touch",IF(B17=B16,B17&amp;" of "&amp;B16&amp;" counted files reconcile",(B16-B17)&amp;" counted files do not reconcile: stop and find the rows"))</f>
        <v>No file counted yet: profile before you touch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3" min="3" style="0" width="8"/>
    <col collapsed="false" customWidth="true" hidden="false" outlineLevel="0" max="4" min="4" style="0" width="26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1" t="s">
        <v>38</v>
      </c>
    </row>
    <row r="2" customFormat="false" ht="15" hidden="false" customHeight="false" outlineLevel="0" collapsed="false">
      <c r="A2" s="3" t="s">
        <v>39</v>
      </c>
    </row>
    <row r="4" customFormat="false" ht="15" hidden="false" customHeight="false" outlineLevel="0" collapsed="false">
      <c r="A4" s="4" t="s">
        <v>12</v>
      </c>
      <c r="B4" s="4" t="s">
        <v>13</v>
      </c>
      <c r="C4" s="4" t="s">
        <v>14</v>
      </c>
      <c r="D4" s="4" t="s">
        <v>15</v>
      </c>
      <c r="E4" s="4" t="s">
        <v>17</v>
      </c>
    </row>
    <row r="5" customFormat="false" ht="15" hidden="false" customHeight="false" outlineLevel="0" collapsed="false">
      <c r="A5" s="11" t="s">
        <v>40</v>
      </c>
      <c r="B5" s="11" t="s">
        <v>41</v>
      </c>
      <c r="C5" s="11" t="n">
        <v>14</v>
      </c>
      <c r="D5" s="11" t="s">
        <v>42</v>
      </c>
      <c r="E5" s="11" t="s">
        <v>43</v>
      </c>
    </row>
    <row r="6" customFormat="false" ht="26.85" hidden="false" customHeight="false" outlineLevel="0" collapsed="false">
      <c r="A6" s="11" t="s">
        <v>40</v>
      </c>
      <c r="B6" s="11" t="s">
        <v>44</v>
      </c>
      <c r="C6" s="11" t="n">
        <v>1</v>
      </c>
      <c r="D6" s="11" t="s">
        <v>45</v>
      </c>
      <c r="E6" s="11" t="s">
        <v>46</v>
      </c>
    </row>
    <row r="7" customFormat="false" ht="15" hidden="false" customHeight="false" outlineLevel="0" collapsed="false">
      <c r="A7" s="11" t="s">
        <v>47</v>
      </c>
      <c r="B7" s="11" t="s">
        <v>48</v>
      </c>
      <c r="C7" s="11" t="n">
        <v>1</v>
      </c>
      <c r="D7" s="11" t="s">
        <v>49</v>
      </c>
      <c r="E7" s="11" t="s">
        <v>50</v>
      </c>
    </row>
    <row r="8" customFormat="false" ht="15" hidden="false" customHeight="false" outlineLevel="0" collapsed="false">
      <c r="A8" s="11" t="s">
        <v>51</v>
      </c>
      <c r="B8" s="11" t="s">
        <v>52</v>
      </c>
      <c r="C8" s="11" t="n">
        <v>1</v>
      </c>
      <c r="D8" s="11" t="s">
        <v>49</v>
      </c>
      <c r="E8" s="11" t="s">
        <v>53</v>
      </c>
    </row>
    <row r="9" customFormat="false" ht="15" hidden="false" customHeight="false" outlineLevel="0" collapsed="false">
      <c r="A9" s="11" t="s">
        <v>51</v>
      </c>
      <c r="B9" s="11" t="s">
        <v>54</v>
      </c>
      <c r="C9" s="11" t="n">
        <v>1</v>
      </c>
      <c r="D9" s="11" t="s">
        <v>55</v>
      </c>
      <c r="E9" s="11" t="s">
        <v>56</v>
      </c>
    </row>
    <row r="11" customFormat="false" ht="15" hidden="false" customHeight="false" outlineLevel="0" collapsed="false">
      <c r="A11" s="12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2026-09-29T17:38:40Z</dcterms:created>
  <dc:creator>openpyxl</dc:creator>
  <dc:description/>
  <dc:language>en-US</dc:language>
  <cp:lastModifiedBy/>
  <dcterms:modified xsi:type="dcterms:W3CDTF">2026-09-29T17:38:40Z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