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Log" sheetId="2" state="visible" r:id="rId4"/>
    <sheet name="Summary" sheetId="3" state="visible" r:id="rId5"/>
    <sheet name="Examp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open until the group has decided what to do about it; resolved once it has, with the date in the next column</t>
        </r>
      </text>
    </comment>
  </commentList>
</comments>
</file>

<file path=xl/sharedStrings.xml><?xml version="1.0" encoding="utf-8"?>
<sst xmlns="http://schemas.openxmlformats.org/spreadsheetml/2006/main" count="54" uniqueCount="41">
  <si>
    <t xml:space="preserve">How to use this log</t>
  </si>
  <si>
    <t xml:space="preserve">1. Fill the yellow cells on the Log sheet. The grey cells are formulas; leave them.</t>
  </si>
  <si>
    <t xml:space="preserve">2. One row per challenge, written when it happens rather than at the end of the day.</t>
  </si>
  <si>
    <t xml:space="preserve">3. Day, sub-problem and status are drop-down lists.</t>
  </si>
  <si>
    <t xml:space="preserve">4. Status stays open until the group has decided what to do; then set resolved and the date.</t>
  </si>
  <si>
    <t xml:space="preserve">5. Summary counts the log for you and says what to take to the next checkpoint.</t>
  </si>
  <si>
    <t xml:space="preserve">6. A challenge that needed a cleaning or matching decision also goes in the decisions log.</t>
  </si>
  <si>
    <t xml:space="preserve">Challenges log</t>
  </si>
  <si>
    <t xml:space="preserve">One row every time the group is stuck. Fill the yellow cells; the grey columns and the Summary sheet compute themselves.</t>
  </si>
  <si>
    <t xml:space="preserve">#</t>
  </si>
  <si>
    <t xml:space="preserve">Day</t>
  </si>
  <si>
    <t xml:space="preserve">Opened (date)</t>
  </si>
  <si>
    <t xml:space="preserve">Sub-problem</t>
  </si>
  <si>
    <t xml:space="preserve">What stopped us</t>
  </si>
  <si>
    <t xml:space="preserve">Where it showed (file, column or step)</t>
  </si>
  <si>
    <t xml:space="preserve">What we tried</t>
  </si>
  <si>
    <t xml:space="preserve">What we decided, and why</t>
  </si>
  <si>
    <t xml:space="preserve">Status</t>
  </si>
  <si>
    <t xml:space="preserve">Resolved (date)</t>
  </si>
  <si>
    <t xml:space="preserve">Minutes lost</t>
  </si>
  <si>
    <t xml:space="preserve">Days open</t>
  </si>
  <si>
    <t xml:space="preserve">Where the group stands</t>
  </si>
  <si>
    <t xml:space="preserve">Every value on this sheet is a formula over the Log sheet.</t>
  </si>
  <si>
    <t xml:space="preserve">Entries logged</t>
  </si>
  <si>
    <t xml:space="preserve">Open</t>
  </si>
  <si>
    <t xml:space="preserve">Resolved</t>
  </si>
  <si>
    <t xml:space="preserve">No status yet</t>
  </si>
  <si>
    <t xml:space="preserve">Minutes lost, all entries</t>
  </si>
  <si>
    <t xml:space="preserve">Longest a resolved challenge stayed open (days)</t>
  </si>
  <si>
    <t xml:space="preserve">Where the log stands</t>
  </si>
  <si>
    <t xml:space="preserve">Entry one, as another group might write it</t>
  </si>
  <si>
    <t xml:space="preserve">Copy the shape, not the words. Your entry one is about your own first stop.</t>
  </si>
  <si>
    <t xml:space="preserve">Monday</t>
  </si>
  <si>
    <t xml:space="preserve">19 Oct 2026</t>
  </si>
  <si>
    <t xml:space="preserve">(yours)</t>
  </si>
  <si>
    <t xml:space="preserve">Nobody in the group had worked in diagnostics, so we could not say what 'home collection' means in the files or who pays for it.</t>
  </si>
  <si>
    <t xml:space="preserve">Brief, data dictionary: bookings_legacy.channel</t>
  </si>
  <si>
    <t xml:space="preserve">Read the data dictionary and the brief; asked the trainer what a phlebotomist does, which is a domain question and allowed.</t>
  </si>
  <si>
    <t xml:space="preserve">Wrote a one-line definition into our vocabulary map and agreed that a home-collection booking is still one booking, counted once.</t>
  </si>
  <si>
    <t xml:space="preserve">resolved</t>
  </si>
  <si>
    <t xml:space="preserve">A good entry is dated, names where the problem showed, and records the decision with its reason. The viva on Thursday reads this log, and a thin log is where a prepared answer breaks.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</si>
</sst>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0F5C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1"/>
      <color rgb="FF000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0F5C"/>
        <bgColor rgb="FF000080"/>
      </patternFill>
    </fill>
    <fill>
      <patternFill patternType="solid">
        <fgColor rgb="FFEEEAF9"/>
        <bgColor rgb="FFFFF7D6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2D6"/>
      </left>
      <right style="thin">
        <color rgb="FFB8B2D6"/>
      </right>
      <top style="thin">
        <color rgb="FFB8B2D6"/>
      </top>
      <bottom style="thin">
        <color rgb="FFB8B2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0F5C"/>
      <rgbColor rgb="FF808000"/>
      <rgbColor rgb="FF800080"/>
      <rgbColor rgb="FF008080"/>
      <rgbColor rgb="FFB8B2D6"/>
      <rgbColor rgb="FF808080"/>
      <rgbColor rgb="FF9999FF"/>
      <rgbColor rgb="FF993366"/>
      <rgbColor rgb="FFFFF7D6"/>
      <rgbColor rgb="FFEEEA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36"/>
    <col collapsed="false" customWidth="true" hidden="false" outlineLevel="0" max="8" min="8" style="0" width="40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2" min="11" style="0" width="10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3" t="s">
        <v>8</v>
      </c>
    </row>
    <row r="4" customFormat="false" ht="26.8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</row>
    <row r="5" customFormat="false" ht="15" hidden="false" customHeight="false" outlineLevel="0" collapsed="false">
      <c r="A5" s="5" t="str">
        <f aca="false">IF(E5="","",ROW()-4)</f>
        <v/>
      </c>
      <c r="B5" s="6"/>
      <c r="C5" s="7"/>
      <c r="D5" s="6"/>
      <c r="E5" s="6"/>
      <c r="F5" s="6"/>
      <c r="G5" s="6"/>
      <c r="H5" s="6"/>
      <c r="I5" s="6"/>
      <c r="J5" s="7"/>
      <c r="K5" s="6"/>
      <c r="L5" s="5" t="str">
        <f aca="false">IF(OR(C5="",J5=""),"",J5-C5)</f>
        <v/>
      </c>
    </row>
    <row r="6" customFormat="false" ht="15" hidden="false" customHeight="false" outlineLevel="0" collapsed="false">
      <c r="A6" s="5" t="str">
        <f aca="false">IF(E6="","",ROW()-4)</f>
        <v/>
      </c>
      <c r="B6" s="6"/>
      <c r="C6" s="7"/>
      <c r="D6" s="6"/>
      <c r="E6" s="6"/>
      <c r="F6" s="6"/>
      <c r="G6" s="6"/>
      <c r="H6" s="6"/>
      <c r="I6" s="6"/>
      <c r="J6" s="7"/>
      <c r="K6" s="6"/>
      <c r="L6" s="5" t="str">
        <f aca="false">IF(OR(C6="",J6=""),"",J6-C6)</f>
        <v/>
      </c>
    </row>
    <row r="7" customFormat="false" ht="15" hidden="false" customHeight="false" outlineLevel="0" collapsed="false">
      <c r="A7" s="5" t="str">
        <f aca="false">IF(E7="","",ROW()-4)</f>
        <v/>
      </c>
      <c r="B7" s="6"/>
      <c r="C7" s="7"/>
      <c r="D7" s="6"/>
      <c r="E7" s="6"/>
      <c r="F7" s="6"/>
      <c r="G7" s="6"/>
      <c r="H7" s="6"/>
      <c r="I7" s="6"/>
      <c r="J7" s="7"/>
      <c r="K7" s="6"/>
      <c r="L7" s="5" t="str">
        <f aca="false">IF(OR(C7="",J7=""),"",J7-C7)</f>
        <v/>
      </c>
    </row>
    <row r="8" customFormat="false" ht="15" hidden="false" customHeight="false" outlineLevel="0" collapsed="false">
      <c r="A8" s="5" t="str">
        <f aca="false">IF(E8="","",ROW()-4)</f>
        <v/>
      </c>
      <c r="B8" s="6"/>
      <c r="C8" s="7"/>
      <c r="D8" s="6"/>
      <c r="E8" s="6"/>
      <c r="F8" s="6"/>
      <c r="G8" s="6"/>
      <c r="H8" s="6"/>
      <c r="I8" s="6"/>
      <c r="J8" s="7"/>
      <c r="K8" s="6"/>
      <c r="L8" s="5" t="str">
        <f aca="false">IF(OR(C8="",J8=""),"",J8-C8)</f>
        <v/>
      </c>
    </row>
    <row r="9" customFormat="false" ht="15" hidden="false" customHeight="false" outlineLevel="0" collapsed="false">
      <c r="A9" s="5" t="str">
        <f aca="false">IF(E9="","",ROW()-4)</f>
        <v/>
      </c>
      <c r="B9" s="6"/>
      <c r="C9" s="7"/>
      <c r="D9" s="6"/>
      <c r="E9" s="6"/>
      <c r="F9" s="6"/>
      <c r="G9" s="6"/>
      <c r="H9" s="6"/>
      <c r="I9" s="6"/>
      <c r="J9" s="7"/>
      <c r="K9" s="6"/>
      <c r="L9" s="5" t="str">
        <f aca="false">IF(OR(C9="",J9=""),"",J9-C9)</f>
        <v/>
      </c>
    </row>
    <row r="10" customFormat="false" ht="15" hidden="false" customHeight="false" outlineLevel="0" collapsed="false">
      <c r="A10" s="5" t="str">
        <f aca="false">IF(E10="","",ROW()-4)</f>
        <v/>
      </c>
      <c r="B10" s="6"/>
      <c r="C10" s="7"/>
      <c r="D10" s="6"/>
      <c r="E10" s="6"/>
      <c r="F10" s="6"/>
      <c r="G10" s="6"/>
      <c r="H10" s="6"/>
      <c r="I10" s="6"/>
      <c r="J10" s="7"/>
      <c r="K10" s="6"/>
      <c r="L10" s="5" t="str">
        <f aca="false">IF(OR(C10="",J10=""),"",J10-C10)</f>
        <v/>
      </c>
    </row>
    <row r="11" customFormat="false" ht="15" hidden="false" customHeight="false" outlineLevel="0" collapsed="false">
      <c r="A11" s="5" t="str">
        <f aca="false">IF(E11="","",ROW()-4)</f>
        <v/>
      </c>
      <c r="B11" s="6"/>
      <c r="C11" s="7"/>
      <c r="D11" s="6"/>
      <c r="E11" s="6"/>
      <c r="F11" s="6"/>
      <c r="G11" s="6"/>
      <c r="H11" s="6"/>
      <c r="I11" s="6"/>
      <c r="J11" s="7"/>
      <c r="K11" s="6"/>
      <c r="L11" s="5" t="str">
        <f aca="false">IF(OR(C11="",J11=""),"",J11-C11)</f>
        <v/>
      </c>
    </row>
    <row r="12" customFormat="false" ht="15" hidden="false" customHeight="false" outlineLevel="0" collapsed="false">
      <c r="A12" s="5" t="str">
        <f aca="false">IF(E12="","",ROW()-4)</f>
        <v/>
      </c>
      <c r="B12" s="6"/>
      <c r="C12" s="7"/>
      <c r="D12" s="6"/>
      <c r="E12" s="6"/>
      <c r="F12" s="6"/>
      <c r="G12" s="6"/>
      <c r="H12" s="6"/>
      <c r="I12" s="6"/>
      <c r="J12" s="7"/>
      <c r="K12" s="6"/>
      <c r="L12" s="5" t="str">
        <f aca="false">IF(OR(C12="",J12=""),"",J12-C12)</f>
        <v/>
      </c>
    </row>
    <row r="13" customFormat="false" ht="15" hidden="false" customHeight="false" outlineLevel="0" collapsed="false">
      <c r="A13" s="5" t="str">
        <f aca="false">IF(E13="","",ROW()-4)</f>
        <v/>
      </c>
      <c r="B13" s="6"/>
      <c r="C13" s="7"/>
      <c r="D13" s="6"/>
      <c r="E13" s="6"/>
      <c r="F13" s="6"/>
      <c r="G13" s="6"/>
      <c r="H13" s="6"/>
      <c r="I13" s="6"/>
      <c r="J13" s="7"/>
      <c r="K13" s="6"/>
      <c r="L13" s="5" t="str">
        <f aca="false">IF(OR(C13="",J13=""),"",J13-C13)</f>
        <v/>
      </c>
    </row>
    <row r="14" customFormat="false" ht="15" hidden="false" customHeight="false" outlineLevel="0" collapsed="false">
      <c r="A14" s="5" t="str">
        <f aca="false">IF(E14="","",ROW()-4)</f>
        <v/>
      </c>
      <c r="B14" s="6"/>
      <c r="C14" s="7"/>
      <c r="D14" s="6"/>
      <c r="E14" s="6"/>
      <c r="F14" s="6"/>
      <c r="G14" s="6"/>
      <c r="H14" s="6"/>
      <c r="I14" s="6"/>
      <c r="J14" s="7"/>
      <c r="K14" s="6"/>
      <c r="L14" s="5" t="str">
        <f aca="false">IF(OR(C14="",J14=""),"",J14-C14)</f>
        <v/>
      </c>
    </row>
    <row r="15" customFormat="false" ht="15" hidden="false" customHeight="false" outlineLevel="0" collapsed="false">
      <c r="A15" s="5" t="str">
        <f aca="false">IF(E15="","",ROW()-4)</f>
        <v/>
      </c>
      <c r="B15" s="6"/>
      <c r="C15" s="7"/>
      <c r="D15" s="6"/>
      <c r="E15" s="6"/>
      <c r="F15" s="6"/>
      <c r="G15" s="6"/>
      <c r="H15" s="6"/>
      <c r="I15" s="6"/>
      <c r="J15" s="7"/>
      <c r="K15" s="6"/>
      <c r="L15" s="5" t="str">
        <f aca="false">IF(OR(C15="",J15=""),"",J15-C15)</f>
        <v/>
      </c>
    </row>
    <row r="16" customFormat="false" ht="15" hidden="false" customHeight="false" outlineLevel="0" collapsed="false">
      <c r="A16" s="5" t="str">
        <f aca="false">IF(E16="","",ROW()-4)</f>
        <v/>
      </c>
      <c r="B16" s="6"/>
      <c r="C16" s="7"/>
      <c r="D16" s="6"/>
      <c r="E16" s="6"/>
      <c r="F16" s="6"/>
      <c r="G16" s="6"/>
      <c r="H16" s="6"/>
      <c r="I16" s="6"/>
      <c r="J16" s="7"/>
      <c r="K16" s="6"/>
      <c r="L16" s="5" t="str">
        <f aca="false">IF(OR(C16="",J16=""),"",J16-C16)</f>
        <v/>
      </c>
    </row>
    <row r="17" customFormat="false" ht="15" hidden="false" customHeight="false" outlineLevel="0" collapsed="false">
      <c r="A17" s="5" t="str">
        <f aca="false">IF(E17="","",ROW()-4)</f>
        <v/>
      </c>
      <c r="B17" s="6"/>
      <c r="C17" s="7"/>
      <c r="D17" s="6"/>
      <c r="E17" s="6"/>
      <c r="F17" s="6"/>
      <c r="G17" s="6"/>
      <c r="H17" s="6"/>
      <c r="I17" s="6"/>
      <c r="J17" s="7"/>
      <c r="K17" s="6"/>
      <c r="L17" s="5" t="str">
        <f aca="false">IF(OR(C17="",J17=""),"",J17-C17)</f>
        <v/>
      </c>
    </row>
    <row r="18" customFormat="false" ht="15" hidden="false" customHeight="false" outlineLevel="0" collapsed="false">
      <c r="A18" s="5" t="str">
        <f aca="false">IF(E18="","",ROW()-4)</f>
        <v/>
      </c>
      <c r="B18" s="6"/>
      <c r="C18" s="7"/>
      <c r="D18" s="6"/>
      <c r="E18" s="6"/>
      <c r="F18" s="6"/>
      <c r="G18" s="6"/>
      <c r="H18" s="6"/>
      <c r="I18" s="6"/>
      <c r="J18" s="7"/>
      <c r="K18" s="6"/>
      <c r="L18" s="5" t="str">
        <f aca="false">IF(OR(C18="",J18=""),"",J18-C18)</f>
        <v/>
      </c>
    </row>
    <row r="19" customFormat="false" ht="15" hidden="false" customHeight="false" outlineLevel="0" collapsed="false">
      <c r="A19" s="5" t="str">
        <f aca="false">IF(E19="","",ROW()-4)</f>
        <v/>
      </c>
      <c r="B19" s="6"/>
      <c r="C19" s="7"/>
      <c r="D19" s="6"/>
      <c r="E19" s="6"/>
      <c r="F19" s="6"/>
      <c r="G19" s="6"/>
      <c r="H19" s="6"/>
      <c r="I19" s="6"/>
      <c r="J19" s="7"/>
      <c r="K19" s="6"/>
      <c r="L19" s="5" t="str">
        <f aca="false">IF(OR(C19="",J19=""),"",J19-C19)</f>
        <v/>
      </c>
    </row>
    <row r="20" customFormat="false" ht="15" hidden="false" customHeight="false" outlineLevel="0" collapsed="false">
      <c r="A20" s="5" t="str">
        <f aca="false">IF(E20="","",ROW()-4)</f>
        <v/>
      </c>
      <c r="B20" s="6"/>
      <c r="C20" s="7"/>
      <c r="D20" s="6"/>
      <c r="E20" s="6"/>
      <c r="F20" s="6"/>
      <c r="G20" s="6"/>
      <c r="H20" s="6"/>
      <c r="I20" s="6"/>
      <c r="J20" s="7"/>
      <c r="K20" s="6"/>
      <c r="L20" s="5" t="str">
        <f aca="false">IF(OR(C20="",J20=""),"",J20-C20)</f>
        <v/>
      </c>
    </row>
    <row r="21" customFormat="false" ht="15" hidden="false" customHeight="false" outlineLevel="0" collapsed="false">
      <c r="A21" s="5" t="str">
        <f aca="false">IF(E21="","",ROW()-4)</f>
        <v/>
      </c>
      <c r="B21" s="6"/>
      <c r="C21" s="7"/>
      <c r="D21" s="6"/>
      <c r="E21" s="6"/>
      <c r="F21" s="6"/>
      <c r="G21" s="6"/>
      <c r="H21" s="6"/>
      <c r="I21" s="6"/>
      <c r="J21" s="7"/>
      <c r="K21" s="6"/>
      <c r="L21" s="5" t="str">
        <f aca="false">IF(OR(C21="",J21=""),"",J21-C21)</f>
        <v/>
      </c>
    </row>
    <row r="22" customFormat="false" ht="15" hidden="false" customHeight="false" outlineLevel="0" collapsed="false">
      <c r="A22" s="5" t="str">
        <f aca="false">IF(E22="","",ROW()-4)</f>
        <v/>
      </c>
      <c r="B22" s="6"/>
      <c r="C22" s="7"/>
      <c r="D22" s="6"/>
      <c r="E22" s="6"/>
      <c r="F22" s="6"/>
      <c r="G22" s="6"/>
      <c r="H22" s="6"/>
      <c r="I22" s="6"/>
      <c r="J22" s="7"/>
      <c r="K22" s="6"/>
      <c r="L22" s="5" t="str">
        <f aca="false">IF(OR(C22="",J22=""),"",J22-C22)</f>
        <v/>
      </c>
    </row>
    <row r="23" customFormat="false" ht="15" hidden="false" customHeight="false" outlineLevel="0" collapsed="false">
      <c r="A23" s="5" t="str">
        <f aca="false">IF(E23="","",ROW()-4)</f>
        <v/>
      </c>
      <c r="B23" s="6"/>
      <c r="C23" s="7"/>
      <c r="D23" s="6"/>
      <c r="E23" s="6"/>
      <c r="F23" s="6"/>
      <c r="G23" s="6"/>
      <c r="H23" s="6"/>
      <c r="I23" s="6"/>
      <c r="J23" s="7"/>
      <c r="K23" s="6"/>
      <c r="L23" s="5" t="str">
        <f aca="false">IF(OR(C23="",J23=""),"",J23-C23)</f>
        <v/>
      </c>
    </row>
    <row r="24" customFormat="false" ht="15" hidden="false" customHeight="false" outlineLevel="0" collapsed="false">
      <c r="A24" s="5" t="str">
        <f aca="false">IF(E24="","",ROW()-4)</f>
        <v/>
      </c>
      <c r="B24" s="6"/>
      <c r="C24" s="7"/>
      <c r="D24" s="6"/>
      <c r="E24" s="6"/>
      <c r="F24" s="6"/>
      <c r="G24" s="6"/>
      <c r="H24" s="6"/>
      <c r="I24" s="6"/>
      <c r="J24" s="7"/>
      <c r="K24" s="6"/>
      <c r="L24" s="5" t="str">
        <f aca="false">IF(OR(C24="",J24=""),"",J24-C24)</f>
        <v/>
      </c>
    </row>
    <row r="25" customFormat="false" ht="15" hidden="false" customHeight="false" outlineLevel="0" collapsed="false">
      <c r="A25" s="5" t="str">
        <f aca="false">IF(E25="","",ROW()-4)</f>
        <v/>
      </c>
      <c r="B25" s="6"/>
      <c r="C25" s="7"/>
      <c r="D25" s="6"/>
      <c r="E25" s="6"/>
      <c r="F25" s="6"/>
      <c r="G25" s="6"/>
      <c r="H25" s="6"/>
      <c r="I25" s="6"/>
      <c r="J25" s="7"/>
      <c r="K25" s="6"/>
      <c r="L25" s="5" t="str">
        <f aca="false">IF(OR(C25="",J25=""),"",J25-C25)</f>
        <v/>
      </c>
    </row>
    <row r="26" customFormat="false" ht="15" hidden="false" customHeight="false" outlineLevel="0" collapsed="false">
      <c r="A26" s="5" t="str">
        <f aca="false">IF(E26="","",ROW()-4)</f>
        <v/>
      </c>
      <c r="B26" s="6"/>
      <c r="C26" s="7"/>
      <c r="D26" s="6"/>
      <c r="E26" s="6"/>
      <c r="F26" s="6"/>
      <c r="G26" s="6"/>
      <c r="H26" s="6"/>
      <c r="I26" s="6"/>
      <c r="J26" s="7"/>
      <c r="K26" s="6"/>
      <c r="L26" s="5" t="str">
        <f aca="false">IF(OR(C26="",J26=""),"",J26-C26)</f>
        <v/>
      </c>
    </row>
    <row r="27" customFormat="false" ht="15" hidden="false" customHeight="false" outlineLevel="0" collapsed="false">
      <c r="A27" s="5" t="str">
        <f aca="false">IF(E27="","",ROW()-4)</f>
        <v/>
      </c>
      <c r="B27" s="6"/>
      <c r="C27" s="7"/>
      <c r="D27" s="6"/>
      <c r="E27" s="6"/>
      <c r="F27" s="6"/>
      <c r="G27" s="6"/>
      <c r="H27" s="6"/>
      <c r="I27" s="6"/>
      <c r="J27" s="7"/>
      <c r="K27" s="6"/>
      <c r="L27" s="5" t="str">
        <f aca="false">IF(OR(C27="",J27=""),"",J27-C27)</f>
        <v/>
      </c>
    </row>
    <row r="28" customFormat="false" ht="15" hidden="false" customHeight="false" outlineLevel="0" collapsed="false">
      <c r="A28" s="5" t="str">
        <f aca="false">IF(E28="","",ROW()-4)</f>
        <v/>
      </c>
      <c r="B28" s="6"/>
      <c r="C28" s="7"/>
      <c r="D28" s="6"/>
      <c r="E28" s="6"/>
      <c r="F28" s="6"/>
      <c r="G28" s="6"/>
      <c r="H28" s="6"/>
      <c r="I28" s="6"/>
      <c r="J28" s="7"/>
      <c r="K28" s="6"/>
      <c r="L28" s="5" t="str">
        <f aca="false">IF(OR(C28="",J28=""),"",J28-C28)</f>
        <v/>
      </c>
    </row>
    <row r="29" customFormat="false" ht="15" hidden="false" customHeight="false" outlineLevel="0" collapsed="false">
      <c r="A29" s="5" t="str">
        <f aca="false">IF(E29="","",ROW()-4)</f>
        <v/>
      </c>
      <c r="B29" s="6"/>
      <c r="C29" s="7"/>
      <c r="D29" s="6"/>
      <c r="E29" s="6"/>
      <c r="F29" s="6"/>
      <c r="G29" s="6"/>
      <c r="H29" s="6"/>
      <c r="I29" s="6"/>
      <c r="J29" s="7"/>
      <c r="K29" s="6"/>
      <c r="L29" s="5" t="str">
        <f aca="false">IF(OR(C29="",J29=""),"",J29-C29)</f>
        <v/>
      </c>
    </row>
    <row r="30" customFormat="false" ht="15" hidden="false" customHeight="false" outlineLevel="0" collapsed="false">
      <c r="A30" s="5" t="str">
        <f aca="false">IF(E30="","",ROW()-4)</f>
        <v/>
      </c>
      <c r="B30" s="6"/>
      <c r="C30" s="7"/>
      <c r="D30" s="6"/>
      <c r="E30" s="6"/>
      <c r="F30" s="6"/>
      <c r="G30" s="6"/>
      <c r="H30" s="6"/>
      <c r="I30" s="6"/>
      <c r="J30" s="7"/>
      <c r="K30" s="6"/>
      <c r="L30" s="5" t="str">
        <f aca="false">IF(OR(C30="",J30=""),"",J30-C30)</f>
        <v/>
      </c>
    </row>
    <row r="31" customFormat="false" ht="15" hidden="false" customHeight="false" outlineLevel="0" collapsed="false">
      <c r="A31" s="5" t="str">
        <f aca="false">IF(E31="","",ROW()-4)</f>
        <v/>
      </c>
      <c r="B31" s="6"/>
      <c r="C31" s="7"/>
      <c r="D31" s="6"/>
      <c r="E31" s="6"/>
      <c r="F31" s="6"/>
      <c r="G31" s="6"/>
      <c r="H31" s="6"/>
      <c r="I31" s="6"/>
      <c r="J31" s="7"/>
      <c r="K31" s="6"/>
      <c r="L31" s="5" t="str">
        <f aca="false">IF(OR(C31="",J31=""),"",J31-C31)</f>
        <v/>
      </c>
    </row>
    <row r="32" customFormat="false" ht="15" hidden="false" customHeight="false" outlineLevel="0" collapsed="false">
      <c r="A32" s="5" t="str">
        <f aca="false">IF(E32="","",ROW()-4)</f>
        <v/>
      </c>
      <c r="B32" s="6"/>
      <c r="C32" s="7"/>
      <c r="D32" s="6"/>
      <c r="E32" s="6"/>
      <c r="F32" s="6"/>
      <c r="G32" s="6"/>
      <c r="H32" s="6"/>
      <c r="I32" s="6"/>
      <c r="J32" s="7"/>
      <c r="K32" s="6"/>
      <c r="L32" s="5" t="str">
        <f aca="false">IF(OR(C32="",J32=""),"",J32-C32)</f>
        <v/>
      </c>
    </row>
    <row r="33" customFormat="false" ht="15" hidden="false" customHeight="false" outlineLevel="0" collapsed="false">
      <c r="A33" s="5" t="str">
        <f aca="false">IF(E33="","",ROW()-4)</f>
        <v/>
      </c>
      <c r="B33" s="6"/>
      <c r="C33" s="7"/>
      <c r="D33" s="6"/>
      <c r="E33" s="6"/>
      <c r="F33" s="6"/>
      <c r="G33" s="6"/>
      <c r="H33" s="6"/>
      <c r="I33" s="6"/>
      <c r="J33" s="7"/>
      <c r="K33" s="6"/>
      <c r="L33" s="5" t="str">
        <f aca="false">IF(OR(C33="",J33=""),"",J33-C33)</f>
        <v/>
      </c>
    </row>
    <row r="34" customFormat="false" ht="15" hidden="false" customHeight="false" outlineLevel="0" collapsed="false">
      <c r="A34" s="5" t="str">
        <f aca="false">IF(E34="","",ROW()-4)</f>
        <v/>
      </c>
      <c r="B34" s="6"/>
      <c r="C34" s="7"/>
      <c r="D34" s="6"/>
      <c r="E34" s="6"/>
      <c r="F34" s="6"/>
      <c r="G34" s="6"/>
      <c r="H34" s="6"/>
      <c r="I34" s="6"/>
      <c r="J34" s="7"/>
      <c r="K34" s="6"/>
      <c r="L34" s="5" t="str">
        <f aca="false">IF(OR(C34="",J34=""),"",J34-C34)</f>
        <v/>
      </c>
    </row>
    <row r="35" customFormat="false" ht="15" hidden="false" customHeight="false" outlineLevel="0" collapsed="false">
      <c r="A35" s="5" t="str">
        <f aca="false">IF(E35="","",ROW()-4)</f>
        <v/>
      </c>
      <c r="B35" s="6"/>
      <c r="C35" s="7"/>
      <c r="D35" s="6"/>
      <c r="E35" s="6"/>
      <c r="F35" s="6"/>
      <c r="G35" s="6"/>
      <c r="H35" s="6"/>
      <c r="I35" s="6"/>
      <c r="J35" s="7"/>
      <c r="K35" s="6"/>
      <c r="L35" s="5" t="str">
        <f aca="false">IF(OR(C35="",J35=""),"",J35-C35)</f>
        <v/>
      </c>
    </row>
    <row r="36" customFormat="false" ht="15" hidden="false" customHeight="false" outlineLevel="0" collapsed="false">
      <c r="A36" s="5" t="str">
        <f aca="false">IF(E36="","",ROW()-4)</f>
        <v/>
      </c>
      <c r="B36" s="6"/>
      <c r="C36" s="7"/>
      <c r="D36" s="6"/>
      <c r="E36" s="6"/>
      <c r="F36" s="6"/>
      <c r="G36" s="6"/>
      <c r="H36" s="6"/>
      <c r="I36" s="6"/>
      <c r="J36" s="7"/>
      <c r="K36" s="6"/>
      <c r="L36" s="5" t="str">
        <f aca="false">IF(OR(C36="",J36=""),"",J36-C36)</f>
        <v/>
      </c>
    </row>
    <row r="37" customFormat="false" ht="15" hidden="false" customHeight="false" outlineLevel="0" collapsed="false">
      <c r="A37" s="5" t="str">
        <f aca="false">IF(E37="","",ROW()-4)</f>
        <v/>
      </c>
      <c r="B37" s="6"/>
      <c r="C37" s="7"/>
      <c r="D37" s="6"/>
      <c r="E37" s="6"/>
      <c r="F37" s="6"/>
      <c r="G37" s="6"/>
      <c r="H37" s="6"/>
      <c r="I37" s="6"/>
      <c r="J37" s="7"/>
      <c r="K37" s="6"/>
      <c r="L37" s="5" t="str">
        <f aca="false">IF(OR(C37="",J37=""),"",J37-C37)</f>
        <v/>
      </c>
    </row>
    <row r="38" customFormat="false" ht="15" hidden="false" customHeight="false" outlineLevel="0" collapsed="false">
      <c r="A38" s="5" t="str">
        <f aca="false">IF(E38="","",ROW()-4)</f>
        <v/>
      </c>
      <c r="B38" s="6"/>
      <c r="C38" s="7"/>
      <c r="D38" s="6"/>
      <c r="E38" s="6"/>
      <c r="F38" s="6"/>
      <c r="G38" s="6"/>
      <c r="H38" s="6"/>
      <c r="I38" s="6"/>
      <c r="J38" s="7"/>
      <c r="K38" s="6"/>
      <c r="L38" s="5" t="str">
        <f aca="false">IF(OR(C38="",J38=""),"",J38-C38)</f>
        <v/>
      </c>
    </row>
    <row r="39" customFormat="false" ht="15" hidden="false" customHeight="false" outlineLevel="0" collapsed="false">
      <c r="A39" s="5" t="str">
        <f aca="false">IF(E39="","",ROW()-4)</f>
        <v/>
      </c>
      <c r="B39" s="6"/>
      <c r="C39" s="7"/>
      <c r="D39" s="6"/>
      <c r="E39" s="6"/>
      <c r="F39" s="6"/>
      <c r="G39" s="6"/>
      <c r="H39" s="6"/>
      <c r="I39" s="6"/>
      <c r="J39" s="7"/>
      <c r="K39" s="6"/>
      <c r="L39" s="5" t="str">
        <f aca="false">IF(OR(C39="",J39=""),"",J39-C39)</f>
        <v/>
      </c>
    </row>
    <row r="40" customFormat="false" ht="15" hidden="false" customHeight="false" outlineLevel="0" collapsed="false">
      <c r="A40" s="5" t="str">
        <f aca="false">IF(E40="","",ROW()-4)</f>
        <v/>
      </c>
      <c r="B40" s="6"/>
      <c r="C40" s="7"/>
      <c r="D40" s="6"/>
      <c r="E40" s="6"/>
      <c r="F40" s="6"/>
      <c r="G40" s="6"/>
      <c r="H40" s="6"/>
      <c r="I40" s="6"/>
      <c r="J40" s="7"/>
      <c r="K40" s="6"/>
      <c r="L40" s="5" t="str">
        <f aca="false">IF(OR(C40="",J40=""),"",J40-C40)</f>
        <v/>
      </c>
    </row>
    <row r="41" customFormat="false" ht="15" hidden="false" customHeight="false" outlineLevel="0" collapsed="false">
      <c r="A41" s="5" t="str">
        <f aca="false">IF(E41="","",ROW()-4)</f>
        <v/>
      </c>
      <c r="B41" s="6"/>
      <c r="C41" s="7"/>
      <c r="D41" s="6"/>
      <c r="E41" s="6"/>
      <c r="F41" s="6"/>
      <c r="G41" s="6"/>
      <c r="H41" s="6"/>
      <c r="I41" s="6"/>
      <c r="J41" s="7"/>
      <c r="K41" s="6"/>
      <c r="L41" s="5" t="str">
        <f aca="false">IF(OR(C41="",J41=""),"",J41-C41)</f>
        <v/>
      </c>
    </row>
    <row r="42" customFormat="false" ht="15" hidden="false" customHeight="false" outlineLevel="0" collapsed="false">
      <c r="A42" s="5" t="str">
        <f aca="false">IF(E42="","",ROW()-4)</f>
        <v/>
      </c>
      <c r="B42" s="6"/>
      <c r="C42" s="7"/>
      <c r="D42" s="6"/>
      <c r="E42" s="6"/>
      <c r="F42" s="6"/>
      <c r="G42" s="6"/>
      <c r="H42" s="6"/>
      <c r="I42" s="6"/>
      <c r="J42" s="7"/>
      <c r="K42" s="6"/>
      <c r="L42" s="5" t="str">
        <f aca="false">IF(OR(C42="",J42=""),"",J42-C42)</f>
        <v/>
      </c>
    </row>
    <row r="43" customFormat="false" ht="15" hidden="false" customHeight="false" outlineLevel="0" collapsed="false">
      <c r="A43" s="5" t="str">
        <f aca="false">IF(E43="","",ROW()-4)</f>
        <v/>
      </c>
      <c r="B43" s="6"/>
      <c r="C43" s="7"/>
      <c r="D43" s="6"/>
      <c r="E43" s="6"/>
      <c r="F43" s="6"/>
      <c r="G43" s="6"/>
      <c r="H43" s="6"/>
      <c r="I43" s="6"/>
      <c r="J43" s="7"/>
      <c r="K43" s="6"/>
      <c r="L43" s="5" t="str">
        <f aca="false">IF(OR(C43="",J43=""),"",J43-C43)</f>
        <v/>
      </c>
    </row>
    <row r="44" customFormat="false" ht="15" hidden="false" customHeight="false" outlineLevel="0" collapsed="false">
      <c r="A44" s="5" t="str">
        <f aca="false">IF(E44="","",ROW()-4)</f>
        <v/>
      </c>
      <c r="B44" s="6"/>
      <c r="C44" s="7"/>
      <c r="D44" s="6"/>
      <c r="E44" s="6"/>
      <c r="F44" s="6"/>
      <c r="G44" s="6"/>
      <c r="H44" s="6"/>
      <c r="I44" s="6"/>
      <c r="J44" s="7"/>
      <c r="K44" s="6"/>
      <c r="L44" s="5" t="str">
        <f aca="false">IF(OR(C44="",J44=""),"",J44-C44)</f>
        <v/>
      </c>
    </row>
    <row r="45" customFormat="false" ht="15" hidden="false" customHeight="false" outlineLevel="0" collapsed="false">
      <c r="A45" s="5" t="str">
        <f aca="false">IF(E45="","",ROW()-4)</f>
        <v/>
      </c>
      <c r="B45" s="6"/>
      <c r="C45" s="7"/>
      <c r="D45" s="6"/>
      <c r="E45" s="6"/>
      <c r="F45" s="6"/>
      <c r="G45" s="6"/>
      <c r="H45" s="6"/>
      <c r="I45" s="6"/>
      <c r="J45" s="7"/>
      <c r="K45" s="6"/>
      <c r="L45" s="5" t="str">
        <f aca="false">IF(OR(C45="",J45=""),"",J45-C45)</f>
        <v/>
      </c>
    </row>
    <row r="46" customFormat="false" ht="15" hidden="false" customHeight="false" outlineLevel="0" collapsed="false">
      <c r="A46" s="5" t="str">
        <f aca="false">IF(E46="","",ROW()-4)</f>
        <v/>
      </c>
      <c r="B46" s="6"/>
      <c r="C46" s="7"/>
      <c r="D46" s="6"/>
      <c r="E46" s="6"/>
      <c r="F46" s="6"/>
      <c r="G46" s="6"/>
      <c r="H46" s="6"/>
      <c r="I46" s="6"/>
      <c r="J46" s="7"/>
      <c r="K46" s="6"/>
      <c r="L46" s="5" t="str">
        <f aca="false">IF(OR(C46="",J46=""),"",J46-C46)</f>
        <v/>
      </c>
    </row>
    <row r="47" customFormat="false" ht="15" hidden="false" customHeight="false" outlineLevel="0" collapsed="false">
      <c r="A47" s="5" t="str">
        <f aca="false">IF(E47="","",ROW()-4)</f>
        <v/>
      </c>
      <c r="B47" s="6"/>
      <c r="C47" s="7"/>
      <c r="D47" s="6"/>
      <c r="E47" s="6"/>
      <c r="F47" s="6"/>
      <c r="G47" s="6"/>
      <c r="H47" s="6"/>
      <c r="I47" s="6"/>
      <c r="J47" s="7"/>
      <c r="K47" s="6"/>
      <c r="L47" s="5" t="str">
        <f aca="false">IF(OR(C47="",J47=""),"",J47-C47)</f>
        <v/>
      </c>
    </row>
    <row r="48" customFormat="false" ht="15" hidden="false" customHeight="false" outlineLevel="0" collapsed="false">
      <c r="A48" s="5" t="str">
        <f aca="false">IF(E48="","",ROW()-4)</f>
        <v/>
      </c>
      <c r="B48" s="6"/>
      <c r="C48" s="7"/>
      <c r="D48" s="6"/>
      <c r="E48" s="6"/>
      <c r="F48" s="6"/>
      <c r="G48" s="6"/>
      <c r="H48" s="6"/>
      <c r="I48" s="6"/>
      <c r="J48" s="7"/>
      <c r="K48" s="6"/>
      <c r="L48" s="5" t="str">
        <f aca="false">IF(OR(C48="",J48=""),"",J48-C48)</f>
        <v/>
      </c>
    </row>
    <row r="49" customFormat="false" ht="15" hidden="false" customHeight="false" outlineLevel="0" collapsed="false">
      <c r="A49" s="5" t="str">
        <f aca="false">IF(E49="","",ROW()-4)</f>
        <v/>
      </c>
      <c r="B49" s="6"/>
      <c r="C49" s="7"/>
      <c r="D49" s="6"/>
      <c r="E49" s="6"/>
      <c r="F49" s="6"/>
      <c r="G49" s="6"/>
      <c r="H49" s="6"/>
      <c r="I49" s="6"/>
      <c r="J49" s="7"/>
      <c r="K49" s="6"/>
      <c r="L49" s="5" t="str">
        <f aca="false">IF(OR(C49="",J49=""),"",J49-C49)</f>
        <v/>
      </c>
    </row>
    <row r="50" customFormat="false" ht="15" hidden="false" customHeight="false" outlineLevel="0" collapsed="false">
      <c r="A50" s="5" t="str">
        <f aca="false">IF(E50="","",ROW()-4)</f>
        <v/>
      </c>
      <c r="B50" s="6"/>
      <c r="C50" s="7"/>
      <c r="D50" s="6"/>
      <c r="E50" s="6"/>
      <c r="F50" s="6"/>
      <c r="G50" s="6"/>
      <c r="H50" s="6"/>
      <c r="I50" s="6"/>
      <c r="J50" s="7"/>
      <c r="K50" s="6"/>
      <c r="L50" s="5" t="str">
        <f aca="false">IF(OR(C50="",J50=""),"",J50-C50)</f>
        <v/>
      </c>
    </row>
    <row r="51" customFormat="false" ht="15" hidden="false" customHeight="false" outlineLevel="0" collapsed="false">
      <c r="A51" s="5" t="str">
        <f aca="false">IF(E51="","",ROW()-4)</f>
        <v/>
      </c>
      <c r="B51" s="6"/>
      <c r="C51" s="7"/>
      <c r="D51" s="6"/>
      <c r="E51" s="6"/>
      <c r="F51" s="6"/>
      <c r="G51" s="6"/>
      <c r="H51" s="6"/>
      <c r="I51" s="6"/>
      <c r="J51" s="7"/>
      <c r="K51" s="6"/>
      <c r="L51" s="5" t="str">
        <f aca="false">IF(OR(C51="",J51=""),"",J51-C51)</f>
        <v/>
      </c>
    </row>
    <row r="52" customFormat="false" ht="15" hidden="false" customHeight="false" outlineLevel="0" collapsed="false">
      <c r="A52" s="5" t="str">
        <f aca="false">IF(E52="","",ROW()-4)</f>
        <v/>
      </c>
      <c r="B52" s="6"/>
      <c r="C52" s="7"/>
      <c r="D52" s="6"/>
      <c r="E52" s="6"/>
      <c r="F52" s="6"/>
      <c r="G52" s="6"/>
      <c r="H52" s="6"/>
      <c r="I52" s="6"/>
      <c r="J52" s="7"/>
      <c r="K52" s="6"/>
      <c r="L52" s="5" t="str">
        <f aca="false">IF(OR(C52="",J52=""),"",J52-C52)</f>
        <v/>
      </c>
    </row>
    <row r="53" customFormat="false" ht="15" hidden="false" customHeight="false" outlineLevel="0" collapsed="false">
      <c r="A53" s="5" t="str">
        <f aca="false">IF(E53="","",ROW()-4)</f>
        <v/>
      </c>
      <c r="B53" s="6"/>
      <c r="C53" s="7"/>
      <c r="D53" s="6"/>
      <c r="E53" s="6"/>
      <c r="F53" s="6"/>
      <c r="G53" s="6"/>
      <c r="H53" s="6"/>
      <c r="I53" s="6"/>
      <c r="J53" s="7"/>
      <c r="K53" s="6"/>
      <c r="L53" s="5" t="str">
        <f aca="false">IF(OR(C53="",J53=""),"",J53-C53)</f>
        <v/>
      </c>
    </row>
    <row r="54" customFormat="false" ht="15" hidden="false" customHeight="false" outlineLevel="0" collapsed="false">
      <c r="A54" s="5" t="str">
        <f aca="false">IF(E54="","",ROW()-4)</f>
        <v/>
      </c>
      <c r="B54" s="6"/>
      <c r="C54" s="7"/>
      <c r="D54" s="6"/>
      <c r="E54" s="6"/>
      <c r="F54" s="6"/>
      <c r="G54" s="6"/>
      <c r="H54" s="6"/>
      <c r="I54" s="6"/>
      <c r="J54" s="7"/>
      <c r="K54" s="6"/>
      <c r="L54" s="5" t="str">
        <f aca="false">IF(OR(C54="",J54=""),"",J54-C54)</f>
        <v/>
      </c>
    </row>
    <row r="55" customFormat="false" ht="15" hidden="false" customHeight="false" outlineLevel="0" collapsed="false">
      <c r="A55" s="5" t="str">
        <f aca="false">IF(E55="","",ROW()-4)</f>
        <v/>
      </c>
      <c r="B55" s="6"/>
      <c r="C55" s="7"/>
      <c r="D55" s="6"/>
      <c r="E55" s="6"/>
      <c r="F55" s="6"/>
      <c r="G55" s="6"/>
      <c r="H55" s="6"/>
      <c r="I55" s="6"/>
      <c r="J55" s="7"/>
      <c r="K55" s="6"/>
      <c r="L55" s="5" t="str">
        <f aca="false">IF(OR(C55="",J55=""),"",J55-C55)</f>
        <v/>
      </c>
    </row>
    <row r="56" customFormat="false" ht="15" hidden="false" customHeight="false" outlineLevel="0" collapsed="false">
      <c r="A56" s="5" t="str">
        <f aca="false">IF(E56="","",ROW()-4)</f>
        <v/>
      </c>
      <c r="B56" s="6"/>
      <c r="C56" s="7"/>
      <c r="D56" s="6"/>
      <c r="E56" s="6"/>
      <c r="F56" s="6"/>
      <c r="G56" s="6"/>
      <c r="H56" s="6"/>
      <c r="I56" s="6"/>
      <c r="J56" s="7"/>
      <c r="K56" s="6"/>
      <c r="L56" s="5" t="str">
        <f aca="false">IF(OR(C56="",J56=""),"",J56-C56)</f>
        <v/>
      </c>
    </row>
    <row r="57" customFormat="false" ht="15" hidden="false" customHeight="false" outlineLevel="0" collapsed="false">
      <c r="A57" s="5" t="str">
        <f aca="false">IF(E57="","",ROW()-4)</f>
        <v/>
      </c>
      <c r="B57" s="6"/>
      <c r="C57" s="7"/>
      <c r="D57" s="6"/>
      <c r="E57" s="6"/>
      <c r="F57" s="6"/>
      <c r="G57" s="6"/>
      <c r="H57" s="6"/>
      <c r="I57" s="6"/>
      <c r="J57" s="7"/>
      <c r="K57" s="6"/>
      <c r="L57" s="5" t="str">
        <f aca="false">IF(OR(C57="",J57=""),"",J57-C57)</f>
        <v/>
      </c>
    </row>
    <row r="58" customFormat="false" ht="15" hidden="false" customHeight="false" outlineLevel="0" collapsed="false">
      <c r="A58" s="5" t="str">
        <f aca="false">IF(E58="","",ROW()-4)</f>
        <v/>
      </c>
      <c r="B58" s="6"/>
      <c r="C58" s="7"/>
      <c r="D58" s="6"/>
      <c r="E58" s="6"/>
      <c r="F58" s="6"/>
      <c r="G58" s="6"/>
      <c r="H58" s="6"/>
      <c r="I58" s="6"/>
      <c r="J58" s="7"/>
      <c r="K58" s="6"/>
      <c r="L58" s="5" t="str">
        <f aca="false">IF(OR(C58="",J58=""),"",J58-C58)</f>
        <v/>
      </c>
    </row>
    <row r="59" customFormat="false" ht="15" hidden="false" customHeight="false" outlineLevel="0" collapsed="false">
      <c r="A59" s="5" t="str">
        <f aca="false">IF(E59="","",ROW()-4)</f>
        <v/>
      </c>
      <c r="B59" s="6"/>
      <c r="C59" s="7"/>
      <c r="D59" s="6"/>
      <c r="E59" s="6"/>
      <c r="F59" s="6"/>
      <c r="G59" s="6"/>
      <c r="H59" s="6"/>
      <c r="I59" s="6"/>
      <c r="J59" s="7"/>
      <c r="K59" s="6"/>
      <c r="L59" s="5" t="str">
        <f aca="false">IF(OR(C59="",J59=""),"",J59-C59)</f>
        <v/>
      </c>
    </row>
    <row r="60" customFormat="false" ht="15" hidden="false" customHeight="false" outlineLevel="0" collapsed="false">
      <c r="A60" s="5" t="str">
        <f aca="false">IF(E60="","",ROW()-4)</f>
        <v/>
      </c>
      <c r="B60" s="6"/>
      <c r="C60" s="7"/>
      <c r="D60" s="6"/>
      <c r="E60" s="6"/>
      <c r="F60" s="6"/>
      <c r="G60" s="6"/>
      <c r="H60" s="6"/>
      <c r="I60" s="6"/>
      <c r="J60" s="7"/>
      <c r="K60" s="6"/>
      <c r="L60" s="5" t="str">
        <f aca="false">IF(OR(C60="",J60=""),"",J60-C60)</f>
        <v/>
      </c>
    </row>
    <row r="61" customFormat="false" ht="15" hidden="false" customHeight="false" outlineLevel="0" collapsed="false">
      <c r="A61" s="5" t="str">
        <f aca="false">IF(E61="","",ROW()-4)</f>
        <v/>
      </c>
      <c r="B61" s="6"/>
      <c r="C61" s="7"/>
      <c r="D61" s="6"/>
      <c r="E61" s="6"/>
      <c r="F61" s="6"/>
      <c r="G61" s="6"/>
      <c r="H61" s="6"/>
      <c r="I61" s="6"/>
      <c r="J61" s="7"/>
      <c r="K61" s="6"/>
      <c r="L61" s="5" t="str">
        <f aca="false">IF(OR(C61="",J61=""),"",J61-C61)</f>
        <v/>
      </c>
    </row>
    <row r="62" customFormat="false" ht="15" hidden="false" customHeight="false" outlineLevel="0" collapsed="false">
      <c r="A62" s="5" t="str">
        <f aca="false">IF(E62="","",ROW()-4)</f>
        <v/>
      </c>
      <c r="B62" s="6"/>
      <c r="C62" s="7"/>
      <c r="D62" s="6"/>
      <c r="E62" s="6"/>
      <c r="F62" s="6"/>
      <c r="G62" s="6"/>
      <c r="H62" s="6"/>
      <c r="I62" s="6"/>
      <c r="J62" s="7"/>
      <c r="K62" s="6"/>
      <c r="L62" s="5" t="str">
        <f aca="false">IF(OR(C62="",J62=""),"",J62-C62)</f>
        <v/>
      </c>
    </row>
    <row r="63" customFormat="false" ht="15" hidden="false" customHeight="false" outlineLevel="0" collapsed="false">
      <c r="A63" s="5" t="str">
        <f aca="false">IF(E63="","",ROW()-4)</f>
        <v/>
      </c>
      <c r="B63" s="6"/>
      <c r="C63" s="7"/>
      <c r="D63" s="6"/>
      <c r="E63" s="6"/>
      <c r="F63" s="6"/>
      <c r="G63" s="6"/>
      <c r="H63" s="6"/>
      <c r="I63" s="6"/>
      <c r="J63" s="7"/>
      <c r="K63" s="6"/>
      <c r="L63" s="5" t="str">
        <f aca="false">IF(OR(C63="",J63=""),"",J63-C63)</f>
        <v/>
      </c>
    </row>
    <row r="64" customFormat="false" ht="15" hidden="false" customHeight="false" outlineLevel="0" collapsed="false">
      <c r="A64" s="5" t="str">
        <f aca="false">IF(E64="","",ROW()-4)</f>
        <v/>
      </c>
      <c r="B64" s="6"/>
      <c r="C64" s="7"/>
      <c r="D64" s="6"/>
      <c r="E64" s="6"/>
      <c r="F64" s="6"/>
      <c r="G64" s="6"/>
      <c r="H64" s="6"/>
      <c r="I64" s="6"/>
      <c r="J64" s="7"/>
      <c r="K64" s="6"/>
      <c r="L64" s="5" t="str">
        <f aca="false">IF(OR(C64="",J64=""),"",J64-C64)</f>
        <v/>
      </c>
    </row>
  </sheetData>
  <dataValidations count="3">
    <dataValidation allowBlank="true" errorStyle="stop" operator="between" showDropDown="false" showErrorMessage="false" showInputMessage="false" sqref="B5:B64" type="list">
      <formula1>"Monday,Wednesday,Thursday,Friday,Saturday"</formula1>
      <formula2>0</formula2>
    </dataValidation>
    <dataValidation allowBlank="true" errorStyle="stop" operator="between" showDropDown="false" showErrorMessage="false" showInputMessage="false" sqref="D5:D64" type="list">
      <formula1>"1 revenue,2 bookings,3 billing,4 no-shows,5 campaign"</formula1>
      <formula2>0</formula2>
    </dataValidation>
    <dataValidation allowBlank="true" errorStyle="stop" operator="between" showDropDown="false" showErrorMessage="false" showInputMessage="false" sqref="I5:I64" type="list">
      <formula1>"open,resolved"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3" t="s">
        <v>22</v>
      </c>
    </row>
    <row r="4" customFormat="false" ht="15" hidden="false" customHeight="false" outlineLevel="0" collapsed="false">
      <c r="A4" s="8" t="s">
        <v>23</v>
      </c>
      <c r="B4" s="5" t="n">
        <f aca="false">COUNTA(Log!E5:E64)</f>
        <v>0</v>
      </c>
    </row>
    <row r="5" customFormat="false" ht="15" hidden="false" customHeight="false" outlineLevel="0" collapsed="false">
      <c r="A5" s="8" t="s">
        <v>24</v>
      </c>
      <c r="B5" s="5" t="n">
        <f aca="false">COUNTIFS(Log!E5:E64,"&lt;&gt;",Log!I5:I64,"open")</f>
        <v>0</v>
      </c>
    </row>
    <row r="6" customFormat="false" ht="15" hidden="false" customHeight="false" outlineLevel="0" collapsed="false">
      <c r="A6" s="8" t="s">
        <v>25</v>
      </c>
      <c r="B6" s="5" t="n">
        <f aca="false">COUNTIFS(Log!E5:E64,"&lt;&gt;",Log!I5:I64,"resolved")</f>
        <v>0</v>
      </c>
    </row>
    <row r="7" customFormat="false" ht="15" hidden="false" customHeight="false" outlineLevel="0" collapsed="false">
      <c r="A7" s="8" t="s">
        <v>26</v>
      </c>
      <c r="B7" s="5" t="n">
        <f aca="false">B4-B5-B6</f>
        <v>0</v>
      </c>
    </row>
    <row r="8" customFormat="false" ht="15" hidden="false" customHeight="false" outlineLevel="0" collapsed="false">
      <c r="A8" s="8" t="s">
        <v>27</v>
      </c>
      <c r="B8" s="5" t="n">
        <f aca="false">SUM(Log!K5:K64)</f>
        <v>0</v>
      </c>
    </row>
    <row r="9" customFormat="false" ht="15" hidden="false" customHeight="false" outlineLevel="0" collapsed="false">
      <c r="A9" s="8" t="s">
        <v>28</v>
      </c>
      <c r="B9" s="5" t="n">
        <f aca="false">IF(B6=0,0,MAX(Log!L5:L64))</f>
        <v>0</v>
      </c>
    </row>
    <row r="11" customFormat="false" ht="15" hidden="false" customHeight="false" outlineLevel="0" collapsed="false">
      <c r="A11" s="8" t="s">
        <v>29</v>
      </c>
      <c r="B11" s="9" t="str">
        <f aca="false">IF(B4=0,"No entries yet: write entry one before the close",IF(B7&gt;0,B7&amp;" entries have no status: mark each open or resolved",IF(B5=0,"All "&amp;B4&amp;" resolved: the log is ready for the viva",B5&amp;" open of "&amp;B4&amp;": take the oldest open one to the checkpoint")))</f>
        <v>No entries yet: write entry one before the close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36"/>
    <col collapsed="false" customWidth="true" hidden="false" outlineLevel="0" max="8" min="8" style="0" width="40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2" min="11" style="0" width="1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3" t="s">
        <v>31</v>
      </c>
    </row>
    <row r="4" customFormat="false" ht="26.8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</row>
    <row r="5" customFormat="false" ht="39.55" hidden="false" customHeight="false" outlineLevel="0" collapsed="false">
      <c r="A5" s="10" t="n">
        <v>1</v>
      </c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33</v>
      </c>
      <c r="K5" s="10" t="n">
        <v>20</v>
      </c>
      <c r="L5" s="10" t="n">
        <v>0</v>
      </c>
    </row>
    <row r="7" customFormat="false" ht="15" hidden="false" customHeight="false" outlineLevel="0" collapsed="false">
      <c r="A7" s="1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2026-09-29T17:32:44Z</dcterms:created>
  <dc:creator>openpyxl</dc:creator>
  <dc:description/>
  <dc:language>en-US</dc:language>
  <cp:lastModifiedBy/>
  <dcterms:modified xsi:type="dcterms:W3CDTF">2026-09-29T17:32:44Z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