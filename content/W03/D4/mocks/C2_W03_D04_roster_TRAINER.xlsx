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Settings" sheetId="2" state="visible" r:id="rId2"/>
    <sheet xmlns:r="http://schemas.openxmlformats.org/officeDocument/2006/relationships" name="Sets" sheetId="3" state="visible" r:id="rId3"/>
    <sheet xmlns:r="http://schemas.openxmlformats.org/officeDocument/2006/relationships" name="Groups" sheetId="4" state="visible" r:id="rId4"/>
    <sheet xmlns:r="http://schemas.openxmlformats.org/officeDocument/2006/relationships" name="Seats" sheetId="5" state="visible" r:id="rId5"/>
    <sheet xmlns:r="http://schemas.openxmlformats.org/officeDocument/2006/relationships" name="Roster" sheetId="6" state="visible" r:id="rId6"/>
    <sheet xmlns:r="http://schemas.openxmlformats.org/officeDocument/2006/relationships" name="Grid" sheetId="7" state="visible" r:id="rId7"/>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0"/>
    </font>
    <font>
      <name val="Arial"/>
      <sz val="10"/>
    </font>
    <font>
      <name val="Arial"/>
      <color rgb="000000FF"/>
      <sz val="10"/>
    </font>
  </fonts>
  <fills count="4">
    <fill>
      <patternFill/>
    </fill>
    <fill>
      <patternFill patternType="gray125"/>
    </fill>
    <fill>
      <patternFill patternType="solid">
        <fgColor rgb="00FFF4C2"/>
      </patternFill>
    </fill>
    <fill>
      <patternFill patternType="solid">
        <fgColor rgb="00D9D9D9"/>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2" borderId="0" applyAlignment="1" pivotButton="0" quotePrefix="0" xfId="0">
      <alignment vertical="top" wrapText="1"/>
    </xf>
    <xf numFmtId="0" fontId="1"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9"/>
  <sheetViews>
    <sheetView workbookViewId="0">
      <selection activeCell="A1" sqref="A1"/>
    </sheetView>
  </sheetViews>
  <sheetFormatPr baseColWidth="8" defaultRowHeight="15"/>
  <cols>
    <col width="120" customWidth="1" min="1" max="1"/>
  </cols>
  <sheetData>
    <row r="1">
      <c r="A1" s="1" t="inlineStr">
        <is>
          <t>Mock R1 roster, Build 1 (TRAINER ONLY)</t>
        </is>
      </c>
    </row>
    <row r="2">
      <c r="A2" s="2" t="inlineStr">
        <is>
          <t>Seats and groups, never names. Durations only: every time is a minute inside a 180-minute block.</t>
        </is>
      </c>
    </row>
    <row r="4">
      <c r="A4" s="1" t="inlineStr">
        <is>
          <t>Which cells do you edit?</t>
        </is>
      </c>
    </row>
    <row r="5">
      <c r="A5" s="2" t="inlineStr">
        <is>
          <t>Yellow cells with blue text are the inputs: the slot, changeover, huddle and close minutes on Settings; each group's sub-problem on Groups, chosen from its list after Monday's allocation; and each seat's present flag on Seats. Every other cell is a formula.</t>
        </is>
      </c>
    </row>
    <row r="7">
      <c r="A7" s="1" t="inlineStr">
        <is>
          <t>How does the default work?</t>
        </is>
      </c>
    </row>
    <row r="8">
      <c r="A8" s="2" t="inlineStr">
        <is>
          <t>35 seats in nine groups, eight of four and G9 of three, as data/programme/facts.yaml states the cohort. The Programme Head changes the group sizes on Seats if Monday's allocation differs.</t>
        </is>
      </c>
    </row>
    <row r="9">
      <c r="A9" s="2" t="inlineStr">
        <is>
          <t>The call order on Seats takes seat 1 of every group, then seat 2 of every group, and so on, and each slot fills the three assessors in call order, so the three learners out at once come from three different groups and every group keeps building while one member is out.</t>
        </is>
      </c>
    </row>
    <row r="10">
      <c r="A10" s="2" t="inlineStr">
        <is>
          <t>The Programme Head and the Academic TA take 12 learners each in person, and the Principal Advisor takes 11 online and holds the spare slot at the end of the day. Each assessor meets every member of the same three groups: the Programme Head G1, G4 and G7, the Academic TA G2, G5 and G8, and the Principal Advisor G3, G6 and G9, so work carried for a group-mate shows against the others' answers.</t>
        </is>
      </c>
    </row>
    <row r="11">
      <c r="A11" s="2" t="inlineStr">
        <is>
          <t>Each seat's set letter picks its three technical questions from the Sets sheet, consecutive letters within a group, so no two group-mates meet the same set. Its seat number picks its viva probe: seat 1 takes P1. Where a set's question sits close to the group's own sub-problem, the Sets sheet's swap table puts the reserve in its place, and the Seats, Roster and Grid sheets print the swapped question.</t>
        </is>
      </c>
    </row>
    <row r="12">
      <c r="A12" s="2" t="inlineStr">
        <is>
          <t>Print the Grid sheet for the huddle: one row per slot, one column per assessor.</t>
        </is>
      </c>
    </row>
    <row r="14">
      <c r="A14" s="1" t="inlineStr">
        <is>
          <t>What moves when a learner is absent?</t>
        </is>
      </c>
    </row>
    <row r="15">
      <c r="A15" s="2" t="inlineStr">
        <is>
          <t>Known before the day: set that seat's present flag to no. The queue closes up and the day ends one slot sooner for one assessor. Then read the clash count on Settings: above zero means two group-mates now share a slot, so swap two rows' call order on Seats until it reads zero.</t>
        </is>
      </c>
    </row>
    <row r="16">
      <c r="A16" s="2" t="inlineStr">
        <is>
          <t>Found on the day: do not edit the workbook. The absent learner's slot becomes a free slot for that assessor. A learner who arrives later takes the spare slot or the first free slot, and a learner absent all day is listed for a make-up, which the Programme Head schedules.</t>
        </is>
      </c>
    </row>
    <row r="18">
      <c r="A18" s="1" t="inlineStr">
        <is>
          <t>What moves when an assessor is out?</t>
        </is>
      </c>
    </row>
    <row r="19">
      <c r="A19" s="2" t="inlineStr">
        <is>
          <t>The grid assumes three assessors. If one is out for part of the day, their learners move first to the other two assessors' free and spare slots, then to the open build time after the second block. The day sheet carries this plan.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7"/>
  <sheetViews>
    <sheetView workbookViewId="0">
      <selection activeCell="A1" sqref="A1"/>
    </sheetView>
  </sheetViews>
  <sheetFormatPr baseColWidth="8" defaultRowHeight="15"/>
  <cols>
    <col width="44" customWidth="1" min="1" max="1"/>
    <col width="30" customWidth="1" min="2" max="2"/>
    <col width="18" customWidth="1" min="3" max="3"/>
    <col width="18" customWidth="1" min="4" max="4"/>
    <col width="22" customWidth="1" min="5" max="5"/>
  </cols>
  <sheetData>
    <row r="1">
      <c r="A1" s="1" t="inlineStr">
        <is>
          <t>Settings and the day's verdict</t>
        </is>
      </c>
    </row>
    <row r="3">
      <c r="A3" s="2" t="inlineStr">
        <is>
          <t>Mock slot, minutes</t>
        </is>
      </c>
      <c r="B3" s="3" t="n">
        <v>20</v>
      </c>
      <c r="C3" s="2" t="inlineStr">
        <is>
          <t>The row: roughly 20 minutes each.</t>
        </is>
      </c>
    </row>
    <row r="4">
      <c r="A4" s="2" t="inlineStr">
        <is>
          <t>Changeover, minutes</t>
        </is>
      </c>
      <c r="B4" s="3" t="n">
        <v>5</v>
      </c>
      <c r="C4" s="2" t="inlineStr">
        <is>
          <t>The assessor finishes the evidence note and enters the marks.</t>
        </is>
      </c>
    </row>
    <row r="5">
      <c r="A5" s="2" t="inlineStr">
        <is>
          <t>Block length, minutes</t>
        </is>
      </c>
      <c r="B5" s="3" t="n">
        <v>180</v>
      </c>
      <c r="C5" s="2" t="inlineStr">
        <is>
          <t>data/programme/facts.yaml: two blocks of 180 minutes.</t>
        </is>
      </c>
    </row>
    <row r="6">
      <c r="A6" s="2" t="inlineStr">
        <is>
          <t>Assessors' huddle at the start of block 1, minutes</t>
        </is>
      </c>
      <c r="B6" s="3" t="n">
        <v>10</v>
      </c>
      <c r="C6" s="2" t="inlineStr">
        <is>
          <t>Calibration before the first mock.</t>
        </is>
      </c>
    </row>
    <row r="7">
      <c r="A7" s="2" t="inlineStr">
        <is>
          <t>Close at the end of block 2, minutes</t>
        </is>
      </c>
      <c r="B7" s="3" t="n">
        <v>15</v>
      </c>
      <c r="C7" s="2" t="inlineStr">
        <is>
          <t>The row: the close-out, 15 minutes.</t>
        </is>
      </c>
    </row>
    <row r="8">
      <c r="A8" s="2" t="inlineStr">
        <is>
          <t>One slot and its changeover, minutes</t>
        </is>
      </c>
      <c r="B8" s="2">
        <f>B3+B4</f>
        <v/>
      </c>
    </row>
    <row r="9">
      <c r="A9" s="2" t="inlineStr">
        <is>
          <t>Slots per assessor in block 1</t>
        </is>
      </c>
      <c r="B9" s="2">
        <f>INT((B5-B6)/B8)</f>
        <v/>
      </c>
    </row>
    <row r="10">
      <c r="A10" s="2" t="inlineStr">
        <is>
          <t>Slots per assessor in block 2</t>
        </is>
      </c>
      <c r="B10" s="2">
        <f>INT((B5-B7)/B8)</f>
        <v/>
      </c>
    </row>
    <row r="11">
      <c r="A11" s="2" t="inlineStr">
        <is>
          <t>Slots per assessor in the day</t>
        </is>
      </c>
      <c r="B11" s="2">
        <f>B9+B10</f>
        <v/>
      </c>
    </row>
    <row r="12">
      <c r="A12" s="2" t="inlineStr">
        <is>
          <t>Assessors</t>
        </is>
      </c>
      <c r="B12" s="2" t="n">
        <v>3</v>
      </c>
    </row>
    <row r="13">
      <c r="A13" s="2" t="inlineStr">
        <is>
          <t>Mock places in the day</t>
        </is>
      </c>
      <c r="B13" s="2">
        <f>B11*B12</f>
        <v/>
      </c>
    </row>
    <row r="14">
      <c r="A14" s="2" t="inlineStr">
        <is>
          <t>Learners present</t>
        </is>
      </c>
      <c r="B14" s="2">
        <f>COUNTIF(Seats!G2:G36,"yes")</f>
        <v/>
      </c>
    </row>
    <row r="15">
      <c r="A15" s="2" t="inlineStr">
        <is>
          <t>Spare places</t>
        </is>
      </c>
      <c r="B15" s="2">
        <f>B13-B14</f>
        <v/>
      </c>
    </row>
    <row r="16">
      <c r="A16" s="2" t="inlineStr">
        <is>
          <t>Verdict</t>
        </is>
      </c>
      <c r="B16" s="2">
        <f>IF(B14&lt;=B13,"fits: "&amp;B13&amp;" slots for "&amp;B14&amp;" learners","does not fit: "&amp;(B14-B13)&amp;" learners without a slot")</f>
        <v/>
      </c>
    </row>
    <row r="17">
      <c r="A17" s="2" t="inlineStr">
        <is>
          <t>Last mock of the day ends at</t>
        </is>
      </c>
      <c r="B17" s="2">
        <f>IF(B14&gt;B13,"after the day",IF(ROUNDUP(B14/B12,0)&lt;=B9,"block 1, minute "&amp;(B6+ROUNDUP(B14/B12,0)*B8-B4),"block 2, minute "&amp;((ROUNDUP(B14/B12,0)-B9)*B8-B4)))</f>
        <v/>
      </c>
    </row>
    <row r="18">
      <c r="A18" s="2" t="inlineStr">
        <is>
          <t>Close starts at</t>
        </is>
      </c>
      <c r="B18" s="2">
        <f>"block 2, minute "&amp;(B5-B7)</f>
        <v/>
      </c>
    </row>
    <row r="19">
      <c r="A19" s="2" t="inlineStr">
        <is>
          <t>Slots where two group-mates are out at once</t>
        </is>
      </c>
      <c r="B19" s="2">
        <f>COUNTIF(Roster!L2:L43,"yes")</f>
        <v/>
      </c>
      <c r="C19" s="2" t="inlineStr">
        <is>
          <t>Zero by default. Above zero after an absence: swap call orders on Seats.</t>
        </is>
      </c>
    </row>
    <row r="20">
      <c r="A20" s="2" t="inlineStr">
        <is>
          <t>Assessor minutes in mocks</t>
        </is>
      </c>
      <c r="B20" s="2">
        <f>B14*B3</f>
        <v/>
      </c>
    </row>
    <row r="22">
      <c r="A22" s="1" t="inlineStr">
        <is>
          <t>Load per assessor</t>
        </is>
      </c>
    </row>
    <row r="23">
      <c r="A23" s="4" t="inlineStr">
        <is>
          <t>Assessor</t>
        </is>
      </c>
      <c r="B23" s="4" t="inlineStr">
        <is>
          <t>Mode</t>
        </is>
      </c>
      <c r="C23" s="4" t="inlineStr">
        <is>
          <t>Learners</t>
        </is>
      </c>
      <c r="D23" s="4" t="inlineStr">
        <is>
          <t>Minutes in mocks</t>
        </is>
      </c>
      <c r="E23" s="4" t="inlineStr">
        <is>
          <t>Last mock ends at</t>
        </is>
      </c>
    </row>
    <row r="24">
      <c r="A24" s="2" t="inlineStr">
        <is>
          <t>Programme Head</t>
        </is>
      </c>
      <c r="B24" s="2" t="inlineStr">
        <is>
          <t>in person</t>
        </is>
      </c>
      <c r="C24" s="2">
        <f>COUNTIFS(Roster!B2:B43,A24,Roster!H2:H43,"G*")</f>
        <v/>
      </c>
      <c r="D24" s="2">
        <f>C24*$B$3</f>
        <v/>
      </c>
      <c r="E24" s="2">
        <f>IF(C24=0,"no mocks",IF(_xlfn.MAXIFS(Roster!M2:M43,Roster!B2:B43,A24,Roster!H2:H43,"G*")&gt;$B$5,"block 2, minute "&amp;(_xlfn.MAXIFS(Roster!M2:M43,Roster!B2:B43,A24,Roster!H2:H43,"G*")-$B$5),"block 1, minute "&amp;_xlfn.MAXIFS(Roster!M2:M43,Roster!B2:B43,A24,Roster!H2:H43,"G*")))</f>
        <v/>
      </c>
    </row>
    <row r="25">
      <c r="A25" s="2" t="inlineStr">
        <is>
          <t>Academic TA</t>
        </is>
      </c>
      <c r="B25" s="2" t="inlineStr">
        <is>
          <t>in person</t>
        </is>
      </c>
      <c r="C25" s="2">
        <f>COUNTIFS(Roster!B2:B43,A25,Roster!H2:H43,"G*")</f>
        <v/>
      </c>
      <c r="D25" s="2">
        <f>C25*$B$3</f>
        <v/>
      </c>
      <c r="E25" s="2">
        <f>IF(C25=0,"no mocks",IF(_xlfn.MAXIFS(Roster!M2:M43,Roster!B2:B43,A25,Roster!H2:H43,"G*")&gt;$B$5,"block 2, minute "&amp;(_xlfn.MAXIFS(Roster!M2:M43,Roster!B2:B43,A25,Roster!H2:H43,"G*")-$B$5),"block 1, minute "&amp;_xlfn.MAXIFS(Roster!M2:M43,Roster!B2:B43,A25,Roster!H2:H43,"G*")))</f>
        <v/>
      </c>
    </row>
    <row r="26">
      <c r="A26" s="2" t="inlineStr">
        <is>
          <t>Principal Advisor</t>
        </is>
      </c>
      <c r="B26" s="2" t="inlineStr">
        <is>
          <t>online</t>
        </is>
      </c>
      <c r="C26" s="2">
        <f>COUNTIFS(Roster!B2:B43,A26,Roster!H2:H43,"G*")</f>
        <v/>
      </c>
      <c r="D26" s="2">
        <f>C26*$B$3</f>
        <v/>
      </c>
      <c r="E26" s="2">
        <f>IF(C26=0,"no mocks",IF(_xlfn.MAXIFS(Roster!M2:M43,Roster!B2:B43,A26,Roster!H2:H43,"G*")&gt;$B$5,"block 2, minute "&amp;(_xlfn.MAXIFS(Roster!M2:M43,Roster!B2:B43,A26,Roster!H2:H43,"G*")-$B$5),"block 1, minute "&amp;_xlfn.MAXIFS(Roster!M2:M43,Roster!B2:B43,A26,Roster!H2:H43,"G*")))</f>
        <v/>
      </c>
    </row>
    <row r="27">
      <c r="A27" s="2" t="inlineStr">
        <is>
          <t>Total</t>
        </is>
      </c>
      <c r="C27" s="2">
        <f>SUM(C24:C26)</f>
        <v/>
      </c>
      <c r="D27" s="2">
        <f>SUM(D24:D26)</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cols>
    <col width="8" customWidth="1" min="1" max="1"/>
    <col width="12" customWidth="1" min="2" max="2"/>
    <col width="12" customWidth="1" min="3" max="3"/>
    <col width="12" customWidth="1" min="4" max="4"/>
    <col width="16" customWidth="1" min="6" max="6"/>
    <col width="14" customWidth="1" min="7" max="7"/>
    <col width="90" customWidth="1" min="9" max="9"/>
  </cols>
  <sheetData>
    <row r="1">
      <c r="A1" s="4" t="inlineStr">
        <is>
          <t>Set</t>
        </is>
      </c>
      <c r="B1" s="4" t="inlineStr">
        <is>
          <t>L1, the move</t>
        </is>
      </c>
      <c r="C1" s="4" t="inlineStr">
        <is>
          <t>L2, the number</t>
        </is>
      </c>
      <c r="D1" s="4" t="inlineStr">
        <is>
          <t>L3, the judgement</t>
        </is>
      </c>
      <c r="F1" s="4" t="inlineStr">
        <is>
          <t>Swap key</t>
        </is>
      </c>
      <c r="G1" s="4" t="inlineStr">
        <is>
          <t>Ask instead</t>
        </is>
      </c>
      <c r="I1" s="4" t="inlineStr">
        <is>
          <t>What the two tables do</t>
        </is>
      </c>
    </row>
    <row r="2">
      <c r="A2" s="2" t="inlineStr">
        <is>
          <t>A</t>
        </is>
      </c>
      <c r="B2" s="2" t="inlineStr">
        <is>
          <t>T01-L1</t>
        </is>
      </c>
      <c r="C2" s="2" t="inlineStr">
        <is>
          <t>T04-L2</t>
        </is>
      </c>
      <c r="D2" s="2" t="inlineStr">
        <is>
          <t>T07-L3</t>
        </is>
      </c>
      <c r="F2" s="2" t="inlineStr">
        <is>
          <t>T04-L2|4</t>
        </is>
      </c>
      <c r="G2" s="2" t="inlineStr">
        <is>
          <t>T02-L2</t>
        </is>
      </c>
      <c r="I2" s="2" t="inlineStr">
        <is>
          <t>A swap key is a question and the first digit of a group's sub-problem. When a seat's set holds that question and its group took that sub-problem, the seat is asked the reserve beside it, so the technical half never rehearses the learner's own viva.</t>
        </is>
      </c>
    </row>
    <row r="3">
      <c r="A3" s="2" t="inlineStr">
        <is>
          <t>B</t>
        </is>
      </c>
      <c r="B3" s="2" t="inlineStr">
        <is>
          <t>T02-L1</t>
        </is>
      </c>
      <c r="C3" s="2" t="inlineStr">
        <is>
          <t>T05-L2</t>
        </is>
      </c>
      <c r="D3" s="2" t="inlineStr">
        <is>
          <t>T08-L3</t>
        </is>
      </c>
      <c r="F3" s="2" t="inlineStr">
        <is>
          <t>T07-L2|3</t>
        </is>
      </c>
      <c r="G3" s="2" t="inlineStr">
        <is>
          <t>T02-L2</t>
        </is>
      </c>
      <c r="I3" s="2" t="inlineStr">
        <is>
          <t>The reserves are T09-L1, T10-L1, T02-L2, T03-L2, T05-L3 and T06-L3.</t>
        </is>
      </c>
    </row>
    <row r="4">
      <c r="A4" s="2" t="inlineStr">
        <is>
          <t>C</t>
        </is>
      </c>
      <c r="B4" s="2" t="inlineStr">
        <is>
          <t>T03-L1</t>
        </is>
      </c>
      <c r="C4" s="2" t="inlineStr">
        <is>
          <t>T06-L2</t>
        </is>
      </c>
      <c r="D4" s="2" t="inlineStr">
        <is>
          <t>T09-L3</t>
        </is>
      </c>
      <c r="F4" s="2" t="inlineStr">
        <is>
          <t>T09-L2|3</t>
        </is>
      </c>
      <c r="G4" s="2" t="inlineStr">
        <is>
          <t>T02-L2</t>
        </is>
      </c>
      <c r="I4" s="2" t="inlineStr">
        <is>
          <t>T03-L2 is never asked of a learner whose group took sub-problem 2.</t>
        </is>
      </c>
    </row>
    <row r="5">
      <c r="A5" s="2" t="inlineStr">
        <is>
          <t>D</t>
        </is>
      </c>
      <c r="B5" s="2" t="inlineStr">
        <is>
          <t>T04-L1</t>
        </is>
      </c>
      <c r="C5" s="2" t="inlineStr">
        <is>
          <t>T07-L2</t>
        </is>
      </c>
      <c r="D5" s="2" t="inlineStr">
        <is>
          <t>T10-L3</t>
        </is>
      </c>
      <c r="F5" s="2" t="inlineStr">
        <is>
          <t>T04-L3|5</t>
        </is>
      </c>
      <c r="G5" s="2" t="inlineStr">
        <is>
          <t>T05-L3</t>
        </is>
      </c>
    </row>
    <row r="6">
      <c r="A6" s="2" t="inlineStr">
        <is>
          <t>E</t>
        </is>
      </c>
      <c r="B6" s="2" t="inlineStr">
        <is>
          <t>T05-L1</t>
        </is>
      </c>
      <c r="C6" s="2" t="inlineStr">
        <is>
          <t>T08-L2</t>
        </is>
      </c>
      <c r="D6" s="2" t="inlineStr">
        <is>
          <t>T01-L3</t>
        </is>
      </c>
    </row>
    <row r="7">
      <c r="A7" s="2" t="inlineStr">
        <is>
          <t>F</t>
        </is>
      </c>
      <c r="B7" s="2" t="inlineStr">
        <is>
          <t>T06-L1</t>
        </is>
      </c>
      <c r="C7" s="2" t="inlineStr">
        <is>
          <t>T09-L2</t>
        </is>
      </c>
      <c r="D7" s="2" t="inlineStr">
        <is>
          <t>T02-L3</t>
        </is>
      </c>
    </row>
    <row r="8">
      <c r="A8" s="2" t="inlineStr">
        <is>
          <t>G</t>
        </is>
      </c>
      <c r="B8" s="2" t="inlineStr">
        <is>
          <t>T07-L1</t>
        </is>
      </c>
      <c r="C8" s="2" t="inlineStr">
        <is>
          <t>T10-L2</t>
        </is>
      </c>
      <c r="D8" s="2" t="inlineStr">
        <is>
          <t>T03-L3</t>
        </is>
      </c>
    </row>
    <row r="9">
      <c r="A9" s="2" t="inlineStr">
        <is>
          <t>H</t>
        </is>
      </c>
      <c r="B9" s="2" t="inlineStr">
        <is>
          <t>T08-L1</t>
        </is>
      </c>
      <c r="C9" s="2" t="inlineStr">
        <is>
          <t>T01-L2</t>
        </is>
      </c>
      <c r="D9" s="2" t="inlineStr">
        <is>
          <t>T04-L3</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8" customWidth="1" min="1" max="1"/>
    <col width="30" customWidth="1" min="2" max="2"/>
    <col width="10" customWidth="1" min="3" max="3"/>
    <col width="10" customWidth="1" min="4" max="4"/>
    <col width="14" customWidth="1" min="5" max="5"/>
    <col width="20" customWidth="1" min="6" max="6"/>
  </cols>
  <sheetData>
    <row r="1">
      <c r="A1" s="4" t="inlineStr">
        <is>
          <t>Group</t>
        </is>
      </c>
      <c r="B1" s="4" t="inlineStr">
        <is>
          <t>Sub-problem (choose after Monday)</t>
        </is>
      </c>
      <c r="C1" s="4" t="inlineStr">
        <is>
          <t>Seats</t>
        </is>
      </c>
      <c r="D1" s="4" t="inlineStr">
        <is>
          <t>Present</t>
        </is>
      </c>
      <c r="E1" s="4" t="inlineStr">
        <is>
          <t>Mocks placed</t>
        </is>
      </c>
      <c r="F1" s="4" t="inlineStr">
        <is>
          <t>Assessor</t>
        </is>
      </c>
    </row>
    <row r="2">
      <c r="A2" s="2" t="inlineStr">
        <is>
          <t>G1</t>
        </is>
      </c>
      <c r="B2" s="3" t="n"/>
      <c r="C2" s="2">
        <f>COUNTIF(Seats!B$2:B$36,A2)</f>
        <v/>
      </c>
      <c r="D2" s="2">
        <f>COUNTIFS(Seats!B$2:B$36,A2,Seats!G$2:G$36,"yes")</f>
        <v/>
      </c>
      <c r="E2" s="2">
        <f>COUNTIF(Roster!I$2:I$43,A2)</f>
        <v/>
      </c>
      <c r="F2" s="2" t="inlineStr">
        <is>
          <t>Programme Head</t>
        </is>
      </c>
    </row>
    <row r="3">
      <c r="A3" s="2" t="inlineStr">
        <is>
          <t>G2</t>
        </is>
      </c>
      <c r="B3" s="3" t="n"/>
      <c r="C3" s="2">
        <f>COUNTIF(Seats!B$2:B$36,A3)</f>
        <v/>
      </c>
      <c r="D3" s="2">
        <f>COUNTIFS(Seats!B$2:B$36,A3,Seats!G$2:G$36,"yes")</f>
        <v/>
      </c>
      <c r="E3" s="2">
        <f>COUNTIF(Roster!I$2:I$43,A3)</f>
        <v/>
      </c>
      <c r="F3" s="2" t="inlineStr">
        <is>
          <t>Academic TA</t>
        </is>
      </c>
    </row>
    <row r="4">
      <c r="A4" s="2" t="inlineStr">
        <is>
          <t>G3</t>
        </is>
      </c>
      <c r="B4" s="3" t="n"/>
      <c r="C4" s="2">
        <f>COUNTIF(Seats!B$2:B$36,A4)</f>
        <v/>
      </c>
      <c r="D4" s="2">
        <f>COUNTIFS(Seats!B$2:B$36,A4,Seats!G$2:G$36,"yes")</f>
        <v/>
      </c>
      <c r="E4" s="2">
        <f>COUNTIF(Roster!I$2:I$43,A4)</f>
        <v/>
      </c>
      <c r="F4" s="2" t="inlineStr">
        <is>
          <t>Principal Advisor</t>
        </is>
      </c>
    </row>
    <row r="5">
      <c r="A5" s="2" t="inlineStr">
        <is>
          <t>G4</t>
        </is>
      </c>
      <c r="B5" s="3" t="n"/>
      <c r="C5" s="2">
        <f>COUNTIF(Seats!B$2:B$36,A5)</f>
        <v/>
      </c>
      <c r="D5" s="2">
        <f>COUNTIFS(Seats!B$2:B$36,A5,Seats!G$2:G$36,"yes")</f>
        <v/>
      </c>
      <c r="E5" s="2">
        <f>COUNTIF(Roster!I$2:I$43,A5)</f>
        <v/>
      </c>
      <c r="F5" s="2" t="inlineStr">
        <is>
          <t>Programme Head</t>
        </is>
      </c>
    </row>
    <row r="6">
      <c r="A6" s="2" t="inlineStr">
        <is>
          <t>G5</t>
        </is>
      </c>
      <c r="B6" s="3" t="n"/>
      <c r="C6" s="2">
        <f>COUNTIF(Seats!B$2:B$36,A6)</f>
        <v/>
      </c>
      <c r="D6" s="2">
        <f>COUNTIFS(Seats!B$2:B$36,A6,Seats!G$2:G$36,"yes")</f>
        <v/>
      </c>
      <c r="E6" s="2">
        <f>COUNTIF(Roster!I$2:I$43,A6)</f>
        <v/>
      </c>
      <c r="F6" s="2" t="inlineStr">
        <is>
          <t>Academic TA</t>
        </is>
      </c>
    </row>
    <row r="7">
      <c r="A7" s="2" t="inlineStr">
        <is>
          <t>G6</t>
        </is>
      </c>
      <c r="B7" s="3" t="n"/>
      <c r="C7" s="2">
        <f>COUNTIF(Seats!B$2:B$36,A7)</f>
        <v/>
      </c>
      <c r="D7" s="2">
        <f>COUNTIFS(Seats!B$2:B$36,A7,Seats!G$2:G$36,"yes")</f>
        <v/>
      </c>
      <c r="E7" s="2">
        <f>COUNTIF(Roster!I$2:I$43,A7)</f>
        <v/>
      </c>
      <c r="F7" s="2" t="inlineStr">
        <is>
          <t>Principal Advisor</t>
        </is>
      </c>
    </row>
    <row r="8">
      <c r="A8" s="2" t="inlineStr">
        <is>
          <t>G7</t>
        </is>
      </c>
      <c r="B8" s="3" t="n"/>
      <c r="C8" s="2">
        <f>COUNTIF(Seats!B$2:B$36,A8)</f>
        <v/>
      </c>
      <c r="D8" s="2">
        <f>COUNTIFS(Seats!B$2:B$36,A8,Seats!G$2:G$36,"yes")</f>
        <v/>
      </c>
      <c r="E8" s="2">
        <f>COUNTIF(Roster!I$2:I$43,A8)</f>
        <v/>
      </c>
      <c r="F8" s="2" t="inlineStr">
        <is>
          <t>Programme Head</t>
        </is>
      </c>
    </row>
    <row r="9">
      <c r="A9" s="2" t="inlineStr">
        <is>
          <t>G8</t>
        </is>
      </c>
      <c r="B9" s="3" t="n"/>
      <c r="C9" s="2">
        <f>COUNTIF(Seats!B$2:B$36,A9)</f>
        <v/>
      </c>
      <c r="D9" s="2">
        <f>COUNTIFS(Seats!B$2:B$36,A9,Seats!G$2:G$36,"yes")</f>
        <v/>
      </c>
      <c r="E9" s="2">
        <f>COUNTIF(Roster!I$2:I$43,A9)</f>
        <v/>
      </c>
      <c r="F9" s="2" t="inlineStr">
        <is>
          <t>Academic TA</t>
        </is>
      </c>
    </row>
    <row r="10">
      <c r="A10" s="2" t="inlineStr">
        <is>
          <t>G9</t>
        </is>
      </c>
      <c r="B10" s="3" t="n"/>
      <c r="C10" s="2">
        <f>COUNTIF(Seats!B$2:B$36,A10)</f>
        <v/>
      </c>
      <c r="D10" s="2">
        <f>COUNTIFS(Seats!B$2:B$36,A10,Seats!G$2:G$36,"yes")</f>
        <v/>
      </c>
      <c r="E10" s="2">
        <f>COUNTIF(Roster!I$2:I$43,A10)</f>
        <v/>
      </c>
      <c r="F10" s="2" t="inlineStr">
        <is>
          <t>Principal Advisor</t>
        </is>
      </c>
    </row>
    <row r="11">
      <c r="A11" s="2" t="inlineStr">
        <is>
          <t>Total</t>
        </is>
      </c>
      <c r="C11" s="2">
        <f>SUM(C2:C10)</f>
        <v/>
      </c>
      <c r="D11" s="2">
        <f>SUM(D2:D10)</f>
        <v/>
      </c>
      <c r="E11" s="2">
        <f>SUM(E2:E10)</f>
        <v/>
      </c>
    </row>
  </sheetData>
  <dataValidations count="1">
    <dataValidation sqref="B2 B3 B4 B5 B6 B7 B8 B9 B10" showDropDown="0" showInputMessage="0" showErrorMessage="0" allowBlank="1" type="list">
      <formula1>"1 revenue,2 bookings,3 billing,4 no-shows,5 campaign"</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36"/>
  <sheetViews>
    <sheetView workbookViewId="0">
      <selection activeCell="A1" sqref="A1"/>
    </sheetView>
  </sheetViews>
  <sheetFormatPr baseColWidth="8" defaultRowHeight="15"/>
  <cols>
    <col width="12" customWidth="1" min="1" max="1"/>
    <col width="12" customWidth="1" min="2" max="2"/>
    <col width="12" customWidth="1" min="3" max="3"/>
    <col width="12" customWidth="1" min="4" max="4"/>
    <col width="12" customWidth="1" min="5" max="5"/>
    <col width="18" customWidth="1" min="6" max="6"/>
    <col width="12" customWidth="1" min="7" max="7"/>
    <col width="12" customWidth="1" min="8" max="8"/>
    <col width="12" customWidth="1" min="9" max="9"/>
    <col width="12" customWidth="1" min="10" max="10"/>
    <col width="12" customWidth="1" min="11" max="11"/>
    <col width="12" customWidth="1" min="12" max="12"/>
  </cols>
  <sheetData>
    <row r="1">
      <c r="A1" s="4" t="inlineStr">
        <is>
          <t>Call order</t>
        </is>
      </c>
      <c r="B1" s="4" t="inlineStr">
        <is>
          <t>Group</t>
        </is>
      </c>
      <c r="C1" s="4" t="inlineStr">
        <is>
          <t>Seat</t>
        </is>
      </c>
      <c r="D1" s="4" t="inlineStr">
        <is>
          <t>Seat label</t>
        </is>
      </c>
      <c r="E1" s="4" t="inlineStr">
        <is>
          <t>Set</t>
        </is>
      </c>
      <c r="F1" s="4" t="inlineStr">
        <is>
          <t>Sub-problem</t>
        </is>
      </c>
      <c r="G1" s="4" t="inlineStr">
        <is>
          <t>Present</t>
        </is>
      </c>
      <c r="H1" s="4" t="inlineStr">
        <is>
          <t>Queue position</t>
        </is>
      </c>
      <c r="I1" s="4" t="inlineStr">
        <is>
          <t>Viva probe</t>
        </is>
      </c>
      <c r="J1" s="4" t="inlineStr">
        <is>
          <t>L1</t>
        </is>
      </c>
      <c r="K1" s="4" t="inlineStr">
        <is>
          <t>L2</t>
        </is>
      </c>
      <c r="L1" s="4" t="inlineStr">
        <is>
          <t>L3</t>
        </is>
      </c>
    </row>
    <row r="2">
      <c r="A2" s="2" t="n">
        <v>1</v>
      </c>
      <c r="B2" s="2" t="inlineStr">
        <is>
          <t>G1</t>
        </is>
      </c>
      <c r="C2" s="2" t="n">
        <v>1</v>
      </c>
      <c r="D2" s="2">
        <f>B2&amp;"-S"&amp;C2</f>
        <v/>
      </c>
      <c r="E2" s="2">
        <f>MID("ABCDEFGH",MOD(VALUE(MID(B2,2,2))+C2-2,8)+1,1)</f>
        <v/>
      </c>
      <c r="F2" s="2">
        <f>IF(INDEX(Groups!B$2:B$10,VALUE(MID(B2,2,2)))="","allocate on Monday",INDEX(Groups!B$2:B$10,VALUE(MID(B2,2,2))))</f>
        <v/>
      </c>
      <c r="G2" s="3" t="inlineStr">
        <is>
          <t>yes</t>
        </is>
      </c>
      <c r="H2" s="2">
        <f>IF(G2="yes",COUNTIFS(G$2:G$36,"yes",A$2:A$36,"&lt;="&amp;A2),"")</f>
        <v/>
      </c>
      <c r="I2" s="2">
        <f>"P"&amp;C2</f>
        <v/>
      </c>
      <c r="J2" s="2">
        <f>IFERROR(INDEX(Sets!G$2:G$5,MATCH(INDEX(Sets!B$2:B$9,MATCH(E2,Sets!A$2:A$9,0))&amp;"|"&amp;LEFT(F2,1),Sets!F$2:F$5,0)),INDEX(Sets!B$2:B$9,MATCH(E2,Sets!A$2:A$9,0)))</f>
        <v/>
      </c>
      <c r="K2" s="2">
        <f>IFERROR(INDEX(Sets!G$2:G$5,MATCH(INDEX(Sets!C$2:C$9,MATCH(E2,Sets!A$2:A$9,0))&amp;"|"&amp;LEFT(F2,1),Sets!F$2:F$5,0)),INDEX(Sets!C$2:C$9,MATCH(E2,Sets!A$2:A$9,0)))</f>
        <v/>
      </c>
      <c r="L2" s="2">
        <f>IFERROR(INDEX(Sets!G$2:G$5,MATCH(INDEX(Sets!D$2:D$9,MATCH(E2,Sets!A$2:A$9,0))&amp;"|"&amp;LEFT(F2,1),Sets!F$2:F$5,0)),INDEX(Sets!D$2:D$9,MATCH(E2,Sets!A$2:A$9,0)))</f>
        <v/>
      </c>
    </row>
    <row r="3">
      <c r="A3" s="2" t="n">
        <v>2</v>
      </c>
      <c r="B3" s="2" t="inlineStr">
        <is>
          <t>G2</t>
        </is>
      </c>
      <c r="C3" s="2" t="n">
        <v>1</v>
      </c>
      <c r="D3" s="2">
        <f>B3&amp;"-S"&amp;C3</f>
        <v/>
      </c>
      <c r="E3" s="2">
        <f>MID("ABCDEFGH",MOD(VALUE(MID(B3,2,2))+C3-2,8)+1,1)</f>
        <v/>
      </c>
      <c r="F3" s="2">
        <f>IF(INDEX(Groups!B$2:B$10,VALUE(MID(B3,2,2)))="","allocate on Monday",INDEX(Groups!B$2:B$10,VALUE(MID(B3,2,2))))</f>
        <v/>
      </c>
      <c r="G3" s="3" t="inlineStr">
        <is>
          <t>yes</t>
        </is>
      </c>
      <c r="H3" s="2">
        <f>IF(G3="yes",COUNTIFS(G$2:G$36,"yes",A$2:A$36,"&lt;="&amp;A3),"")</f>
        <v/>
      </c>
      <c r="I3" s="2">
        <f>"P"&amp;C3</f>
        <v/>
      </c>
      <c r="J3" s="2">
        <f>IFERROR(INDEX(Sets!G$2:G$5,MATCH(INDEX(Sets!B$2:B$9,MATCH(E3,Sets!A$2:A$9,0))&amp;"|"&amp;LEFT(F3,1),Sets!F$2:F$5,0)),INDEX(Sets!B$2:B$9,MATCH(E3,Sets!A$2:A$9,0)))</f>
        <v/>
      </c>
      <c r="K3" s="2">
        <f>IFERROR(INDEX(Sets!G$2:G$5,MATCH(INDEX(Sets!C$2:C$9,MATCH(E3,Sets!A$2:A$9,0))&amp;"|"&amp;LEFT(F3,1),Sets!F$2:F$5,0)),INDEX(Sets!C$2:C$9,MATCH(E3,Sets!A$2:A$9,0)))</f>
        <v/>
      </c>
      <c r="L3" s="2">
        <f>IFERROR(INDEX(Sets!G$2:G$5,MATCH(INDEX(Sets!D$2:D$9,MATCH(E3,Sets!A$2:A$9,0))&amp;"|"&amp;LEFT(F3,1),Sets!F$2:F$5,0)),INDEX(Sets!D$2:D$9,MATCH(E3,Sets!A$2:A$9,0)))</f>
        <v/>
      </c>
    </row>
    <row r="4">
      <c r="A4" s="2" t="n">
        <v>3</v>
      </c>
      <c r="B4" s="2" t="inlineStr">
        <is>
          <t>G3</t>
        </is>
      </c>
      <c r="C4" s="2" t="n">
        <v>1</v>
      </c>
      <c r="D4" s="2">
        <f>B4&amp;"-S"&amp;C4</f>
        <v/>
      </c>
      <c r="E4" s="2">
        <f>MID("ABCDEFGH",MOD(VALUE(MID(B4,2,2))+C4-2,8)+1,1)</f>
        <v/>
      </c>
      <c r="F4" s="2">
        <f>IF(INDEX(Groups!B$2:B$10,VALUE(MID(B4,2,2)))="","allocate on Monday",INDEX(Groups!B$2:B$10,VALUE(MID(B4,2,2))))</f>
        <v/>
      </c>
      <c r="G4" s="3" t="inlineStr">
        <is>
          <t>yes</t>
        </is>
      </c>
      <c r="H4" s="2">
        <f>IF(G4="yes",COUNTIFS(G$2:G$36,"yes",A$2:A$36,"&lt;="&amp;A4),"")</f>
        <v/>
      </c>
      <c r="I4" s="2">
        <f>"P"&amp;C4</f>
        <v/>
      </c>
      <c r="J4" s="2">
        <f>IFERROR(INDEX(Sets!G$2:G$5,MATCH(INDEX(Sets!B$2:B$9,MATCH(E4,Sets!A$2:A$9,0))&amp;"|"&amp;LEFT(F4,1),Sets!F$2:F$5,0)),INDEX(Sets!B$2:B$9,MATCH(E4,Sets!A$2:A$9,0)))</f>
        <v/>
      </c>
      <c r="K4" s="2">
        <f>IFERROR(INDEX(Sets!G$2:G$5,MATCH(INDEX(Sets!C$2:C$9,MATCH(E4,Sets!A$2:A$9,0))&amp;"|"&amp;LEFT(F4,1),Sets!F$2:F$5,0)),INDEX(Sets!C$2:C$9,MATCH(E4,Sets!A$2:A$9,0)))</f>
        <v/>
      </c>
      <c r="L4" s="2">
        <f>IFERROR(INDEX(Sets!G$2:G$5,MATCH(INDEX(Sets!D$2:D$9,MATCH(E4,Sets!A$2:A$9,0))&amp;"|"&amp;LEFT(F4,1),Sets!F$2:F$5,0)),INDEX(Sets!D$2:D$9,MATCH(E4,Sets!A$2:A$9,0)))</f>
        <v/>
      </c>
    </row>
    <row r="5">
      <c r="A5" s="2" t="n">
        <v>4</v>
      </c>
      <c r="B5" s="2" t="inlineStr">
        <is>
          <t>G4</t>
        </is>
      </c>
      <c r="C5" s="2" t="n">
        <v>1</v>
      </c>
      <c r="D5" s="2">
        <f>B5&amp;"-S"&amp;C5</f>
        <v/>
      </c>
      <c r="E5" s="2">
        <f>MID("ABCDEFGH",MOD(VALUE(MID(B5,2,2))+C5-2,8)+1,1)</f>
        <v/>
      </c>
      <c r="F5" s="2">
        <f>IF(INDEX(Groups!B$2:B$10,VALUE(MID(B5,2,2)))="","allocate on Monday",INDEX(Groups!B$2:B$10,VALUE(MID(B5,2,2))))</f>
        <v/>
      </c>
      <c r="G5" s="3" t="inlineStr">
        <is>
          <t>yes</t>
        </is>
      </c>
      <c r="H5" s="2">
        <f>IF(G5="yes",COUNTIFS(G$2:G$36,"yes",A$2:A$36,"&lt;="&amp;A5),"")</f>
        <v/>
      </c>
      <c r="I5" s="2">
        <f>"P"&amp;C5</f>
        <v/>
      </c>
      <c r="J5" s="2">
        <f>IFERROR(INDEX(Sets!G$2:G$5,MATCH(INDEX(Sets!B$2:B$9,MATCH(E5,Sets!A$2:A$9,0))&amp;"|"&amp;LEFT(F5,1),Sets!F$2:F$5,0)),INDEX(Sets!B$2:B$9,MATCH(E5,Sets!A$2:A$9,0)))</f>
        <v/>
      </c>
      <c r="K5" s="2">
        <f>IFERROR(INDEX(Sets!G$2:G$5,MATCH(INDEX(Sets!C$2:C$9,MATCH(E5,Sets!A$2:A$9,0))&amp;"|"&amp;LEFT(F5,1),Sets!F$2:F$5,0)),INDEX(Sets!C$2:C$9,MATCH(E5,Sets!A$2:A$9,0)))</f>
        <v/>
      </c>
      <c r="L5" s="2">
        <f>IFERROR(INDEX(Sets!G$2:G$5,MATCH(INDEX(Sets!D$2:D$9,MATCH(E5,Sets!A$2:A$9,0))&amp;"|"&amp;LEFT(F5,1),Sets!F$2:F$5,0)),INDEX(Sets!D$2:D$9,MATCH(E5,Sets!A$2:A$9,0)))</f>
        <v/>
      </c>
    </row>
    <row r="6">
      <c r="A6" s="2" t="n">
        <v>5</v>
      </c>
      <c r="B6" s="2" t="inlineStr">
        <is>
          <t>G5</t>
        </is>
      </c>
      <c r="C6" s="2" t="n">
        <v>1</v>
      </c>
      <c r="D6" s="2">
        <f>B6&amp;"-S"&amp;C6</f>
        <v/>
      </c>
      <c r="E6" s="2">
        <f>MID("ABCDEFGH",MOD(VALUE(MID(B6,2,2))+C6-2,8)+1,1)</f>
        <v/>
      </c>
      <c r="F6" s="2">
        <f>IF(INDEX(Groups!B$2:B$10,VALUE(MID(B6,2,2)))="","allocate on Monday",INDEX(Groups!B$2:B$10,VALUE(MID(B6,2,2))))</f>
        <v/>
      </c>
      <c r="G6" s="3" t="inlineStr">
        <is>
          <t>yes</t>
        </is>
      </c>
      <c r="H6" s="2">
        <f>IF(G6="yes",COUNTIFS(G$2:G$36,"yes",A$2:A$36,"&lt;="&amp;A6),"")</f>
        <v/>
      </c>
      <c r="I6" s="2">
        <f>"P"&amp;C6</f>
        <v/>
      </c>
      <c r="J6" s="2">
        <f>IFERROR(INDEX(Sets!G$2:G$5,MATCH(INDEX(Sets!B$2:B$9,MATCH(E6,Sets!A$2:A$9,0))&amp;"|"&amp;LEFT(F6,1),Sets!F$2:F$5,0)),INDEX(Sets!B$2:B$9,MATCH(E6,Sets!A$2:A$9,0)))</f>
        <v/>
      </c>
      <c r="K6" s="2">
        <f>IFERROR(INDEX(Sets!G$2:G$5,MATCH(INDEX(Sets!C$2:C$9,MATCH(E6,Sets!A$2:A$9,0))&amp;"|"&amp;LEFT(F6,1),Sets!F$2:F$5,0)),INDEX(Sets!C$2:C$9,MATCH(E6,Sets!A$2:A$9,0)))</f>
        <v/>
      </c>
      <c r="L6" s="2">
        <f>IFERROR(INDEX(Sets!G$2:G$5,MATCH(INDEX(Sets!D$2:D$9,MATCH(E6,Sets!A$2:A$9,0))&amp;"|"&amp;LEFT(F6,1),Sets!F$2:F$5,0)),INDEX(Sets!D$2:D$9,MATCH(E6,Sets!A$2:A$9,0)))</f>
        <v/>
      </c>
    </row>
    <row r="7">
      <c r="A7" s="2" t="n">
        <v>6</v>
      </c>
      <c r="B7" s="2" t="inlineStr">
        <is>
          <t>G6</t>
        </is>
      </c>
      <c r="C7" s="2" t="n">
        <v>1</v>
      </c>
      <c r="D7" s="2">
        <f>B7&amp;"-S"&amp;C7</f>
        <v/>
      </c>
      <c r="E7" s="2">
        <f>MID("ABCDEFGH",MOD(VALUE(MID(B7,2,2))+C7-2,8)+1,1)</f>
        <v/>
      </c>
      <c r="F7" s="2">
        <f>IF(INDEX(Groups!B$2:B$10,VALUE(MID(B7,2,2)))="","allocate on Monday",INDEX(Groups!B$2:B$10,VALUE(MID(B7,2,2))))</f>
        <v/>
      </c>
      <c r="G7" s="3" t="inlineStr">
        <is>
          <t>yes</t>
        </is>
      </c>
      <c r="H7" s="2">
        <f>IF(G7="yes",COUNTIFS(G$2:G$36,"yes",A$2:A$36,"&lt;="&amp;A7),"")</f>
        <v/>
      </c>
      <c r="I7" s="2">
        <f>"P"&amp;C7</f>
        <v/>
      </c>
      <c r="J7" s="2">
        <f>IFERROR(INDEX(Sets!G$2:G$5,MATCH(INDEX(Sets!B$2:B$9,MATCH(E7,Sets!A$2:A$9,0))&amp;"|"&amp;LEFT(F7,1),Sets!F$2:F$5,0)),INDEX(Sets!B$2:B$9,MATCH(E7,Sets!A$2:A$9,0)))</f>
        <v/>
      </c>
      <c r="K7" s="2">
        <f>IFERROR(INDEX(Sets!G$2:G$5,MATCH(INDEX(Sets!C$2:C$9,MATCH(E7,Sets!A$2:A$9,0))&amp;"|"&amp;LEFT(F7,1),Sets!F$2:F$5,0)),INDEX(Sets!C$2:C$9,MATCH(E7,Sets!A$2:A$9,0)))</f>
        <v/>
      </c>
      <c r="L7" s="2">
        <f>IFERROR(INDEX(Sets!G$2:G$5,MATCH(INDEX(Sets!D$2:D$9,MATCH(E7,Sets!A$2:A$9,0))&amp;"|"&amp;LEFT(F7,1),Sets!F$2:F$5,0)),INDEX(Sets!D$2:D$9,MATCH(E7,Sets!A$2:A$9,0)))</f>
        <v/>
      </c>
    </row>
    <row r="8">
      <c r="A8" s="2" t="n">
        <v>7</v>
      </c>
      <c r="B8" s="2" t="inlineStr">
        <is>
          <t>G7</t>
        </is>
      </c>
      <c r="C8" s="2" t="n">
        <v>1</v>
      </c>
      <c r="D8" s="2">
        <f>B8&amp;"-S"&amp;C8</f>
        <v/>
      </c>
      <c r="E8" s="2">
        <f>MID("ABCDEFGH",MOD(VALUE(MID(B8,2,2))+C8-2,8)+1,1)</f>
        <v/>
      </c>
      <c r="F8" s="2">
        <f>IF(INDEX(Groups!B$2:B$10,VALUE(MID(B8,2,2)))="","allocate on Monday",INDEX(Groups!B$2:B$10,VALUE(MID(B8,2,2))))</f>
        <v/>
      </c>
      <c r="G8" s="3" t="inlineStr">
        <is>
          <t>yes</t>
        </is>
      </c>
      <c r="H8" s="2">
        <f>IF(G8="yes",COUNTIFS(G$2:G$36,"yes",A$2:A$36,"&lt;="&amp;A8),"")</f>
        <v/>
      </c>
      <c r="I8" s="2">
        <f>"P"&amp;C8</f>
        <v/>
      </c>
      <c r="J8" s="2">
        <f>IFERROR(INDEX(Sets!G$2:G$5,MATCH(INDEX(Sets!B$2:B$9,MATCH(E8,Sets!A$2:A$9,0))&amp;"|"&amp;LEFT(F8,1),Sets!F$2:F$5,0)),INDEX(Sets!B$2:B$9,MATCH(E8,Sets!A$2:A$9,0)))</f>
        <v/>
      </c>
      <c r="K8" s="2">
        <f>IFERROR(INDEX(Sets!G$2:G$5,MATCH(INDEX(Sets!C$2:C$9,MATCH(E8,Sets!A$2:A$9,0))&amp;"|"&amp;LEFT(F8,1),Sets!F$2:F$5,0)),INDEX(Sets!C$2:C$9,MATCH(E8,Sets!A$2:A$9,0)))</f>
        <v/>
      </c>
      <c r="L8" s="2">
        <f>IFERROR(INDEX(Sets!G$2:G$5,MATCH(INDEX(Sets!D$2:D$9,MATCH(E8,Sets!A$2:A$9,0))&amp;"|"&amp;LEFT(F8,1),Sets!F$2:F$5,0)),INDEX(Sets!D$2:D$9,MATCH(E8,Sets!A$2:A$9,0)))</f>
        <v/>
      </c>
    </row>
    <row r="9">
      <c r="A9" s="2" t="n">
        <v>8</v>
      </c>
      <c r="B9" s="2" t="inlineStr">
        <is>
          <t>G8</t>
        </is>
      </c>
      <c r="C9" s="2" t="n">
        <v>1</v>
      </c>
      <c r="D9" s="2">
        <f>B9&amp;"-S"&amp;C9</f>
        <v/>
      </c>
      <c r="E9" s="2">
        <f>MID("ABCDEFGH",MOD(VALUE(MID(B9,2,2))+C9-2,8)+1,1)</f>
        <v/>
      </c>
      <c r="F9" s="2">
        <f>IF(INDEX(Groups!B$2:B$10,VALUE(MID(B9,2,2)))="","allocate on Monday",INDEX(Groups!B$2:B$10,VALUE(MID(B9,2,2))))</f>
        <v/>
      </c>
      <c r="G9" s="3" t="inlineStr">
        <is>
          <t>yes</t>
        </is>
      </c>
      <c r="H9" s="2">
        <f>IF(G9="yes",COUNTIFS(G$2:G$36,"yes",A$2:A$36,"&lt;="&amp;A9),"")</f>
        <v/>
      </c>
      <c r="I9" s="2">
        <f>"P"&amp;C9</f>
        <v/>
      </c>
      <c r="J9" s="2">
        <f>IFERROR(INDEX(Sets!G$2:G$5,MATCH(INDEX(Sets!B$2:B$9,MATCH(E9,Sets!A$2:A$9,0))&amp;"|"&amp;LEFT(F9,1),Sets!F$2:F$5,0)),INDEX(Sets!B$2:B$9,MATCH(E9,Sets!A$2:A$9,0)))</f>
        <v/>
      </c>
      <c r="K9" s="2">
        <f>IFERROR(INDEX(Sets!G$2:G$5,MATCH(INDEX(Sets!C$2:C$9,MATCH(E9,Sets!A$2:A$9,0))&amp;"|"&amp;LEFT(F9,1),Sets!F$2:F$5,0)),INDEX(Sets!C$2:C$9,MATCH(E9,Sets!A$2:A$9,0)))</f>
        <v/>
      </c>
      <c r="L9" s="2">
        <f>IFERROR(INDEX(Sets!G$2:G$5,MATCH(INDEX(Sets!D$2:D$9,MATCH(E9,Sets!A$2:A$9,0))&amp;"|"&amp;LEFT(F9,1),Sets!F$2:F$5,0)),INDEX(Sets!D$2:D$9,MATCH(E9,Sets!A$2:A$9,0)))</f>
        <v/>
      </c>
    </row>
    <row r="10">
      <c r="A10" s="2" t="n">
        <v>9</v>
      </c>
      <c r="B10" s="2" t="inlineStr">
        <is>
          <t>G9</t>
        </is>
      </c>
      <c r="C10" s="2" t="n">
        <v>1</v>
      </c>
      <c r="D10" s="2">
        <f>B10&amp;"-S"&amp;C10</f>
        <v/>
      </c>
      <c r="E10" s="2">
        <f>MID("ABCDEFGH",MOD(VALUE(MID(B10,2,2))+C10-2,8)+1,1)</f>
        <v/>
      </c>
      <c r="F10" s="2">
        <f>IF(INDEX(Groups!B$2:B$10,VALUE(MID(B10,2,2)))="","allocate on Monday",INDEX(Groups!B$2:B$10,VALUE(MID(B10,2,2))))</f>
        <v/>
      </c>
      <c r="G10" s="3" t="inlineStr">
        <is>
          <t>yes</t>
        </is>
      </c>
      <c r="H10" s="2">
        <f>IF(G10="yes",COUNTIFS(G$2:G$36,"yes",A$2:A$36,"&lt;="&amp;A10),"")</f>
        <v/>
      </c>
      <c r="I10" s="2">
        <f>"P"&amp;C10</f>
        <v/>
      </c>
      <c r="J10" s="2">
        <f>IFERROR(INDEX(Sets!G$2:G$5,MATCH(INDEX(Sets!B$2:B$9,MATCH(E10,Sets!A$2:A$9,0))&amp;"|"&amp;LEFT(F10,1),Sets!F$2:F$5,0)),INDEX(Sets!B$2:B$9,MATCH(E10,Sets!A$2:A$9,0)))</f>
        <v/>
      </c>
      <c r="K10" s="2">
        <f>IFERROR(INDEX(Sets!G$2:G$5,MATCH(INDEX(Sets!C$2:C$9,MATCH(E10,Sets!A$2:A$9,0))&amp;"|"&amp;LEFT(F10,1),Sets!F$2:F$5,0)),INDEX(Sets!C$2:C$9,MATCH(E10,Sets!A$2:A$9,0)))</f>
        <v/>
      </c>
      <c r="L10" s="2">
        <f>IFERROR(INDEX(Sets!G$2:G$5,MATCH(INDEX(Sets!D$2:D$9,MATCH(E10,Sets!A$2:A$9,0))&amp;"|"&amp;LEFT(F10,1),Sets!F$2:F$5,0)),INDEX(Sets!D$2:D$9,MATCH(E10,Sets!A$2:A$9,0)))</f>
        <v/>
      </c>
    </row>
    <row r="11">
      <c r="A11" s="2" t="n">
        <v>10</v>
      </c>
      <c r="B11" s="2" t="inlineStr">
        <is>
          <t>G1</t>
        </is>
      </c>
      <c r="C11" s="2" t="n">
        <v>2</v>
      </c>
      <c r="D11" s="2">
        <f>B11&amp;"-S"&amp;C11</f>
        <v/>
      </c>
      <c r="E11" s="2">
        <f>MID("ABCDEFGH",MOD(VALUE(MID(B11,2,2))+C11-2,8)+1,1)</f>
        <v/>
      </c>
      <c r="F11" s="2">
        <f>IF(INDEX(Groups!B$2:B$10,VALUE(MID(B11,2,2)))="","allocate on Monday",INDEX(Groups!B$2:B$10,VALUE(MID(B11,2,2))))</f>
        <v/>
      </c>
      <c r="G11" s="3" t="inlineStr">
        <is>
          <t>yes</t>
        </is>
      </c>
      <c r="H11" s="2">
        <f>IF(G11="yes",COUNTIFS(G$2:G$36,"yes",A$2:A$36,"&lt;="&amp;A11),"")</f>
        <v/>
      </c>
      <c r="I11" s="2">
        <f>"P"&amp;C11</f>
        <v/>
      </c>
      <c r="J11" s="2">
        <f>IFERROR(INDEX(Sets!G$2:G$5,MATCH(INDEX(Sets!B$2:B$9,MATCH(E11,Sets!A$2:A$9,0))&amp;"|"&amp;LEFT(F11,1),Sets!F$2:F$5,0)),INDEX(Sets!B$2:B$9,MATCH(E11,Sets!A$2:A$9,0)))</f>
        <v/>
      </c>
      <c r="K11" s="2">
        <f>IFERROR(INDEX(Sets!G$2:G$5,MATCH(INDEX(Sets!C$2:C$9,MATCH(E11,Sets!A$2:A$9,0))&amp;"|"&amp;LEFT(F11,1),Sets!F$2:F$5,0)),INDEX(Sets!C$2:C$9,MATCH(E11,Sets!A$2:A$9,0)))</f>
        <v/>
      </c>
      <c r="L11" s="2">
        <f>IFERROR(INDEX(Sets!G$2:G$5,MATCH(INDEX(Sets!D$2:D$9,MATCH(E11,Sets!A$2:A$9,0))&amp;"|"&amp;LEFT(F11,1),Sets!F$2:F$5,0)),INDEX(Sets!D$2:D$9,MATCH(E11,Sets!A$2:A$9,0)))</f>
        <v/>
      </c>
    </row>
    <row r="12">
      <c r="A12" s="2" t="n">
        <v>11</v>
      </c>
      <c r="B12" s="2" t="inlineStr">
        <is>
          <t>G2</t>
        </is>
      </c>
      <c r="C12" s="2" t="n">
        <v>2</v>
      </c>
      <c r="D12" s="2">
        <f>B12&amp;"-S"&amp;C12</f>
        <v/>
      </c>
      <c r="E12" s="2">
        <f>MID("ABCDEFGH",MOD(VALUE(MID(B12,2,2))+C12-2,8)+1,1)</f>
        <v/>
      </c>
      <c r="F12" s="2">
        <f>IF(INDEX(Groups!B$2:B$10,VALUE(MID(B12,2,2)))="","allocate on Monday",INDEX(Groups!B$2:B$10,VALUE(MID(B12,2,2))))</f>
        <v/>
      </c>
      <c r="G12" s="3" t="inlineStr">
        <is>
          <t>yes</t>
        </is>
      </c>
      <c r="H12" s="2">
        <f>IF(G12="yes",COUNTIFS(G$2:G$36,"yes",A$2:A$36,"&lt;="&amp;A12),"")</f>
        <v/>
      </c>
      <c r="I12" s="2">
        <f>"P"&amp;C12</f>
        <v/>
      </c>
      <c r="J12" s="2">
        <f>IFERROR(INDEX(Sets!G$2:G$5,MATCH(INDEX(Sets!B$2:B$9,MATCH(E12,Sets!A$2:A$9,0))&amp;"|"&amp;LEFT(F12,1),Sets!F$2:F$5,0)),INDEX(Sets!B$2:B$9,MATCH(E12,Sets!A$2:A$9,0)))</f>
        <v/>
      </c>
      <c r="K12" s="2">
        <f>IFERROR(INDEX(Sets!G$2:G$5,MATCH(INDEX(Sets!C$2:C$9,MATCH(E12,Sets!A$2:A$9,0))&amp;"|"&amp;LEFT(F12,1),Sets!F$2:F$5,0)),INDEX(Sets!C$2:C$9,MATCH(E12,Sets!A$2:A$9,0)))</f>
        <v/>
      </c>
      <c r="L12" s="2">
        <f>IFERROR(INDEX(Sets!G$2:G$5,MATCH(INDEX(Sets!D$2:D$9,MATCH(E12,Sets!A$2:A$9,0))&amp;"|"&amp;LEFT(F12,1),Sets!F$2:F$5,0)),INDEX(Sets!D$2:D$9,MATCH(E12,Sets!A$2:A$9,0)))</f>
        <v/>
      </c>
    </row>
    <row r="13">
      <c r="A13" s="2" t="n">
        <v>12</v>
      </c>
      <c r="B13" s="2" t="inlineStr">
        <is>
          <t>G3</t>
        </is>
      </c>
      <c r="C13" s="2" t="n">
        <v>2</v>
      </c>
      <c r="D13" s="2">
        <f>B13&amp;"-S"&amp;C13</f>
        <v/>
      </c>
      <c r="E13" s="2">
        <f>MID("ABCDEFGH",MOD(VALUE(MID(B13,2,2))+C13-2,8)+1,1)</f>
        <v/>
      </c>
      <c r="F13" s="2">
        <f>IF(INDEX(Groups!B$2:B$10,VALUE(MID(B13,2,2)))="","allocate on Monday",INDEX(Groups!B$2:B$10,VALUE(MID(B13,2,2))))</f>
        <v/>
      </c>
      <c r="G13" s="3" t="inlineStr">
        <is>
          <t>yes</t>
        </is>
      </c>
      <c r="H13" s="2">
        <f>IF(G13="yes",COUNTIFS(G$2:G$36,"yes",A$2:A$36,"&lt;="&amp;A13),"")</f>
        <v/>
      </c>
      <c r="I13" s="2">
        <f>"P"&amp;C13</f>
        <v/>
      </c>
      <c r="J13" s="2">
        <f>IFERROR(INDEX(Sets!G$2:G$5,MATCH(INDEX(Sets!B$2:B$9,MATCH(E13,Sets!A$2:A$9,0))&amp;"|"&amp;LEFT(F13,1),Sets!F$2:F$5,0)),INDEX(Sets!B$2:B$9,MATCH(E13,Sets!A$2:A$9,0)))</f>
        <v/>
      </c>
      <c r="K13" s="2">
        <f>IFERROR(INDEX(Sets!G$2:G$5,MATCH(INDEX(Sets!C$2:C$9,MATCH(E13,Sets!A$2:A$9,0))&amp;"|"&amp;LEFT(F13,1),Sets!F$2:F$5,0)),INDEX(Sets!C$2:C$9,MATCH(E13,Sets!A$2:A$9,0)))</f>
        <v/>
      </c>
      <c r="L13" s="2">
        <f>IFERROR(INDEX(Sets!G$2:G$5,MATCH(INDEX(Sets!D$2:D$9,MATCH(E13,Sets!A$2:A$9,0))&amp;"|"&amp;LEFT(F13,1),Sets!F$2:F$5,0)),INDEX(Sets!D$2:D$9,MATCH(E13,Sets!A$2:A$9,0)))</f>
        <v/>
      </c>
    </row>
    <row r="14">
      <c r="A14" s="2" t="n">
        <v>13</v>
      </c>
      <c r="B14" s="2" t="inlineStr">
        <is>
          <t>G4</t>
        </is>
      </c>
      <c r="C14" s="2" t="n">
        <v>2</v>
      </c>
      <c r="D14" s="2">
        <f>B14&amp;"-S"&amp;C14</f>
        <v/>
      </c>
      <c r="E14" s="2">
        <f>MID("ABCDEFGH",MOD(VALUE(MID(B14,2,2))+C14-2,8)+1,1)</f>
        <v/>
      </c>
      <c r="F14" s="2">
        <f>IF(INDEX(Groups!B$2:B$10,VALUE(MID(B14,2,2)))="","allocate on Monday",INDEX(Groups!B$2:B$10,VALUE(MID(B14,2,2))))</f>
        <v/>
      </c>
      <c r="G14" s="3" t="inlineStr">
        <is>
          <t>yes</t>
        </is>
      </c>
      <c r="H14" s="2">
        <f>IF(G14="yes",COUNTIFS(G$2:G$36,"yes",A$2:A$36,"&lt;="&amp;A14),"")</f>
        <v/>
      </c>
      <c r="I14" s="2">
        <f>"P"&amp;C14</f>
        <v/>
      </c>
      <c r="J14" s="2">
        <f>IFERROR(INDEX(Sets!G$2:G$5,MATCH(INDEX(Sets!B$2:B$9,MATCH(E14,Sets!A$2:A$9,0))&amp;"|"&amp;LEFT(F14,1),Sets!F$2:F$5,0)),INDEX(Sets!B$2:B$9,MATCH(E14,Sets!A$2:A$9,0)))</f>
        <v/>
      </c>
      <c r="K14" s="2">
        <f>IFERROR(INDEX(Sets!G$2:G$5,MATCH(INDEX(Sets!C$2:C$9,MATCH(E14,Sets!A$2:A$9,0))&amp;"|"&amp;LEFT(F14,1),Sets!F$2:F$5,0)),INDEX(Sets!C$2:C$9,MATCH(E14,Sets!A$2:A$9,0)))</f>
        <v/>
      </c>
      <c r="L14" s="2">
        <f>IFERROR(INDEX(Sets!G$2:G$5,MATCH(INDEX(Sets!D$2:D$9,MATCH(E14,Sets!A$2:A$9,0))&amp;"|"&amp;LEFT(F14,1),Sets!F$2:F$5,0)),INDEX(Sets!D$2:D$9,MATCH(E14,Sets!A$2:A$9,0)))</f>
        <v/>
      </c>
    </row>
    <row r="15">
      <c r="A15" s="2" t="n">
        <v>14</v>
      </c>
      <c r="B15" s="2" t="inlineStr">
        <is>
          <t>G5</t>
        </is>
      </c>
      <c r="C15" s="2" t="n">
        <v>2</v>
      </c>
      <c r="D15" s="2">
        <f>B15&amp;"-S"&amp;C15</f>
        <v/>
      </c>
      <c r="E15" s="2">
        <f>MID("ABCDEFGH",MOD(VALUE(MID(B15,2,2))+C15-2,8)+1,1)</f>
        <v/>
      </c>
      <c r="F15" s="2">
        <f>IF(INDEX(Groups!B$2:B$10,VALUE(MID(B15,2,2)))="","allocate on Monday",INDEX(Groups!B$2:B$10,VALUE(MID(B15,2,2))))</f>
        <v/>
      </c>
      <c r="G15" s="3" t="inlineStr">
        <is>
          <t>yes</t>
        </is>
      </c>
      <c r="H15" s="2">
        <f>IF(G15="yes",COUNTIFS(G$2:G$36,"yes",A$2:A$36,"&lt;="&amp;A15),"")</f>
        <v/>
      </c>
      <c r="I15" s="2">
        <f>"P"&amp;C15</f>
        <v/>
      </c>
      <c r="J15" s="2">
        <f>IFERROR(INDEX(Sets!G$2:G$5,MATCH(INDEX(Sets!B$2:B$9,MATCH(E15,Sets!A$2:A$9,0))&amp;"|"&amp;LEFT(F15,1),Sets!F$2:F$5,0)),INDEX(Sets!B$2:B$9,MATCH(E15,Sets!A$2:A$9,0)))</f>
        <v/>
      </c>
      <c r="K15" s="2">
        <f>IFERROR(INDEX(Sets!G$2:G$5,MATCH(INDEX(Sets!C$2:C$9,MATCH(E15,Sets!A$2:A$9,0))&amp;"|"&amp;LEFT(F15,1),Sets!F$2:F$5,0)),INDEX(Sets!C$2:C$9,MATCH(E15,Sets!A$2:A$9,0)))</f>
        <v/>
      </c>
      <c r="L15" s="2">
        <f>IFERROR(INDEX(Sets!G$2:G$5,MATCH(INDEX(Sets!D$2:D$9,MATCH(E15,Sets!A$2:A$9,0))&amp;"|"&amp;LEFT(F15,1),Sets!F$2:F$5,0)),INDEX(Sets!D$2:D$9,MATCH(E15,Sets!A$2:A$9,0)))</f>
        <v/>
      </c>
    </row>
    <row r="16">
      <c r="A16" s="2" t="n">
        <v>15</v>
      </c>
      <c r="B16" s="2" t="inlineStr">
        <is>
          <t>G6</t>
        </is>
      </c>
      <c r="C16" s="2" t="n">
        <v>2</v>
      </c>
      <c r="D16" s="2">
        <f>B16&amp;"-S"&amp;C16</f>
        <v/>
      </c>
      <c r="E16" s="2">
        <f>MID("ABCDEFGH",MOD(VALUE(MID(B16,2,2))+C16-2,8)+1,1)</f>
        <v/>
      </c>
      <c r="F16" s="2">
        <f>IF(INDEX(Groups!B$2:B$10,VALUE(MID(B16,2,2)))="","allocate on Monday",INDEX(Groups!B$2:B$10,VALUE(MID(B16,2,2))))</f>
        <v/>
      </c>
      <c r="G16" s="3" t="inlineStr">
        <is>
          <t>yes</t>
        </is>
      </c>
      <c r="H16" s="2">
        <f>IF(G16="yes",COUNTIFS(G$2:G$36,"yes",A$2:A$36,"&lt;="&amp;A16),"")</f>
        <v/>
      </c>
      <c r="I16" s="2">
        <f>"P"&amp;C16</f>
        <v/>
      </c>
      <c r="J16" s="2">
        <f>IFERROR(INDEX(Sets!G$2:G$5,MATCH(INDEX(Sets!B$2:B$9,MATCH(E16,Sets!A$2:A$9,0))&amp;"|"&amp;LEFT(F16,1),Sets!F$2:F$5,0)),INDEX(Sets!B$2:B$9,MATCH(E16,Sets!A$2:A$9,0)))</f>
        <v/>
      </c>
      <c r="K16" s="2">
        <f>IFERROR(INDEX(Sets!G$2:G$5,MATCH(INDEX(Sets!C$2:C$9,MATCH(E16,Sets!A$2:A$9,0))&amp;"|"&amp;LEFT(F16,1),Sets!F$2:F$5,0)),INDEX(Sets!C$2:C$9,MATCH(E16,Sets!A$2:A$9,0)))</f>
        <v/>
      </c>
      <c r="L16" s="2">
        <f>IFERROR(INDEX(Sets!G$2:G$5,MATCH(INDEX(Sets!D$2:D$9,MATCH(E16,Sets!A$2:A$9,0))&amp;"|"&amp;LEFT(F16,1),Sets!F$2:F$5,0)),INDEX(Sets!D$2:D$9,MATCH(E16,Sets!A$2:A$9,0)))</f>
        <v/>
      </c>
    </row>
    <row r="17">
      <c r="A17" s="2" t="n">
        <v>16</v>
      </c>
      <c r="B17" s="2" t="inlineStr">
        <is>
          <t>G7</t>
        </is>
      </c>
      <c r="C17" s="2" t="n">
        <v>2</v>
      </c>
      <c r="D17" s="2">
        <f>B17&amp;"-S"&amp;C17</f>
        <v/>
      </c>
      <c r="E17" s="2">
        <f>MID("ABCDEFGH",MOD(VALUE(MID(B17,2,2))+C17-2,8)+1,1)</f>
        <v/>
      </c>
      <c r="F17" s="2">
        <f>IF(INDEX(Groups!B$2:B$10,VALUE(MID(B17,2,2)))="","allocate on Monday",INDEX(Groups!B$2:B$10,VALUE(MID(B17,2,2))))</f>
        <v/>
      </c>
      <c r="G17" s="3" t="inlineStr">
        <is>
          <t>yes</t>
        </is>
      </c>
      <c r="H17" s="2">
        <f>IF(G17="yes",COUNTIFS(G$2:G$36,"yes",A$2:A$36,"&lt;="&amp;A17),"")</f>
        <v/>
      </c>
      <c r="I17" s="2">
        <f>"P"&amp;C17</f>
        <v/>
      </c>
      <c r="J17" s="2">
        <f>IFERROR(INDEX(Sets!G$2:G$5,MATCH(INDEX(Sets!B$2:B$9,MATCH(E17,Sets!A$2:A$9,0))&amp;"|"&amp;LEFT(F17,1),Sets!F$2:F$5,0)),INDEX(Sets!B$2:B$9,MATCH(E17,Sets!A$2:A$9,0)))</f>
        <v/>
      </c>
      <c r="K17" s="2">
        <f>IFERROR(INDEX(Sets!G$2:G$5,MATCH(INDEX(Sets!C$2:C$9,MATCH(E17,Sets!A$2:A$9,0))&amp;"|"&amp;LEFT(F17,1),Sets!F$2:F$5,0)),INDEX(Sets!C$2:C$9,MATCH(E17,Sets!A$2:A$9,0)))</f>
        <v/>
      </c>
      <c r="L17" s="2">
        <f>IFERROR(INDEX(Sets!G$2:G$5,MATCH(INDEX(Sets!D$2:D$9,MATCH(E17,Sets!A$2:A$9,0))&amp;"|"&amp;LEFT(F17,1),Sets!F$2:F$5,0)),INDEX(Sets!D$2:D$9,MATCH(E17,Sets!A$2:A$9,0)))</f>
        <v/>
      </c>
    </row>
    <row r="18">
      <c r="A18" s="2" t="n">
        <v>17</v>
      </c>
      <c r="B18" s="2" t="inlineStr">
        <is>
          <t>G8</t>
        </is>
      </c>
      <c r="C18" s="2" t="n">
        <v>2</v>
      </c>
      <c r="D18" s="2">
        <f>B18&amp;"-S"&amp;C18</f>
        <v/>
      </c>
      <c r="E18" s="2">
        <f>MID("ABCDEFGH",MOD(VALUE(MID(B18,2,2))+C18-2,8)+1,1)</f>
        <v/>
      </c>
      <c r="F18" s="2">
        <f>IF(INDEX(Groups!B$2:B$10,VALUE(MID(B18,2,2)))="","allocate on Monday",INDEX(Groups!B$2:B$10,VALUE(MID(B18,2,2))))</f>
        <v/>
      </c>
      <c r="G18" s="3" t="inlineStr">
        <is>
          <t>yes</t>
        </is>
      </c>
      <c r="H18" s="2">
        <f>IF(G18="yes",COUNTIFS(G$2:G$36,"yes",A$2:A$36,"&lt;="&amp;A18),"")</f>
        <v/>
      </c>
      <c r="I18" s="2">
        <f>"P"&amp;C18</f>
        <v/>
      </c>
      <c r="J18" s="2">
        <f>IFERROR(INDEX(Sets!G$2:G$5,MATCH(INDEX(Sets!B$2:B$9,MATCH(E18,Sets!A$2:A$9,0))&amp;"|"&amp;LEFT(F18,1),Sets!F$2:F$5,0)),INDEX(Sets!B$2:B$9,MATCH(E18,Sets!A$2:A$9,0)))</f>
        <v/>
      </c>
      <c r="K18" s="2">
        <f>IFERROR(INDEX(Sets!G$2:G$5,MATCH(INDEX(Sets!C$2:C$9,MATCH(E18,Sets!A$2:A$9,0))&amp;"|"&amp;LEFT(F18,1),Sets!F$2:F$5,0)),INDEX(Sets!C$2:C$9,MATCH(E18,Sets!A$2:A$9,0)))</f>
        <v/>
      </c>
      <c r="L18" s="2">
        <f>IFERROR(INDEX(Sets!G$2:G$5,MATCH(INDEX(Sets!D$2:D$9,MATCH(E18,Sets!A$2:A$9,0))&amp;"|"&amp;LEFT(F18,1),Sets!F$2:F$5,0)),INDEX(Sets!D$2:D$9,MATCH(E18,Sets!A$2:A$9,0)))</f>
        <v/>
      </c>
    </row>
    <row r="19">
      <c r="A19" s="2" t="n">
        <v>18</v>
      </c>
      <c r="B19" s="2" t="inlineStr">
        <is>
          <t>G9</t>
        </is>
      </c>
      <c r="C19" s="2" t="n">
        <v>2</v>
      </c>
      <c r="D19" s="2">
        <f>B19&amp;"-S"&amp;C19</f>
        <v/>
      </c>
      <c r="E19" s="2">
        <f>MID("ABCDEFGH",MOD(VALUE(MID(B19,2,2))+C19-2,8)+1,1)</f>
        <v/>
      </c>
      <c r="F19" s="2">
        <f>IF(INDEX(Groups!B$2:B$10,VALUE(MID(B19,2,2)))="","allocate on Monday",INDEX(Groups!B$2:B$10,VALUE(MID(B19,2,2))))</f>
        <v/>
      </c>
      <c r="G19" s="3" t="inlineStr">
        <is>
          <t>yes</t>
        </is>
      </c>
      <c r="H19" s="2">
        <f>IF(G19="yes",COUNTIFS(G$2:G$36,"yes",A$2:A$36,"&lt;="&amp;A19),"")</f>
        <v/>
      </c>
      <c r="I19" s="2">
        <f>"P"&amp;C19</f>
        <v/>
      </c>
      <c r="J19" s="2">
        <f>IFERROR(INDEX(Sets!G$2:G$5,MATCH(INDEX(Sets!B$2:B$9,MATCH(E19,Sets!A$2:A$9,0))&amp;"|"&amp;LEFT(F19,1),Sets!F$2:F$5,0)),INDEX(Sets!B$2:B$9,MATCH(E19,Sets!A$2:A$9,0)))</f>
        <v/>
      </c>
      <c r="K19" s="2">
        <f>IFERROR(INDEX(Sets!G$2:G$5,MATCH(INDEX(Sets!C$2:C$9,MATCH(E19,Sets!A$2:A$9,0))&amp;"|"&amp;LEFT(F19,1),Sets!F$2:F$5,0)),INDEX(Sets!C$2:C$9,MATCH(E19,Sets!A$2:A$9,0)))</f>
        <v/>
      </c>
      <c r="L19" s="2">
        <f>IFERROR(INDEX(Sets!G$2:G$5,MATCH(INDEX(Sets!D$2:D$9,MATCH(E19,Sets!A$2:A$9,0))&amp;"|"&amp;LEFT(F19,1),Sets!F$2:F$5,0)),INDEX(Sets!D$2:D$9,MATCH(E19,Sets!A$2:A$9,0)))</f>
        <v/>
      </c>
    </row>
    <row r="20">
      <c r="A20" s="2" t="n">
        <v>19</v>
      </c>
      <c r="B20" s="2" t="inlineStr">
        <is>
          <t>G1</t>
        </is>
      </c>
      <c r="C20" s="2" t="n">
        <v>3</v>
      </c>
      <c r="D20" s="2">
        <f>B20&amp;"-S"&amp;C20</f>
        <v/>
      </c>
      <c r="E20" s="2">
        <f>MID("ABCDEFGH",MOD(VALUE(MID(B20,2,2))+C20-2,8)+1,1)</f>
        <v/>
      </c>
      <c r="F20" s="2">
        <f>IF(INDEX(Groups!B$2:B$10,VALUE(MID(B20,2,2)))="","allocate on Monday",INDEX(Groups!B$2:B$10,VALUE(MID(B20,2,2))))</f>
        <v/>
      </c>
      <c r="G20" s="3" t="inlineStr">
        <is>
          <t>yes</t>
        </is>
      </c>
      <c r="H20" s="2">
        <f>IF(G20="yes",COUNTIFS(G$2:G$36,"yes",A$2:A$36,"&lt;="&amp;A20),"")</f>
        <v/>
      </c>
      <c r="I20" s="2">
        <f>"P"&amp;C20</f>
        <v/>
      </c>
      <c r="J20" s="2">
        <f>IFERROR(INDEX(Sets!G$2:G$5,MATCH(INDEX(Sets!B$2:B$9,MATCH(E20,Sets!A$2:A$9,0))&amp;"|"&amp;LEFT(F20,1),Sets!F$2:F$5,0)),INDEX(Sets!B$2:B$9,MATCH(E20,Sets!A$2:A$9,0)))</f>
        <v/>
      </c>
      <c r="K20" s="2">
        <f>IFERROR(INDEX(Sets!G$2:G$5,MATCH(INDEX(Sets!C$2:C$9,MATCH(E20,Sets!A$2:A$9,0))&amp;"|"&amp;LEFT(F20,1),Sets!F$2:F$5,0)),INDEX(Sets!C$2:C$9,MATCH(E20,Sets!A$2:A$9,0)))</f>
        <v/>
      </c>
      <c r="L20" s="2">
        <f>IFERROR(INDEX(Sets!G$2:G$5,MATCH(INDEX(Sets!D$2:D$9,MATCH(E20,Sets!A$2:A$9,0))&amp;"|"&amp;LEFT(F20,1),Sets!F$2:F$5,0)),INDEX(Sets!D$2:D$9,MATCH(E20,Sets!A$2:A$9,0)))</f>
        <v/>
      </c>
    </row>
    <row r="21">
      <c r="A21" s="2" t="n">
        <v>20</v>
      </c>
      <c r="B21" s="2" t="inlineStr">
        <is>
          <t>G2</t>
        </is>
      </c>
      <c r="C21" s="2" t="n">
        <v>3</v>
      </c>
      <c r="D21" s="2">
        <f>B21&amp;"-S"&amp;C21</f>
        <v/>
      </c>
      <c r="E21" s="2">
        <f>MID("ABCDEFGH",MOD(VALUE(MID(B21,2,2))+C21-2,8)+1,1)</f>
        <v/>
      </c>
      <c r="F21" s="2">
        <f>IF(INDEX(Groups!B$2:B$10,VALUE(MID(B21,2,2)))="","allocate on Monday",INDEX(Groups!B$2:B$10,VALUE(MID(B21,2,2))))</f>
        <v/>
      </c>
      <c r="G21" s="3" t="inlineStr">
        <is>
          <t>yes</t>
        </is>
      </c>
      <c r="H21" s="2">
        <f>IF(G21="yes",COUNTIFS(G$2:G$36,"yes",A$2:A$36,"&lt;="&amp;A21),"")</f>
        <v/>
      </c>
      <c r="I21" s="2">
        <f>"P"&amp;C21</f>
        <v/>
      </c>
      <c r="J21" s="2">
        <f>IFERROR(INDEX(Sets!G$2:G$5,MATCH(INDEX(Sets!B$2:B$9,MATCH(E21,Sets!A$2:A$9,0))&amp;"|"&amp;LEFT(F21,1),Sets!F$2:F$5,0)),INDEX(Sets!B$2:B$9,MATCH(E21,Sets!A$2:A$9,0)))</f>
        <v/>
      </c>
      <c r="K21" s="2">
        <f>IFERROR(INDEX(Sets!G$2:G$5,MATCH(INDEX(Sets!C$2:C$9,MATCH(E21,Sets!A$2:A$9,0))&amp;"|"&amp;LEFT(F21,1),Sets!F$2:F$5,0)),INDEX(Sets!C$2:C$9,MATCH(E21,Sets!A$2:A$9,0)))</f>
        <v/>
      </c>
      <c r="L21" s="2">
        <f>IFERROR(INDEX(Sets!G$2:G$5,MATCH(INDEX(Sets!D$2:D$9,MATCH(E21,Sets!A$2:A$9,0))&amp;"|"&amp;LEFT(F21,1),Sets!F$2:F$5,0)),INDEX(Sets!D$2:D$9,MATCH(E21,Sets!A$2:A$9,0)))</f>
        <v/>
      </c>
    </row>
    <row r="22">
      <c r="A22" s="2" t="n">
        <v>21</v>
      </c>
      <c r="B22" s="2" t="inlineStr">
        <is>
          <t>G3</t>
        </is>
      </c>
      <c r="C22" s="2" t="n">
        <v>3</v>
      </c>
      <c r="D22" s="2">
        <f>B22&amp;"-S"&amp;C22</f>
        <v/>
      </c>
      <c r="E22" s="2">
        <f>MID("ABCDEFGH",MOD(VALUE(MID(B22,2,2))+C22-2,8)+1,1)</f>
        <v/>
      </c>
      <c r="F22" s="2">
        <f>IF(INDEX(Groups!B$2:B$10,VALUE(MID(B22,2,2)))="","allocate on Monday",INDEX(Groups!B$2:B$10,VALUE(MID(B22,2,2))))</f>
        <v/>
      </c>
      <c r="G22" s="3" t="inlineStr">
        <is>
          <t>yes</t>
        </is>
      </c>
      <c r="H22" s="2">
        <f>IF(G22="yes",COUNTIFS(G$2:G$36,"yes",A$2:A$36,"&lt;="&amp;A22),"")</f>
        <v/>
      </c>
      <c r="I22" s="2">
        <f>"P"&amp;C22</f>
        <v/>
      </c>
      <c r="J22" s="2">
        <f>IFERROR(INDEX(Sets!G$2:G$5,MATCH(INDEX(Sets!B$2:B$9,MATCH(E22,Sets!A$2:A$9,0))&amp;"|"&amp;LEFT(F22,1),Sets!F$2:F$5,0)),INDEX(Sets!B$2:B$9,MATCH(E22,Sets!A$2:A$9,0)))</f>
        <v/>
      </c>
      <c r="K22" s="2">
        <f>IFERROR(INDEX(Sets!G$2:G$5,MATCH(INDEX(Sets!C$2:C$9,MATCH(E22,Sets!A$2:A$9,0))&amp;"|"&amp;LEFT(F22,1),Sets!F$2:F$5,0)),INDEX(Sets!C$2:C$9,MATCH(E22,Sets!A$2:A$9,0)))</f>
        <v/>
      </c>
      <c r="L22" s="2">
        <f>IFERROR(INDEX(Sets!G$2:G$5,MATCH(INDEX(Sets!D$2:D$9,MATCH(E22,Sets!A$2:A$9,0))&amp;"|"&amp;LEFT(F22,1),Sets!F$2:F$5,0)),INDEX(Sets!D$2:D$9,MATCH(E22,Sets!A$2:A$9,0)))</f>
        <v/>
      </c>
    </row>
    <row r="23">
      <c r="A23" s="2" t="n">
        <v>22</v>
      </c>
      <c r="B23" s="2" t="inlineStr">
        <is>
          <t>G4</t>
        </is>
      </c>
      <c r="C23" s="2" t="n">
        <v>3</v>
      </c>
      <c r="D23" s="2">
        <f>B23&amp;"-S"&amp;C23</f>
        <v/>
      </c>
      <c r="E23" s="2">
        <f>MID("ABCDEFGH",MOD(VALUE(MID(B23,2,2))+C23-2,8)+1,1)</f>
        <v/>
      </c>
      <c r="F23" s="2">
        <f>IF(INDEX(Groups!B$2:B$10,VALUE(MID(B23,2,2)))="","allocate on Monday",INDEX(Groups!B$2:B$10,VALUE(MID(B23,2,2))))</f>
        <v/>
      </c>
      <c r="G23" s="3" t="inlineStr">
        <is>
          <t>yes</t>
        </is>
      </c>
      <c r="H23" s="2">
        <f>IF(G23="yes",COUNTIFS(G$2:G$36,"yes",A$2:A$36,"&lt;="&amp;A23),"")</f>
        <v/>
      </c>
      <c r="I23" s="2">
        <f>"P"&amp;C23</f>
        <v/>
      </c>
      <c r="J23" s="2">
        <f>IFERROR(INDEX(Sets!G$2:G$5,MATCH(INDEX(Sets!B$2:B$9,MATCH(E23,Sets!A$2:A$9,0))&amp;"|"&amp;LEFT(F23,1),Sets!F$2:F$5,0)),INDEX(Sets!B$2:B$9,MATCH(E23,Sets!A$2:A$9,0)))</f>
        <v/>
      </c>
      <c r="K23" s="2">
        <f>IFERROR(INDEX(Sets!G$2:G$5,MATCH(INDEX(Sets!C$2:C$9,MATCH(E23,Sets!A$2:A$9,0))&amp;"|"&amp;LEFT(F23,1),Sets!F$2:F$5,0)),INDEX(Sets!C$2:C$9,MATCH(E23,Sets!A$2:A$9,0)))</f>
        <v/>
      </c>
      <c r="L23" s="2">
        <f>IFERROR(INDEX(Sets!G$2:G$5,MATCH(INDEX(Sets!D$2:D$9,MATCH(E23,Sets!A$2:A$9,0))&amp;"|"&amp;LEFT(F23,1),Sets!F$2:F$5,0)),INDEX(Sets!D$2:D$9,MATCH(E23,Sets!A$2:A$9,0)))</f>
        <v/>
      </c>
    </row>
    <row r="24">
      <c r="A24" s="2" t="n">
        <v>23</v>
      </c>
      <c r="B24" s="2" t="inlineStr">
        <is>
          <t>G5</t>
        </is>
      </c>
      <c r="C24" s="2" t="n">
        <v>3</v>
      </c>
      <c r="D24" s="2">
        <f>B24&amp;"-S"&amp;C24</f>
        <v/>
      </c>
      <c r="E24" s="2">
        <f>MID("ABCDEFGH",MOD(VALUE(MID(B24,2,2))+C24-2,8)+1,1)</f>
        <v/>
      </c>
      <c r="F24" s="2">
        <f>IF(INDEX(Groups!B$2:B$10,VALUE(MID(B24,2,2)))="","allocate on Monday",INDEX(Groups!B$2:B$10,VALUE(MID(B24,2,2))))</f>
        <v/>
      </c>
      <c r="G24" s="3" t="inlineStr">
        <is>
          <t>yes</t>
        </is>
      </c>
      <c r="H24" s="2">
        <f>IF(G24="yes",COUNTIFS(G$2:G$36,"yes",A$2:A$36,"&lt;="&amp;A24),"")</f>
        <v/>
      </c>
      <c r="I24" s="2">
        <f>"P"&amp;C24</f>
        <v/>
      </c>
      <c r="J24" s="2">
        <f>IFERROR(INDEX(Sets!G$2:G$5,MATCH(INDEX(Sets!B$2:B$9,MATCH(E24,Sets!A$2:A$9,0))&amp;"|"&amp;LEFT(F24,1),Sets!F$2:F$5,0)),INDEX(Sets!B$2:B$9,MATCH(E24,Sets!A$2:A$9,0)))</f>
        <v/>
      </c>
      <c r="K24" s="2">
        <f>IFERROR(INDEX(Sets!G$2:G$5,MATCH(INDEX(Sets!C$2:C$9,MATCH(E24,Sets!A$2:A$9,0))&amp;"|"&amp;LEFT(F24,1),Sets!F$2:F$5,0)),INDEX(Sets!C$2:C$9,MATCH(E24,Sets!A$2:A$9,0)))</f>
        <v/>
      </c>
      <c r="L24" s="2">
        <f>IFERROR(INDEX(Sets!G$2:G$5,MATCH(INDEX(Sets!D$2:D$9,MATCH(E24,Sets!A$2:A$9,0))&amp;"|"&amp;LEFT(F24,1),Sets!F$2:F$5,0)),INDEX(Sets!D$2:D$9,MATCH(E24,Sets!A$2:A$9,0)))</f>
        <v/>
      </c>
    </row>
    <row r="25">
      <c r="A25" s="2" t="n">
        <v>24</v>
      </c>
      <c r="B25" s="2" t="inlineStr">
        <is>
          <t>G6</t>
        </is>
      </c>
      <c r="C25" s="2" t="n">
        <v>3</v>
      </c>
      <c r="D25" s="2">
        <f>B25&amp;"-S"&amp;C25</f>
        <v/>
      </c>
      <c r="E25" s="2">
        <f>MID("ABCDEFGH",MOD(VALUE(MID(B25,2,2))+C25-2,8)+1,1)</f>
        <v/>
      </c>
      <c r="F25" s="2">
        <f>IF(INDEX(Groups!B$2:B$10,VALUE(MID(B25,2,2)))="","allocate on Monday",INDEX(Groups!B$2:B$10,VALUE(MID(B25,2,2))))</f>
        <v/>
      </c>
      <c r="G25" s="3" t="inlineStr">
        <is>
          <t>yes</t>
        </is>
      </c>
      <c r="H25" s="2">
        <f>IF(G25="yes",COUNTIFS(G$2:G$36,"yes",A$2:A$36,"&lt;="&amp;A25),"")</f>
        <v/>
      </c>
      <c r="I25" s="2">
        <f>"P"&amp;C25</f>
        <v/>
      </c>
      <c r="J25" s="2">
        <f>IFERROR(INDEX(Sets!G$2:G$5,MATCH(INDEX(Sets!B$2:B$9,MATCH(E25,Sets!A$2:A$9,0))&amp;"|"&amp;LEFT(F25,1),Sets!F$2:F$5,0)),INDEX(Sets!B$2:B$9,MATCH(E25,Sets!A$2:A$9,0)))</f>
        <v/>
      </c>
      <c r="K25" s="2">
        <f>IFERROR(INDEX(Sets!G$2:G$5,MATCH(INDEX(Sets!C$2:C$9,MATCH(E25,Sets!A$2:A$9,0))&amp;"|"&amp;LEFT(F25,1),Sets!F$2:F$5,0)),INDEX(Sets!C$2:C$9,MATCH(E25,Sets!A$2:A$9,0)))</f>
        <v/>
      </c>
      <c r="L25" s="2">
        <f>IFERROR(INDEX(Sets!G$2:G$5,MATCH(INDEX(Sets!D$2:D$9,MATCH(E25,Sets!A$2:A$9,0))&amp;"|"&amp;LEFT(F25,1),Sets!F$2:F$5,0)),INDEX(Sets!D$2:D$9,MATCH(E25,Sets!A$2:A$9,0)))</f>
        <v/>
      </c>
    </row>
    <row r="26">
      <c r="A26" s="2" t="n">
        <v>25</v>
      </c>
      <c r="B26" s="2" t="inlineStr">
        <is>
          <t>G7</t>
        </is>
      </c>
      <c r="C26" s="2" t="n">
        <v>3</v>
      </c>
      <c r="D26" s="2">
        <f>B26&amp;"-S"&amp;C26</f>
        <v/>
      </c>
      <c r="E26" s="2">
        <f>MID("ABCDEFGH",MOD(VALUE(MID(B26,2,2))+C26-2,8)+1,1)</f>
        <v/>
      </c>
      <c r="F26" s="2">
        <f>IF(INDEX(Groups!B$2:B$10,VALUE(MID(B26,2,2)))="","allocate on Monday",INDEX(Groups!B$2:B$10,VALUE(MID(B26,2,2))))</f>
        <v/>
      </c>
      <c r="G26" s="3" t="inlineStr">
        <is>
          <t>yes</t>
        </is>
      </c>
      <c r="H26" s="2">
        <f>IF(G26="yes",COUNTIFS(G$2:G$36,"yes",A$2:A$36,"&lt;="&amp;A26),"")</f>
        <v/>
      </c>
      <c r="I26" s="2">
        <f>"P"&amp;C26</f>
        <v/>
      </c>
      <c r="J26" s="2">
        <f>IFERROR(INDEX(Sets!G$2:G$5,MATCH(INDEX(Sets!B$2:B$9,MATCH(E26,Sets!A$2:A$9,0))&amp;"|"&amp;LEFT(F26,1),Sets!F$2:F$5,0)),INDEX(Sets!B$2:B$9,MATCH(E26,Sets!A$2:A$9,0)))</f>
        <v/>
      </c>
      <c r="K26" s="2">
        <f>IFERROR(INDEX(Sets!G$2:G$5,MATCH(INDEX(Sets!C$2:C$9,MATCH(E26,Sets!A$2:A$9,0))&amp;"|"&amp;LEFT(F26,1),Sets!F$2:F$5,0)),INDEX(Sets!C$2:C$9,MATCH(E26,Sets!A$2:A$9,0)))</f>
        <v/>
      </c>
      <c r="L26" s="2">
        <f>IFERROR(INDEX(Sets!G$2:G$5,MATCH(INDEX(Sets!D$2:D$9,MATCH(E26,Sets!A$2:A$9,0))&amp;"|"&amp;LEFT(F26,1),Sets!F$2:F$5,0)),INDEX(Sets!D$2:D$9,MATCH(E26,Sets!A$2:A$9,0)))</f>
        <v/>
      </c>
    </row>
    <row r="27">
      <c r="A27" s="2" t="n">
        <v>26</v>
      </c>
      <c r="B27" s="2" t="inlineStr">
        <is>
          <t>G8</t>
        </is>
      </c>
      <c r="C27" s="2" t="n">
        <v>3</v>
      </c>
      <c r="D27" s="2">
        <f>B27&amp;"-S"&amp;C27</f>
        <v/>
      </c>
      <c r="E27" s="2">
        <f>MID("ABCDEFGH",MOD(VALUE(MID(B27,2,2))+C27-2,8)+1,1)</f>
        <v/>
      </c>
      <c r="F27" s="2">
        <f>IF(INDEX(Groups!B$2:B$10,VALUE(MID(B27,2,2)))="","allocate on Monday",INDEX(Groups!B$2:B$10,VALUE(MID(B27,2,2))))</f>
        <v/>
      </c>
      <c r="G27" s="3" t="inlineStr">
        <is>
          <t>yes</t>
        </is>
      </c>
      <c r="H27" s="2">
        <f>IF(G27="yes",COUNTIFS(G$2:G$36,"yes",A$2:A$36,"&lt;="&amp;A27),"")</f>
        <v/>
      </c>
      <c r="I27" s="2">
        <f>"P"&amp;C27</f>
        <v/>
      </c>
      <c r="J27" s="2">
        <f>IFERROR(INDEX(Sets!G$2:G$5,MATCH(INDEX(Sets!B$2:B$9,MATCH(E27,Sets!A$2:A$9,0))&amp;"|"&amp;LEFT(F27,1),Sets!F$2:F$5,0)),INDEX(Sets!B$2:B$9,MATCH(E27,Sets!A$2:A$9,0)))</f>
        <v/>
      </c>
      <c r="K27" s="2">
        <f>IFERROR(INDEX(Sets!G$2:G$5,MATCH(INDEX(Sets!C$2:C$9,MATCH(E27,Sets!A$2:A$9,0))&amp;"|"&amp;LEFT(F27,1),Sets!F$2:F$5,0)),INDEX(Sets!C$2:C$9,MATCH(E27,Sets!A$2:A$9,0)))</f>
        <v/>
      </c>
      <c r="L27" s="2">
        <f>IFERROR(INDEX(Sets!G$2:G$5,MATCH(INDEX(Sets!D$2:D$9,MATCH(E27,Sets!A$2:A$9,0))&amp;"|"&amp;LEFT(F27,1),Sets!F$2:F$5,0)),INDEX(Sets!D$2:D$9,MATCH(E27,Sets!A$2:A$9,0)))</f>
        <v/>
      </c>
    </row>
    <row r="28">
      <c r="A28" s="2" t="n">
        <v>27</v>
      </c>
      <c r="B28" s="2" t="inlineStr">
        <is>
          <t>G9</t>
        </is>
      </c>
      <c r="C28" s="2" t="n">
        <v>3</v>
      </c>
      <c r="D28" s="2">
        <f>B28&amp;"-S"&amp;C28</f>
        <v/>
      </c>
      <c r="E28" s="2">
        <f>MID("ABCDEFGH",MOD(VALUE(MID(B28,2,2))+C28-2,8)+1,1)</f>
        <v/>
      </c>
      <c r="F28" s="2">
        <f>IF(INDEX(Groups!B$2:B$10,VALUE(MID(B28,2,2)))="","allocate on Monday",INDEX(Groups!B$2:B$10,VALUE(MID(B28,2,2))))</f>
        <v/>
      </c>
      <c r="G28" s="3" t="inlineStr">
        <is>
          <t>yes</t>
        </is>
      </c>
      <c r="H28" s="2">
        <f>IF(G28="yes",COUNTIFS(G$2:G$36,"yes",A$2:A$36,"&lt;="&amp;A28),"")</f>
        <v/>
      </c>
      <c r="I28" s="2">
        <f>"P"&amp;C28</f>
        <v/>
      </c>
      <c r="J28" s="2">
        <f>IFERROR(INDEX(Sets!G$2:G$5,MATCH(INDEX(Sets!B$2:B$9,MATCH(E28,Sets!A$2:A$9,0))&amp;"|"&amp;LEFT(F28,1),Sets!F$2:F$5,0)),INDEX(Sets!B$2:B$9,MATCH(E28,Sets!A$2:A$9,0)))</f>
        <v/>
      </c>
      <c r="K28" s="2">
        <f>IFERROR(INDEX(Sets!G$2:G$5,MATCH(INDEX(Sets!C$2:C$9,MATCH(E28,Sets!A$2:A$9,0))&amp;"|"&amp;LEFT(F28,1),Sets!F$2:F$5,0)),INDEX(Sets!C$2:C$9,MATCH(E28,Sets!A$2:A$9,0)))</f>
        <v/>
      </c>
      <c r="L28" s="2">
        <f>IFERROR(INDEX(Sets!G$2:G$5,MATCH(INDEX(Sets!D$2:D$9,MATCH(E28,Sets!A$2:A$9,0))&amp;"|"&amp;LEFT(F28,1),Sets!F$2:F$5,0)),INDEX(Sets!D$2:D$9,MATCH(E28,Sets!A$2:A$9,0)))</f>
        <v/>
      </c>
    </row>
    <row r="29">
      <c r="A29" s="2" t="n">
        <v>28</v>
      </c>
      <c r="B29" s="2" t="inlineStr">
        <is>
          <t>G1</t>
        </is>
      </c>
      <c r="C29" s="2" t="n">
        <v>4</v>
      </c>
      <c r="D29" s="2">
        <f>B29&amp;"-S"&amp;C29</f>
        <v/>
      </c>
      <c r="E29" s="2">
        <f>MID("ABCDEFGH",MOD(VALUE(MID(B29,2,2))+C29-2,8)+1,1)</f>
        <v/>
      </c>
      <c r="F29" s="2">
        <f>IF(INDEX(Groups!B$2:B$10,VALUE(MID(B29,2,2)))="","allocate on Monday",INDEX(Groups!B$2:B$10,VALUE(MID(B29,2,2))))</f>
        <v/>
      </c>
      <c r="G29" s="3" t="inlineStr">
        <is>
          <t>yes</t>
        </is>
      </c>
      <c r="H29" s="2">
        <f>IF(G29="yes",COUNTIFS(G$2:G$36,"yes",A$2:A$36,"&lt;="&amp;A29),"")</f>
        <v/>
      </c>
      <c r="I29" s="2">
        <f>"P"&amp;C29</f>
        <v/>
      </c>
      <c r="J29" s="2">
        <f>IFERROR(INDEX(Sets!G$2:G$5,MATCH(INDEX(Sets!B$2:B$9,MATCH(E29,Sets!A$2:A$9,0))&amp;"|"&amp;LEFT(F29,1),Sets!F$2:F$5,0)),INDEX(Sets!B$2:B$9,MATCH(E29,Sets!A$2:A$9,0)))</f>
        <v/>
      </c>
      <c r="K29" s="2">
        <f>IFERROR(INDEX(Sets!G$2:G$5,MATCH(INDEX(Sets!C$2:C$9,MATCH(E29,Sets!A$2:A$9,0))&amp;"|"&amp;LEFT(F29,1),Sets!F$2:F$5,0)),INDEX(Sets!C$2:C$9,MATCH(E29,Sets!A$2:A$9,0)))</f>
        <v/>
      </c>
      <c r="L29" s="2">
        <f>IFERROR(INDEX(Sets!G$2:G$5,MATCH(INDEX(Sets!D$2:D$9,MATCH(E29,Sets!A$2:A$9,0))&amp;"|"&amp;LEFT(F29,1),Sets!F$2:F$5,0)),INDEX(Sets!D$2:D$9,MATCH(E29,Sets!A$2:A$9,0)))</f>
        <v/>
      </c>
    </row>
    <row r="30">
      <c r="A30" s="2" t="n">
        <v>29</v>
      </c>
      <c r="B30" s="2" t="inlineStr">
        <is>
          <t>G2</t>
        </is>
      </c>
      <c r="C30" s="2" t="n">
        <v>4</v>
      </c>
      <c r="D30" s="2">
        <f>B30&amp;"-S"&amp;C30</f>
        <v/>
      </c>
      <c r="E30" s="2">
        <f>MID("ABCDEFGH",MOD(VALUE(MID(B30,2,2))+C30-2,8)+1,1)</f>
        <v/>
      </c>
      <c r="F30" s="2">
        <f>IF(INDEX(Groups!B$2:B$10,VALUE(MID(B30,2,2)))="","allocate on Monday",INDEX(Groups!B$2:B$10,VALUE(MID(B30,2,2))))</f>
        <v/>
      </c>
      <c r="G30" s="3" t="inlineStr">
        <is>
          <t>yes</t>
        </is>
      </c>
      <c r="H30" s="2">
        <f>IF(G30="yes",COUNTIFS(G$2:G$36,"yes",A$2:A$36,"&lt;="&amp;A30),"")</f>
        <v/>
      </c>
      <c r="I30" s="2">
        <f>"P"&amp;C30</f>
        <v/>
      </c>
      <c r="J30" s="2">
        <f>IFERROR(INDEX(Sets!G$2:G$5,MATCH(INDEX(Sets!B$2:B$9,MATCH(E30,Sets!A$2:A$9,0))&amp;"|"&amp;LEFT(F30,1),Sets!F$2:F$5,0)),INDEX(Sets!B$2:B$9,MATCH(E30,Sets!A$2:A$9,0)))</f>
        <v/>
      </c>
      <c r="K30" s="2">
        <f>IFERROR(INDEX(Sets!G$2:G$5,MATCH(INDEX(Sets!C$2:C$9,MATCH(E30,Sets!A$2:A$9,0))&amp;"|"&amp;LEFT(F30,1),Sets!F$2:F$5,0)),INDEX(Sets!C$2:C$9,MATCH(E30,Sets!A$2:A$9,0)))</f>
        <v/>
      </c>
      <c r="L30" s="2">
        <f>IFERROR(INDEX(Sets!G$2:G$5,MATCH(INDEX(Sets!D$2:D$9,MATCH(E30,Sets!A$2:A$9,0))&amp;"|"&amp;LEFT(F30,1),Sets!F$2:F$5,0)),INDEX(Sets!D$2:D$9,MATCH(E30,Sets!A$2:A$9,0)))</f>
        <v/>
      </c>
    </row>
    <row r="31">
      <c r="A31" s="2" t="n">
        <v>30</v>
      </c>
      <c r="B31" s="2" t="inlineStr">
        <is>
          <t>G3</t>
        </is>
      </c>
      <c r="C31" s="2" t="n">
        <v>4</v>
      </c>
      <c r="D31" s="2">
        <f>B31&amp;"-S"&amp;C31</f>
        <v/>
      </c>
      <c r="E31" s="2">
        <f>MID("ABCDEFGH",MOD(VALUE(MID(B31,2,2))+C31-2,8)+1,1)</f>
        <v/>
      </c>
      <c r="F31" s="2">
        <f>IF(INDEX(Groups!B$2:B$10,VALUE(MID(B31,2,2)))="","allocate on Monday",INDEX(Groups!B$2:B$10,VALUE(MID(B31,2,2))))</f>
        <v/>
      </c>
      <c r="G31" s="3" t="inlineStr">
        <is>
          <t>yes</t>
        </is>
      </c>
      <c r="H31" s="2">
        <f>IF(G31="yes",COUNTIFS(G$2:G$36,"yes",A$2:A$36,"&lt;="&amp;A31),"")</f>
        <v/>
      </c>
      <c r="I31" s="2">
        <f>"P"&amp;C31</f>
        <v/>
      </c>
      <c r="J31" s="2">
        <f>IFERROR(INDEX(Sets!G$2:G$5,MATCH(INDEX(Sets!B$2:B$9,MATCH(E31,Sets!A$2:A$9,0))&amp;"|"&amp;LEFT(F31,1),Sets!F$2:F$5,0)),INDEX(Sets!B$2:B$9,MATCH(E31,Sets!A$2:A$9,0)))</f>
        <v/>
      </c>
      <c r="K31" s="2">
        <f>IFERROR(INDEX(Sets!G$2:G$5,MATCH(INDEX(Sets!C$2:C$9,MATCH(E31,Sets!A$2:A$9,0))&amp;"|"&amp;LEFT(F31,1),Sets!F$2:F$5,0)),INDEX(Sets!C$2:C$9,MATCH(E31,Sets!A$2:A$9,0)))</f>
        <v/>
      </c>
      <c r="L31" s="2">
        <f>IFERROR(INDEX(Sets!G$2:G$5,MATCH(INDEX(Sets!D$2:D$9,MATCH(E31,Sets!A$2:A$9,0))&amp;"|"&amp;LEFT(F31,1),Sets!F$2:F$5,0)),INDEX(Sets!D$2:D$9,MATCH(E31,Sets!A$2:A$9,0)))</f>
        <v/>
      </c>
    </row>
    <row r="32">
      <c r="A32" s="2" t="n">
        <v>31</v>
      </c>
      <c r="B32" s="2" t="inlineStr">
        <is>
          <t>G4</t>
        </is>
      </c>
      <c r="C32" s="2" t="n">
        <v>4</v>
      </c>
      <c r="D32" s="2">
        <f>B32&amp;"-S"&amp;C32</f>
        <v/>
      </c>
      <c r="E32" s="2">
        <f>MID("ABCDEFGH",MOD(VALUE(MID(B32,2,2))+C32-2,8)+1,1)</f>
        <v/>
      </c>
      <c r="F32" s="2">
        <f>IF(INDEX(Groups!B$2:B$10,VALUE(MID(B32,2,2)))="","allocate on Monday",INDEX(Groups!B$2:B$10,VALUE(MID(B32,2,2))))</f>
        <v/>
      </c>
      <c r="G32" s="3" t="inlineStr">
        <is>
          <t>yes</t>
        </is>
      </c>
      <c r="H32" s="2">
        <f>IF(G32="yes",COUNTIFS(G$2:G$36,"yes",A$2:A$36,"&lt;="&amp;A32),"")</f>
        <v/>
      </c>
      <c r="I32" s="2">
        <f>"P"&amp;C32</f>
        <v/>
      </c>
      <c r="J32" s="2">
        <f>IFERROR(INDEX(Sets!G$2:G$5,MATCH(INDEX(Sets!B$2:B$9,MATCH(E32,Sets!A$2:A$9,0))&amp;"|"&amp;LEFT(F32,1),Sets!F$2:F$5,0)),INDEX(Sets!B$2:B$9,MATCH(E32,Sets!A$2:A$9,0)))</f>
        <v/>
      </c>
      <c r="K32" s="2">
        <f>IFERROR(INDEX(Sets!G$2:G$5,MATCH(INDEX(Sets!C$2:C$9,MATCH(E32,Sets!A$2:A$9,0))&amp;"|"&amp;LEFT(F32,1),Sets!F$2:F$5,0)),INDEX(Sets!C$2:C$9,MATCH(E32,Sets!A$2:A$9,0)))</f>
        <v/>
      </c>
      <c r="L32" s="2">
        <f>IFERROR(INDEX(Sets!G$2:G$5,MATCH(INDEX(Sets!D$2:D$9,MATCH(E32,Sets!A$2:A$9,0))&amp;"|"&amp;LEFT(F32,1),Sets!F$2:F$5,0)),INDEX(Sets!D$2:D$9,MATCH(E32,Sets!A$2:A$9,0)))</f>
        <v/>
      </c>
    </row>
    <row r="33">
      <c r="A33" s="2" t="n">
        <v>32</v>
      </c>
      <c r="B33" s="2" t="inlineStr">
        <is>
          <t>G5</t>
        </is>
      </c>
      <c r="C33" s="2" t="n">
        <v>4</v>
      </c>
      <c r="D33" s="2">
        <f>B33&amp;"-S"&amp;C33</f>
        <v/>
      </c>
      <c r="E33" s="2">
        <f>MID("ABCDEFGH",MOD(VALUE(MID(B33,2,2))+C33-2,8)+1,1)</f>
        <v/>
      </c>
      <c r="F33" s="2">
        <f>IF(INDEX(Groups!B$2:B$10,VALUE(MID(B33,2,2)))="","allocate on Monday",INDEX(Groups!B$2:B$10,VALUE(MID(B33,2,2))))</f>
        <v/>
      </c>
      <c r="G33" s="3" t="inlineStr">
        <is>
          <t>yes</t>
        </is>
      </c>
      <c r="H33" s="2">
        <f>IF(G33="yes",COUNTIFS(G$2:G$36,"yes",A$2:A$36,"&lt;="&amp;A33),"")</f>
        <v/>
      </c>
      <c r="I33" s="2">
        <f>"P"&amp;C33</f>
        <v/>
      </c>
      <c r="J33" s="2">
        <f>IFERROR(INDEX(Sets!G$2:G$5,MATCH(INDEX(Sets!B$2:B$9,MATCH(E33,Sets!A$2:A$9,0))&amp;"|"&amp;LEFT(F33,1),Sets!F$2:F$5,0)),INDEX(Sets!B$2:B$9,MATCH(E33,Sets!A$2:A$9,0)))</f>
        <v/>
      </c>
      <c r="K33" s="2">
        <f>IFERROR(INDEX(Sets!G$2:G$5,MATCH(INDEX(Sets!C$2:C$9,MATCH(E33,Sets!A$2:A$9,0))&amp;"|"&amp;LEFT(F33,1),Sets!F$2:F$5,0)),INDEX(Sets!C$2:C$9,MATCH(E33,Sets!A$2:A$9,0)))</f>
        <v/>
      </c>
      <c r="L33" s="2">
        <f>IFERROR(INDEX(Sets!G$2:G$5,MATCH(INDEX(Sets!D$2:D$9,MATCH(E33,Sets!A$2:A$9,0))&amp;"|"&amp;LEFT(F33,1),Sets!F$2:F$5,0)),INDEX(Sets!D$2:D$9,MATCH(E33,Sets!A$2:A$9,0)))</f>
        <v/>
      </c>
    </row>
    <row r="34">
      <c r="A34" s="2" t="n">
        <v>33</v>
      </c>
      <c r="B34" s="2" t="inlineStr">
        <is>
          <t>G6</t>
        </is>
      </c>
      <c r="C34" s="2" t="n">
        <v>4</v>
      </c>
      <c r="D34" s="2">
        <f>B34&amp;"-S"&amp;C34</f>
        <v/>
      </c>
      <c r="E34" s="2">
        <f>MID("ABCDEFGH",MOD(VALUE(MID(B34,2,2))+C34-2,8)+1,1)</f>
        <v/>
      </c>
      <c r="F34" s="2">
        <f>IF(INDEX(Groups!B$2:B$10,VALUE(MID(B34,2,2)))="","allocate on Monday",INDEX(Groups!B$2:B$10,VALUE(MID(B34,2,2))))</f>
        <v/>
      </c>
      <c r="G34" s="3" t="inlineStr">
        <is>
          <t>yes</t>
        </is>
      </c>
      <c r="H34" s="2">
        <f>IF(G34="yes",COUNTIFS(G$2:G$36,"yes",A$2:A$36,"&lt;="&amp;A34),"")</f>
        <v/>
      </c>
      <c r="I34" s="2">
        <f>"P"&amp;C34</f>
        <v/>
      </c>
      <c r="J34" s="2">
        <f>IFERROR(INDEX(Sets!G$2:G$5,MATCH(INDEX(Sets!B$2:B$9,MATCH(E34,Sets!A$2:A$9,0))&amp;"|"&amp;LEFT(F34,1),Sets!F$2:F$5,0)),INDEX(Sets!B$2:B$9,MATCH(E34,Sets!A$2:A$9,0)))</f>
        <v/>
      </c>
      <c r="K34" s="2">
        <f>IFERROR(INDEX(Sets!G$2:G$5,MATCH(INDEX(Sets!C$2:C$9,MATCH(E34,Sets!A$2:A$9,0))&amp;"|"&amp;LEFT(F34,1),Sets!F$2:F$5,0)),INDEX(Sets!C$2:C$9,MATCH(E34,Sets!A$2:A$9,0)))</f>
        <v/>
      </c>
      <c r="L34" s="2">
        <f>IFERROR(INDEX(Sets!G$2:G$5,MATCH(INDEX(Sets!D$2:D$9,MATCH(E34,Sets!A$2:A$9,0))&amp;"|"&amp;LEFT(F34,1),Sets!F$2:F$5,0)),INDEX(Sets!D$2:D$9,MATCH(E34,Sets!A$2:A$9,0)))</f>
        <v/>
      </c>
    </row>
    <row r="35">
      <c r="A35" s="2" t="n">
        <v>34</v>
      </c>
      <c r="B35" s="2" t="inlineStr">
        <is>
          <t>G7</t>
        </is>
      </c>
      <c r="C35" s="2" t="n">
        <v>4</v>
      </c>
      <c r="D35" s="2">
        <f>B35&amp;"-S"&amp;C35</f>
        <v/>
      </c>
      <c r="E35" s="2">
        <f>MID("ABCDEFGH",MOD(VALUE(MID(B35,2,2))+C35-2,8)+1,1)</f>
        <v/>
      </c>
      <c r="F35" s="2">
        <f>IF(INDEX(Groups!B$2:B$10,VALUE(MID(B35,2,2)))="","allocate on Monday",INDEX(Groups!B$2:B$10,VALUE(MID(B35,2,2))))</f>
        <v/>
      </c>
      <c r="G35" s="3" t="inlineStr">
        <is>
          <t>yes</t>
        </is>
      </c>
      <c r="H35" s="2">
        <f>IF(G35="yes",COUNTIFS(G$2:G$36,"yes",A$2:A$36,"&lt;="&amp;A35),"")</f>
        <v/>
      </c>
      <c r="I35" s="2">
        <f>"P"&amp;C35</f>
        <v/>
      </c>
      <c r="J35" s="2">
        <f>IFERROR(INDEX(Sets!G$2:G$5,MATCH(INDEX(Sets!B$2:B$9,MATCH(E35,Sets!A$2:A$9,0))&amp;"|"&amp;LEFT(F35,1),Sets!F$2:F$5,0)),INDEX(Sets!B$2:B$9,MATCH(E35,Sets!A$2:A$9,0)))</f>
        <v/>
      </c>
      <c r="K35" s="2">
        <f>IFERROR(INDEX(Sets!G$2:G$5,MATCH(INDEX(Sets!C$2:C$9,MATCH(E35,Sets!A$2:A$9,0))&amp;"|"&amp;LEFT(F35,1),Sets!F$2:F$5,0)),INDEX(Sets!C$2:C$9,MATCH(E35,Sets!A$2:A$9,0)))</f>
        <v/>
      </c>
      <c r="L35" s="2">
        <f>IFERROR(INDEX(Sets!G$2:G$5,MATCH(INDEX(Sets!D$2:D$9,MATCH(E35,Sets!A$2:A$9,0))&amp;"|"&amp;LEFT(F35,1),Sets!F$2:F$5,0)),INDEX(Sets!D$2:D$9,MATCH(E35,Sets!A$2:A$9,0)))</f>
        <v/>
      </c>
    </row>
    <row r="36">
      <c r="A36" s="2" t="n">
        <v>35</v>
      </c>
      <c r="B36" s="2" t="inlineStr">
        <is>
          <t>G8</t>
        </is>
      </c>
      <c r="C36" s="2" t="n">
        <v>4</v>
      </c>
      <c r="D36" s="2">
        <f>B36&amp;"-S"&amp;C36</f>
        <v/>
      </c>
      <c r="E36" s="2">
        <f>MID("ABCDEFGH",MOD(VALUE(MID(B36,2,2))+C36-2,8)+1,1)</f>
        <v/>
      </c>
      <c r="F36" s="2">
        <f>IF(INDEX(Groups!B$2:B$10,VALUE(MID(B36,2,2)))="","allocate on Monday",INDEX(Groups!B$2:B$10,VALUE(MID(B36,2,2))))</f>
        <v/>
      </c>
      <c r="G36" s="3" t="inlineStr">
        <is>
          <t>yes</t>
        </is>
      </c>
      <c r="H36" s="2">
        <f>IF(G36="yes",COUNTIFS(G$2:G$36,"yes",A$2:A$36,"&lt;="&amp;A36),"")</f>
        <v/>
      </c>
      <c r="I36" s="2">
        <f>"P"&amp;C36</f>
        <v/>
      </c>
      <c r="J36" s="2">
        <f>IFERROR(INDEX(Sets!G$2:G$5,MATCH(INDEX(Sets!B$2:B$9,MATCH(E36,Sets!A$2:A$9,0))&amp;"|"&amp;LEFT(F36,1),Sets!F$2:F$5,0)),INDEX(Sets!B$2:B$9,MATCH(E36,Sets!A$2:A$9,0)))</f>
        <v/>
      </c>
      <c r="K36" s="2">
        <f>IFERROR(INDEX(Sets!G$2:G$5,MATCH(INDEX(Sets!C$2:C$9,MATCH(E36,Sets!A$2:A$9,0))&amp;"|"&amp;LEFT(F36,1),Sets!F$2:F$5,0)),INDEX(Sets!C$2:C$9,MATCH(E36,Sets!A$2:A$9,0)))</f>
        <v/>
      </c>
      <c r="L36" s="2">
        <f>IFERROR(INDEX(Sets!G$2:G$5,MATCH(INDEX(Sets!D$2:D$9,MATCH(E36,Sets!A$2:A$9,0))&amp;"|"&amp;LEFT(F36,1),Sets!F$2:F$5,0)),INDEX(Sets!D$2:D$9,MATCH(E36,Sets!A$2:A$9,0)))</f>
        <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R43"/>
  <sheetViews>
    <sheetView workbookViewId="0">
      <selection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44" customWidth="1" min="18" max="18"/>
  </cols>
  <sheetData>
    <row r="1">
      <c r="A1" s="4" t="inlineStr">
        <is>
          <t>Slot</t>
        </is>
      </c>
      <c r="B1" s="4" t="inlineStr">
        <is>
          <t>Assessor</t>
        </is>
      </c>
      <c r="C1" s="4" t="inlineStr">
        <is>
          <t>Mode</t>
        </is>
      </c>
      <c r="D1" s="4" t="inlineStr">
        <is>
          <t>Block</t>
        </is>
      </c>
      <c r="E1" s="4" t="inlineStr">
        <is>
          <t>Starts, minute of block</t>
        </is>
      </c>
      <c r="F1" s="4" t="inlineStr">
        <is>
          <t>Ends, minute of block</t>
        </is>
      </c>
      <c r="G1" s="4" t="inlineStr">
        <is>
          <t>Queue position</t>
        </is>
      </c>
      <c r="H1" s="4" t="inlineStr">
        <is>
          <t>Seat</t>
        </is>
      </c>
      <c r="I1" s="4" t="inlineStr">
        <is>
          <t>Group</t>
        </is>
      </c>
      <c r="J1" s="4" t="inlineStr">
        <is>
          <t>Set</t>
        </is>
      </c>
      <c r="K1" s="4" t="inlineStr">
        <is>
          <t>Sub-problem</t>
        </is>
      </c>
      <c r="L1" s="4" t="inlineStr">
        <is>
          <t>Group-mate in same slot</t>
        </is>
      </c>
      <c r="M1" s="4" t="inlineStr">
        <is>
          <t>Ends, minute of day</t>
        </is>
      </c>
      <c r="N1" s="4" t="inlineStr">
        <is>
          <t>Viva probe</t>
        </is>
      </c>
      <c r="O1" s="4" t="inlineStr">
        <is>
          <t>L1</t>
        </is>
      </c>
      <c r="P1" s="4" t="inlineStr">
        <is>
          <t>L2</t>
        </is>
      </c>
      <c r="Q1" s="4" t="inlineStr">
        <is>
          <t>L3</t>
        </is>
      </c>
      <c r="R1" s="4" t="inlineStr">
        <is>
          <t>Grid text</t>
        </is>
      </c>
    </row>
    <row r="2">
      <c r="A2" s="2" t="n">
        <v>1</v>
      </c>
      <c r="B2" s="2" t="inlineStr">
        <is>
          <t>Programme Head</t>
        </is>
      </c>
      <c r="C2" s="2" t="inlineStr">
        <is>
          <t>in person</t>
        </is>
      </c>
      <c r="D2" s="2">
        <f>IF(A2&lt;=Settings!$B$9,1,IF(A2&lt;=Settings!$B$11,2,"none"))</f>
        <v/>
      </c>
      <c r="E2" s="2">
        <f>IF(D2=1,Settings!$B$6+(A2-1)*Settings!$B$8,IF(D2=2,(A2-Settings!$B$9-1)*Settings!$B$8,""))</f>
        <v/>
      </c>
      <c r="F2" s="2">
        <f>IF(E2="","",E2+Settings!$B$3)</f>
        <v/>
      </c>
      <c r="G2" s="2">
        <f>(A2-1)*Settings!$B$12+1</f>
        <v/>
      </c>
      <c r="H2" s="2">
        <f>IF(D2="none","outside the day",IF(ISNUMBER(MATCH(G2,Seats!$H$2:$H$36,0)),INDEX(Seats!$D$2:$D$36,MATCH(G2,Seats!$H$2:$H$36,0)),"spare"))</f>
        <v/>
      </c>
      <c r="I2" s="2">
        <f>IF(LEFT(H2,1)="G",INDEX(Seats!$B$2:$B$36,MATCH(G2,Seats!$H$2:$H$36,0)),"")</f>
        <v/>
      </c>
      <c r="J2" s="2">
        <f>IF(I2="","",INDEX(Seats!$E$2:$E$36,MATCH(G2,Seats!$H$2:$H$36,0)))</f>
        <v/>
      </c>
      <c r="K2" s="2">
        <f>IF(I2="","",INDEX(Seats!$F$2:$F$36,MATCH(G2,Seats!$H$2:$H$36,0)))</f>
        <v/>
      </c>
      <c r="L2" s="2">
        <f>IF(I2="","",IF(COUNTIFS($A$2:$A$43,A2,$I$2:$I$43,I2)&gt;1,"yes","no"))</f>
        <v/>
      </c>
      <c r="M2" s="2">
        <f>IF(D2=1,F2,IF(D2=2,Settings!$B$5+F2,""))</f>
        <v/>
      </c>
      <c r="N2" s="2">
        <f>IF(I2="","",INDEX(Seats!$I$2:$I$36,MATCH(G2,Seats!$H$2:$H$36,0)))</f>
        <v/>
      </c>
      <c r="O2" s="2">
        <f>IF(I2="","",INDEX(Seats!$J$2:$J$36,MATCH(G2,Seats!$H$2:$H$36,0)))</f>
        <v/>
      </c>
      <c r="P2" s="2">
        <f>IF(I2="","",INDEX(Seats!$K$2:$K$36,MATCH(G2,Seats!$H$2:$H$36,0)))</f>
        <v/>
      </c>
      <c r="Q2" s="2">
        <f>IF(I2="","",INDEX(Seats!$L$2:$L$36,MATCH(G2,Seats!$H$2:$H$36,0)))</f>
        <v/>
      </c>
      <c r="R2" s="2">
        <f>IF(I2="",H2,H2&amp;", set "&amp;J2&amp;", "&amp;N2&amp;": "&amp;O2&amp;", "&amp;P2&amp;", "&amp;Q2)</f>
        <v/>
      </c>
    </row>
    <row r="3">
      <c r="A3" s="2" t="n">
        <v>1</v>
      </c>
      <c r="B3" s="2" t="inlineStr">
        <is>
          <t>Academic TA</t>
        </is>
      </c>
      <c r="C3" s="2" t="inlineStr">
        <is>
          <t>in person</t>
        </is>
      </c>
      <c r="D3" s="2">
        <f>IF(A3&lt;=Settings!$B$9,1,IF(A3&lt;=Settings!$B$11,2,"none"))</f>
        <v/>
      </c>
      <c r="E3" s="2">
        <f>IF(D3=1,Settings!$B$6+(A3-1)*Settings!$B$8,IF(D3=2,(A3-Settings!$B$9-1)*Settings!$B$8,""))</f>
        <v/>
      </c>
      <c r="F3" s="2">
        <f>IF(E3="","",E3+Settings!$B$3)</f>
        <v/>
      </c>
      <c r="G3" s="2">
        <f>(A3-1)*Settings!$B$12+2</f>
        <v/>
      </c>
      <c r="H3" s="2">
        <f>IF(D3="none","outside the day",IF(ISNUMBER(MATCH(G3,Seats!$H$2:$H$36,0)),INDEX(Seats!$D$2:$D$36,MATCH(G3,Seats!$H$2:$H$36,0)),"spare"))</f>
        <v/>
      </c>
      <c r="I3" s="2">
        <f>IF(LEFT(H3,1)="G",INDEX(Seats!$B$2:$B$36,MATCH(G3,Seats!$H$2:$H$36,0)),"")</f>
        <v/>
      </c>
      <c r="J3" s="2">
        <f>IF(I3="","",INDEX(Seats!$E$2:$E$36,MATCH(G3,Seats!$H$2:$H$36,0)))</f>
        <v/>
      </c>
      <c r="K3" s="2">
        <f>IF(I3="","",INDEX(Seats!$F$2:$F$36,MATCH(G3,Seats!$H$2:$H$36,0)))</f>
        <v/>
      </c>
      <c r="L3" s="2">
        <f>IF(I3="","",IF(COUNTIFS($A$2:$A$43,A3,$I$2:$I$43,I3)&gt;1,"yes","no"))</f>
        <v/>
      </c>
      <c r="M3" s="2">
        <f>IF(D3=1,F3,IF(D3=2,Settings!$B$5+F3,""))</f>
        <v/>
      </c>
      <c r="N3" s="2">
        <f>IF(I3="","",INDEX(Seats!$I$2:$I$36,MATCH(G3,Seats!$H$2:$H$36,0)))</f>
        <v/>
      </c>
      <c r="O3" s="2">
        <f>IF(I3="","",INDEX(Seats!$J$2:$J$36,MATCH(G3,Seats!$H$2:$H$36,0)))</f>
        <v/>
      </c>
      <c r="P3" s="2">
        <f>IF(I3="","",INDEX(Seats!$K$2:$K$36,MATCH(G3,Seats!$H$2:$H$36,0)))</f>
        <v/>
      </c>
      <c r="Q3" s="2">
        <f>IF(I3="","",INDEX(Seats!$L$2:$L$36,MATCH(G3,Seats!$H$2:$H$36,0)))</f>
        <v/>
      </c>
      <c r="R3" s="2">
        <f>IF(I3="",H3,H3&amp;", set "&amp;J3&amp;", "&amp;N3&amp;": "&amp;O3&amp;", "&amp;P3&amp;", "&amp;Q3)</f>
        <v/>
      </c>
    </row>
    <row r="4">
      <c r="A4" s="2" t="n">
        <v>1</v>
      </c>
      <c r="B4" s="2" t="inlineStr">
        <is>
          <t>Principal Advisor</t>
        </is>
      </c>
      <c r="C4" s="2" t="inlineStr">
        <is>
          <t>online</t>
        </is>
      </c>
      <c r="D4" s="2">
        <f>IF(A4&lt;=Settings!$B$9,1,IF(A4&lt;=Settings!$B$11,2,"none"))</f>
        <v/>
      </c>
      <c r="E4" s="2">
        <f>IF(D4=1,Settings!$B$6+(A4-1)*Settings!$B$8,IF(D4=2,(A4-Settings!$B$9-1)*Settings!$B$8,""))</f>
        <v/>
      </c>
      <c r="F4" s="2">
        <f>IF(E4="","",E4+Settings!$B$3)</f>
        <v/>
      </c>
      <c r="G4" s="2">
        <f>(A4-1)*Settings!$B$12+3</f>
        <v/>
      </c>
      <c r="H4" s="2">
        <f>IF(D4="none","outside the day",IF(ISNUMBER(MATCH(G4,Seats!$H$2:$H$36,0)),INDEX(Seats!$D$2:$D$36,MATCH(G4,Seats!$H$2:$H$36,0)),"spare"))</f>
        <v/>
      </c>
      <c r="I4" s="2">
        <f>IF(LEFT(H4,1)="G",INDEX(Seats!$B$2:$B$36,MATCH(G4,Seats!$H$2:$H$36,0)),"")</f>
        <v/>
      </c>
      <c r="J4" s="2">
        <f>IF(I4="","",INDEX(Seats!$E$2:$E$36,MATCH(G4,Seats!$H$2:$H$36,0)))</f>
        <v/>
      </c>
      <c r="K4" s="2">
        <f>IF(I4="","",INDEX(Seats!$F$2:$F$36,MATCH(G4,Seats!$H$2:$H$36,0)))</f>
        <v/>
      </c>
      <c r="L4" s="2">
        <f>IF(I4="","",IF(COUNTIFS($A$2:$A$43,A4,$I$2:$I$43,I4)&gt;1,"yes","no"))</f>
        <v/>
      </c>
      <c r="M4" s="2">
        <f>IF(D4=1,F4,IF(D4=2,Settings!$B$5+F4,""))</f>
        <v/>
      </c>
      <c r="N4" s="2">
        <f>IF(I4="","",INDEX(Seats!$I$2:$I$36,MATCH(G4,Seats!$H$2:$H$36,0)))</f>
        <v/>
      </c>
      <c r="O4" s="2">
        <f>IF(I4="","",INDEX(Seats!$J$2:$J$36,MATCH(G4,Seats!$H$2:$H$36,0)))</f>
        <v/>
      </c>
      <c r="P4" s="2">
        <f>IF(I4="","",INDEX(Seats!$K$2:$K$36,MATCH(G4,Seats!$H$2:$H$36,0)))</f>
        <v/>
      </c>
      <c r="Q4" s="2">
        <f>IF(I4="","",INDEX(Seats!$L$2:$L$36,MATCH(G4,Seats!$H$2:$H$36,0)))</f>
        <v/>
      </c>
      <c r="R4" s="2">
        <f>IF(I4="",H4,H4&amp;", set "&amp;J4&amp;", "&amp;N4&amp;": "&amp;O4&amp;", "&amp;P4&amp;", "&amp;Q4)</f>
        <v/>
      </c>
    </row>
    <row r="5">
      <c r="A5" s="2" t="n">
        <v>2</v>
      </c>
      <c r="B5" s="2" t="inlineStr">
        <is>
          <t>Programme Head</t>
        </is>
      </c>
      <c r="C5" s="2" t="inlineStr">
        <is>
          <t>in person</t>
        </is>
      </c>
      <c r="D5" s="2">
        <f>IF(A5&lt;=Settings!$B$9,1,IF(A5&lt;=Settings!$B$11,2,"none"))</f>
        <v/>
      </c>
      <c r="E5" s="2">
        <f>IF(D5=1,Settings!$B$6+(A5-1)*Settings!$B$8,IF(D5=2,(A5-Settings!$B$9-1)*Settings!$B$8,""))</f>
        <v/>
      </c>
      <c r="F5" s="2">
        <f>IF(E5="","",E5+Settings!$B$3)</f>
        <v/>
      </c>
      <c r="G5" s="2">
        <f>(A5-1)*Settings!$B$12+1</f>
        <v/>
      </c>
      <c r="H5" s="2">
        <f>IF(D5="none","outside the day",IF(ISNUMBER(MATCH(G5,Seats!$H$2:$H$36,0)),INDEX(Seats!$D$2:$D$36,MATCH(G5,Seats!$H$2:$H$36,0)),"spare"))</f>
        <v/>
      </c>
      <c r="I5" s="2">
        <f>IF(LEFT(H5,1)="G",INDEX(Seats!$B$2:$B$36,MATCH(G5,Seats!$H$2:$H$36,0)),"")</f>
        <v/>
      </c>
      <c r="J5" s="2">
        <f>IF(I5="","",INDEX(Seats!$E$2:$E$36,MATCH(G5,Seats!$H$2:$H$36,0)))</f>
        <v/>
      </c>
      <c r="K5" s="2">
        <f>IF(I5="","",INDEX(Seats!$F$2:$F$36,MATCH(G5,Seats!$H$2:$H$36,0)))</f>
        <v/>
      </c>
      <c r="L5" s="2">
        <f>IF(I5="","",IF(COUNTIFS($A$2:$A$43,A5,$I$2:$I$43,I5)&gt;1,"yes","no"))</f>
        <v/>
      </c>
      <c r="M5" s="2">
        <f>IF(D5=1,F5,IF(D5=2,Settings!$B$5+F5,""))</f>
        <v/>
      </c>
      <c r="N5" s="2">
        <f>IF(I5="","",INDEX(Seats!$I$2:$I$36,MATCH(G5,Seats!$H$2:$H$36,0)))</f>
        <v/>
      </c>
      <c r="O5" s="2">
        <f>IF(I5="","",INDEX(Seats!$J$2:$J$36,MATCH(G5,Seats!$H$2:$H$36,0)))</f>
        <v/>
      </c>
      <c r="P5" s="2">
        <f>IF(I5="","",INDEX(Seats!$K$2:$K$36,MATCH(G5,Seats!$H$2:$H$36,0)))</f>
        <v/>
      </c>
      <c r="Q5" s="2">
        <f>IF(I5="","",INDEX(Seats!$L$2:$L$36,MATCH(G5,Seats!$H$2:$H$36,0)))</f>
        <v/>
      </c>
      <c r="R5" s="2">
        <f>IF(I5="",H5,H5&amp;", set "&amp;J5&amp;", "&amp;N5&amp;": "&amp;O5&amp;", "&amp;P5&amp;", "&amp;Q5)</f>
        <v/>
      </c>
    </row>
    <row r="6">
      <c r="A6" s="2" t="n">
        <v>2</v>
      </c>
      <c r="B6" s="2" t="inlineStr">
        <is>
          <t>Academic TA</t>
        </is>
      </c>
      <c r="C6" s="2" t="inlineStr">
        <is>
          <t>in person</t>
        </is>
      </c>
      <c r="D6" s="2">
        <f>IF(A6&lt;=Settings!$B$9,1,IF(A6&lt;=Settings!$B$11,2,"none"))</f>
        <v/>
      </c>
      <c r="E6" s="2">
        <f>IF(D6=1,Settings!$B$6+(A6-1)*Settings!$B$8,IF(D6=2,(A6-Settings!$B$9-1)*Settings!$B$8,""))</f>
        <v/>
      </c>
      <c r="F6" s="2">
        <f>IF(E6="","",E6+Settings!$B$3)</f>
        <v/>
      </c>
      <c r="G6" s="2">
        <f>(A6-1)*Settings!$B$12+2</f>
        <v/>
      </c>
      <c r="H6" s="2">
        <f>IF(D6="none","outside the day",IF(ISNUMBER(MATCH(G6,Seats!$H$2:$H$36,0)),INDEX(Seats!$D$2:$D$36,MATCH(G6,Seats!$H$2:$H$36,0)),"spare"))</f>
        <v/>
      </c>
      <c r="I6" s="2">
        <f>IF(LEFT(H6,1)="G",INDEX(Seats!$B$2:$B$36,MATCH(G6,Seats!$H$2:$H$36,0)),"")</f>
        <v/>
      </c>
      <c r="J6" s="2">
        <f>IF(I6="","",INDEX(Seats!$E$2:$E$36,MATCH(G6,Seats!$H$2:$H$36,0)))</f>
        <v/>
      </c>
      <c r="K6" s="2">
        <f>IF(I6="","",INDEX(Seats!$F$2:$F$36,MATCH(G6,Seats!$H$2:$H$36,0)))</f>
        <v/>
      </c>
      <c r="L6" s="2">
        <f>IF(I6="","",IF(COUNTIFS($A$2:$A$43,A6,$I$2:$I$43,I6)&gt;1,"yes","no"))</f>
        <v/>
      </c>
      <c r="M6" s="2">
        <f>IF(D6=1,F6,IF(D6=2,Settings!$B$5+F6,""))</f>
        <v/>
      </c>
      <c r="N6" s="2">
        <f>IF(I6="","",INDEX(Seats!$I$2:$I$36,MATCH(G6,Seats!$H$2:$H$36,0)))</f>
        <v/>
      </c>
      <c r="O6" s="2">
        <f>IF(I6="","",INDEX(Seats!$J$2:$J$36,MATCH(G6,Seats!$H$2:$H$36,0)))</f>
        <v/>
      </c>
      <c r="P6" s="2">
        <f>IF(I6="","",INDEX(Seats!$K$2:$K$36,MATCH(G6,Seats!$H$2:$H$36,0)))</f>
        <v/>
      </c>
      <c r="Q6" s="2">
        <f>IF(I6="","",INDEX(Seats!$L$2:$L$36,MATCH(G6,Seats!$H$2:$H$36,0)))</f>
        <v/>
      </c>
      <c r="R6" s="2">
        <f>IF(I6="",H6,H6&amp;", set "&amp;J6&amp;", "&amp;N6&amp;": "&amp;O6&amp;", "&amp;P6&amp;", "&amp;Q6)</f>
        <v/>
      </c>
    </row>
    <row r="7">
      <c r="A7" s="2" t="n">
        <v>2</v>
      </c>
      <c r="B7" s="2" t="inlineStr">
        <is>
          <t>Principal Advisor</t>
        </is>
      </c>
      <c r="C7" s="2" t="inlineStr">
        <is>
          <t>online</t>
        </is>
      </c>
      <c r="D7" s="2">
        <f>IF(A7&lt;=Settings!$B$9,1,IF(A7&lt;=Settings!$B$11,2,"none"))</f>
        <v/>
      </c>
      <c r="E7" s="2">
        <f>IF(D7=1,Settings!$B$6+(A7-1)*Settings!$B$8,IF(D7=2,(A7-Settings!$B$9-1)*Settings!$B$8,""))</f>
        <v/>
      </c>
      <c r="F7" s="2">
        <f>IF(E7="","",E7+Settings!$B$3)</f>
        <v/>
      </c>
      <c r="G7" s="2">
        <f>(A7-1)*Settings!$B$12+3</f>
        <v/>
      </c>
      <c r="H7" s="2">
        <f>IF(D7="none","outside the day",IF(ISNUMBER(MATCH(G7,Seats!$H$2:$H$36,0)),INDEX(Seats!$D$2:$D$36,MATCH(G7,Seats!$H$2:$H$36,0)),"spare"))</f>
        <v/>
      </c>
      <c r="I7" s="2">
        <f>IF(LEFT(H7,1)="G",INDEX(Seats!$B$2:$B$36,MATCH(G7,Seats!$H$2:$H$36,0)),"")</f>
        <v/>
      </c>
      <c r="J7" s="2">
        <f>IF(I7="","",INDEX(Seats!$E$2:$E$36,MATCH(G7,Seats!$H$2:$H$36,0)))</f>
        <v/>
      </c>
      <c r="K7" s="2">
        <f>IF(I7="","",INDEX(Seats!$F$2:$F$36,MATCH(G7,Seats!$H$2:$H$36,0)))</f>
        <v/>
      </c>
      <c r="L7" s="2">
        <f>IF(I7="","",IF(COUNTIFS($A$2:$A$43,A7,$I$2:$I$43,I7)&gt;1,"yes","no"))</f>
        <v/>
      </c>
      <c r="M7" s="2">
        <f>IF(D7=1,F7,IF(D7=2,Settings!$B$5+F7,""))</f>
        <v/>
      </c>
      <c r="N7" s="2">
        <f>IF(I7="","",INDEX(Seats!$I$2:$I$36,MATCH(G7,Seats!$H$2:$H$36,0)))</f>
        <v/>
      </c>
      <c r="O7" s="2">
        <f>IF(I7="","",INDEX(Seats!$J$2:$J$36,MATCH(G7,Seats!$H$2:$H$36,0)))</f>
        <v/>
      </c>
      <c r="P7" s="2">
        <f>IF(I7="","",INDEX(Seats!$K$2:$K$36,MATCH(G7,Seats!$H$2:$H$36,0)))</f>
        <v/>
      </c>
      <c r="Q7" s="2">
        <f>IF(I7="","",INDEX(Seats!$L$2:$L$36,MATCH(G7,Seats!$H$2:$H$36,0)))</f>
        <v/>
      </c>
      <c r="R7" s="2">
        <f>IF(I7="",H7,H7&amp;", set "&amp;J7&amp;", "&amp;N7&amp;": "&amp;O7&amp;", "&amp;P7&amp;", "&amp;Q7)</f>
        <v/>
      </c>
    </row>
    <row r="8">
      <c r="A8" s="2" t="n">
        <v>3</v>
      </c>
      <c r="B8" s="2" t="inlineStr">
        <is>
          <t>Programme Head</t>
        </is>
      </c>
      <c r="C8" s="2" t="inlineStr">
        <is>
          <t>in person</t>
        </is>
      </c>
      <c r="D8" s="2">
        <f>IF(A8&lt;=Settings!$B$9,1,IF(A8&lt;=Settings!$B$11,2,"none"))</f>
        <v/>
      </c>
      <c r="E8" s="2">
        <f>IF(D8=1,Settings!$B$6+(A8-1)*Settings!$B$8,IF(D8=2,(A8-Settings!$B$9-1)*Settings!$B$8,""))</f>
        <v/>
      </c>
      <c r="F8" s="2">
        <f>IF(E8="","",E8+Settings!$B$3)</f>
        <v/>
      </c>
      <c r="G8" s="2">
        <f>(A8-1)*Settings!$B$12+1</f>
        <v/>
      </c>
      <c r="H8" s="2">
        <f>IF(D8="none","outside the day",IF(ISNUMBER(MATCH(G8,Seats!$H$2:$H$36,0)),INDEX(Seats!$D$2:$D$36,MATCH(G8,Seats!$H$2:$H$36,0)),"spare"))</f>
        <v/>
      </c>
      <c r="I8" s="2">
        <f>IF(LEFT(H8,1)="G",INDEX(Seats!$B$2:$B$36,MATCH(G8,Seats!$H$2:$H$36,0)),"")</f>
        <v/>
      </c>
      <c r="J8" s="2">
        <f>IF(I8="","",INDEX(Seats!$E$2:$E$36,MATCH(G8,Seats!$H$2:$H$36,0)))</f>
        <v/>
      </c>
      <c r="K8" s="2">
        <f>IF(I8="","",INDEX(Seats!$F$2:$F$36,MATCH(G8,Seats!$H$2:$H$36,0)))</f>
        <v/>
      </c>
      <c r="L8" s="2">
        <f>IF(I8="","",IF(COUNTIFS($A$2:$A$43,A8,$I$2:$I$43,I8)&gt;1,"yes","no"))</f>
        <v/>
      </c>
      <c r="M8" s="2">
        <f>IF(D8=1,F8,IF(D8=2,Settings!$B$5+F8,""))</f>
        <v/>
      </c>
      <c r="N8" s="2">
        <f>IF(I8="","",INDEX(Seats!$I$2:$I$36,MATCH(G8,Seats!$H$2:$H$36,0)))</f>
        <v/>
      </c>
      <c r="O8" s="2">
        <f>IF(I8="","",INDEX(Seats!$J$2:$J$36,MATCH(G8,Seats!$H$2:$H$36,0)))</f>
        <v/>
      </c>
      <c r="P8" s="2">
        <f>IF(I8="","",INDEX(Seats!$K$2:$K$36,MATCH(G8,Seats!$H$2:$H$36,0)))</f>
        <v/>
      </c>
      <c r="Q8" s="2">
        <f>IF(I8="","",INDEX(Seats!$L$2:$L$36,MATCH(G8,Seats!$H$2:$H$36,0)))</f>
        <v/>
      </c>
      <c r="R8" s="2">
        <f>IF(I8="",H8,H8&amp;", set "&amp;J8&amp;", "&amp;N8&amp;": "&amp;O8&amp;", "&amp;P8&amp;", "&amp;Q8)</f>
        <v/>
      </c>
    </row>
    <row r="9">
      <c r="A9" s="2" t="n">
        <v>3</v>
      </c>
      <c r="B9" s="2" t="inlineStr">
        <is>
          <t>Academic TA</t>
        </is>
      </c>
      <c r="C9" s="2" t="inlineStr">
        <is>
          <t>in person</t>
        </is>
      </c>
      <c r="D9" s="2">
        <f>IF(A9&lt;=Settings!$B$9,1,IF(A9&lt;=Settings!$B$11,2,"none"))</f>
        <v/>
      </c>
      <c r="E9" s="2">
        <f>IF(D9=1,Settings!$B$6+(A9-1)*Settings!$B$8,IF(D9=2,(A9-Settings!$B$9-1)*Settings!$B$8,""))</f>
        <v/>
      </c>
      <c r="F9" s="2">
        <f>IF(E9="","",E9+Settings!$B$3)</f>
        <v/>
      </c>
      <c r="G9" s="2">
        <f>(A9-1)*Settings!$B$12+2</f>
        <v/>
      </c>
      <c r="H9" s="2">
        <f>IF(D9="none","outside the day",IF(ISNUMBER(MATCH(G9,Seats!$H$2:$H$36,0)),INDEX(Seats!$D$2:$D$36,MATCH(G9,Seats!$H$2:$H$36,0)),"spare"))</f>
        <v/>
      </c>
      <c r="I9" s="2">
        <f>IF(LEFT(H9,1)="G",INDEX(Seats!$B$2:$B$36,MATCH(G9,Seats!$H$2:$H$36,0)),"")</f>
        <v/>
      </c>
      <c r="J9" s="2">
        <f>IF(I9="","",INDEX(Seats!$E$2:$E$36,MATCH(G9,Seats!$H$2:$H$36,0)))</f>
        <v/>
      </c>
      <c r="K9" s="2">
        <f>IF(I9="","",INDEX(Seats!$F$2:$F$36,MATCH(G9,Seats!$H$2:$H$36,0)))</f>
        <v/>
      </c>
      <c r="L9" s="2">
        <f>IF(I9="","",IF(COUNTIFS($A$2:$A$43,A9,$I$2:$I$43,I9)&gt;1,"yes","no"))</f>
        <v/>
      </c>
      <c r="M9" s="2">
        <f>IF(D9=1,F9,IF(D9=2,Settings!$B$5+F9,""))</f>
        <v/>
      </c>
      <c r="N9" s="2">
        <f>IF(I9="","",INDEX(Seats!$I$2:$I$36,MATCH(G9,Seats!$H$2:$H$36,0)))</f>
        <v/>
      </c>
      <c r="O9" s="2">
        <f>IF(I9="","",INDEX(Seats!$J$2:$J$36,MATCH(G9,Seats!$H$2:$H$36,0)))</f>
        <v/>
      </c>
      <c r="P9" s="2">
        <f>IF(I9="","",INDEX(Seats!$K$2:$K$36,MATCH(G9,Seats!$H$2:$H$36,0)))</f>
        <v/>
      </c>
      <c r="Q9" s="2">
        <f>IF(I9="","",INDEX(Seats!$L$2:$L$36,MATCH(G9,Seats!$H$2:$H$36,0)))</f>
        <v/>
      </c>
      <c r="R9" s="2">
        <f>IF(I9="",H9,H9&amp;", set "&amp;J9&amp;", "&amp;N9&amp;": "&amp;O9&amp;", "&amp;P9&amp;", "&amp;Q9)</f>
        <v/>
      </c>
    </row>
    <row r="10">
      <c r="A10" s="2" t="n">
        <v>3</v>
      </c>
      <c r="B10" s="2" t="inlineStr">
        <is>
          <t>Principal Advisor</t>
        </is>
      </c>
      <c r="C10" s="2" t="inlineStr">
        <is>
          <t>online</t>
        </is>
      </c>
      <c r="D10" s="2">
        <f>IF(A10&lt;=Settings!$B$9,1,IF(A10&lt;=Settings!$B$11,2,"none"))</f>
        <v/>
      </c>
      <c r="E10" s="2">
        <f>IF(D10=1,Settings!$B$6+(A10-1)*Settings!$B$8,IF(D10=2,(A10-Settings!$B$9-1)*Settings!$B$8,""))</f>
        <v/>
      </c>
      <c r="F10" s="2">
        <f>IF(E10="","",E10+Settings!$B$3)</f>
        <v/>
      </c>
      <c r="G10" s="2">
        <f>(A10-1)*Settings!$B$12+3</f>
        <v/>
      </c>
      <c r="H10" s="2">
        <f>IF(D10="none","outside the day",IF(ISNUMBER(MATCH(G10,Seats!$H$2:$H$36,0)),INDEX(Seats!$D$2:$D$36,MATCH(G10,Seats!$H$2:$H$36,0)),"spare"))</f>
        <v/>
      </c>
      <c r="I10" s="2">
        <f>IF(LEFT(H10,1)="G",INDEX(Seats!$B$2:$B$36,MATCH(G10,Seats!$H$2:$H$36,0)),"")</f>
        <v/>
      </c>
      <c r="J10" s="2">
        <f>IF(I10="","",INDEX(Seats!$E$2:$E$36,MATCH(G10,Seats!$H$2:$H$36,0)))</f>
        <v/>
      </c>
      <c r="K10" s="2">
        <f>IF(I10="","",INDEX(Seats!$F$2:$F$36,MATCH(G10,Seats!$H$2:$H$36,0)))</f>
        <v/>
      </c>
      <c r="L10" s="2">
        <f>IF(I10="","",IF(COUNTIFS($A$2:$A$43,A10,$I$2:$I$43,I10)&gt;1,"yes","no"))</f>
        <v/>
      </c>
      <c r="M10" s="2">
        <f>IF(D10=1,F10,IF(D10=2,Settings!$B$5+F10,""))</f>
        <v/>
      </c>
      <c r="N10" s="2">
        <f>IF(I10="","",INDEX(Seats!$I$2:$I$36,MATCH(G10,Seats!$H$2:$H$36,0)))</f>
        <v/>
      </c>
      <c r="O10" s="2">
        <f>IF(I10="","",INDEX(Seats!$J$2:$J$36,MATCH(G10,Seats!$H$2:$H$36,0)))</f>
        <v/>
      </c>
      <c r="P10" s="2">
        <f>IF(I10="","",INDEX(Seats!$K$2:$K$36,MATCH(G10,Seats!$H$2:$H$36,0)))</f>
        <v/>
      </c>
      <c r="Q10" s="2">
        <f>IF(I10="","",INDEX(Seats!$L$2:$L$36,MATCH(G10,Seats!$H$2:$H$36,0)))</f>
        <v/>
      </c>
      <c r="R10" s="2">
        <f>IF(I10="",H10,H10&amp;", set "&amp;J10&amp;", "&amp;N10&amp;": "&amp;O10&amp;", "&amp;P10&amp;", "&amp;Q10)</f>
        <v/>
      </c>
    </row>
    <row r="11">
      <c r="A11" s="2" t="n">
        <v>4</v>
      </c>
      <c r="B11" s="2" t="inlineStr">
        <is>
          <t>Programme Head</t>
        </is>
      </c>
      <c r="C11" s="2" t="inlineStr">
        <is>
          <t>in person</t>
        </is>
      </c>
      <c r="D11" s="2">
        <f>IF(A11&lt;=Settings!$B$9,1,IF(A11&lt;=Settings!$B$11,2,"none"))</f>
        <v/>
      </c>
      <c r="E11" s="2">
        <f>IF(D11=1,Settings!$B$6+(A11-1)*Settings!$B$8,IF(D11=2,(A11-Settings!$B$9-1)*Settings!$B$8,""))</f>
        <v/>
      </c>
      <c r="F11" s="2">
        <f>IF(E11="","",E11+Settings!$B$3)</f>
        <v/>
      </c>
      <c r="G11" s="2">
        <f>(A11-1)*Settings!$B$12+1</f>
        <v/>
      </c>
      <c r="H11" s="2">
        <f>IF(D11="none","outside the day",IF(ISNUMBER(MATCH(G11,Seats!$H$2:$H$36,0)),INDEX(Seats!$D$2:$D$36,MATCH(G11,Seats!$H$2:$H$36,0)),"spare"))</f>
        <v/>
      </c>
      <c r="I11" s="2">
        <f>IF(LEFT(H11,1)="G",INDEX(Seats!$B$2:$B$36,MATCH(G11,Seats!$H$2:$H$36,0)),"")</f>
        <v/>
      </c>
      <c r="J11" s="2">
        <f>IF(I11="","",INDEX(Seats!$E$2:$E$36,MATCH(G11,Seats!$H$2:$H$36,0)))</f>
        <v/>
      </c>
      <c r="K11" s="2">
        <f>IF(I11="","",INDEX(Seats!$F$2:$F$36,MATCH(G11,Seats!$H$2:$H$36,0)))</f>
        <v/>
      </c>
      <c r="L11" s="2">
        <f>IF(I11="","",IF(COUNTIFS($A$2:$A$43,A11,$I$2:$I$43,I11)&gt;1,"yes","no"))</f>
        <v/>
      </c>
      <c r="M11" s="2">
        <f>IF(D11=1,F11,IF(D11=2,Settings!$B$5+F11,""))</f>
        <v/>
      </c>
      <c r="N11" s="2">
        <f>IF(I11="","",INDEX(Seats!$I$2:$I$36,MATCH(G11,Seats!$H$2:$H$36,0)))</f>
        <v/>
      </c>
      <c r="O11" s="2">
        <f>IF(I11="","",INDEX(Seats!$J$2:$J$36,MATCH(G11,Seats!$H$2:$H$36,0)))</f>
        <v/>
      </c>
      <c r="P11" s="2">
        <f>IF(I11="","",INDEX(Seats!$K$2:$K$36,MATCH(G11,Seats!$H$2:$H$36,0)))</f>
        <v/>
      </c>
      <c r="Q11" s="2">
        <f>IF(I11="","",INDEX(Seats!$L$2:$L$36,MATCH(G11,Seats!$H$2:$H$36,0)))</f>
        <v/>
      </c>
      <c r="R11" s="2">
        <f>IF(I11="",H11,H11&amp;", set "&amp;J11&amp;", "&amp;N11&amp;": "&amp;O11&amp;", "&amp;P11&amp;", "&amp;Q11)</f>
        <v/>
      </c>
    </row>
    <row r="12">
      <c r="A12" s="2" t="n">
        <v>4</v>
      </c>
      <c r="B12" s="2" t="inlineStr">
        <is>
          <t>Academic TA</t>
        </is>
      </c>
      <c r="C12" s="2" t="inlineStr">
        <is>
          <t>in person</t>
        </is>
      </c>
      <c r="D12" s="2">
        <f>IF(A12&lt;=Settings!$B$9,1,IF(A12&lt;=Settings!$B$11,2,"none"))</f>
        <v/>
      </c>
      <c r="E12" s="2">
        <f>IF(D12=1,Settings!$B$6+(A12-1)*Settings!$B$8,IF(D12=2,(A12-Settings!$B$9-1)*Settings!$B$8,""))</f>
        <v/>
      </c>
      <c r="F12" s="2">
        <f>IF(E12="","",E12+Settings!$B$3)</f>
        <v/>
      </c>
      <c r="G12" s="2">
        <f>(A12-1)*Settings!$B$12+2</f>
        <v/>
      </c>
      <c r="H12" s="2">
        <f>IF(D12="none","outside the day",IF(ISNUMBER(MATCH(G12,Seats!$H$2:$H$36,0)),INDEX(Seats!$D$2:$D$36,MATCH(G12,Seats!$H$2:$H$36,0)),"spare"))</f>
        <v/>
      </c>
      <c r="I12" s="2">
        <f>IF(LEFT(H12,1)="G",INDEX(Seats!$B$2:$B$36,MATCH(G12,Seats!$H$2:$H$36,0)),"")</f>
        <v/>
      </c>
      <c r="J12" s="2">
        <f>IF(I12="","",INDEX(Seats!$E$2:$E$36,MATCH(G12,Seats!$H$2:$H$36,0)))</f>
        <v/>
      </c>
      <c r="K12" s="2">
        <f>IF(I12="","",INDEX(Seats!$F$2:$F$36,MATCH(G12,Seats!$H$2:$H$36,0)))</f>
        <v/>
      </c>
      <c r="L12" s="2">
        <f>IF(I12="","",IF(COUNTIFS($A$2:$A$43,A12,$I$2:$I$43,I12)&gt;1,"yes","no"))</f>
        <v/>
      </c>
      <c r="M12" s="2">
        <f>IF(D12=1,F12,IF(D12=2,Settings!$B$5+F12,""))</f>
        <v/>
      </c>
      <c r="N12" s="2">
        <f>IF(I12="","",INDEX(Seats!$I$2:$I$36,MATCH(G12,Seats!$H$2:$H$36,0)))</f>
        <v/>
      </c>
      <c r="O12" s="2">
        <f>IF(I12="","",INDEX(Seats!$J$2:$J$36,MATCH(G12,Seats!$H$2:$H$36,0)))</f>
        <v/>
      </c>
      <c r="P12" s="2">
        <f>IF(I12="","",INDEX(Seats!$K$2:$K$36,MATCH(G12,Seats!$H$2:$H$36,0)))</f>
        <v/>
      </c>
      <c r="Q12" s="2">
        <f>IF(I12="","",INDEX(Seats!$L$2:$L$36,MATCH(G12,Seats!$H$2:$H$36,0)))</f>
        <v/>
      </c>
      <c r="R12" s="2">
        <f>IF(I12="",H12,H12&amp;", set "&amp;J12&amp;", "&amp;N12&amp;": "&amp;O12&amp;", "&amp;P12&amp;", "&amp;Q12)</f>
        <v/>
      </c>
    </row>
    <row r="13">
      <c r="A13" s="2" t="n">
        <v>4</v>
      </c>
      <c r="B13" s="2" t="inlineStr">
        <is>
          <t>Principal Advisor</t>
        </is>
      </c>
      <c r="C13" s="2" t="inlineStr">
        <is>
          <t>online</t>
        </is>
      </c>
      <c r="D13" s="2">
        <f>IF(A13&lt;=Settings!$B$9,1,IF(A13&lt;=Settings!$B$11,2,"none"))</f>
        <v/>
      </c>
      <c r="E13" s="2">
        <f>IF(D13=1,Settings!$B$6+(A13-1)*Settings!$B$8,IF(D13=2,(A13-Settings!$B$9-1)*Settings!$B$8,""))</f>
        <v/>
      </c>
      <c r="F13" s="2">
        <f>IF(E13="","",E13+Settings!$B$3)</f>
        <v/>
      </c>
      <c r="G13" s="2">
        <f>(A13-1)*Settings!$B$12+3</f>
        <v/>
      </c>
      <c r="H13" s="2">
        <f>IF(D13="none","outside the day",IF(ISNUMBER(MATCH(G13,Seats!$H$2:$H$36,0)),INDEX(Seats!$D$2:$D$36,MATCH(G13,Seats!$H$2:$H$36,0)),"spare"))</f>
        <v/>
      </c>
      <c r="I13" s="2">
        <f>IF(LEFT(H13,1)="G",INDEX(Seats!$B$2:$B$36,MATCH(G13,Seats!$H$2:$H$36,0)),"")</f>
        <v/>
      </c>
      <c r="J13" s="2">
        <f>IF(I13="","",INDEX(Seats!$E$2:$E$36,MATCH(G13,Seats!$H$2:$H$36,0)))</f>
        <v/>
      </c>
      <c r="K13" s="2">
        <f>IF(I13="","",INDEX(Seats!$F$2:$F$36,MATCH(G13,Seats!$H$2:$H$36,0)))</f>
        <v/>
      </c>
      <c r="L13" s="2">
        <f>IF(I13="","",IF(COUNTIFS($A$2:$A$43,A13,$I$2:$I$43,I13)&gt;1,"yes","no"))</f>
        <v/>
      </c>
      <c r="M13" s="2">
        <f>IF(D13=1,F13,IF(D13=2,Settings!$B$5+F13,""))</f>
        <v/>
      </c>
      <c r="N13" s="2">
        <f>IF(I13="","",INDEX(Seats!$I$2:$I$36,MATCH(G13,Seats!$H$2:$H$36,0)))</f>
        <v/>
      </c>
      <c r="O13" s="2">
        <f>IF(I13="","",INDEX(Seats!$J$2:$J$36,MATCH(G13,Seats!$H$2:$H$36,0)))</f>
        <v/>
      </c>
      <c r="P13" s="2">
        <f>IF(I13="","",INDEX(Seats!$K$2:$K$36,MATCH(G13,Seats!$H$2:$H$36,0)))</f>
        <v/>
      </c>
      <c r="Q13" s="2">
        <f>IF(I13="","",INDEX(Seats!$L$2:$L$36,MATCH(G13,Seats!$H$2:$H$36,0)))</f>
        <v/>
      </c>
      <c r="R13" s="2">
        <f>IF(I13="",H13,H13&amp;", set "&amp;J13&amp;", "&amp;N13&amp;": "&amp;O13&amp;", "&amp;P13&amp;", "&amp;Q13)</f>
        <v/>
      </c>
    </row>
    <row r="14">
      <c r="A14" s="2" t="n">
        <v>5</v>
      </c>
      <c r="B14" s="2" t="inlineStr">
        <is>
          <t>Programme Head</t>
        </is>
      </c>
      <c r="C14" s="2" t="inlineStr">
        <is>
          <t>in person</t>
        </is>
      </c>
      <c r="D14" s="2">
        <f>IF(A14&lt;=Settings!$B$9,1,IF(A14&lt;=Settings!$B$11,2,"none"))</f>
        <v/>
      </c>
      <c r="E14" s="2">
        <f>IF(D14=1,Settings!$B$6+(A14-1)*Settings!$B$8,IF(D14=2,(A14-Settings!$B$9-1)*Settings!$B$8,""))</f>
        <v/>
      </c>
      <c r="F14" s="2">
        <f>IF(E14="","",E14+Settings!$B$3)</f>
        <v/>
      </c>
      <c r="G14" s="2">
        <f>(A14-1)*Settings!$B$12+1</f>
        <v/>
      </c>
      <c r="H14" s="2">
        <f>IF(D14="none","outside the day",IF(ISNUMBER(MATCH(G14,Seats!$H$2:$H$36,0)),INDEX(Seats!$D$2:$D$36,MATCH(G14,Seats!$H$2:$H$36,0)),"spare"))</f>
        <v/>
      </c>
      <c r="I14" s="2">
        <f>IF(LEFT(H14,1)="G",INDEX(Seats!$B$2:$B$36,MATCH(G14,Seats!$H$2:$H$36,0)),"")</f>
        <v/>
      </c>
      <c r="J14" s="2">
        <f>IF(I14="","",INDEX(Seats!$E$2:$E$36,MATCH(G14,Seats!$H$2:$H$36,0)))</f>
        <v/>
      </c>
      <c r="K14" s="2">
        <f>IF(I14="","",INDEX(Seats!$F$2:$F$36,MATCH(G14,Seats!$H$2:$H$36,0)))</f>
        <v/>
      </c>
      <c r="L14" s="2">
        <f>IF(I14="","",IF(COUNTIFS($A$2:$A$43,A14,$I$2:$I$43,I14)&gt;1,"yes","no"))</f>
        <v/>
      </c>
      <c r="M14" s="2">
        <f>IF(D14=1,F14,IF(D14=2,Settings!$B$5+F14,""))</f>
        <v/>
      </c>
      <c r="N14" s="2">
        <f>IF(I14="","",INDEX(Seats!$I$2:$I$36,MATCH(G14,Seats!$H$2:$H$36,0)))</f>
        <v/>
      </c>
      <c r="O14" s="2">
        <f>IF(I14="","",INDEX(Seats!$J$2:$J$36,MATCH(G14,Seats!$H$2:$H$36,0)))</f>
        <v/>
      </c>
      <c r="P14" s="2">
        <f>IF(I14="","",INDEX(Seats!$K$2:$K$36,MATCH(G14,Seats!$H$2:$H$36,0)))</f>
        <v/>
      </c>
      <c r="Q14" s="2">
        <f>IF(I14="","",INDEX(Seats!$L$2:$L$36,MATCH(G14,Seats!$H$2:$H$36,0)))</f>
        <v/>
      </c>
      <c r="R14" s="2">
        <f>IF(I14="",H14,H14&amp;", set "&amp;J14&amp;", "&amp;N14&amp;": "&amp;O14&amp;", "&amp;P14&amp;", "&amp;Q14)</f>
        <v/>
      </c>
    </row>
    <row r="15">
      <c r="A15" s="2" t="n">
        <v>5</v>
      </c>
      <c r="B15" s="2" t="inlineStr">
        <is>
          <t>Academic TA</t>
        </is>
      </c>
      <c r="C15" s="2" t="inlineStr">
        <is>
          <t>in person</t>
        </is>
      </c>
      <c r="D15" s="2">
        <f>IF(A15&lt;=Settings!$B$9,1,IF(A15&lt;=Settings!$B$11,2,"none"))</f>
        <v/>
      </c>
      <c r="E15" s="2">
        <f>IF(D15=1,Settings!$B$6+(A15-1)*Settings!$B$8,IF(D15=2,(A15-Settings!$B$9-1)*Settings!$B$8,""))</f>
        <v/>
      </c>
      <c r="F15" s="2">
        <f>IF(E15="","",E15+Settings!$B$3)</f>
        <v/>
      </c>
      <c r="G15" s="2">
        <f>(A15-1)*Settings!$B$12+2</f>
        <v/>
      </c>
      <c r="H15" s="2">
        <f>IF(D15="none","outside the day",IF(ISNUMBER(MATCH(G15,Seats!$H$2:$H$36,0)),INDEX(Seats!$D$2:$D$36,MATCH(G15,Seats!$H$2:$H$36,0)),"spare"))</f>
        <v/>
      </c>
      <c r="I15" s="2">
        <f>IF(LEFT(H15,1)="G",INDEX(Seats!$B$2:$B$36,MATCH(G15,Seats!$H$2:$H$36,0)),"")</f>
        <v/>
      </c>
      <c r="J15" s="2">
        <f>IF(I15="","",INDEX(Seats!$E$2:$E$36,MATCH(G15,Seats!$H$2:$H$36,0)))</f>
        <v/>
      </c>
      <c r="K15" s="2">
        <f>IF(I15="","",INDEX(Seats!$F$2:$F$36,MATCH(G15,Seats!$H$2:$H$36,0)))</f>
        <v/>
      </c>
      <c r="L15" s="2">
        <f>IF(I15="","",IF(COUNTIFS($A$2:$A$43,A15,$I$2:$I$43,I15)&gt;1,"yes","no"))</f>
        <v/>
      </c>
      <c r="M15" s="2">
        <f>IF(D15=1,F15,IF(D15=2,Settings!$B$5+F15,""))</f>
        <v/>
      </c>
      <c r="N15" s="2">
        <f>IF(I15="","",INDEX(Seats!$I$2:$I$36,MATCH(G15,Seats!$H$2:$H$36,0)))</f>
        <v/>
      </c>
      <c r="O15" s="2">
        <f>IF(I15="","",INDEX(Seats!$J$2:$J$36,MATCH(G15,Seats!$H$2:$H$36,0)))</f>
        <v/>
      </c>
      <c r="P15" s="2">
        <f>IF(I15="","",INDEX(Seats!$K$2:$K$36,MATCH(G15,Seats!$H$2:$H$36,0)))</f>
        <v/>
      </c>
      <c r="Q15" s="2">
        <f>IF(I15="","",INDEX(Seats!$L$2:$L$36,MATCH(G15,Seats!$H$2:$H$36,0)))</f>
        <v/>
      </c>
      <c r="R15" s="2">
        <f>IF(I15="",H15,H15&amp;", set "&amp;J15&amp;", "&amp;N15&amp;": "&amp;O15&amp;", "&amp;P15&amp;", "&amp;Q15)</f>
        <v/>
      </c>
    </row>
    <row r="16">
      <c r="A16" s="2" t="n">
        <v>5</v>
      </c>
      <c r="B16" s="2" t="inlineStr">
        <is>
          <t>Principal Advisor</t>
        </is>
      </c>
      <c r="C16" s="2" t="inlineStr">
        <is>
          <t>online</t>
        </is>
      </c>
      <c r="D16" s="2">
        <f>IF(A16&lt;=Settings!$B$9,1,IF(A16&lt;=Settings!$B$11,2,"none"))</f>
        <v/>
      </c>
      <c r="E16" s="2">
        <f>IF(D16=1,Settings!$B$6+(A16-1)*Settings!$B$8,IF(D16=2,(A16-Settings!$B$9-1)*Settings!$B$8,""))</f>
        <v/>
      </c>
      <c r="F16" s="2">
        <f>IF(E16="","",E16+Settings!$B$3)</f>
        <v/>
      </c>
      <c r="G16" s="2">
        <f>(A16-1)*Settings!$B$12+3</f>
        <v/>
      </c>
      <c r="H16" s="2">
        <f>IF(D16="none","outside the day",IF(ISNUMBER(MATCH(G16,Seats!$H$2:$H$36,0)),INDEX(Seats!$D$2:$D$36,MATCH(G16,Seats!$H$2:$H$36,0)),"spare"))</f>
        <v/>
      </c>
      <c r="I16" s="2">
        <f>IF(LEFT(H16,1)="G",INDEX(Seats!$B$2:$B$36,MATCH(G16,Seats!$H$2:$H$36,0)),"")</f>
        <v/>
      </c>
      <c r="J16" s="2">
        <f>IF(I16="","",INDEX(Seats!$E$2:$E$36,MATCH(G16,Seats!$H$2:$H$36,0)))</f>
        <v/>
      </c>
      <c r="K16" s="2">
        <f>IF(I16="","",INDEX(Seats!$F$2:$F$36,MATCH(G16,Seats!$H$2:$H$36,0)))</f>
        <v/>
      </c>
      <c r="L16" s="2">
        <f>IF(I16="","",IF(COUNTIFS($A$2:$A$43,A16,$I$2:$I$43,I16)&gt;1,"yes","no"))</f>
        <v/>
      </c>
      <c r="M16" s="2">
        <f>IF(D16=1,F16,IF(D16=2,Settings!$B$5+F16,""))</f>
        <v/>
      </c>
      <c r="N16" s="2">
        <f>IF(I16="","",INDEX(Seats!$I$2:$I$36,MATCH(G16,Seats!$H$2:$H$36,0)))</f>
        <v/>
      </c>
      <c r="O16" s="2">
        <f>IF(I16="","",INDEX(Seats!$J$2:$J$36,MATCH(G16,Seats!$H$2:$H$36,0)))</f>
        <v/>
      </c>
      <c r="P16" s="2">
        <f>IF(I16="","",INDEX(Seats!$K$2:$K$36,MATCH(G16,Seats!$H$2:$H$36,0)))</f>
        <v/>
      </c>
      <c r="Q16" s="2">
        <f>IF(I16="","",INDEX(Seats!$L$2:$L$36,MATCH(G16,Seats!$H$2:$H$36,0)))</f>
        <v/>
      </c>
      <c r="R16" s="2">
        <f>IF(I16="",H16,H16&amp;", set "&amp;J16&amp;", "&amp;N16&amp;": "&amp;O16&amp;", "&amp;P16&amp;", "&amp;Q16)</f>
        <v/>
      </c>
    </row>
    <row r="17">
      <c r="A17" s="2" t="n">
        <v>6</v>
      </c>
      <c r="B17" s="2" t="inlineStr">
        <is>
          <t>Programme Head</t>
        </is>
      </c>
      <c r="C17" s="2" t="inlineStr">
        <is>
          <t>in person</t>
        </is>
      </c>
      <c r="D17" s="2">
        <f>IF(A17&lt;=Settings!$B$9,1,IF(A17&lt;=Settings!$B$11,2,"none"))</f>
        <v/>
      </c>
      <c r="E17" s="2">
        <f>IF(D17=1,Settings!$B$6+(A17-1)*Settings!$B$8,IF(D17=2,(A17-Settings!$B$9-1)*Settings!$B$8,""))</f>
        <v/>
      </c>
      <c r="F17" s="2">
        <f>IF(E17="","",E17+Settings!$B$3)</f>
        <v/>
      </c>
      <c r="G17" s="2">
        <f>(A17-1)*Settings!$B$12+1</f>
        <v/>
      </c>
      <c r="H17" s="2">
        <f>IF(D17="none","outside the day",IF(ISNUMBER(MATCH(G17,Seats!$H$2:$H$36,0)),INDEX(Seats!$D$2:$D$36,MATCH(G17,Seats!$H$2:$H$36,0)),"spare"))</f>
        <v/>
      </c>
      <c r="I17" s="2">
        <f>IF(LEFT(H17,1)="G",INDEX(Seats!$B$2:$B$36,MATCH(G17,Seats!$H$2:$H$36,0)),"")</f>
        <v/>
      </c>
      <c r="J17" s="2">
        <f>IF(I17="","",INDEX(Seats!$E$2:$E$36,MATCH(G17,Seats!$H$2:$H$36,0)))</f>
        <v/>
      </c>
      <c r="K17" s="2">
        <f>IF(I17="","",INDEX(Seats!$F$2:$F$36,MATCH(G17,Seats!$H$2:$H$36,0)))</f>
        <v/>
      </c>
      <c r="L17" s="2">
        <f>IF(I17="","",IF(COUNTIFS($A$2:$A$43,A17,$I$2:$I$43,I17)&gt;1,"yes","no"))</f>
        <v/>
      </c>
      <c r="M17" s="2">
        <f>IF(D17=1,F17,IF(D17=2,Settings!$B$5+F17,""))</f>
        <v/>
      </c>
      <c r="N17" s="2">
        <f>IF(I17="","",INDEX(Seats!$I$2:$I$36,MATCH(G17,Seats!$H$2:$H$36,0)))</f>
        <v/>
      </c>
      <c r="O17" s="2">
        <f>IF(I17="","",INDEX(Seats!$J$2:$J$36,MATCH(G17,Seats!$H$2:$H$36,0)))</f>
        <v/>
      </c>
      <c r="P17" s="2">
        <f>IF(I17="","",INDEX(Seats!$K$2:$K$36,MATCH(G17,Seats!$H$2:$H$36,0)))</f>
        <v/>
      </c>
      <c r="Q17" s="2">
        <f>IF(I17="","",INDEX(Seats!$L$2:$L$36,MATCH(G17,Seats!$H$2:$H$36,0)))</f>
        <v/>
      </c>
      <c r="R17" s="2">
        <f>IF(I17="",H17,H17&amp;", set "&amp;J17&amp;", "&amp;N17&amp;": "&amp;O17&amp;", "&amp;P17&amp;", "&amp;Q17)</f>
        <v/>
      </c>
    </row>
    <row r="18">
      <c r="A18" s="2" t="n">
        <v>6</v>
      </c>
      <c r="B18" s="2" t="inlineStr">
        <is>
          <t>Academic TA</t>
        </is>
      </c>
      <c r="C18" s="2" t="inlineStr">
        <is>
          <t>in person</t>
        </is>
      </c>
      <c r="D18" s="2">
        <f>IF(A18&lt;=Settings!$B$9,1,IF(A18&lt;=Settings!$B$11,2,"none"))</f>
        <v/>
      </c>
      <c r="E18" s="2">
        <f>IF(D18=1,Settings!$B$6+(A18-1)*Settings!$B$8,IF(D18=2,(A18-Settings!$B$9-1)*Settings!$B$8,""))</f>
        <v/>
      </c>
      <c r="F18" s="2">
        <f>IF(E18="","",E18+Settings!$B$3)</f>
        <v/>
      </c>
      <c r="G18" s="2">
        <f>(A18-1)*Settings!$B$12+2</f>
        <v/>
      </c>
      <c r="H18" s="2">
        <f>IF(D18="none","outside the day",IF(ISNUMBER(MATCH(G18,Seats!$H$2:$H$36,0)),INDEX(Seats!$D$2:$D$36,MATCH(G18,Seats!$H$2:$H$36,0)),"spare"))</f>
        <v/>
      </c>
      <c r="I18" s="2">
        <f>IF(LEFT(H18,1)="G",INDEX(Seats!$B$2:$B$36,MATCH(G18,Seats!$H$2:$H$36,0)),"")</f>
        <v/>
      </c>
      <c r="J18" s="2">
        <f>IF(I18="","",INDEX(Seats!$E$2:$E$36,MATCH(G18,Seats!$H$2:$H$36,0)))</f>
        <v/>
      </c>
      <c r="K18" s="2">
        <f>IF(I18="","",INDEX(Seats!$F$2:$F$36,MATCH(G18,Seats!$H$2:$H$36,0)))</f>
        <v/>
      </c>
      <c r="L18" s="2">
        <f>IF(I18="","",IF(COUNTIFS($A$2:$A$43,A18,$I$2:$I$43,I18)&gt;1,"yes","no"))</f>
        <v/>
      </c>
      <c r="M18" s="2">
        <f>IF(D18=1,F18,IF(D18=2,Settings!$B$5+F18,""))</f>
        <v/>
      </c>
      <c r="N18" s="2">
        <f>IF(I18="","",INDEX(Seats!$I$2:$I$36,MATCH(G18,Seats!$H$2:$H$36,0)))</f>
        <v/>
      </c>
      <c r="O18" s="2">
        <f>IF(I18="","",INDEX(Seats!$J$2:$J$36,MATCH(G18,Seats!$H$2:$H$36,0)))</f>
        <v/>
      </c>
      <c r="P18" s="2">
        <f>IF(I18="","",INDEX(Seats!$K$2:$K$36,MATCH(G18,Seats!$H$2:$H$36,0)))</f>
        <v/>
      </c>
      <c r="Q18" s="2">
        <f>IF(I18="","",INDEX(Seats!$L$2:$L$36,MATCH(G18,Seats!$H$2:$H$36,0)))</f>
        <v/>
      </c>
      <c r="R18" s="2">
        <f>IF(I18="",H18,H18&amp;", set "&amp;J18&amp;", "&amp;N18&amp;": "&amp;O18&amp;", "&amp;P18&amp;", "&amp;Q18)</f>
        <v/>
      </c>
    </row>
    <row r="19">
      <c r="A19" s="2" t="n">
        <v>6</v>
      </c>
      <c r="B19" s="2" t="inlineStr">
        <is>
          <t>Principal Advisor</t>
        </is>
      </c>
      <c r="C19" s="2" t="inlineStr">
        <is>
          <t>online</t>
        </is>
      </c>
      <c r="D19" s="2">
        <f>IF(A19&lt;=Settings!$B$9,1,IF(A19&lt;=Settings!$B$11,2,"none"))</f>
        <v/>
      </c>
      <c r="E19" s="2">
        <f>IF(D19=1,Settings!$B$6+(A19-1)*Settings!$B$8,IF(D19=2,(A19-Settings!$B$9-1)*Settings!$B$8,""))</f>
        <v/>
      </c>
      <c r="F19" s="2">
        <f>IF(E19="","",E19+Settings!$B$3)</f>
        <v/>
      </c>
      <c r="G19" s="2">
        <f>(A19-1)*Settings!$B$12+3</f>
        <v/>
      </c>
      <c r="H19" s="2">
        <f>IF(D19="none","outside the day",IF(ISNUMBER(MATCH(G19,Seats!$H$2:$H$36,0)),INDEX(Seats!$D$2:$D$36,MATCH(G19,Seats!$H$2:$H$36,0)),"spare"))</f>
        <v/>
      </c>
      <c r="I19" s="2">
        <f>IF(LEFT(H19,1)="G",INDEX(Seats!$B$2:$B$36,MATCH(G19,Seats!$H$2:$H$36,0)),"")</f>
        <v/>
      </c>
      <c r="J19" s="2">
        <f>IF(I19="","",INDEX(Seats!$E$2:$E$36,MATCH(G19,Seats!$H$2:$H$36,0)))</f>
        <v/>
      </c>
      <c r="K19" s="2">
        <f>IF(I19="","",INDEX(Seats!$F$2:$F$36,MATCH(G19,Seats!$H$2:$H$36,0)))</f>
        <v/>
      </c>
      <c r="L19" s="2">
        <f>IF(I19="","",IF(COUNTIFS($A$2:$A$43,A19,$I$2:$I$43,I19)&gt;1,"yes","no"))</f>
        <v/>
      </c>
      <c r="M19" s="2">
        <f>IF(D19=1,F19,IF(D19=2,Settings!$B$5+F19,""))</f>
        <v/>
      </c>
      <c r="N19" s="2">
        <f>IF(I19="","",INDEX(Seats!$I$2:$I$36,MATCH(G19,Seats!$H$2:$H$36,0)))</f>
        <v/>
      </c>
      <c r="O19" s="2">
        <f>IF(I19="","",INDEX(Seats!$J$2:$J$36,MATCH(G19,Seats!$H$2:$H$36,0)))</f>
        <v/>
      </c>
      <c r="P19" s="2">
        <f>IF(I19="","",INDEX(Seats!$K$2:$K$36,MATCH(G19,Seats!$H$2:$H$36,0)))</f>
        <v/>
      </c>
      <c r="Q19" s="2">
        <f>IF(I19="","",INDEX(Seats!$L$2:$L$36,MATCH(G19,Seats!$H$2:$H$36,0)))</f>
        <v/>
      </c>
      <c r="R19" s="2">
        <f>IF(I19="",H19,H19&amp;", set "&amp;J19&amp;", "&amp;N19&amp;": "&amp;O19&amp;", "&amp;P19&amp;", "&amp;Q19)</f>
        <v/>
      </c>
    </row>
    <row r="20">
      <c r="A20" s="2" t="n">
        <v>7</v>
      </c>
      <c r="B20" s="2" t="inlineStr">
        <is>
          <t>Programme Head</t>
        </is>
      </c>
      <c r="C20" s="2" t="inlineStr">
        <is>
          <t>in person</t>
        </is>
      </c>
      <c r="D20" s="2">
        <f>IF(A20&lt;=Settings!$B$9,1,IF(A20&lt;=Settings!$B$11,2,"none"))</f>
        <v/>
      </c>
      <c r="E20" s="2">
        <f>IF(D20=1,Settings!$B$6+(A20-1)*Settings!$B$8,IF(D20=2,(A20-Settings!$B$9-1)*Settings!$B$8,""))</f>
        <v/>
      </c>
      <c r="F20" s="2">
        <f>IF(E20="","",E20+Settings!$B$3)</f>
        <v/>
      </c>
      <c r="G20" s="2">
        <f>(A20-1)*Settings!$B$12+1</f>
        <v/>
      </c>
      <c r="H20" s="2">
        <f>IF(D20="none","outside the day",IF(ISNUMBER(MATCH(G20,Seats!$H$2:$H$36,0)),INDEX(Seats!$D$2:$D$36,MATCH(G20,Seats!$H$2:$H$36,0)),"spare"))</f>
        <v/>
      </c>
      <c r="I20" s="2">
        <f>IF(LEFT(H20,1)="G",INDEX(Seats!$B$2:$B$36,MATCH(G20,Seats!$H$2:$H$36,0)),"")</f>
        <v/>
      </c>
      <c r="J20" s="2">
        <f>IF(I20="","",INDEX(Seats!$E$2:$E$36,MATCH(G20,Seats!$H$2:$H$36,0)))</f>
        <v/>
      </c>
      <c r="K20" s="2">
        <f>IF(I20="","",INDEX(Seats!$F$2:$F$36,MATCH(G20,Seats!$H$2:$H$36,0)))</f>
        <v/>
      </c>
      <c r="L20" s="2">
        <f>IF(I20="","",IF(COUNTIFS($A$2:$A$43,A20,$I$2:$I$43,I20)&gt;1,"yes","no"))</f>
        <v/>
      </c>
      <c r="M20" s="2">
        <f>IF(D20=1,F20,IF(D20=2,Settings!$B$5+F20,""))</f>
        <v/>
      </c>
      <c r="N20" s="2">
        <f>IF(I20="","",INDEX(Seats!$I$2:$I$36,MATCH(G20,Seats!$H$2:$H$36,0)))</f>
        <v/>
      </c>
      <c r="O20" s="2">
        <f>IF(I20="","",INDEX(Seats!$J$2:$J$36,MATCH(G20,Seats!$H$2:$H$36,0)))</f>
        <v/>
      </c>
      <c r="P20" s="2">
        <f>IF(I20="","",INDEX(Seats!$K$2:$K$36,MATCH(G20,Seats!$H$2:$H$36,0)))</f>
        <v/>
      </c>
      <c r="Q20" s="2">
        <f>IF(I20="","",INDEX(Seats!$L$2:$L$36,MATCH(G20,Seats!$H$2:$H$36,0)))</f>
        <v/>
      </c>
      <c r="R20" s="2">
        <f>IF(I20="",H20,H20&amp;", set "&amp;J20&amp;", "&amp;N20&amp;": "&amp;O20&amp;", "&amp;P20&amp;", "&amp;Q20)</f>
        <v/>
      </c>
    </row>
    <row r="21">
      <c r="A21" s="2" t="n">
        <v>7</v>
      </c>
      <c r="B21" s="2" t="inlineStr">
        <is>
          <t>Academic TA</t>
        </is>
      </c>
      <c r="C21" s="2" t="inlineStr">
        <is>
          <t>in person</t>
        </is>
      </c>
      <c r="D21" s="2">
        <f>IF(A21&lt;=Settings!$B$9,1,IF(A21&lt;=Settings!$B$11,2,"none"))</f>
        <v/>
      </c>
      <c r="E21" s="2">
        <f>IF(D21=1,Settings!$B$6+(A21-1)*Settings!$B$8,IF(D21=2,(A21-Settings!$B$9-1)*Settings!$B$8,""))</f>
        <v/>
      </c>
      <c r="F21" s="2">
        <f>IF(E21="","",E21+Settings!$B$3)</f>
        <v/>
      </c>
      <c r="G21" s="2">
        <f>(A21-1)*Settings!$B$12+2</f>
        <v/>
      </c>
      <c r="H21" s="2">
        <f>IF(D21="none","outside the day",IF(ISNUMBER(MATCH(G21,Seats!$H$2:$H$36,0)),INDEX(Seats!$D$2:$D$36,MATCH(G21,Seats!$H$2:$H$36,0)),"spare"))</f>
        <v/>
      </c>
      <c r="I21" s="2">
        <f>IF(LEFT(H21,1)="G",INDEX(Seats!$B$2:$B$36,MATCH(G21,Seats!$H$2:$H$36,0)),"")</f>
        <v/>
      </c>
      <c r="J21" s="2">
        <f>IF(I21="","",INDEX(Seats!$E$2:$E$36,MATCH(G21,Seats!$H$2:$H$36,0)))</f>
        <v/>
      </c>
      <c r="K21" s="2">
        <f>IF(I21="","",INDEX(Seats!$F$2:$F$36,MATCH(G21,Seats!$H$2:$H$36,0)))</f>
        <v/>
      </c>
      <c r="L21" s="2">
        <f>IF(I21="","",IF(COUNTIFS($A$2:$A$43,A21,$I$2:$I$43,I21)&gt;1,"yes","no"))</f>
        <v/>
      </c>
      <c r="M21" s="2">
        <f>IF(D21=1,F21,IF(D21=2,Settings!$B$5+F21,""))</f>
        <v/>
      </c>
      <c r="N21" s="2">
        <f>IF(I21="","",INDEX(Seats!$I$2:$I$36,MATCH(G21,Seats!$H$2:$H$36,0)))</f>
        <v/>
      </c>
      <c r="O21" s="2">
        <f>IF(I21="","",INDEX(Seats!$J$2:$J$36,MATCH(G21,Seats!$H$2:$H$36,0)))</f>
        <v/>
      </c>
      <c r="P21" s="2">
        <f>IF(I21="","",INDEX(Seats!$K$2:$K$36,MATCH(G21,Seats!$H$2:$H$36,0)))</f>
        <v/>
      </c>
      <c r="Q21" s="2">
        <f>IF(I21="","",INDEX(Seats!$L$2:$L$36,MATCH(G21,Seats!$H$2:$H$36,0)))</f>
        <v/>
      </c>
      <c r="R21" s="2">
        <f>IF(I21="",H21,H21&amp;", set "&amp;J21&amp;", "&amp;N21&amp;": "&amp;O21&amp;", "&amp;P21&amp;", "&amp;Q21)</f>
        <v/>
      </c>
    </row>
    <row r="22">
      <c r="A22" s="2" t="n">
        <v>7</v>
      </c>
      <c r="B22" s="2" t="inlineStr">
        <is>
          <t>Principal Advisor</t>
        </is>
      </c>
      <c r="C22" s="2" t="inlineStr">
        <is>
          <t>online</t>
        </is>
      </c>
      <c r="D22" s="2">
        <f>IF(A22&lt;=Settings!$B$9,1,IF(A22&lt;=Settings!$B$11,2,"none"))</f>
        <v/>
      </c>
      <c r="E22" s="2">
        <f>IF(D22=1,Settings!$B$6+(A22-1)*Settings!$B$8,IF(D22=2,(A22-Settings!$B$9-1)*Settings!$B$8,""))</f>
        <v/>
      </c>
      <c r="F22" s="2">
        <f>IF(E22="","",E22+Settings!$B$3)</f>
        <v/>
      </c>
      <c r="G22" s="2">
        <f>(A22-1)*Settings!$B$12+3</f>
        <v/>
      </c>
      <c r="H22" s="2">
        <f>IF(D22="none","outside the day",IF(ISNUMBER(MATCH(G22,Seats!$H$2:$H$36,0)),INDEX(Seats!$D$2:$D$36,MATCH(G22,Seats!$H$2:$H$36,0)),"spare"))</f>
        <v/>
      </c>
      <c r="I22" s="2">
        <f>IF(LEFT(H22,1)="G",INDEX(Seats!$B$2:$B$36,MATCH(G22,Seats!$H$2:$H$36,0)),"")</f>
        <v/>
      </c>
      <c r="J22" s="2">
        <f>IF(I22="","",INDEX(Seats!$E$2:$E$36,MATCH(G22,Seats!$H$2:$H$36,0)))</f>
        <v/>
      </c>
      <c r="K22" s="2">
        <f>IF(I22="","",INDEX(Seats!$F$2:$F$36,MATCH(G22,Seats!$H$2:$H$36,0)))</f>
        <v/>
      </c>
      <c r="L22" s="2">
        <f>IF(I22="","",IF(COUNTIFS($A$2:$A$43,A22,$I$2:$I$43,I22)&gt;1,"yes","no"))</f>
        <v/>
      </c>
      <c r="M22" s="2">
        <f>IF(D22=1,F22,IF(D22=2,Settings!$B$5+F22,""))</f>
        <v/>
      </c>
      <c r="N22" s="2">
        <f>IF(I22="","",INDEX(Seats!$I$2:$I$36,MATCH(G22,Seats!$H$2:$H$36,0)))</f>
        <v/>
      </c>
      <c r="O22" s="2">
        <f>IF(I22="","",INDEX(Seats!$J$2:$J$36,MATCH(G22,Seats!$H$2:$H$36,0)))</f>
        <v/>
      </c>
      <c r="P22" s="2">
        <f>IF(I22="","",INDEX(Seats!$K$2:$K$36,MATCH(G22,Seats!$H$2:$H$36,0)))</f>
        <v/>
      </c>
      <c r="Q22" s="2">
        <f>IF(I22="","",INDEX(Seats!$L$2:$L$36,MATCH(G22,Seats!$H$2:$H$36,0)))</f>
        <v/>
      </c>
      <c r="R22" s="2">
        <f>IF(I22="",H22,H22&amp;", set "&amp;J22&amp;", "&amp;N22&amp;": "&amp;O22&amp;", "&amp;P22&amp;", "&amp;Q22)</f>
        <v/>
      </c>
    </row>
    <row r="23">
      <c r="A23" s="2" t="n">
        <v>8</v>
      </c>
      <c r="B23" s="2" t="inlineStr">
        <is>
          <t>Programme Head</t>
        </is>
      </c>
      <c r="C23" s="2" t="inlineStr">
        <is>
          <t>in person</t>
        </is>
      </c>
      <c r="D23" s="2">
        <f>IF(A23&lt;=Settings!$B$9,1,IF(A23&lt;=Settings!$B$11,2,"none"))</f>
        <v/>
      </c>
      <c r="E23" s="2">
        <f>IF(D23=1,Settings!$B$6+(A23-1)*Settings!$B$8,IF(D23=2,(A23-Settings!$B$9-1)*Settings!$B$8,""))</f>
        <v/>
      </c>
      <c r="F23" s="2">
        <f>IF(E23="","",E23+Settings!$B$3)</f>
        <v/>
      </c>
      <c r="G23" s="2">
        <f>(A23-1)*Settings!$B$12+1</f>
        <v/>
      </c>
      <c r="H23" s="2">
        <f>IF(D23="none","outside the day",IF(ISNUMBER(MATCH(G23,Seats!$H$2:$H$36,0)),INDEX(Seats!$D$2:$D$36,MATCH(G23,Seats!$H$2:$H$36,0)),"spare"))</f>
        <v/>
      </c>
      <c r="I23" s="2">
        <f>IF(LEFT(H23,1)="G",INDEX(Seats!$B$2:$B$36,MATCH(G23,Seats!$H$2:$H$36,0)),"")</f>
        <v/>
      </c>
      <c r="J23" s="2">
        <f>IF(I23="","",INDEX(Seats!$E$2:$E$36,MATCH(G23,Seats!$H$2:$H$36,0)))</f>
        <v/>
      </c>
      <c r="K23" s="2">
        <f>IF(I23="","",INDEX(Seats!$F$2:$F$36,MATCH(G23,Seats!$H$2:$H$36,0)))</f>
        <v/>
      </c>
      <c r="L23" s="2">
        <f>IF(I23="","",IF(COUNTIFS($A$2:$A$43,A23,$I$2:$I$43,I23)&gt;1,"yes","no"))</f>
        <v/>
      </c>
      <c r="M23" s="2">
        <f>IF(D23=1,F23,IF(D23=2,Settings!$B$5+F23,""))</f>
        <v/>
      </c>
      <c r="N23" s="2">
        <f>IF(I23="","",INDEX(Seats!$I$2:$I$36,MATCH(G23,Seats!$H$2:$H$36,0)))</f>
        <v/>
      </c>
      <c r="O23" s="2">
        <f>IF(I23="","",INDEX(Seats!$J$2:$J$36,MATCH(G23,Seats!$H$2:$H$36,0)))</f>
        <v/>
      </c>
      <c r="P23" s="2">
        <f>IF(I23="","",INDEX(Seats!$K$2:$K$36,MATCH(G23,Seats!$H$2:$H$36,0)))</f>
        <v/>
      </c>
      <c r="Q23" s="2">
        <f>IF(I23="","",INDEX(Seats!$L$2:$L$36,MATCH(G23,Seats!$H$2:$H$36,0)))</f>
        <v/>
      </c>
      <c r="R23" s="2">
        <f>IF(I23="",H23,H23&amp;", set "&amp;J23&amp;", "&amp;N23&amp;": "&amp;O23&amp;", "&amp;P23&amp;", "&amp;Q23)</f>
        <v/>
      </c>
    </row>
    <row r="24">
      <c r="A24" s="2" t="n">
        <v>8</v>
      </c>
      <c r="B24" s="2" t="inlineStr">
        <is>
          <t>Academic TA</t>
        </is>
      </c>
      <c r="C24" s="2" t="inlineStr">
        <is>
          <t>in person</t>
        </is>
      </c>
      <c r="D24" s="2">
        <f>IF(A24&lt;=Settings!$B$9,1,IF(A24&lt;=Settings!$B$11,2,"none"))</f>
        <v/>
      </c>
      <c r="E24" s="2">
        <f>IF(D24=1,Settings!$B$6+(A24-1)*Settings!$B$8,IF(D24=2,(A24-Settings!$B$9-1)*Settings!$B$8,""))</f>
        <v/>
      </c>
      <c r="F24" s="2">
        <f>IF(E24="","",E24+Settings!$B$3)</f>
        <v/>
      </c>
      <c r="G24" s="2">
        <f>(A24-1)*Settings!$B$12+2</f>
        <v/>
      </c>
      <c r="H24" s="2">
        <f>IF(D24="none","outside the day",IF(ISNUMBER(MATCH(G24,Seats!$H$2:$H$36,0)),INDEX(Seats!$D$2:$D$36,MATCH(G24,Seats!$H$2:$H$36,0)),"spare"))</f>
        <v/>
      </c>
      <c r="I24" s="2">
        <f>IF(LEFT(H24,1)="G",INDEX(Seats!$B$2:$B$36,MATCH(G24,Seats!$H$2:$H$36,0)),"")</f>
        <v/>
      </c>
      <c r="J24" s="2">
        <f>IF(I24="","",INDEX(Seats!$E$2:$E$36,MATCH(G24,Seats!$H$2:$H$36,0)))</f>
        <v/>
      </c>
      <c r="K24" s="2">
        <f>IF(I24="","",INDEX(Seats!$F$2:$F$36,MATCH(G24,Seats!$H$2:$H$36,0)))</f>
        <v/>
      </c>
      <c r="L24" s="2">
        <f>IF(I24="","",IF(COUNTIFS($A$2:$A$43,A24,$I$2:$I$43,I24)&gt;1,"yes","no"))</f>
        <v/>
      </c>
      <c r="M24" s="2">
        <f>IF(D24=1,F24,IF(D24=2,Settings!$B$5+F24,""))</f>
        <v/>
      </c>
      <c r="N24" s="2">
        <f>IF(I24="","",INDEX(Seats!$I$2:$I$36,MATCH(G24,Seats!$H$2:$H$36,0)))</f>
        <v/>
      </c>
      <c r="O24" s="2">
        <f>IF(I24="","",INDEX(Seats!$J$2:$J$36,MATCH(G24,Seats!$H$2:$H$36,0)))</f>
        <v/>
      </c>
      <c r="P24" s="2">
        <f>IF(I24="","",INDEX(Seats!$K$2:$K$36,MATCH(G24,Seats!$H$2:$H$36,0)))</f>
        <v/>
      </c>
      <c r="Q24" s="2">
        <f>IF(I24="","",INDEX(Seats!$L$2:$L$36,MATCH(G24,Seats!$H$2:$H$36,0)))</f>
        <v/>
      </c>
      <c r="R24" s="2">
        <f>IF(I24="",H24,H24&amp;", set "&amp;J24&amp;", "&amp;N24&amp;": "&amp;O24&amp;", "&amp;P24&amp;", "&amp;Q24)</f>
        <v/>
      </c>
    </row>
    <row r="25">
      <c r="A25" s="2" t="n">
        <v>8</v>
      </c>
      <c r="B25" s="2" t="inlineStr">
        <is>
          <t>Principal Advisor</t>
        </is>
      </c>
      <c r="C25" s="2" t="inlineStr">
        <is>
          <t>online</t>
        </is>
      </c>
      <c r="D25" s="2">
        <f>IF(A25&lt;=Settings!$B$9,1,IF(A25&lt;=Settings!$B$11,2,"none"))</f>
        <v/>
      </c>
      <c r="E25" s="2">
        <f>IF(D25=1,Settings!$B$6+(A25-1)*Settings!$B$8,IF(D25=2,(A25-Settings!$B$9-1)*Settings!$B$8,""))</f>
        <v/>
      </c>
      <c r="F25" s="2">
        <f>IF(E25="","",E25+Settings!$B$3)</f>
        <v/>
      </c>
      <c r="G25" s="2">
        <f>(A25-1)*Settings!$B$12+3</f>
        <v/>
      </c>
      <c r="H25" s="2">
        <f>IF(D25="none","outside the day",IF(ISNUMBER(MATCH(G25,Seats!$H$2:$H$36,0)),INDEX(Seats!$D$2:$D$36,MATCH(G25,Seats!$H$2:$H$36,0)),"spare"))</f>
        <v/>
      </c>
      <c r="I25" s="2">
        <f>IF(LEFT(H25,1)="G",INDEX(Seats!$B$2:$B$36,MATCH(G25,Seats!$H$2:$H$36,0)),"")</f>
        <v/>
      </c>
      <c r="J25" s="2">
        <f>IF(I25="","",INDEX(Seats!$E$2:$E$36,MATCH(G25,Seats!$H$2:$H$36,0)))</f>
        <v/>
      </c>
      <c r="K25" s="2">
        <f>IF(I25="","",INDEX(Seats!$F$2:$F$36,MATCH(G25,Seats!$H$2:$H$36,0)))</f>
        <v/>
      </c>
      <c r="L25" s="2">
        <f>IF(I25="","",IF(COUNTIFS($A$2:$A$43,A25,$I$2:$I$43,I25)&gt;1,"yes","no"))</f>
        <v/>
      </c>
      <c r="M25" s="2">
        <f>IF(D25=1,F25,IF(D25=2,Settings!$B$5+F25,""))</f>
        <v/>
      </c>
      <c r="N25" s="2">
        <f>IF(I25="","",INDEX(Seats!$I$2:$I$36,MATCH(G25,Seats!$H$2:$H$36,0)))</f>
        <v/>
      </c>
      <c r="O25" s="2">
        <f>IF(I25="","",INDEX(Seats!$J$2:$J$36,MATCH(G25,Seats!$H$2:$H$36,0)))</f>
        <v/>
      </c>
      <c r="P25" s="2">
        <f>IF(I25="","",INDEX(Seats!$K$2:$K$36,MATCH(G25,Seats!$H$2:$H$36,0)))</f>
        <v/>
      </c>
      <c r="Q25" s="2">
        <f>IF(I25="","",INDEX(Seats!$L$2:$L$36,MATCH(G25,Seats!$H$2:$H$36,0)))</f>
        <v/>
      </c>
      <c r="R25" s="2">
        <f>IF(I25="",H25,H25&amp;", set "&amp;J25&amp;", "&amp;N25&amp;": "&amp;O25&amp;", "&amp;P25&amp;", "&amp;Q25)</f>
        <v/>
      </c>
    </row>
    <row r="26">
      <c r="A26" s="2" t="n">
        <v>9</v>
      </c>
      <c r="B26" s="2" t="inlineStr">
        <is>
          <t>Programme Head</t>
        </is>
      </c>
      <c r="C26" s="2" t="inlineStr">
        <is>
          <t>in person</t>
        </is>
      </c>
      <c r="D26" s="2">
        <f>IF(A26&lt;=Settings!$B$9,1,IF(A26&lt;=Settings!$B$11,2,"none"))</f>
        <v/>
      </c>
      <c r="E26" s="2">
        <f>IF(D26=1,Settings!$B$6+(A26-1)*Settings!$B$8,IF(D26=2,(A26-Settings!$B$9-1)*Settings!$B$8,""))</f>
        <v/>
      </c>
      <c r="F26" s="2">
        <f>IF(E26="","",E26+Settings!$B$3)</f>
        <v/>
      </c>
      <c r="G26" s="2">
        <f>(A26-1)*Settings!$B$12+1</f>
        <v/>
      </c>
      <c r="H26" s="2">
        <f>IF(D26="none","outside the day",IF(ISNUMBER(MATCH(G26,Seats!$H$2:$H$36,0)),INDEX(Seats!$D$2:$D$36,MATCH(G26,Seats!$H$2:$H$36,0)),"spare"))</f>
        <v/>
      </c>
      <c r="I26" s="2">
        <f>IF(LEFT(H26,1)="G",INDEX(Seats!$B$2:$B$36,MATCH(G26,Seats!$H$2:$H$36,0)),"")</f>
        <v/>
      </c>
      <c r="J26" s="2">
        <f>IF(I26="","",INDEX(Seats!$E$2:$E$36,MATCH(G26,Seats!$H$2:$H$36,0)))</f>
        <v/>
      </c>
      <c r="K26" s="2">
        <f>IF(I26="","",INDEX(Seats!$F$2:$F$36,MATCH(G26,Seats!$H$2:$H$36,0)))</f>
        <v/>
      </c>
      <c r="L26" s="2">
        <f>IF(I26="","",IF(COUNTIFS($A$2:$A$43,A26,$I$2:$I$43,I26)&gt;1,"yes","no"))</f>
        <v/>
      </c>
      <c r="M26" s="2">
        <f>IF(D26=1,F26,IF(D26=2,Settings!$B$5+F26,""))</f>
        <v/>
      </c>
      <c r="N26" s="2">
        <f>IF(I26="","",INDEX(Seats!$I$2:$I$36,MATCH(G26,Seats!$H$2:$H$36,0)))</f>
        <v/>
      </c>
      <c r="O26" s="2">
        <f>IF(I26="","",INDEX(Seats!$J$2:$J$36,MATCH(G26,Seats!$H$2:$H$36,0)))</f>
        <v/>
      </c>
      <c r="P26" s="2">
        <f>IF(I26="","",INDEX(Seats!$K$2:$K$36,MATCH(G26,Seats!$H$2:$H$36,0)))</f>
        <v/>
      </c>
      <c r="Q26" s="2">
        <f>IF(I26="","",INDEX(Seats!$L$2:$L$36,MATCH(G26,Seats!$H$2:$H$36,0)))</f>
        <v/>
      </c>
      <c r="R26" s="2">
        <f>IF(I26="",H26,H26&amp;", set "&amp;J26&amp;", "&amp;N26&amp;": "&amp;O26&amp;", "&amp;P26&amp;", "&amp;Q26)</f>
        <v/>
      </c>
    </row>
    <row r="27">
      <c r="A27" s="2" t="n">
        <v>9</v>
      </c>
      <c r="B27" s="2" t="inlineStr">
        <is>
          <t>Academic TA</t>
        </is>
      </c>
      <c r="C27" s="2" t="inlineStr">
        <is>
          <t>in person</t>
        </is>
      </c>
      <c r="D27" s="2">
        <f>IF(A27&lt;=Settings!$B$9,1,IF(A27&lt;=Settings!$B$11,2,"none"))</f>
        <v/>
      </c>
      <c r="E27" s="2">
        <f>IF(D27=1,Settings!$B$6+(A27-1)*Settings!$B$8,IF(D27=2,(A27-Settings!$B$9-1)*Settings!$B$8,""))</f>
        <v/>
      </c>
      <c r="F27" s="2">
        <f>IF(E27="","",E27+Settings!$B$3)</f>
        <v/>
      </c>
      <c r="G27" s="2">
        <f>(A27-1)*Settings!$B$12+2</f>
        <v/>
      </c>
      <c r="H27" s="2">
        <f>IF(D27="none","outside the day",IF(ISNUMBER(MATCH(G27,Seats!$H$2:$H$36,0)),INDEX(Seats!$D$2:$D$36,MATCH(G27,Seats!$H$2:$H$36,0)),"spare"))</f>
        <v/>
      </c>
      <c r="I27" s="2">
        <f>IF(LEFT(H27,1)="G",INDEX(Seats!$B$2:$B$36,MATCH(G27,Seats!$H$2:$H$36,0)),"")</f>
        <v/>
      </c>
      <c r="J27" s="2">
        <f>IF(I27="","",INDEX(Seats!$E$2:$E$36,MATCH(G27,Seats!$H$2:$H$36,0)))</f>
        <v/>
      </c>
      <c r="K27" s="2">
        <f>IF(I27="","",INDEX(Seats!$F$2:$F$36,MATCH(G27,Seats!$H$2:$H$36,0)))</f>
        <v/>
      </c>
      <c r="L27" s="2">
        <f>IF(I27="","",IF(COUNTIFS($A$2:$A$43,A27,$I$2:$I$43,I27)&gt;1,"yes","no"))</f>
        <v/>
      </c>
      <c r="M27" s="2">
        <f>IF(D27=1,F27,IF(D27=2,Settings!$B$5+F27,""))</f>
        <v/>
      </c>
      <c r="N27" s="2">
        <f>IF(I27="","",INDEX(Seats!$I$2:$I$36,MATCH(G27,Seats!$H$2:$H$36,0)))</f>
        <v/>
      </c>
      <c r="O27" s="2">
        <f>IF(I27="","",INDEX(Seats!$J$2:$J$36,MATCH(G27,Seats!$H$2:$H$36,0)))</f>
        <v/>
      </c>
      <c r="P27" s="2">
        <f>IF(I27="","",INDEX(Seats!$K$2:$K$36,MATCH(G27,Seats!$H$2:$H$36,0)))</f>
        <v/>
      </c>
      <c r="Q27" s="2">
        <f>IF(I27="","",INDEX(Seats!$L$2:$L$36,MATCH(G27,Seats!$H$2:$H$36,0)))</f>
        <v/>
      </c>
      <c r="R27" s="2">
        <f>IF(I27="",H27,H27&amp;", set "&amp;J27&amp;", "&amp;N27&amp;": "&amp;O27&amp;", "&amp;P27&amp;", "&amp;Q27)</f>
        <v/>
      </c>
    </row>
    <row r="28">
      <c r="A28" s="2" t="n">
        <v>9</v>
      </c>
      <c r="B28" s="2" t="inlineStr">
        <is>
          <t>Principal Advisor</t>
        </is>
      </c>
      <c r="C28" s="2" t="inlineStr">
        <is>
          <t>online</t>
        </is>
      </c>
      <c r="D28" s="2">
        <f>IF(A28&lt;=Settings!$B$9,1,IF(A28&lt;=Settings!$B$11,2,"none"))</f>
        <v/>
      </c>
      <c r="E28" s="2">
        <f>IF(D28=1,Settings!$B$6+(A28-1)*Settings!$B$8,IF(D28=2,(A28-Settings!$B$9-1)*Settings!$B$8,""))</f>
        <v/>
      </c>
      <c r="F28" s="2">
        <f>IF(E28="","",E28+Settings!$B$3)</f>
        <v/>
      </c>
      <c r="G28" s="2">
        <f>(A28-1)*Settings!$B$12+3</f>
        <v/>
      </c>
      <c r="H28" s="2">
        <f>IF(D28="none","outside the day",IF(ISNUMBER(MATCH(G28,Seats!$H$2:$H$36,0)),INDEX(Seats!$D$2:$D$36,MATCH(G28,Seats!$H$2:$H$36,0)),"spare"))</f>
        <v/>
      </c>
      <c r="I28" s="2">
        <f>IF(LEFT(H28,1)="G",INDEX(Seats!$B$2:$B$36,MATCH(G28,Seats!$H$2:$H$36,0)),"")</f>
        <v/>
      </c>
      <c r="J28" s="2">
        <f>IF(I28="","",INDEX(Seats!$E$2:$E$36,MATCH(G28,Seats!$H$2:$H$36,0)))</f>
        <v/>
      </c>
      <c r="K28" s="2">
        <f>IF(I28="","",INDEX(Seats!$F$2:$F$36,MATCH(G28,Seats!$H$2:$H$36,0)))</f>
        <v/>
      </c>
      <c r="L28" s="2">
        <f>IF(I28="","",IF(COUNTIFS($A$2:$A$43,A28,$I$2:$I$43,I28)&gt;1,"yes","no"))</f>
        <v/>
      </c>
      <c r="M28" s="2">
        <f>IF(D28=1,F28,IF(D28=2,Settings!$B$5+F28,""))</f>
        <v/>
      </c>
      <c r="N28" s="2">
        <f>IF(I28="","",INDEX(Seats!$I$2:$I$36,MATCH(G28,Seats!$H$2:$H$36,0)))</f>
        <v/>
      </c>
      <c r="O28" s="2">
        <f>IF(I28="","",INDEX(Seats!$J$2:$J$36,MATCH(G28,Seats!$H$2:$H$36,0)))</f>
        <v/>
      </c>
      <c r="P28" s="2">
        <f>IF(I28="","",INDEX(Seats!$K$2:$K$36,MATCH(G28,Seats!$H$2:$H$36,0)))</f>
        <v/>
      </c>
      <c r="Q28" s="2">
        <f>IF(I28="","",INDEX(Seats!$L$2:$L$36,MATCH(G28,Seats!$H$2:$H$36,0)))</f>
        <v/>
      </c>
      <c r="R28" s="2">
        <f>IF(I28="",H28,H28&amp;", set "&amp;J28&amp;", "&amp;N28&amp;": "&amp;O28&amp;", "&amp;P28&amp;", "&amp;Q28)</f>
        <v/>
      </c>
    </row>
    <row r="29">
      <c r="A29" s="2" t="n">
        <v>10</v>
      </c>
      <c r="B29" s="2" t="inlineStr">
        <is>
          <t>Programme Head</t>
        </is>
      </c>
      <c r="C29" s="2" t="inlineStr">
        <is>
          <t>in person</t>
        </is>
      </c>
      <c r="D29" s="2">
        <f>IF(A29&lt;=Settings!$B$9,1,IF(A29&lt;=Settings!$B$11,2,"none"))</f>
        <v/>
      </c>
      <c r="E29" s="2">
        <f>IF(D29=1,Settings!$B$6+(A29-1)*Settings!$B$8,IF(D29=2,(A29-Settings!$B$9-1)*Settings!$B$8,""))</f>
        <v/>
      </c>
      <c r="F29" s="2">
        <f>IF(E29="","",E29+Settings!$B$3)</f>
        <v/>
      </c>
      <c r="G29" s="2">
        <f>(A29-1)*Settings!$B$12+1</f>
        <v/>
      </c>
      <c r="H29" s="2">
        <f>IF(D29="none","outside the day",IF(ISNUMBER(MATCH(G29,Seats!$H$2:$H$36,0)),INDEX(Seats!$D$2:$D$36,MATCH(G29,Seats!$H$2:$H$36,0)),"spare"))</f>
        <v/>
      </c>
      <c r="I29" s="2">
        <f>IF(LEFT(H29,1)="G",INDEX(Seats!$B$2:$B$36,MATCH(G29,Seats!$H$2:$H$36,0)),"")</f>
        <v/>
      </c>
      <c r="J29" s="2">
        <f>IF(I29="","",INDEX(Seats!$E$2:$E$36,MATCH(G29,Seats!$H$2:$H$36,0)))</f>
        <v/>
      </c>
      <c r="K29" s="2">
        <f>IF(I29="","",INDEX(Seats!$F$2:$F$36,MATCH(G29,Seats!$H$2:$H$36,0)))</f>
        <v/>
      </c>
      <c r="L29" s="2">
        <f>IF(I29="","",IF(COUNTIFS($A$2:$A$43,A29,$I$2:$I$43,I29)&gt;1,"yes","no"))</f>
        <v/>
      </c>
      <c r="M29" s="2">
        <f>IF(D29=1,F29,IF(D29=2,Settings!$B$5+F29,""))</f>
        <v/>
      </c>
      <c r="N29" s="2">
        <f>IF(I29="","",INDEX(Seats!$I$2:$I$36,MATCH(G29,Seats!$H$2:$H$36,0)))</f>
        <v/>
      </c>
      <c r="O29" s="2">
        <f>IF(I29="","",INDEX(Seats!$J$2:$J$36,MATCH(G29,Seats!$H$2:$H$36,0)))</f>
        <v/>
      </c>
      <c r="P29" s="2">
        <f>IF(I29="","",INDEX(Seats!$K$2:$K$36,MATCH(G29,Seats!$H$2:$H$36,0)))</f>
        <v/>
      </c>
      <c r="Q29" s="2">
        <f>IF(I29="","",INDEX(Seats!$L$2:$L$36,MATCH(G29,Seats!$H$2:$H$36,0)))</f>
        <v/>
      </c>
      <c r="R29" s="2">
        <f>IF(I29="",H29,H29&amp;", set "&amp;J29&amp;", "&amp;N29&amp;": "&amp;O29&amp;", "&amp;P29&amp;", "&amp;Q29)</f>
        <v/>
      </c>
    </row>
    <row r="30">
      <c r="A30" s="2" t="n">
        <v>10</v>
      </c>
      <c r="B30" s="2" t="inlineStr">
        <is>
          <t>Academic TA</t>
        </is>
      </c>
      <c r="C30" s="2" t="inlineStr">
        <is>
          <t>in person</t>
        </is>
      </c>
      <c r="D30" s="2">
        <f>IF(A30&lt;=Settings!$B$9,1,IF(A30&lt;=Settings!$B$11,2,"none"))</f>
        <v/>
      </c>
      <c r="E30" s="2">
        <f>IF(D30=1,Settings!$B$6+(A30-1)*Settings!$B$8,IF(D30=2,(A30-Settings!$B$9-1)*Settings!$B$8,""))</f>
        <v/>
      </c>
      <c r="F30" s="2">
        <f>IF(E30="","",E30+Settings!$B$3)</f>
        <v/>
      </c>
      <c r="G30" s="2">
        <f>(A30-1)*Settings!$B$12+2</f>
        <v/>
      </c>
      <c r="H30" s="2">
        <f>IF(D30="none","outside the day",IF(ISNUMBER(MATCH(G30,Seats!$H$2:$H$36,0)),INDEX(Seats!$D$2:$D$36,MATCH(G30,Seats!$H$2:$H$36,0)),"spare"))</f>
        <v/>
      </c>
      <c r="I30" s="2">
        <f>IF(LEFT(H30,1)="G",INDEX(Seats!$B$2:$B$36,MATCH(G30,Seats!$H$2:$H$36,0)),"")</f>
        <v/>
      </c>
      <c r="J30" s="2">
        <f>IF(I30="","",INDEX(Seats!$E$2:$E$36,MATCH(G30,Seats!$H$2:$H$36,0)))</f>
        <v/>
      </c>
      <c r="K30" s="2">
        <f>IF(I30="","",INDEX(Seats!$F$2:$F$36,MATCH(G30,Seats!$H$2:$H$36,0)))</f>
        <v/>
      </c>
      <c r="L30" s="2">
        <f>IF(I30="","",IF(COUNTIFS($A$2:$A$43,A30,$I$2:$I$43,I30)&gt;1,"yes","no"))</f>
        <v/>
      </c>
      <c r="M30" s="2">
        <f>IF(D30=1,F30,IF(D30=2,Settings!$B$5+F30,""))</f>
        <v/>
      </c>
      <c r="N30" s="2">
        <f>IF(I30="","",INDEX(Seats!$I$2:$I$36,MATCH(G30,Seats!$H$2:$H$36,0)))</f>
        <v/>
      </c>
      <c r="O30" s="2">
        <f>IF(I30="","",INDEX(Seats!$J$2:$J$36,MATCH(G30,Seats!$H$2:$H$36,0)))</f>
        <v/>
      </c>
      <c r="P30" s="2">
        <f>IF(I30="","",INDEX(Seats!$K$2:$K$36,MATCH(G30,Seats!$H$2:$H$36,0)))</f>
        <v/>
      </c>
      <c r="Q30" s="2">
        <f>IF(I30="","",INDEX(Seats!$L$2:$L$36,MATCH(G30,Seats!$H$2:$H$36,0)))</f>
        <v/>
      </c>
      <c r="R30" s="2">
        <f>IF(I30="",H30,H30&amp;", set "&amp;J30&amp;", "&amp;N30&amp;": "&amp;O30&amp;", "&amp;P30&amp;", "&amp;Q30)</f>
        <v/>
      </c>
    </row>
    <row r="31">
      <c r="A31" s="2" t="n">
        <v>10</v>
      </c>
      <c r="B31" s="2" t="inlineStr">
        <is>
          <t>Principal Advisor</t>
        </is>
      </c>
      <c r="C31" s="2" t="inlineStr">
        <is>
          <t>online</t>
        </is>
      </c>
      <c r="D31" s="2">
        <f>IF(A31&lt;=Settings!$B$9,1,IF(A31&lt;=Settings!$B$11,2,"none"))</f>
        <v/>
      </c>
      <c r="E31" s="2">
        <f>IF(D31=1,Settings!$B$6+(A31-1)*Settings!$B$8,IF(D31=2,(A31-Settings!$B$9-1)*Settings!$B$8,""))</f>
        <v/>
      </c>
      <c r="F31" s="2">
        <f>IF(E31="","",E31+Settings!$B$3)</f>
        <v/>
      </c>
      <c r="G31" s="2">
        <f>(A31-1)*Settings!$B$12+3</f>
        <v/>
      </c>
      <c r="H31" s="2">
        <f>IF(D31="none","outside the day",IF(ISNUMBER(MATCH(G31,Seats!$H$2:$H$36,0)),INDEX(Seats!$D$2:$D$36,MATCH(G31,Seats!$H$2:$H$36,0)),"spare"))</f>
        <v/>
      </c>
      <c r="I31" s="2">
        <f>IF(LEFT(H31,1)="G",INDEX(Seats!$B$2:$B$36,MATCH(G31,Seats!$H$2:$H$36,0)),"")</f>
        <v/>
      </c>
      <c r="J31" s="2">
        <f>IF(I31="","",INDEX(Seats!$E$2:$E$36,MATCH(G31,Seats!$H$2:$H$36,0)))</f>
        <v/>
      </c>
      <c r="K31" s="2">
        <f>IF(I31="","",INDEX(Seats!$F$2:$F$36,MATCH(G31,Seats!$H$2:$H$36,0)))</f>
        <v/>
      </c>
      <c r="L31" s="2">
        <f>IF(I31="","",IF(COUNTIFS($A$2:$A$43,A31,$I$2:$I$43,I31)&gt;1,"yes","no"))</f>
        <v/>
      </c>
      <c r="M31" s="2">
        <f>IF(D31=1,F31,IF(D31=2,Settings!$B$5+F31,""))</f>
        <v/>
      </c>
      <c r="N31" s="2">
        <f>IF(I31="","",INDEX(Seats!$I$2:$I$36,MATCH(G31,Seats!$H$2:$H$36,0)))</f>
        <v/>
      </c>
      <c r="O31" s="2">
        <f>IF(I31="","",INDEX(Seats!$J$2:$J$36,MATCH(G31,Seats!$H$2:$H$36,0)))</f>
        <v/>
      </c>
      <c r="P31" s="2">
        <f>IF(I31="","",INDEX(Seats!$K$2:$K$36,MATCH(G31,Seats!$H$2:$H$36,0)))</f>
        <v/>
      </c>
      <c r="Q31" s="2">
        <f>IF(I31="","",INDEX(Seats!$L$2:$L$36,MATCH(G31,Seats!$H$2:$H$36,0)))</f>
        <v/>
      </c>
      <c r="R31" s="2">
        <f>IF(I31="",H31,H31&amp;", set "&amp;J31&amp;", "&amp;N31&amp;": "&amp;O31&amp;", "&amp;P31&amp;", "&amp;Q31)</f>
        <v/>
      </c>
    </row>
    <row r="32">
      <c r="A32" s="2" t="n">
        <v>11</v>
      </c>
      <c r="B32" s="2" t="inlineStr">
        <is>
          <t>Programme Head</t>
        </is>
      </c>
      <c r="C32" s="2" t="inlineStr">
        <is>
          <t>in person</t>
        </is>
      </c>
      <c r="D32" s="2">
        <f>IF(A32&lt;=Settings!$B$9,1,IF(A32&lt;=Settings!$B$11,2,"none"))</f>
        <v/>
      </c>
      <c r="E32" s="2">
        <f>IF(D32=1,Settings!$B$6+(A32-1)*Settings!$B$8,IF(D32=2,(A32-Settings!$B$9-1)*Settings!$B$8,""))</f>
        <v/>
      </c>
      <c r="F32" s="2">
        <f>IF(E32="","",E32+Settings!$B$3)</f>
        <v/>
      </c>
      <c r="G32" s="2">
        <f>(A32-1)*Settings!$B$12+1</f>
        <v/>
      </c>
      <c r="H32" s="2">
        <f>IF(D32="none","outside the day",IF(ISNUMBER(MATCH(G32,Seats!$H$2:$H$36,0)),INDEX(Seats!$D$2:$D$36,MATCH(G32,Seats!$H$2:$H$36,0)),"spare"))</f>
        <v/>
      </c>
      <c r="I32" s="2">
        <f>IF(LEFT(H32,1)="G",INDEX(Seats!$B$2:$B$36,MATCH(G32,Seats!$H$2:$H$36,0)),"")</f>
        <v/>
      </c>
      <c r="J32" s="2">
        <f>IF(I32="","",INDEX(Seats!$E$2:$E$36,MATCH(G32,Seats!$H$2:$H$36,0)))</f>
        <v/>
      </c>
      <c r="K32" s="2">
        <f>IF(I32="","",INDEX(Seats!$F$2:$F$36,MATCH(G32,Seats!$H$2:$H$36,0)))</f>
        <v/>
      </c>
      <c r="L32" s="2">
        <f>IF(I32="","",IF(COUNTIFS($A$2:$A$43,A32,$I$2:$I$43,I32)&gt;1,"yes","no"))</f>
        <v/>
      </c>
      <c r="M32" s="2">
        <f>IF(D32=1,F32,IF(D32=2,Settings!$B$5+F32,""))</f>
        <v/>
      </c>
      <c r="N32" s="2">
        <f>IF(I32="","",INDEX(Seats!$I$2:$I$36,MATCH(G32,Seats!$H$2:$H$36,0)))</f>
        <v/>
      </c>
      <c r="O32" s="2">
        <f>IF(I32="","",INDEX(Seats!$J$2:$J$36,MATCH(G32,Seats!$H$2:$H$36,0)))</f>
        <v/>
      </c>
      <c r="P32" s="2">
        <f>IF(I32="","",INDEX(Seats!$K$2:$K$36,MATCH(G32,Seats!$H$2:$H$36,0)))</f>
        <v/>
      </c>
      <c r="Q32" s="2">
        <f>IF(I32="","",INDEX(Seats!$L$2:$L$36,MATCH(G32,Seats!$H$2:$H$36,0)))</f>
        <v/>
      </c>
      <c r="R32" s="2">
        <f>IF(I32="",H32,H32&amp;", set "&amp;J32&amp;", "&amp;N32&amp;": "&amp;O32&amp;", "&amp;P32&amp;", "&amp;Q32)</f>
        <v/>
      </c>
    </row>
    <row r="33">
      <c r="A33" s="2" t="n">
        <v>11</v>
      </c>
      <c r="B33" s="2" t="inlineStr">
        <is>
          <t>Academic TA</t>
        </is>
      </c>
      <c r="C33" s="2" t="inlineStr">
        <is>
          <t>in person</t>
        </is>
      </c>
      <c r="D33" s="2">
        <f>IF(A33&lt;=Settings!$B$9,1,IF(A33&lt;=Settings!$B$11,2,"none"))</f>
        <v/>
      </c>
      <c r="E33" s="2">
        <f>IF(D33=1,Settings!$B$6+(A33-1)*Settings!$B$8,IF(D33=2,(A33-Settings!$B$9-1)*Settings!$B$8,""))</f>
        <v/>
      </c>
      <c r="F33" s="2">
        <f>IF(E33="","",E33+Settings!$B$3)</f>
        <v/>
      </c>
      <c r="G33" s="2">
        <f>(A33-1)*Settings!$B$12+2</f>
        <v/>
      </c>
      <c r="H33" s="2">
        <f>IF(D33="none","outside the day",IF(ISNUMBER(MATCH(G33,Seats!$H$2:$H$36,0)),INDEX(Seats!$D$2:$D$36,MATCH(G33,Seats!$H$2:$H$36,0)),"spare"))</f>
        <v/>
      </c>
      <c r="I33" s="2">
        <f>IF(LEFT(H33,1)="G",INDEX(Seats!$B$2:$B$36,MATCH(G33,Seats!$H$2:$H$36,0)),"")</f>
        <v/>
      </c>
      <c r="J33" s="2">
        <f>IF(I33="","",INDEX(Seats!$E$2:$E$36,MATCH(G33,Seats!$H$2:$H$36,0)))</f>
        <v/>
      </c>
      <c r="K33" s="2">
        <f>IF(I33="","",INDEX(Seats!$F$2:$F$36,MATCH(G33,Seats!$H$2:$H$36,0)))</f>
        <v/>
      </c>
      <c r="L33" s="2">
        <f>IF(I33="","",IF(COUNTIFS($A$2:$A$43,A33,$I$2:$I$43,I33)&gt;1,"yes","no"))</f>
        <v/>
      </c>
      <c r="M33" s="2">
        <f>IF(D33=1,F33,IF(D33=2,Settings!$B$5+F33,""))</f>
        <v/>
      </c>
      <c r="N33" s="2">
        <f>IF(I33="","",INDEX(Seats!$I$2:$I$36,MATCH(G33,Seats!$H$2:$H$36,0)))</f>
        <v/>
      </c>
      <c r="O33" s="2">
        <f>IF(I33="","",INDEX(Seats!$J$2:$J$36,MATCH(G33,Seats!$H$2:$H$36,0)))</f>
        <v/>
      </c>
      <c r="P33" s="2">
        <f>IF(I33="","",INDEX(Seats!$K$2:$K$36,MATCH(G33,Seats!$H$2:$H$36,0)))</f>
        <v/>
      </c>
      <c r="Q33" s="2">
        <f>IF(I33="","",INDEX(Seats!$L$2:$L$36,MATCH(G33,Seats!$H$2:$H$36,0)))</f>
        <v/>
      </c>
      <c r="R33" s="2">
        <f>IF(I33="",H33,H33&amp;", set "&amp;J33&amp;", "&amp;N33&amp;": "&amp;O33&amp;", "&amp;P33&amp;", "&amp;Q33)</f>
        <v/>
      </c>
    </row>
    <row r="34">
      <c r="A34" s="2" t="n">
        <v>11</v>
      </c>
      <c r="B34" s="2" t="inlineStr">
        <is>
          <t>Principal Advisor</t>
        </is>
      </c>
      <c r="C34" s="2" t="inlineStr">
        <is>
          <t>online</t>
        </is>
      </c>
      <c r="D34" s="2">
        <f>IF(A34&lt;=Settings!$B$9,1,IF(A34&lt;=Settings!$B$11,2,"none"))</f>
        <v/>
      </c>
      <c r="E34" s="2">
        <f>IF(D34=1,Settings!$B$6+(A34-1)*Settings!$B$8,IF(D34=2,(A34-Settings!$B$9-1)*Settings!$B$8,""))</f>
        <v/>
      </c>
      <c r="F34" s="2">
        <f>IF(E34="","",E34+Settings!$B$3)</f>
        <v/>
      </c>
      <c r="G34" s="2">
        <f>(A34-1)*Settings!$B$12+3</f>
        <v/>
      </c>
      <c r="H34" s="2">
        <f>IF(D34="none","outside the day",IF(ISNUMBER(MATCH(G34,Seats!$H$2:$H$36,0)),INDEX(Seats!$D$2:$D$36,MATCH(G34,Seats!$H$2:$H$36,0)),"spare"))</f>
        <v/>
      </c>
      <c r="I34" s="2">
        <f>IF(LEFT(H34,1)="G",INDEX(Seats!$B$2:$B$36,MATCH(G34,Seats!$H$2:$H$36,0)),"")</f>
        <v/>
      </c>
      <c r="J34" s="2">
        <f>IF(I34="","",INDEX(Seats!$E$2:$E$36,MATCH(G34,Seats!$H$2:$H$36,0)))</f>
        <v/>
      </c>
      <c r="K34" s="2">
        <f>IF(I34="","",INDEX(Seats!$F$2:$F$36,MATCH(G34,Seats!$H$2:$H$36,0)))</f>
        <v/>
      </c>
      <c r="L34" s="2">
        <f>IF(I34="","",IF(COUNTIFS($A$2:$A$43,A34,$I$2:$I$43,I34)&gt;1,"yes","no"))</f>
        <v/>
      </c>
      <c r="M34" s="2">
        <f>IF(D34=1,F34,IF(D34=2,Settings!$B$5+F34,""))</f>
        <v/>
      </c>
      <c r="N34" s="2">
        <f>IF(I34="","",INDEX(Seats!$I$2:$I$36,MATCH(G34,Seats!$H$2:$H$36,0)))</f>
        <v/>
      </c>
      <c r="O34" s="2">
        <f>IF(I34="","",INDEX(Seats!$J$2:$J$36,MATCH(G34,Seats!$H$2:$H$36,0)))</f>
        <v/>
      </c>
      <c r="P34" s="2">
        <f>IF(I34="","",INDEX(Seats!$K$2:$K$36,MATCH(G34,Seats!$H$2:$H$36,0)))</f>
        <v/>
      </c>
      <c r="Q34" s="2">
        <f>IF(I34="","",INDEX(Seats!$L$2:$L$36,MATCH(G34,Seats!$H$2:$H$36,0)))</f>
        <v/>
      </c>
      <c r="R34" s="2">
        <f>IF(I34="",H34,H34&amp;", set "&amp;J34&amp;", "&amp;N34&amp;": "&amp;O34&amp;", "&amp;P34&amp;", "&amp;Q34)</f>
        <v/>
      </c>
    </row>
    <row r="35">
      <c r="A35" s="2" t="n">
        <v>12</v>
      </c>
      <c r="B35" s="2" t="inlineStr">
        <is>
          <t>Programme Head</t>
        </is>
      </c>
      <c r="C35" s="2" t="inlineStr">
        <is>
          <t>in person</t>
        </is>
      </c>
      <c r="D35" s="2">
        <f>IF(A35&lt;=Settings!$B$9,1,IF(A35&lt;=Settings!$B$11,2,"none"))</f>
        <v/>
      </c>
      <c r="E35" s="2">
        <f>IF(D35=1,Settings!$B$6+(A35-1)*Settings!$B$8,IF(D35=2,(A35-Settings!$B$9-1)*Settings!$B$8,""))</f>
        <v/>
      </c>
      <c r="F35" s="2">
        <f>IF(E35="","",E35+Settings!$B$3)</f>
        <v/>
      </c>
      <c r="G35" s="2">
        <f>(A35-1)*Settings!$B$12+1</f>
        <v/>
      </c>
      <c r="H35" s="2">
        <f>IF(D35="none","outside the day",IF(ISNUMBER(MATCH(G35,Seats!$H$2:$H$36,0)),INDEX(Seats!$D$2:$D$36,MATCH(G35,Seats!$H$2:$H$36,0)),"spare"))</f>
        <v/>
      </c>
      <c r="I35" s="2">
        <f>IF(LEFT(H35,1)="G",INDEX(Seats!$B$2:$B$36,MATCH(G35,Seats!$H$2:$H$36,0)),"")</f>
        <v/>
      </c>
      <c r="J35" s="2">
        <f>IF(I35="","",INDEX(Seats!$E$2:$E$36,MATCH(G35,Seats!$H$2:$H$36,0)))</f>
        <v/>
      </c>
      <c r="K35" s="2">
        <f>IF(I35="","",INDEX(Seats!$F$2:$F$36,MATCH(G35,Seats!$H$2:$H$36,0)))</f>
        <v/>
      </c>
      <c r="L35" s="2">
        <f>IF(I35="","",IF(COUNTIFS($A$2:$A$43,A35,$I$2:$I$43,I35)&gt;1,"yes","no"))</f>
        <v/>
      </c>
      <c r="M35" s="2">
        <f>IF(D35=1,F35,IF(D35=2,Settings!$B$5+F35,""))</f>
        <v/>
      </c>
      <c r="N35" s="2">
        <f>IF(I35="","",INDEX(Seats!$I$2:$I$36,MATCH(G35,Seats!$H$2:$H$36,0)))</f>
        <v/>
      </c>
      <c r="O35" s="2">
        <f>IF(I35="","",INDEX(Seats!$J$2:$J$36,MATCH(G35,Seats!$H$2:$H$36,0)))</f>
        <v/>
      </c>
      <c r="P35" s="2">
        <f>IF(I35="","",INDEX(Seats!$K$2:$K$36,MATCH(G35,Seats!$H$2:$H$36,0)))</f>
        <v/>
      </c>
      <c r="Q35" s="2">
        <f>IF(I35="","",INDEX(Seats!$L$2:$L$36,MATCH(G35,Seats!$H$2:$H$36,0)))</f>
        <v/>
      </c>
      <c r="R35" s="2">
        <f>IF(I35="",H35,H35&amp;", set "&amp;J35&amp;", "&amp;N35&amp;": "&amp;O35&amp;", "&amp;P35&amp;", "&amp;Q35)</f>
        <v/>
      </c>
    </row>
    <row r="36">
      <c r="A36" s="2" t="n">
        <v>12</v>
      </c>
      <c r="B36" s="2" t="inlineStr">
        <is>
          <t>Academic TA</t>
        </is>
      </c>
      <c r="C36" s="2" t="inlineStr">
        <is>
          <t>in person</t>
        </is>
      </c>
      <c r="D36" s="2">
        <f>IF(A36&lt;=Settings!$B$9,1,IF(A36&lt;=Settings!$B$11,2,"none"))</f>
        <v/>
      </c>
      <c r="E36" s="2">
        <f>IF(D36=1,Settings!$B$6+(A36-1)*Settings!$B$8,IF(D36=2,(A36-Settings!$B$9-1)*Settings!$B$8,""))</f>
        <v/>
      </c>
      <c r="F36" s="2">
        <f>IF(E36="","",E36+Settings!$B$3)</f>
        <v/>
      </c>
      <c r="G36" s="2">
        <f>(A36-1)*Settings!$B$12+2</f>
        <v/>
      </c>
      <c r="H36" s="2">
        <f>IF(D36="none","outside the day",IF(ISNUMBER(MATCH(G36,Seats!$H$2:$H$36,0)),INDEX(Seats!$D$2:$D$36,MATCH(G36,Seats!$H$2:$H$36,0)),"spare"))</f>
        <v/>
      </c>
      <c r="I36" s="2">
        <f>IF(LEFT(H36,1)="G",INDEX(Seats!$B$2:$B$36,MATCH(G36,Seats!$H$2:$H$36,0)),"")</f>
        <v/>
      </c>
      <c r="J36" s="2">
        <f>IF(I36="","",INDEX(Seats!$E$2:$E$36,MATCH(G36,Seats!$H$2:$H$36,0)))</f>
        <v/>
      </c>
      <c r="K36" s="2">
        <f>IF(I36="","",INDEX(Seats!$F$2:$F$36,MATCH(G36,Seats!$H$2:$H$36,0)))</f>
        <v/>
      </c>
      <c r="L36" s="2">
        <f>IF(I36="","",IF(COUNTIFS($A$2:$A$43,A36,$I$2:$I$43,I36)&gt;1,"yes","no"))</f>
        <v/>
      </c>
      <c r="M36" s="2">
        <f>IF(D36=1,F36,IF(D36=2,Settings!$B$5+F36,""))</f>
        <v/>
      </c>
      <c r="N36" s="2">
        <f>IF(I36="","",INDEX(Seats!$I$2:$I$36,MATCH(G36,Seats!$H$2:$H$36,0)))</f>
        <v/>
      </c>
      <c r="O36" s="2">
        <f>IF(I36="","",INDEX(Seats!$J$2:$J$36,MATCH(G36,Seats!$H$2:$H$36,0)))</f>
        <v/>
      </c>
      <c r="P36" s="2">
        <f>IF(I36="","",INDEX(Seats!$K$2:$K$36,MATCH(G36,Seats!$H$2:$H$36,0)))</f>
        <v/>
      </c>
      <c r="Q36" s="2">
        <f>IF(I36="","",INDEX(Seats!$L$2:$L$36,MATCH(G36,Seats!$H$2:$H$36,0)))</f>
        <v/>
      </c>
      <c r="R36" s="2">
        <f>IF(I36="",H36,H36&amp;", set "&amp;J36&amp;", "&amp;N36&amp;": "&amp;O36&amp;", "&amp;P36&amp;", "&amp;Q36)</f>
        <v/>
      </c>
    </row>
    <row r="37">
      <c r="A37" s="2" t="n">
        <v>12</v>
      </c>
      <c r="B37" s="2" t="inlineStr">
        <is>
          <t>Principal Advisor</t>
        </is>
      </c>
      <c r="C37" s="2" t="inlineStr">
        <is>
          <t>online</t>
        </is>
      </c>
      <c r="D37" s="2">
        <f>IF(A37&lt;=Settings!$B$9,1,IF(A37&lt;=Settings!$B$11,2,"none"))</f>
        <v/>
      </c>
      <c r="E37" s="2">
        <f>IF(D37=1,Settings!$B$6+(A37-1)*Settings!$B$8,IF(D37=2,(A37-Settings!$B$9-1)*Settings!$B$8,""))</f>
        <v/>
      </c>
      <c r="F37" s="2">
        <f>IF(E37="","",E37+Settings!$B$3)</f>
        <v/>
      </c>
      <c r="G37" s="2">
        <f>(A37-1)*Settings!$B$12+3</f>
        <v/>
      </c>
      <c r="H37" s="2">
        <f>IF(D37="none","outside the day",IF(ISNUMBER(MATCH(G37,Seats!$H$2:$H$36,0)),INDEX(Seats!$D$2:$D$36,MATCH(G37,Seats!$H$2:$H$36,0)),"spare"))</f>
        <v/>
      </c>
      <c r="I37" s="2">
        <f>IF(LEFT(H37,1)="G",INDEX(Seats!$B$2:$B$36,MATCH(G37,Seats!$H$2:$H$36,0)),"")</f>
        <v/>
      </c>
      <c r="J37" s="2">
        <f>IF(I37="","",INDEX(Seats!$E$2:$E$36,MATCH(G37,Seats!$H$2:$H$36,0)))</f>
        <v/>
      </c>
      <c r="K37" s="2">
        <f>IF(I37="","",INDEX(Seats!$F$2:$F$36,MATCH(G37,Seats!$H$2:$H$36,0)))</f>
        <v/>
      </c>
      <c r="L37" s="2">
        <f>IF(I37="","",IF(COUNTIFS($A$2:$A$43,A37,$I$2:$I$43,I37)&gt;1,"yes","no"))</f>
        <v/>
      </c>
      <c r="M37" s="2">
        <f>IF(D37=1,F37,IF(D37=2,Settings!$B$5+F37,""))</f>
        <v/>
      </c>
      <c r="N37" s="2">
        <f>IF(I37="","",INDEX(Seats!$I$2:$I$36,MATCH(G37,Seats!$H$2:$H$36,0)))</f>
        <v/>
      </c>
      <c r="O37" s="2">
        <f>IF(I37="","",INDEX(Seats!$J$2:$J$36,MATCH(G37,Seats!$H$2:$H$36,0)))</f>
        <v/>
      </c>
      <c r="P37" s="2">
        <f>IF(I37="","",INDEX(Seats!$K$2:$K$36,MATCH(G37,Seats!$H$2:$H$36,0)))</f>
        <v/>
      </c>
      <c r="Q37" s="2">
        <f>IF(I37="","",INDEX(Seats!$L$2:$L$36,MATCH(G37,Seats!$H$2:$H$36,0)))</f>
        <v/>
      </c>
      <c r="R37" s="2">
        <f>IF(I37="",H37,H37&amp;", set "&amp;J37&amp;", "&amp;N37&amp;": "&amp;O37&amp;", "&amp;P37&amp;", "&amp;Q37)</f>
        <v/>
      </c>
    </row>
    <row r="38">
      <c r="A38" s="2" t="n">
        <v>13</v>
      </c>
      <c r="B38" s="2" t="inlineStr">
        <is>
          <t>Programme Head</t>
        </is>
      </c>
      <c r="C38" s="2" t="inlineStr">
        <is>
          <t>in person</t>
        </is>
      </c>
      <c r="D38" s="2">
        <f>IF(A38&lt;=Settings!$B$9,1,IF(A38&lt;=Settings!$B$11,2,"none"))</f>
        <v/>
      </c>
      <c r="E38" s="2">
        <f>IF(D38=1,Settings!$B$6+(A38-1)*Settings!$B$8,IF(D38=2,(A38-Settings!$B$9-1)*Settings!$B$8,""))</f>
        <v/>
      </c>
      <c r="F38" s="2">
        <f>IF(E38="","",E38+Settings!$B$3)</f>
        <v/>
      </c>
      <c r="G38" s="2">
        <f>(A38-1)*Settings!$B$12+1</f>
        <v/>
      </c>
      <c r="H38" s="2">
        <f>IF(D38="none","outside the day",IF(ISNUMBER(MATCH(G38,Seats!$H$2:$H$36,0)),INDEX(Seats!$D$2:$D$36,MATCH(G38,Seats!$H$2:$H$36,0)),"spare"))</f>
        <v/>
      </c>
      <c r="I38" s="2">
        <f>IF(LEFT(H38,1)="G",INDEX(Seats!$B$2:$B$36,MATCH(G38,Seats!$H$2:$H$36,0)),"")</f>
        <v/>
      </c>
      <c r="J38" s="2">
        <f>IF(I38="","",INDEX(Seats!$E$2:$E$36,MATCH(G38,Seats!$H$2:$H$36,0)))</f>
        <v/>
      </c>
      <c r="K38" s="2">
        <f>IF(I38="","",INDEX(Seats!$F$2:$F$36,MATCH(G38,Seats!$H$2:$H$36,0)))</f>
        <v/>
      </c>
      <c r="L38" s="2">
        <f>IF(I38="","",IF(COUNTIFS($A$2:$A$43,A38,$I$2:$I$43,I38)&gt;1,"yes","no"))</f>
        <v/>
      </c>
      <c r="M38" s="2">
        <f>IF(D38=1,F38,IF(D38=2,Settings!$B$5+F38,""))</f>
        <v/>
      </c>
      <c r="N38" s="2">
        <f>IF(I38="","",INDEX(Seats!$I$2:$I$36,MATCH(G38,Seats!$H$2:$H$36,0)))</f>
        <v/>
      </c>
      <c r="O38" s="2">
        <f>IF(I38="","",INDEX(Seats!$J$2:$J$36,MATCH(G38,Seats!$H$2:$H$36,0)))</f>
        <v/>
      </c>
      <c r="P38" s="2">
        <f>IF(I38="","",INDEX(Seats!$K$2:$K$36,MATCH(G38,Seats!$H$2:$H$36,0)))</f>
        <v/>
      </c>
      <c r="Q38" s="2">
        <f>IF(I38="","",INDEX(Seats!$L$2:$L$36,MATCH(G38,Seats!$H$2:$H$36,0)))</f>
        <v/>
      </c>
      <c r="R38" s="2">
        <f>IF(I38="",H38,H38&amp;", set "&amp;J38&amp;", "&amp;N38&amp;": "&amp;O38&amp;", "&amp;P38&amp;", "&amp;Q38)</f>
        <v/>
      </c>
    </row>
    <row r="39">
      <c r="A39" s="2" t="n">
        <v>13</v>
      </c>
      <c r="B39" s="2" t="inlineStr">
        <is>
          <t>Academic TA</t>
        </is>
      </c>
      <c r="C39" s="2" t="inlineStr">
        <is>
          <t>in person</t>
        </is>
      </c>
      <c r="D39" s="2">
        <f>IF(A39&lt;=Settings!$B$9,1,IF(A39&lt;=Settings!$B$11,2,"none"))</f>
        <v/>
      </c>
      <c r="E39" s="2">
        <f>IF(D39=1,Settings!$B$6+(A39-1)*Settings!$B$8,IF(D39=2,(A39-Settings!$B$9-1)*Settings!$B$8,""))</f>
        <v/>
      </c>
      <c r="F39" s="2">
        <f>IF(E39="","",E39+Settings!$B$3)</f>
        <v/>
      </c>
      <c r="G39" s="2">
        <f>(A39-1)*Settings!$B$12+2</f>
        <v/>
      </c>
      <c r="H39" s="2">
        <f>IF(D39="none","outside the day",IF(ISNUMBER(MATCH(G39,Seats!$H$2:$H$36,0)),INDEX(Seats!$D$2:$D$36,MATCH(G39,Seats!$H$2:$H$36,0)),"spare"))</f>
        <v/>
      </c>
      <c r="I39" s="2">
        <f>IF(LEFT(H39,1)="G",INDEX(Seats!$B$2:$B$36,MATCH(G39,Seats!$H$2:$H$36,0)),"")</f>
        <v/>
      </c>
      <c r="J39" s="2">
        <f>IF(I39="","",INDEX(Seats!$E$2:$E$36,MATCH(G39,Seats!$H$2:$H$36,0)))</f>
        <v/>
      </c>
      <c r="K39" s="2">
        <f>IF(I39="","",INDEX(Seats!$F$2:$F$36,MATCH(G39,Seats!$H$2:$H$36,0)))</f>
        <v/>
      </c>
      <c r="L39" s="2">
        <f>IF(I39="","",IF(COUNTIFS($A$2:$A$43,A39,$I$2:$I$43,I39)&gt;1,"yes","no"))</f>
        <v/>
      </c>
      <c r="M39" s="2">
        <f>IF(D39=1,F39,IF(D39=2,Settings!$B$5+F39,""))</f>
        <v/>
      </c>
      <c r="N39" s="2">
        <f>IF(I39="","",INDEX(Seats!$I$2:$I$36,MATCH(G39,Seats!$H$2:$H$36,0)))</f>
        <v/>
      </c>
      <c r="O39" s="2">
        <f>IF(I39="","",INDEX(Seats!$J$2:$J$36,MATCH(G39,Seats!$H$2:$H$36,0)))</f>
        <v/>
      </c>
      <c r="P39" s="2">
        <f>IF(I39="","",INDEX(Seats!$K$2:$K$36,MATCH(G39,Seats!$H$2:$H$36,0)))</f>
        <v/>
      </c>
      <c r="Q39" s="2">
        <f>IF(I39="","",INDEX(Seats!$L$2:$L$36,MATCH(G39,Seats!$H$2:$H$36,0)))</f>
        <v/>
      </c>
      <c r="R39" s="2">
        <f>IF(I39="",H39,H39&amp;", set "&amp;J39&amp;", "&amp;N39&amp;": "&amp;O39&amp;", "&amp;P39&amp;", "&amp;Q39)</f>
        <v/>
      </c>
    </row>
    <row r="40">
      <c r="A40" s="2" t="n">
        <v>13</v>
      </c>
      <c r="B40" s="2" t="inlineStr">
        <is>
          <t>Principal Advisor</t>
        </is>
      </c>
      <c r="C40" s="2" t="inlineStr">
        <is>
          <t>online</t>
        </is>
      </c>
      <c r="D40" s="2">
        <f>IF(A40&lt;=Settings!$B$9,1,IF(A40&lt;=Settings!$B$11,2,"none"))</f>
        <v/>
      </c>
      <c r="E40" s="2">
        <f>IF(D40=1,Settings!$B$6+(A40-1)*Settings!$B$8,IF(D40=2,(A40-Settings!$B$9-1)*Settings!$B$8,""))</f>
        <v/>
      </c>
      <c r="F40" s="2">
        <f>IF(E40="","",E40+Settings!$B$3)</f>
        <v/>
      </c>
      <c r="G40" s="2">
        <f>(A40-1)*Settings!$B$12+3</f>
        <v/>
      </c>
      <c r="H40" s="2">
        <f>IF(D40="none","outside the day",IF(ISNUMBER(MATCH(G40,Seats!$H$2:$H$36,0)),INDEX(Seats!$D$2:$D$36,MATCH(G40,Seats!$H$2:$H$36,0)),"spare"))</f>
        <v/>
      </c>
      <c r="I40" s="2">
        <f>IF(LEFT(H40,1)="G",INDEX(Seats!$B$2:$B$36,MATCH(G40,Seats!$H$2:$H$36,0)),"")</f>
        <v/>
      </c>
      <c r="J40" s="2">
        <f>IF(I40="","",INDEX(Seats!$E$2:$E$36,MATCH(G40,Seats!$H$2:$H$36,0)))</f>
        <v/>
      </c>
      <c r="K40" s="2">
        <f>IF(I40="","",INDEX(Seats!$F$2:$F$36,MATCH(G40,Seats!$H$2:$H$36,0)))</f>
        <v/>
      </c>
      <c r="L40" s="2">
        <f>IF(I40="","",IF(COUNTIFS($A$2:$A$43,A40,$I$2:$I$43,I40)&gt;1,"yes","no"))</f>
        <v/>
      </c>
      <c r="M40" s="2">
        <f>IF(D40=1,F40,IF(D40=2,Settings!$B$5+F40,""))</f>
        <v/>
      </c>
      <c r="N40" s="2">
        <f>IF(I40="","",INDEX(Seats!$I$2:$I$36,MATCH(G40,Seats!$H$2:$H$36,0)))</f>
        <v/>
      </c>
      <c r="O40" s="2">
        <f>IF(I40="","",INDEX(Seats!$J$2:$J$36,MATCH(G40,Seats!$H$2:$H$36,0)))</f>
        <v/>
      </c>
      <c r="P40" s="2">
        <f>IF(I40="","",INDEX(Seats!$K$2:$K$36,MATCH(G40,Seats!$H$2:$H$36,0)))</f>
        <v/>
      </c>
      <c r="Q40" s="2">
        <f>IF(I40="","",INDEX(Seats!$L$2:$L$36,MATCH(G40,Seats!$H$2:$H$36,0)))</f>
        <v/>
      </c>
      <c r="R40" s="2">
        <f>IF(I40="",H40,H40&amp;", set "&amp;J40&amp;", "&amp;N40&amp;": "&amp;O40&amp;", "&amp;P40&amp;", "&amp;Q40)</f>
        <v/>
      </c>
    </row>
    <row r="41">
      <c r="A41" s="2" t="n">
        <v>14</v>
      </c>
      <c r="B41" s="2" t="inlineStr">
        <is>
          <t>Programme Head</t>
        </is>
      </c>
      <c r="C41" s="2" t="inlineStr">
        <is>
          <t>in person</t>
        </is>
      </c>
      <c r="D41" s="2">
        <f>IF(A41&lt;=Settings!$B$9,1,IF(A41&lt;=Settings!$B$11,2,"none"))</f>
        <v/>
      </c>
      <c r="E41" s="2">
        <f>IF(D41=1,Settings!$B$6+(A41-1)*Settings!$B$8,IF(D41=2,(A41-Settings!$B$9-1)*Settings!$B$8,""))</f>
        <v/>
      </c>
      <c r="F41" s="2">
        <f>IF(E41="","",E41+Settings!$B$3)</f>
        <v/>
      </c>
      <c r="G41" s="2">
        <f>(A41-1)*Settings!$B$12+1</f>
        <v/>
      </c>
      <c r="H41" s="2">
        <f>IF(D41="none","outside the day",IF(ISNUMBER(MATCH(G41,Seats!$H$2:$H$36,0)),INDEX(Seats!$D$2:$D$36,MATCH(G41,Seats!$H$2:$H$36,0)),"spare"))</f>
        <v/>
      </c>
      <c r="I41" s="2">
        <f>IF(LEFT(H41,1)="G",INDEX(Seats!$B$2:$B$36,MATCH(G41,Seats!$H$2:$H$36,0)),"")</f>
        <v/>
      </c>
      <c r="J41" s="2">
        <f>IF(I41="","",INDEX(Seats!$E$2:$E$36,MATCH(G41,Seats!$H$2:$H$36,0)))</f>
        <v/>
      </c>
      <c r="K41" s="2">
        <f>IF(I41="","",INDEX(Seats!$F$2:$F$36,MATCH(G41,Seats!$H$2:$H$36,0)))</f>
        <v/>
      </c>
      <c r="L41" s="2">
        <f>IF(I41="","",IF(COUNTIFS($A$2:$A$43,A41,$I$2:$I$43,I41)&gt;1,"yes","no"))</f>
        <v/>
      </c>
      <c r="M41" s="2">
        <f>IF(D41=1,F41,IF(D41=2,Settings!$B$5+F41,""))</f>
        <v/>
      </c>
      <c r="N41" s="2">
        <f>IF(I41="","",INDEX(Seats!$I$2:$I$36,MATCH(G41,Seats!$H$2:$H$36,0)))</f>
        <v/>
      </c>
      <c r="O41" s="2">
        <f>IF(I41="","",INDEX(Seats!$J$2:$J$36,MATCH(G41,Seats!$H$2:$H$36,0)))</f>
        <v/>
      </c>
      <c r="P41" s="2">
        <f>IF(I41="","",INDEX(Seats!$K$2:$K$36,MATCH(G41,Seats!$H$2:$H$36,0)))</f>
        <v/>
      </c>
      <c r="Q41" s="2">
        <f>IF(I41="","",INDEX(Seats!$L$2:$L$36,MATCH(G41,Seats!$H$2:$H$36,0)))</f>
        <v/>
      </c>
      <c r="R41" s="2">
        <f>IF(I41="",H41,H41&amp;", set "&amp;J41&amp;", "&amp;N41&amp;": "&amp;O41&amp;", "&amp;P41&amp;", "&amp;Q41)</f>
        <v/>
      </c>
    </row>
    <row r="42">
      <c r="A42" s="2" t="n">
        <v>14</v>
      </c>
      <c r="B42" s="2" t="inlineStr">
        <is>
          <t>Academic TA</t>
        </is>
      </c>
      <c r="C42" s="2" t="inlineStr">
        <is>
          <t>in person</t>
        </is>
      </c>
      <c r="D42" s="2">
        <f>IF(A42&lt;=Settings!$B$9,1,IF(A42&lt;=Settings!$B$11,2,"none"))</f>
        <v/>
      </c>
      <c r="E42" s="2">
        <f>IF(D42=1,Settings!$B$6+(A42-1)*Settings!$B$8,IF(D42=2,(A42-Settings!$B$9-1)*Settings!$B$8,""))</f>
        <v/>
      </c>
      <c r="F42" s="2">
        <f>IF(E42="","",E42+Settings!$B$3)</f>
        <v/>
      </c>
      <c r="G42" s="2">
        <f>(A42-1)*Settings!$B$12+2</f>
        <v/>
      </c>
      <c r="H42" s="2">
        <f>IF(D42="none","outside the day",IF(ISNUMBER(MATCH(G42,Seats!$H$2:$H$36,0)),INDEX(Seats!$D$2:$D$36,MATCH(G42,Seats!$H$2:$H$36,0)),"spare"))</f>
        <v/>
      </c>
      <c r="I42" s="2">
        <f>IF(LEFT(H42,1)="G",INDEX(Seats!$B$2:$B$36,MATCH(G42,Seats!$H$2:$H$36,0)),"")</f>
        <v/>
      </c>
      <c r="J42" s="2">
        <f>IF(I42="","",INDEX(Seats!$E$2:$E$36,MATCH(G42,Seats!$H$2:$H$36,0)))</f>
        <v/>
      </c>
      <c r="K42" s="2">
        <f>IF(I42="","",INDEX(Seats!$F$2:$F$36,MATCH(G42,Seats!$H$2:$H$36,0)))</f>
        <v/>
      </c>
      <c r="L42" s="2">
        <f>IF(I42="","",IF(COUNTIFS($A$2:$A$43,A42,$I$2:$I$43,I42)&gt;1,"yes","no"))</f>
        <v/>
      </c>
      <c r="M42" s="2">
        <f>IF(D42=1,F42,IF(D42=2,Settings!$B$5+F42,""))</f>
        <v/>
      </c>
      <c r="N42" s="2">
        <f>IF(I42="","",INDEX(Seats!$I$2:$I$36,MATCH(G42,Seats!$H$2:$H$36,0)))</f>
        <v/>
      </c>
      <c r="O42" s="2">
        <f>IF(I42="","",INDEX(Seats!$J$2:$J$36,MATCH(G42,Seats!$H$2:$H$36,0)))</f>
        <v/>
      </c>
      <c r="P42" s="2">
        <f>IF(I42="","",INDEX(Seats!$K$2:$K$36,MATCH(G42,Seats!$H$2:$H$36,0)))</f>
        <v/>
      </c>
      <c r="Q42" s="2">
        <f>IF(I42="","",INDEX(Seats!$L$2:$L$36,MATCH(G42,Seats!$H$2:$H$36,0)))</f>
        <v/>
      </c>
      <c r="R42" s="2">
        <f>IF(I42="",H42,H42&amp;", set "&amp;J42&amp;", "&amp;N42&amp;": "&amp;O42&amp;", "&amp;P42&amp;", "&amp;Q42)</f>
        <v/>
      </c>
    </row>
    <row r="43">
      <c r="A43" s="2" t="n">
        <v>14</v>
      </c>
      <c r="B43" s="2" t="inlineStr">
        <is>
          <t>Principal Advisor</t>
        </is>
      </c>
      <c r="C43" s="2" t="inlineStr">
        <is>
          <t>online</t>
        </is>
      </c>
      <c r="D43" s="2">
        <f>IF(A43&lt;=Settings!$B$9,1,IF(A43&lt;=Settings!$B$11,2,"none"))</f>
        <v/>
      </c>
      <c r="E43" s="2">
        <f>IF(D43=1,Settings!$B$6+(A43-1)*Settings!$B$8,IF(D43=2,(A43-Settings!$B$9-1)*Settings!$B$8,""))</f>
        <v/>
      </c>
      <c r="F43" s="2">
        <f>IF(E43="","",E43+Settings!$B$3)</f>
        <v/>
      </c>
      <c r="G43" s="2">
        <f>(A43-1)*Settings!$B$12+3</f>
        <v/>
      </c>
      <c r="H43" s="2">
        <f>IF(D43="none","outside the day",IF(ISNUMBER(MATCH(G43,Seats!$H$2:$H$36,0)),INDEX(Seats!$D$2:$D$36,MATCH(G43,Seats!$H$2:$H$36,0)),"spare"))</f>
        <v/>
      </c>
      <c r="I43" s="2">
        <f>IF(LEFT(H43,1)="G",INDEX(Seats!$B$2:$B$36,MATCH(G43,Seats!$H$2:$H$36,0)),"")</f>
        <v/>
      </c>
      <c r="J43" s="2">
        <f>IF(I43="","",INDEX(Seats!$E$2:$E$36,MATCH(G43,Seats!$H$2:$H$36,0)))</f>
        <v/>
      </c>
      <c r="K43" s="2">
        <f>IF(I43="","",INDEX(Seats!$F$2:$F$36,MATCH(G43,Seats!$H$2:$H$36,0)))</f>
        <v/>
      </c>
      <c r="L43" s="2">
        <f>IF(I43="","",IF(COUNTIFS($A$2:$A$43,A43,$I$2:$I$43,I43)&gt;1,"yes","no"))</f>
        <v/>
      </c>
      <c r="M43" s="2">
        <f>IF(D43=1,F43,IF(D43=2,Settings!$B$5+F43,""))</f>
        <v/>
      </c>
      <c r="N43" s="2">
        <f>IF(I43="","",INDEX(Seats!$I$2:$I$36,MATCH(G43,Seats!$H$2:$H$36,0)))</f>
        <v/>
      </c>
      <c r="O43" s="2">
        <f>IF(I43="","",INDEX(Seats!$J$2:$J$36,MATCH(G43,Seats!$H$2:$H$36,0)))</f>
        <v/>
      </c>
      <c r="P43" s="2">
        <f>IF(I43="","",INDEX(Seats!$K$2:$K$36,MATCH(G43,Seats!$H$2:$H$36,0)))</f>
        <v/>
      </c>
      <c r="Q43" s="2">
        <f>IF(I43="","",INDEX(Seats!$L$2:$L$36,MATCH(G43,Seats!$H$2:$H$36,0)))</f>
        <v/>
      </c>
      <c r="R43" s="2">
        <f>IF(I43="",H43,H43&amp;", set "&amp;J43&amp;", "&amp;N43&amp;": "&amp;O43&amp;", "&amp;P43&amp;", "&amp;Q43)</f>
        <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cols>
    <col width="6" customWidth="1" min="1" max="1"/>
    <col width="7" customWidth="1" min="2" max="2"/>
    <col width="8" customWidth="1" min="3" max="3"/>
    <col width="8" customWidth="1" min="4" max="4"/>
    <col width="44" customWidth="1" min="5" max="5"/>
    <col width="44" customWidth="1" min="6" max="6"/>
    <col width="44" customWidth="1" min="7" max="7"/>
  </cols>
  <sheetData>
    <row r="1">
      <c r="A1" s="4" t="inlineStr">
        <is>
          <t>Slot</t>
        </is>
      </c>
      <c r="B1" s="4" t="inlineStr">
        <is>
          <t>Block</t>
        </is>
      </c>
      <c r="C1" s="4" t="inlineStr">
        <is>
          <t>Starts</t>
        </is>
      </c>
      <c r="D1" s="4" t="inlineStr">
        <is>
          <t>Ends</t>
        </is>
      </c>
      <c r="E1" s="4" t="inlineStr">
        <is>
          <t>Programme Head, in person</t>
        </is>
      </c>
      <c r="F1" s="4" t="inlineStr">
        <is>
          <t>Academic TA, in person</t>
        </is>
      </c>
      <c r="G1" s="4" t="inlineStr">
        <is>
          <t>Principal Advisor, online</t>
        </is>
      </c>
    </row>
    <row r="2">
      <c r="A2" s="2" t="n">
        <v>1</v>
      </c>
      <c r="B2" s="2">
        <f>Roster!D2</f>
        <v/>
      </c>
      <c r="C2" s="2">
        <f>Roster!E2</f>
        <v/>
      </c>
      <c r="D2" s="2">
        <f>Roster!F2</f>
        <v/>
      </c>
      <c r="E2" s="2">
        <f>Roster!R2</f>
        <v/>
      </c>
      <c r="F2" s="2">
        <f>Roster!R3</f>
        <v/>
      </c>
      <c r="G2" s="2">
        <f>Roster!R4</f>
        <v/>
      </c>
    </row>
    <row r="3">
      <c r="A3" s="2" t="n">
        <v>2</v>
      </c>
      <c r="B3" s="2">
        <f>Roster!D5</f>
        <v/>
      </c>
      <c r="C3" s="2">
        <f>Roster!E5</f>
        <v/>
      </c>
      <c r="D3" s="2">
        <f>Roster!F5</f>
        <v/>
      </c>
      <c r="E3" s="2">
        <f>Roster!R5</f>
        <v/>
      </c>
      <c r="F3" s="2">
        <f>Roster!R6</f>
        <v/>
      </c>
      <c r="G3" s="2">
        <f>Roster!R7</f>
        <v/>
      </c>
    </row>
    <row r="4">
      <c r="A4" s="2" t="n">
        <v>3</v>
      </c>
      <c r="B4" s="2">
        <f>Roster!D8</f>
        <v/>
      </c>
      <c r="C4" s="2">
        <f>Roster!E8</f>
        <v/>
      </c>
      <c r="D4" s="2">
        <f>Roster!F8</f>
        <v/>
      </c>
      <c r="E4" s="2">
        <f>Roster!R8</f>
        <v/>
      </c>
      <c r="F4" s="2">
        <f>Roster!R9</f>
        <v/>
      </c>
      <c r="G4" s="2">
        <f>Roster!R10</f>
        <v/>
      </c>
    </row>
    <row r="5">
      <c r="A5" s="2" t="n">
        <v>4</v>
      </c>
      <c r="B5" s="2">
        <f>Roster!D11</f>
        <v/>
      </c>
      <c r="C5" s="2">
        <f>Roster!E11</f>
        <v/>
      </c>
      <c r="D5" s="2">
        <f>Roster!F11</f>
        <v/>
      </c>
      <c r="E5" s="2">
        <f>Roster!R11</f>
        <v/>
      </c>
      <c r="F5" s="2">
        <f>Roster!R12</f>
        <v/>
      </c>
      <c r="G5" s="2">
        <f>Roster!R13</f>
        <v/>
      </c>
    </row>
    <row r="6">
      <c r="A6" s="2" t="n">
        <v>5</v>
      </c>
      <c r="B6" s="2">
        <f>Roster!D14</f>
        <v/>
      </c>
      <c r="C6" s="2">
        <f>Roster!E14</f>
        <v/>
      </c>
      <c r="D6" s="2">
        <f>Roster!F14</f>
        <v/>
      </c>
      <c r="E6" s="2">
        <f>Roster!R14</f>
        <v/>
      </c>
      <c r="F6" s="2">
        <f>Roster!R15</f>
        <v/>
      </c>
      <c r="G6" s="2">
        <f>Roster!R16</f>
        <v/>
      </c>
    </row>
    <row r="7">
      <c r="A7" s="2" t="n">
        <v>6</v>
      </c>
      <c r="B7" s="2">
        <f>Roster!D17</f>
        <v/>
      </c>
      <c r="C7" s="2">
        <f>Roster!E17</f>
        <v/>
      </c>
      <c r="D7" s="2">
        <f>Roster!F17</f>
        <v/>
      </c>
      <c r="E7" s="2">
        <f>Roster!R17</f>
        <v/>
      </c>
      <c r="F7" s="2">
        <f>Roster!R18</f>
        <v/>
      </c>
      <c r="G7" s="2">
        <f>Roster!R19</f>
        <v/>
      </c>
    </row>
    <row r="8">
      <c r="A8" s="2" t="n">
        <v>7</v>
      </c>
      <c r="B8" s="2">
        <f>Roster!D20</f>
        <v/>
      </c>
      <c r="C8" s="2">
        <f>Roster!E20</f>
        <v/>
      </c>
      <c r="D8" s="2">
        <f>Roster!F20</f>
        <v/>
      </c>
      <c r="E8" s="2">
        <f>Roster!R20</f>
        <v/>
      </c>
      <c r="F8" s="2">
        <f>Roster!R21</f>
        <v/>
      </c>
      <c r="G8" s="2">
        <f>Roster!R22</f>
        <v/>
      </c>
    </row>
    <row r="9">
      <c r="A9" s="2" t="n">
        <v>8</v>
      </c>
      <c r="B9" s="2">
        <f>Roster!D23</f>
        <v/>
      </c>
      <c r="C9" s="2">
        <f>Roster!E23</f>
        <v/>
      </c>
      <c r="D9" s="2">
        <f>Roster!F23</f>
        <v/>
      </c>
      <c r="E9" s="2">
        <f>Roster!R23</f>
        <v/>
      </c>
      <c r="F9" s="2">
        <f>Roster!R24</f>
        <v/>
      </c>
      <c r="G9" s="2">
        <f>Roster!R25</f>
        <v/>
      </c>
    </row>
    <row r="10">
      <c r="A10" s="2" t="n">
        <v>9</v>
      </c>
      <c r="B10" s="2">
        <f>Roster!D26</f>
        <v/>
      </c>
      <c r="C10" s="2">
        <f>Roster!E26</f>
        <v/>
      </c>
      <c r="D10" s="2">
        <f>Roster!F26</f>
        <v/>
      </c>
      <c r="E10" s="2">
        <f>Roster!R26</f>
        <v/>
      </c>
      <c r="F10" s="2">
        <f>Roster!R27</f>
        <v/>
      </c>
      <c r="G10" s="2">
        <f>Roster!R28</f>
        <v/>
      </c>
    </row>
    <row r="11">
      <c r="A11" s="2" t="n">
        <v>10</v>
      </c>
      <c r="B11" s="2">
        <f>Roster!D29</f>
        <v/>
      </c>
      <c r="C11" s="2">
        <f>Roster!E29</f>
        <v/>
      </c>
      <c r="D11" s="2">
        <f>Roster!F29</f>
        <v/>
      </c>
      <c r="E11" s="2">
        <f>Roster!R29</f>
        <v/>
      </c>
      <c r="F11" s="2">
        <f>Roster!R30</f>
        <v/>
      </c>
      <c r="G11" s="2">
        <f>Roster!R31</f>
        <v/>
      </c>
    </row>
    <row r="12">
      <c r="A12" s="2" t="n">
        <v>11</v>
      </c>
      <c r="B12" s="2">
        <f>Roster!D32</f>
        <v/>
      </c>
      <c r="C12" s="2">
        <f>Roster!E32</f>
        <v/>
      </c>
      <c r="D12" s="2">
        <f>Roster!F32</f>
        <v/>
      </c>
      <c r="E12" s="2">
        <f>Roster!R32</f>
        <v/>
      </c>
      <c r="F12" s="2">
        <f>Roster!R33</f>
        <v/>
      </c>
      <c r="G12" s="2">
        <f>Roster!R34</f>
        <v/>
      </c>
    </row>
    <row r="13">
      <c r="A13" s="2" t="n">
        <v>12</v>
      </c>
      <c r="B13" s="2">
        <f>Roster!D35</f>
        <v/>
      </c>
      <c r="C13" s="2">
        <f>Roster!E35</f>
        <v/>
      </c>
      <c r="D13" s="2">
        <f>Roster!F35</f>
        <v/>
      </c>
      <c r="E13" s="2">
        <f>Roster!R35</f>
        <v/>
      </c>
      <c r="F13" s="2">
        <f>Roster!R36</f>
        <v/>
      </c>
      <c r="G13" s="2">
        <f>Roster!R37</f>
        <v/>
      </c>
    </row>
    <row r="14">
      <c r="A14" s="2" t="n">
        <v>13</v>
      </c>
      <c r="B14" s="2">
        <f>Roster!D38</f>
        <v/>
      </c>
      <c r="C14" s="2">
        <f>Roster!E38</f>
        <v/>
      </c>
      <c r="D14" s="2">
        <f>Roster!F38</f>
        <v/>
      </c>
      <c r="E14" s="2">
        <f>Roster!R38</f>
        <v/>
      </c>
      <c r="F14" s="2">
        <f>Roster!R39</f>
        <v/>
      </c>
      <c r="G14" s="2">
        <f>Roster!R40</f>
        <v/>
      </c>
    </row>
    <row r="15">
      <c r="A15" s="2" t="n">
        <v>14</v>
      </c>
      <c r="B15" s="2">
        <f>Roster!D41</f>
        <v/>
      </c>
      <c r="C15" s="2">
        <f>Roster!E41</f>
        <v/>
      </c>
      <c r="D15" s="2">
        <f>Roster!F41</f>
        <v/>
      </c>
      <c r="E15" s="2">
        <f>Roster!R41</f>
        <v/>
      </c>
      <c r="F15" s="2">
        <f>Roster!R42</f>
        <v/>
      </c>
      <c r="G15" s="2">
        <f>Roster!R43</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2026-10-01T10:51:35Z</dcterms:created>
  <dcterms:modified xmlns:dcterms="http://purl.org/dc/terms/" xmlns:xsi="http://www.w3.org/2001/XMLSchema-instance" xsi:type="dcterms:W3CDTF">2026-10-01T10:51:35Z</dcterms:modified>
</cp:coreProperties>
</file>