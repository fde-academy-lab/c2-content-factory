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ettings" sheetId="2" state="visible" r:id="rId2"/>
    <sheet xmlns:r="http://schemas.openxmlformats.org/officeDocument/2006/relationships" name="Sets" sheetId="3" state="visible" r:id="rId3"/>
    <sheet xmlns:r="http://schemas.openxmlformats.org/officeDocument/2006/relationships" name="Reserves" sheetId="4" state="visible" r:id="rId4"/>
    <sheet xmlns:r="http://schemas.openxmlformats.org/officeDocument/2006/relationships" name="Groups" sheetId="5" state="visible" r:id="rId5"/>
    <sheet xmlns:r="http://schemas.openxmlformats.org/officeDocument/2006/relationships" name="Seats" sheetId="6" state="visible" r:id="rId6"/>
    <sheet xmlns:r="http://schemas.openxmlformats.org/officeDocument/2006/relationships" name="Roster" sheetId="7" state="visible" r:id="rId7"/>
    <sheet xmlns:r="http://schemas.openxmlformats.org/officeDocument/2006/relationships" name="Grid" sheetId="8" state="visible" r:id="rId8"/>
    <sheet xmlns:r="http://schemas.openxmlformats.org/officeDocument/2006/relationships" name="Seat list" sheetId="9" state="visible" r:id="rId9"/>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color rgb="000000FF"/>
      <sz val="10"/>
    </font>
  </fonts>
  <fills count="4">
    <fill>
      <patternFill/>
    </fill>
    <fill>
      <patternFill patternType="gray125"/>
    </fill>
    <fill>
      <patternFill patternType="solid">
        <fgColor rgb="00FFF4C2"/>
      </patternFill>
    </fill>
    <fill>
      <patternFill patternType="solid">
        <fgColor rgb="00D9D9D9"/>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1"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120" customWidth="1" min="1" max="1"/>
  </cols>
  <sheetData>
    <row r="1">
      <c r="A1" s="1" t="inlineStr">
        <is>
          <t>Mock R1 roster, Build 1 (TRAINER ONLY)</t>
        </is>
      </c>
    </row>
    <row r="2">
      <c r="A2" s="2" t="inlineStr">
        <is>
          <t>Seats and groups, never names. Durations only: every time is a minute inside a 180-minute block.</t>
        </is>
      </c>
    </row>
    <row r="4">
      <c r="A4" s="1" t="inlineStr">
        <is>
          <t>Which cells do you edit?</t>
        </is>
      </c>
    </row>
    <row r="5">
      <c r="A5" s="2" t="inlineStr">
        <is>
          <t>Yellow cells with blue text are the inputs: the slot, changeover, huddle and close minutes on Settings; each group's sub-problem on Groups, chosen from its list after Monday's allocation; and each seat's present flag on Seats. Every other cell is a formula.</t>
        </is>
      </c>
    </row>
    <row r="7">
      <c r="A7" s="1" t="inlineStr">
        <is>
          <t>How does the default work?</t>
        </is>
      </c>
    </row>
    <row r="8">
      <c r="A8" s="2" t="inlineStr">
        <is>
          <t>35 seats in nine groups, eight of four and G9 of three, as data/programme/facts.yaml states the cohort. The Programme Head changes the group sizes on Seats if Monday's allocation differs, keeping every group to four seats or fewer.</t>
        </is>
      </c>
    </row>
    <row r="9">
      <c r="A9" s="2" t="inlineStr">
        <is>
          <t>The call order on Seats takes seat 1 of every group, then seat 2 of every group, and so on, and each slot fills the three assessors in call order, so the three learners out at once come from three different groups and every group keeps building while one member is out.</t>
        </is>
      </c>
    </row>
    <row r="10">
      <c r="A10" s="2" t="inlineStr">
        <is>
          <t>The Programme Head and the Academic TA take 12 learners each in person, and the Principal Advisor takes 11 online and holds the spare slot at the end of the day. Each assessor meets every member of the same three groups: the Programme Head G1, G4 and G7, the Academic TA G2, G5 and G8, and the Principal Advisor G3, G6 and G9, so work carried for a group-mate shows against the others' answers.</t>
        </is>
      </c>
    </row>
    <row r="11">
      <c r="A11" s="2" t="inlineStr">
        <is>
          <t>Each seat's set letter picks its three technical questions from the Sets sheet, consecutive letters within a group, so no two group-mates meet the same set. Where a set's question sits close to the group's own sub-problem, the Sets sheet's swap table puts the question at the same level from the set four letters on in its place. The Reserves sheet gives each seat three reserves, one a level, none asked of a group-mate and none close to the sub-problem. The viva probe rotates: a group's seats take four different probes, and a second group on the same sub-problem starts one probe on. The Seats, Roster and Grid sheets print the questions asked, the reserves and the probe.</t>
        </is>
      </c>
    </row>
    <row r="12">
      <c r="A12" s="2" t="inlineStr">
        <is>
          <t>Print the Grid sheet for the huddle: one row per slot, one column per assessor. Export the Seat list sheet alone to PDF for the learners: it shows each seat's slot, minutes and assessor and nothing else. Never send the workbook itself to a learner.</t>
        </is>
      </c>
    </row>
    <row r="14">
      <c r="A14" s="1" t="inlineStr">
        <is>
          <t>What moves when a learner is absent?</t>
        </is>
      </c>
    </row>
    <row r="15">
      <c r="A15" s="2" t="inlineStr">
        <is>
          <t>Known before the day: set that seat's present flag to no. The queue closes up and the day ends one slot sooner for one assessor. Then read the clash count on Settings: above zero means two group-mates now share a slot, so swap two rows' call order on Seats until it reads zero.</t>
        </is>
      </c>
    </row>
    <row r="16">
      <c r="A16" s="2" t="inlineStr">
        <is>
          <t>Found on the day: do not edit the workbook. The absent learner's slot becomes a free slot for that assessor. A learner who arrives later takes the spare slot or the first free slot, and a learner absent all day is listed for a make-up, which the Programme Head schedules.</t>
        </is>
      </c>
    </row>
    <row r="18">
      <c r="A18" s="1" t="inlineStr">
        <is>
          <t>What moves when an assessor is out?</t>
        </is>
      </c>
    </row>
    <row r="19">
      <c r="A19" s="2" t="inlineStr">
        <is>
          <t>The grid assumes three assessors. If one is out for part of the day, their learners move first to the other two assessors' free and spare slots, then to the open build time after the second block. The day sheet carries this plan.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44" customWidth="1" min="1" max="1"/>
    <col width="30" customWidth="1" min="2" max="2"/>
    <col width="18" customWidth="1" min="3" max="3"/>
    <col width="18" customWidth="1" min="4" max="4"/>
    <col width="22" customWidth="1" min="5" max="5"/>
  </cols>
  <sheetData>
    <row r="1">
      <c r="A1" s="1" t="inlineStr">
        <is>
          <t>Settings and the day's verdict</t>
        </is>
      </c>
    </row>
    <row r="3">
      <c r="A3" s="2" t="inlineStr">
        <is>
          <t>Mock slot, minutes</t>
        </is>
      </c>
      <c r="B3" s="3" t="n">
        <v>20</v>
      </c>
      <c r="C3" s="2" t="inlineStr">
        <is>
          <t>The row: roughly 20 minutes each.</t>
        </is>
      </c>
    </row>
    <row r="4">
      <c r="A4" s="2" t="inlineStr">
        <is>
          <t>Changeover, minutes</t>
        </is>
      </c>
      <c r="B4" s="3" t="n">
        <v>5</v>
      </c>
      <c r="C4" s="2" t="inlineStr">
        <is>
          <t>The assessor finishes the evidence note and enters the marks.</t>
        </is>
      </c>
    </row>
    <row r="5">
      <c r="A5" s="2" t="inlineStr">
        <is>
          <t>Block length, minutes</t>
        </is>
      </c>
      <c r="B5" s="3" t="n">
        <v>180</v>
      </c>
      <c r="C5" s="2" t="inlineStr">
        <is>
          <t>data/programme/facts.yaml: two blocks of 180 minutes.</t>
        </is>
      </c>
    </row>
    <row r="6">
      <c r="A6" s="2" t="inlineStr">
        <is>
          <t>Assessors' huddle at the start of block 1, minutes</t>
        </is>
      </c>
      <c r="B6" s="3" t="n">
        <v>10</v>
      </c>
      <c r="C6" s="2" t="inlineStr">
        <is>
          <t>Calibration before the first mock.</t>
        </is>
      </c>
    </row>
    <row r="7">
      <c r="A7" s="2" t="inlineStr">
        <is>
          <t>Close at the end of block 2, minutes</t>
        </is>
      </c>
      <c r="B7" s="3" t="n">
        <v>15</v>
      </c>
      <c r="C7" s="2" t="inlineStr">
        <is>
          <t>The row: the close-out, 15 minutes.</t>
        </is>
      </c>
    </row>
    <row r="8">
      <c r="A8" s="2" t="inlineStr">
        <is>
          <t>One slot and its changeover, minutes</t>
        </is>
      </c>
      <c r="B8" s="2">
        <f>B3+B4</f>
        <v/>
      </c>
    </row>
    <row r="9">
      <c r="A9" s="2" t="inlineStr">
        <is>
          <t>Slots per assessor in block 1</t>
        </is>
      </c>
      <c r="B9" s="2">
        <f>INT((B5-B6)/B8)</f>
        <v/>
      </c>
    </row>
    <row r="10">
      <c r="A10" s="2" t="inlineStr">
        <is>
          <t>Slots per assessor in block 2</t>
        </is>
      </c>
      <c r="B10" s="2">
        <f>INT((B5-B7)/B8)</f>
        <v/>
      </c>
    </row>
    <row r="11">
      <c r="A11" s="2" t="inlineStr">
        <is>
          <t>Slots per assessor in the day</t>
        </is>
      </c>
      <c r="B11" s="2">
        <f>B9+B10</f>
        <v/>
      </c>
    </row>
    <row r="12">
      <c r="A12" s="2" t="inlineStr">
        <is>
          <t>Assessors</t>
        </is>
      </c>
      <c r="B12" s="2" t="n">
        <v>3</v>
      </c>
    </row>
    <row r="13">
      <c r="A13" s="2" t="inlineStr">
        <is>
          <t>Mock places in the day</t>
        </is>
      </c>
      <c r="B13" s="2">
        <f>B11*B12</f>
        <v/>
      </c>
    </row>
    <row r="14">
      <c r="A14" s="2" t="inlineStr">
        <is>
          <t>Learners present</t>
        </is>
      </c>
      <c r="B14" s="2">
        <f>COUNTIF(Seats!G2:G36,"yes")</f>
        <v/>
      </c>
    </row>
    <row r="15">
      <c r="A15" s="2" t="inlineStr">
        <is>
          <t>Spare places</t>
        </is>
      </c>
      <c r="B15" s="2">
        <f>B13-B14</f>
        <v/>
      </c>
    </row>
    <row r="16">
      <c r="A16" s="2" t="inlineStr">
        <is>
          <t>Verdict</t>
        </is>
      </c>
      <c r="B16" s="2">
        <f>IF(B14&lt;=B13,"fits: "&amp;B13&amp;" slots for "&amp;B14&amp;" learners","does not fit: "&amp;(B14-B13)&amp;" learners without a slot")</f>
        <v/>
      </c>
    </row>
    <row r="17">
      <c r="A17" s="2" t="inlineStr">
        <is>
          <t>Last mock of the day ends at</t>
        </is>
      </c>
      <c r="B17" s="2">
        <f>IF(B14&gt;B13,"after the day",IF(ROUNDUP(B14/B12,0)&lt;=B9,"block 1, minute "&amp;(B6+ROUNDUP(B14/B12,0)*B8-B4),"block 2, minute "&amp;((ROUNDUP(B14/B12,0)-B9)*B8-B4)))</f>
        <v/>
      </c>
    </row>
    <row r="18">
      <c r="A18" s="2" t="inlineStr">
        <is>
          <t>Close starts at</t>
        </is>
      </c>
      <c r="B18" s="2">
        <f>"block 2, minute "&amp;(B5-B7)</f>
        <v/>
      </c>
    </row>
    <row r="19">
      <c r="A19" s="2" t="inlineStr">
        <is>
          <t>Slots where two group-mates are out at once</t>
        </is>
      </c>
      <c r="B19" s="2">
        <f>COUNTIF(Roster!L2:L43,"yes")</f>
        <v/>
      </c>
      <c r="C19" s="2" t="inlineStr">
        <is>
          <t>Zero by default. Above zero after an absence: swap call orders on Seats.</t>
        </is>
      </c>
    </row>
    <row r="20">
      <c r="A20" s="2" t="inlineStr">
        <is>
          <t>Assessor minutes in mocks</t>
        </is>
      </c>
      <c r="B20" s="2">
        <f>B14*B3</f>
        <v/>
      </c>
    </row>
    <row r="21">
      <c r="A21" s="2" t="inlineStr">
        <is>
          <t>Seats asked two questions from one family</t>
        </is>
      </c>
      <c r="B21" s="2">
        <f>COUNTIF(Seats!M2:M36,"repeat")</f>
        <v/>
      </c>
      <c r="C21" s="2" t="inlineStr">
        <is>
          <t>Zero for every allocation. Above zero means a set or a swap on the Sets sheet was edited.</t>
        </is>
      </c>
    </row>
    <row r="22">
      <c r="A22" s="2" t="inlineStr">
        <is>
          <t>Seats sharing a question with a group-mate</t>
        </is>
      </c>
      <c r="B22" s="2">
        <f>COUNTIF(Seats!N2:N36,"yes")</f>
        <v/>
      </c>
      <c r="C22" s="2" t="inlineStr">
        <is>
          <t>Zero for every allocation. Above zero means a set or a swap on the Sets sheet was edited.</t>
        </is>
      </c>
    </row>
    <row r="23">
      <c r="A23" s="2" t="inlineStr">
        <is>
          <t>Seats whose reserves break the rule</t>
        </is>
      </c>
      <c r="B23" s="2">
        <f>COUNTIF(Seats!T2:T36,"clash")</f>
        <v/>
      </c>
      <c r="C23" s="2" t="inlineStr">
        <is>
          <t>Zero for every allocation. Above zero means a set or the Reserves sheet was edited.</t>
        </is>
      </c>
    </row>
    <row r="24">
      <c r="A24" s="1" t="inlineStr">
        <is>
          <t>Load per assessor</t>
        </is>
      </c>
    </row>
    <row r="25">
      <c r="A25" s="4" t="inlineStr">
        <is>
          <t>Assessor</t>
        </is>
      </c>
      <c r="B25" s="4" t="inlineStr">
        <is>
          <t>Mode</t>
        </is>
      </c>
      <c r="C25" s="4" t="inlineStr">
        <is>
          <t>Learners</t>
        </is>
      </c>
      <c r="D25" s="4" t="inlineStr">
        <is>
          <t>Minutes in mocks</t>
        </is>
      </c>
      <c r="E25" s="4" t="inlineStr">
        <is>
          <t>Last mock ends at</t>
        </is>
      </c>
    </row>
    <row r="26">
      <c r="A26" s="2" t="inlineStr">
        <is>
          <t>Programme Head</t>
        </is>
      </c>
      <c r="B26" s="2" t="inlineStr">
        <is>
          <t>in person</t>
        </is>
      </c>
      <c r="C26" s="2">
        <f>COUNTIFS(Roster!B2:B43,A26,Roster!H2:H43,"G*")</f>
        <v/>
      </c>
      <c r="D26" s="2">
        <f>C26*$B$3</f>
        <v/>
      </c>
      <c r="E26" s="2">
        <f>IF(C26=0,"no mocks",IF(_xlfn.MAXIFS(Roster!M2:M43,Roster!B2:B43,A26,Roster!H2:H43,"G*")&gt;$B$5,"block 2, minute "&amp;(_xlfn.MAXIFS(Roster!M2:M43,Roster!B2:B43,A26,Roster!H2:H43,"G*")-$B$5),"block 1, minute "&amp;_xlfn.MAXIFS(Roster!M2:M43,Roster!B2:B43,A26,Roster!H2:H43,"G*")))</f>
        <v/>
      </c>
    </row>
    <row r="27">
      <c r="A27" s="2" t="inlineStr">
        <is>
          <t>Academic TA</t>
        </is>
      </c>
      <c r="B27" s="2" t="inlineStr">
        <is>
          <t>in person</t>
        </is>
      </c>
      <c r="C27" s="2">
        <f>COUNTIFS(Roster!B2:B43,A27,Roster!H2:H43,"G*")</f>
        <v/>
      </c>
      <c r="D27" s="2">
        <f>C27*$B$3</f>
        <v/>
      </c>
      <c r="E27" s="2">
        <f>IF(C27=0,"no mocks",IF(_xlfn.MAXIFS(Roster!M2:M43,Roster!B2:B43,A27,Roster!H2:H43,"G*")&gt;$B$5,"block 2, minute "&amp;(_xlfn.MAXIFS(Roster!M2:M43,Roster!B2:B43,A27,Roster!H2:H43,"G*")-$B$5),"block 1, minute "&amp;_xlfn.MAXIFS(Roster!M2:M43,Roster!B2:B43,A27,Roster!H2:H43,"G*")))</f>
        <v/>
      </c>
    </row>
    <row r="28">
      <c r="A28" s="2" t="inlineStr">
        <is>
          <t>Principal Advisor</t>
        </is>
      </c>
      <c r="B28" s="2" t="inlineStr">
        <is>
          <t>online</t>
        </is>
      </c>
      <c r="C28" s="2">
        <f>COUNTIFS(Roster!B2:B43,A28,Roster!H2:H43,"G*")</f>
        <v/>
      </c>
      <c r="D28" s="2">
        <f>C28*$B$3</f>
        <v/>
      </c>
      <c r="E28" s="2">
        <f>IF(C28=0,"no mocks",IF(_xlfn.MAXIFS(Roster!M2:M43,Roster!B2:B43,A28,Roster!H2:H43,"G*")&gt;$B$5,"block 2, minute "&amp;(_xlfn.MAXIFS(Roster!M2:M43,Roster!B2:B43,A28,Roster!H2:H43,"G*")-$B$5),"block 1, minute "&amp;_xlfn.MAXIFS(Roster!M2:M43,Roster!B2:B43,A28,Roster!H2:H43,"G*")))</f>
        <v/>
      </c>
    </row>
    <row r="29">
      <c r="A29" s="2" t="inlineStr">
        <is>
          <t>Total</t>
        </is>
      </c>
      <c r="C29" s="2">
        <f>SUM(C26:C28)</f>
        <v/>
      </c>
      <c r="D29" s="2">
        <f>SUM(D26:D28)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9"/>
  <sheetViews>
    <sheetView workbookViewId="0">
      <selection activeCell="A1" sqref="A1"/>
    </sheetView>
  </sheetViews>
  <sheetFormatPr baseColWidth="8" defaultRowHeight="15"/>
  <cols>
    <col width="8" customWidth="1" min="1" max="1"/>
    <col width="12" customWidth="1" min="2" max="2"/>
    <col width="12" customWidth="1" min="3" max="3"/>
    <col width="12" customWidth="1" min="4" max="4"/>
    <col width="16" customWidth="1" min="6" max="6"/>
    <col width="14" customWidth="1" min="7" max="7"/>
    <col width="90" customWidth="1" min="9" max="9"/>
  </cols>
  <sheetData>
    <row r="1">
      <c r="A1" s="4" t="inlineStr">
        <is>
          <t>Set</t>
        </is>
      </c>
      <c r="B1" s="4" t="inlineStr">
        <is>
          <t>L1, the move</t>
        </is>
      </c>
      <c r="C1" s="4" t="inlineStr">
        <is>
          <t>L2, the number</t>
        </is>
      </c>
      <c r="D1" s="4" t="inlineStr">
        <is>
          <t>L3, the judgement</t>
        </is>
      </c>
      <c r="F1" s="4" t="inlineStr">
        <is>
          <t>Swap key</t>
        </is>
      </c>
      <c r="G1" s="4" t="inlineStr">
        <is>
          <t>Ask instead</t>
        </is>
      </c>
      <c r="I1" s="4" t="inlineStr">
        <is>
          <t>What the two tables do</t>
        </is>
      </c>
    </row>
    <row r="2">
      <c r="A2" s="2" t="inlineStr">
        <is>
          <t>A</t>
        </is>
      </c>
      <c r="B2" s="2" t="inlineStr">
        <is>
          <t>T01-L1</t>
        </is>
      </c>
      <c r="C2" s="2" t="inlineStr">
        <is>
          <t>T03-L2</t>
        </is>
      </c>
      <c r="D2" s="2" t="inlineStr">
        <is>
          <t>T07-L3</t>
        </is>
      </c>
      <c r="F2" s="2" t="inlineStr">
        <is>
          <t>T01-L1|1</t>
        </is>
      </c>
      <c r="G2" s="2" t="inlineStr">
        <is>
          <t>T04-L1</t>
        </is>
      </c>
      <c r="I2" s="2" t="inlineStr">
        <is>
          <t>A swap key is a question and the first digit of a group's sub-problem. When a seat's set holds that question and its group took that sub-problem, the seat is asked the question beside it: the one at the same level from the set four letters on, which no group-mate meets, so the technical half never rehearses the learner's own viva.</t>
        </is>
      </c>
    </row>
    <row r="3">
      <c r="A3" s="2" t="inlineStr">
        <is>
          <t>B</t>
        </is>
      </c>
      <c r="B3" s="2" t="inlineStr">
        <is>
          <t>T02-L1</t>
        </is>
      </c>
      <c r="C3" s="2" t="inlineStr">
        <is>
          <t>T05-L2</t>
        </is>
      </c>
      <c r="D3" s="2" t="inlineStr">
        <is>
          <t>T08-L3</t>
        </is>
      </c>
      <c r="F3" s="2" t="inlineStr">
        <is>
          <t>T01-L3|1</t>
        </is>
      </c>
      <c r="G3" s="2" t="inlineStr">
        <is>
          <t>T09-L3</t>
        </is>
      </c>
      <c r="I3" s="2" t="inlineStr">
        <is>
          <t>Six questions sit in no set: T07-L1, T10-L1, T04-L2, T07-L2, T02-L3 and T06-L3. The Reserves sheet draws each seat's three reserves from them and from the sets its group does not hold.</t>
        </is>
      </c>
    </row>
    <row r="4">
      <c r="A4" s="2" t="inlineStr">
        <is>
          <t>C</t>
        </is>
      </c>
      <c r="B4" s="2" t="inlineStr">
        <is>
          <t>T03-L1</t>
        </is>
      </c>
      <c r="C4" s="2" t="inlineStr">
        <is>
          <t>T06-L2</t>
        </is>
      </c>
      <c r="D4" s="2" t="inlineStr">
        <is>
          <t>T09-L3</t>
        </is>
      </c>
      <c r="F4" s="2" t="inlineStr">
        <is>
          <t>T01-L2|1</t>
        </is>
      </c>
      <c r="G4" s="2" t="inlineStr">
        <is>
          <t>T02-L2</t>
        </is>
      </c>
      <c r="I4" s="2" t="inlineStr">
        <is>
          <t>The Seats sheet flags a seat asked two questions from one family, a question two group-mates share, and a reserve that repeats a family in its seat or a question a group-mate is asked; Settings counts all three, and all three read zero.</t>
        </is>
      </c>
    </row>
    <row r="5">
      <c r="A5" s="2" t="inlineStr">
        <is>
          <t>D</t>
        </is>
      </c>
      <c r="B5" s="2" t="inlineStr">
        <is>
          <t>T09-L1</t>
        </is>
      </c>
      <c r="C5" s="2" t="inlineStr">
        <is>
          <t>T02-L2</t>
        </is>
      </c>
      <c r="D5" s="2" t="inlineStr">
        <is>
          <t>T10-L3</t>
        </is>
      </c>
      <c r="F5" s="2" t="inlineStr">
        <is>
          <t>T03-L2|2</t>
        </is>
      </c>
      <c r="G5" s="2" t="inlineStr">
        <is>
          <t>T08-L2</t>
        </is>
      </c>
    </row>
    <row r="6">
      <c r="A6" s="2" t="inlineStr">
        <is>
          <t>E</t>
        </is>
      </c>
      <c r="B6" s="2" t="inlineStr">
        <is>
          <t>T04-L1</t>
        </is>
      </c>
      <c r="C6" s="2" t="inlineStr">
        <is>
          <t>T08-L2</t>
        </is>
      </c>
      <c r="D6" s="2" t="inlineStr">
        <is>
          <t>T05-L3</t>
        </is>
      </c>
      <c r="F6" s="2" t="inlineStr">
        <is>
          <t>T02-L1|2</t>
        </is>
      </c>
      <c r="G6" s="2" t="inlineStr">
        <is>
          <t>T06-L1</t>
        </is>
      </c>
    </row>
    <row r="7">
      <c r="A7" s="2" t="inlineStr">
        <is>
          <t>F</t>
        </is>
      </c>
      <c r="B7" s="2" t="inlineStr">
        <is>
          <t>T06-L1</t>
        </is>
      </c>
      <c r="C7" s="2" t="inlineStr">
        <is>
          <t>T09-L2</t>
        </is>
      </c>
      <c r="D7" s="2" t="inlineStr">
        <is>
          <t>T03-L3</t>
        </is>
      </c>
      <c r="F7" s="2" t="inlineStr">
        <is>
          <t>T02-L2|2</t>
        </is>
      </c>
      <c r="G7" s="2" t="inlineStr">
        <is>
          <t>T01-L2</t>
        </is>
      </c>
    </row>
    <row r="8">
      <c r="A8" s="2" t="inlineStr">
        <is>
          <t>G</t>
        </is>
      </c>
      <c r="B8" s="2" t="inlineStr">
        <is>
          <t>T05-L1</t>
        </is>
      </c>
      <c r="C8" s="2" t="inlineStr">
        <is>
          <t>T10-L2</t>
        </is>
      </c>
      <c r="D8" s="2" t="inlineStr">
        <is>
          <t>T01-L3</t>
        </is>
      </c>
      <c r="F8" s="2" t="inlineStr">
        <is>
          <t>T09-L2|2</t>
        </is>
      </c>
      <c r="G8" s="2" t="inlineStr">
        <is>
          <t>T05-L2</t>
        </is>
      </c>
    </row>
    <row r="9">
      <c r="A9" s="2" t="inlineStr">
        <is>
          <t>H</t>
        </is>
      </c>
      <c r="B9" s="2" t="inlineStr">
        <is>
          <t>T08-L1</t>
        </is>
      </c>
      <c r="C9" s="2" t="inlineStr">
        <is>
          <t>T01-L2</t>
        </is>
      </c>
      <c r="D9" s="2" t="inlineStr">
        <is>
          <t>T04-L3</t>
        </is>
      </c>
      <c r="F9" s="2" t="inlineStr">
        <is>
          <t>T03-L2|3</t>
        </is>
      </c>
      <c r="G9" s="2" t="inlineStr">
        <is>
          <t>T08-L2</t>
        </is>
      </c>
    </row>
    <row r="10">
      <c r="F10" s="2" t="inlineStr">
        <is>
          <t>T07-L3|3</t>
        </is>
      </c>
      <c r="G10" s="2" t="inlineStr">
        <is>
          <t>T05-L3</t>
        </is>
      </c>
    </row>
    <row r="11">
      <c r="F11" s="2" t="inlineStr">
        <is>
          <t>T03-L1|3</t>
        </is>
      </c>
      <c r="G11" s="2" t="inlineStr">
        <is>
          <t>T05-L1</t>
        </is>
      </c>
    </row>
    <row r="12">
      <c r="F12" s="2" t="inlineStr">
        <is>
          <t>T09-L3|3</t>
        </is>
      </c>
      <c r="G12" s="2" t="inlineStr">
        <is>
          <t>T01-L3</t>
        </is>
      </c>
    </row>
    <row r="13">
      <c r="F13" s="2" t="inlineStr">
        <is>
          <t>T09-L2|3</t>
        </is>
      </c>
      <c r="G13" s="2" t="inlineStr">
        <is>
          <t>T05-L2</t>
        </is>
      </c>
    </row>
    <row r="14">
      <c r="F14" s="2" t="inlineStr">
        <is>
          <t>T03-L3|3</t>
        </is>
      </c>
      <c r="G14" s="2" t="inlineStr">
        <is>
          <t>T08-L3</t>
        </is>
      </c>
    </row>
    <row r="15">
      <c r="F15" s="2" t="inlineStr">
        <is>
          <t>T03-L2|4</t>
        </is>
      </c>
      <c r="G15" s="2" t="inlineStr">
        <is>
          <t>T08-L2</t>
        </is>
      </c>
    </row>
    <row r="16">
      <c r="F16" s="2" t="inlineStr">
        <is>
          <t>T04-L1|4</t>
        </is>
      </c>
      <c r="G16" s="2" t="inlineStr">
        <is>
          <t>T01-L1</t>
        </is>
      </c>
    </row>
    <row r="17">
      <c r="F17" s="2" t="inlineStr">
        <is>
          <t>T04-L1|5</t>
        </is>
      </c>
      <c r="G17" s="2" t="inlineStr">
        <is>
          <t>T01-L1</t>
        </is>
      </c>
    </row>
    <row r="18">
      <c r="F18" s="2" t="inlineStr">
        <is>
          <t>T05-L3|5</t>
        </is>
      </c>
      <c r="G18" s="2" t="inlineStr">
        <is>
          <t>T07-L3</t>
        </is>
      </c>
    </row>
    <row r="19">
      <c r="F19" s="2" t="inlineStr">
        <is>
          <t>T04-L3|5</t>
        </is>
      </c>
      <c r="G19" s="2" t="inlineStr">
        <is>
          <t>T10-L3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90" customWidth="1" min="6" max="6"/>
  </cols>
  <sheetData>
    <row r="1">
      <c r="A1" s="4" t="inlineStr">
        <is>
          <t>Key</t>
        </is>
      </c>
      <c r="B1" s="4" t="inlineStr">
        <is>
          <t>Reserve L1</t>
        </is>
      </c>
      <c r="C1" s="4" t="inlineStr">
        <is>
          <t>Reserve L2</t>
        </is>
      </c>
      <c r="D1" s="4" t="inlineStr">
        <is>
          <t>Reserve L3</t>
        </is>
      </c>
      <c r="F1" s="4" t="inlineStr">
        <is>
          <t>How a key reads</t>
        </is>
      </c>
    </row>
    <row r="2">
      <c r="A2" s="2" t="inlineStr">
        <is>
          <t>A3-1|1</t>
        </is>
      </c>
      <c r="B2" s="2" t="inlineStr">
        <is>
          <t>T05-L1</t>
        </is>
      </c>
      <c r="C2" s="2" t="inlineStr">
        <is>
          <t>T02-L2</t>
        </is>
      </c>
      <c r="D2" s="2" t="inlineStr">
        <is>
          <t>T06-L3</t>
        </is>
      </c>
      <c r="F2" s="2" t="inlineStr">
        <is>
          <t>The group's first letter, the number of seats in the group, the seat, and the first digit of the group's sub-problem: A4-2|3 is seat 2 of a group of four whose seats start at set A, on sub-problem 3. The Seats sheet builds the key and looks the three reserves up here.</t>
        </is>
      </c>
    </row>
    <row r="3">
      <c r="A3" s="2" t="inlineStr">
        <is>
          <t>A3-1|2</t>
        </is>
      </c>
      <c r="B3" s="2" t="inlineStr">
        <is>
          <t>T04-L1</t>
        </is>
      </c>
      <c r="C3" s="2" t="inlineStr">
        <is>
          <t>T10-L2</t>
        </is>
      </c>
      <c r="D3" s="2" t="inlineStr">
        <is>
          <t>T02-L3</t>
        </is>
      </c>
      <c r="F3" s="2" t="inlineStr">
        <is>
          <t>Each reserve is one of the six questions in no set or a question of a set the group does not hold, never one the group is asked and never close to its sub-problem; a seat's three reserves come from three families its seat does not hold and mix the two weeks. Group-mates share a reserve only where the level leaves too few questions: one pair on sub-problem 2, one on 5 and three on 3, in groups of four.</t>
        </is>
      </c>
    </row>
    <row r="4">
      <c r="A4" s="2" t="inlineStr">
        <is>
          <t>A3-1|3</t>
        </is>
      </c>
      <c r="B4" s="2" t="inlineStr">
        <is>
          <t>T04-L1</t>
        </is>
      </c>
      <c r="C4" s="2" t="inlineStr">
        <is>
          <t>T02-L2</t>
        </is>
      </c>
      <c r="D4" s="2" t="inlineStr">
        <is>
          <t>T10-L3</t>
        </is>
      </c>
      <c r="F4" s="2" t="inlineStr">
        <is>
          <t>Rebuild this sheet with content/W03/D4/internal/C2_W03_D04_build_workbooks_INTERNAL.py rather than editing it; the Seats sheet's reserve check flags an edit that breaks the rule.</t>
        </is>
      </c>
    </row>
    <row r="5">
      <c r="A5" s="2" t="inlineStr">
        <is>
          <t>A3-1|4</t>
        </is>
      </c>
      <c r="B5" s="2" t="inlineStr">
        <is>
          <t>T05-L1</t>
        </is>
      </c>
      <c r="C5" s="2" t="inlineStr">
        <is>
          <t>T02-L2</t>
        </is>
      </c>
      <c r="D5" s="2" t="inlineStr">
        <is>
          <t>T06-L3</t>
        </is>
      </c>
    </row>
    <row r="6">
      <c r="A6" s="2" t="inlineStr">
        <is>
          <t>A3-1|5</t>
        </is>
      </c>
      <c r="B6" s="2" t="inlineStr">
        <is>
          <t>T05-L1</t>
        </is>
      </c>
      <c r="C6" s="2" t="inlineStr">
        <is>
          <t>T02-L2</t>
        </is>
      </c>
      <c r="D6" s="2" t="inlineStr">
        <is>
          <t>T06-L3</t>
        </is>
      </c>
    </row>
    <row r="7">
      <c r="A7" s="2" t="inlineStr">
        <is>
          <t>A3-2|1</t>
        </is>
      </c>
      <c r="B7" s="2" t="inlineStr">
        <is>
          <t>T06-L1</t>
        </is>
      </c>
      <c r="C7" s="2" t="inlineStr">
        <is>
          <t>T04-L2</t>
        </is>
      </c>
      <c r="D7" s="2" t="inlineStr">
        <is>
          <t>T03-L3</t>
        </is>
      </c>
    </row>
    <row r="8">
      <c r="A8" s="2" t="inlineStr">
        <is>
          <t>A3-2|2</t>
        </is>
      </c>
      <c r="B8" s="2" t="inlineStr">
        <is>
          <t>T07-L1</t>
        </is>
      </c>
      <c r="C8" s="2" t="inlineStr">
        <is>
          <t>T01-L2</t>
        </is>
      </c>
      <c r="D8" s="2" t="inlineStr">
        <is>
          <t>T03-L3</t>
        </is>
      </c>
    </row>
    <row r="9">
      <c r="A9" s="2" t="inlineStr">
        <is>
          <t>A3-2|3</t>
        </is>
      </c>
      <c r="B9" s="2" t="inlineStr">
        <is>
          <t>T06-L1</t>
        </is>
      </c>
      <c r="C9" s="2" t="inlineStr">
        <is>
          <t>T01-L2</t>
        </is>
      </c>
      <c r="D9" s="2" t="inlineStr">
        <is>
          <t>T04-L3</t>
        </is>
      </c>
    </row>
    <row r="10">
      <c r="A10" s="2" t="inlineStr">
        <is>
          <t>A3-2|4</t>
        </is>
      </c>
      <c r="B10" s="2" t="inlineStr">
        <is>
          <t>T06-L1</t>
        </is>
      </c>
      <c r="C10" s="2" t="inlineStr">
        <is>
          <t>T01-L2</t>
        </is>
      </c>
      <c r="D10" s="2" t="inlineStr">
        <is>
          <t>T03-L3</t>
        </is>
      </c>
    </row>
    <row r="11">
      <c r="A11" s="2" t="inlineStr">
        <is>
          <t>A3-2|5</t>
        </is>
      </c>
      <c r="B11" s="2" t="inlineStr">
        <is>
          <t>T06-L1</t>
        </is>
      </c>
      <c r="C11" s="2" t="inlineStr">
        <is>
          <t>T01-L2</t>
        </is>
      </c>
      <c r="D11" s="2" t="inlineStr">
        <is>
          <t>T03-L3</t>
        </is>
      </c>
    </row>
    <row r="12">
      <c r="A12" s="2" t="inlineStr">
        <is>
          <t>A3-3|1</t>
        </is>
      </c>
      <c r="B12" s="2" t="inlineStr">
        <is>
          <t>T07-L1</t>
        </is>
      </c>
      <c r="C12" s="2" t="inlineStr">
        <is>
          <t>T08-L2</t>
        </is>
      </c>
      <c r="D12" s="2" t="inlineStr">
        <is>
          <t>T04-L3</t>
        </is>
      </c>
    </row>
    <row r="13">
      <c r="A13" s="2" t="inlineStr">
        <is>
          <t>A3-3|2</t>
        </is>
      </c>
      <c r="B13" s="2" t="inlineStr">
        <is>
          <t>T05-L1</t>
        </is>
      </c>
      <c r="C13" s="2" t="inlineStr">
        <is>
          <t>T04-L2</t>
        </is>
      </c>
      <c r="D13" s="2" t="inlineStr">
        <is>
          <t>T10-L3</t>
        </is>
      </c>
    </row>
    <row r="14">
      <c r="A14" s="2" t="inlineStr">
        <is>
          <t>A3-3|3</t>
        </is>
      </c>
      <c r="B14" s="2" t="inlineStr">
        <is>
          <t>T08-L1</t>
        </is>
      </c>
      <c r="C14" s="2" t="inlineStr">
        <is>
          <t>T04-L2</t>
        </is>
      </c>
      <c r="D14" s="2" t="inlineStr">
        <is>
          <t>T02-L3</t>
        </is>
      </c>
    </row>
    <row r="15">
      <c r="A15" s="2" t="inlineStr">
        <is>
          <t>A3-3|4</t>
        </is>
      </c>
      <c r="B15" s="2" t="inlineStr">
        <is>
          <t>T07-L1</t>
        </is>
      </c>
      <c r="C15" s="2" t="inlineStr">
        <is>
          <t>T10-L2</t>
        </is>
      </c>
      <c r="D15" s="2" t="inlineStr">
        <is>
          <t>T01-L3</t>
        </is>
      </c>
    </row>
    <row r="16">
      <c r="A16" s="2" t="inlineStr">
        <is>
          <t>A3-3|5</t>
        </is>
      </c>
      <c r="B16" s="2" t="inlineStr">
        <is>
          <t>T07-L1</t>
        </is>
      </c>
      <c r="C16" s="2" t="inlineStr">
        <is>
          <t>T04-L2</t>
        </is>
      </c>
      <c r="D16" s="2" t="inlineStr">
        <is>
          <t>T01-L3</t>
        </is>
      </c>
    </row>
    <row r="17">
      <c r="A17" s="2" t="inlineStr">
        <is>
          <t>A4-1|1</t>
        </is>
      </c>
      <c r="B17" s="2" t="inlineStr">
        <is>
          <t>T05-L1</t>
        </is>
      </c>
      <c r="C17" s="2" t="inlineStr">
        <is>
          <t>T08-L2</t>
        </is>
      </c>
      <c r="D17" s="2" t="inlineStr">
        <is>
          <t>T06-L3</t>
        </is>
      </c>
    </row>
    <row r="18">
      <c r="A18" s="2" t="inlineStr">
        <is>
          <t>A4-1|2</t>
        </is>
      </c>
      <c r="B18" s="2" t="inlineStr">
        <is>
          <t>T04-L1</t>
        </is>
      </c>
      <c r="C18" s="2" t="inlineStr">
        <is>
          <t>T10-L2</t>
        </is>
      </c>
      <c r="D18" s="2" t="inlineStr">
        <is>
          <t>T02-L3</t>
        </is>
      </c>
    </row>
    <row r="19">
      <c r="A19" s="2" t="inlineStr">
        <is>
          <t>A4-1|3</t>
        </is>
      </c>
      <c r="B19" s="2" t="inlineStr">
        <is>
          <t>T04-L1</t>
        </is>
      </c>
      <c r="C19" s="2" t="inlineStr">
        <is>
          <t>T10-L2</t>
        </is>
      </c>
      <c r="D19" s="2" t="inlineStr">
        <is>
          <t>T02-L3</t>
        </is>
      </c>
    </row>
    <row r="20">
      <c r="A20" s="2" t="inlineStr">
        <is>
          <t>A4-1|4</t>
        </is>
      </c>
      <c r="B20" s="2" t="inlineStr">
        <is>
          <t>T05-L1</t>
        </is>
      </c>
      <c r="C20" s="2" t="inlineStr">
        <is>
          <t>T09-L2</t>
        </is>
      </c>
      <c r="D20" s="2" t="inlineStr">
        <is>
          <t>T02-L3</t>
        </is>
      </c>
    </row>
    <row r="21">
      <c r="A21" s="2" t="inlineStr">
        <is>
          <t>A4-1|5</t>
        </is>
      </c>
      <c r="B21" s="2" t="inlineStr">
        <is>
          <t>T05-L1</t>
        </is>
      </c>
      <c r="C21" s="2" t="inlineStr">
        <is>
          <t>T04-L2</t>
        </is>
      </c>
      <c r="D21" s="2" t="inlineStr">
        <is>
          <t>T06-L3</t>
        </is>
      </c>
    </row>
    <row r="22">
      <c r="A22" s="2" t="inlineStr">
        <is>
          <t>A4-2|1</t>
        </is>
      </c>
      <c r="B22" s="2" t="inlineStr">
        <is>
          <t>T06-L1</t>
        </is>
      </c>
      <c r="C22" s="2" t="inlineStr">
        <is>
          <t>T09-L2</t>
        </is>
      </c>
      <c r="D22" s="2" t="inlineStr">
        <is>
          <t>T03-L3</t>
        </is>
      </c>
    </row>
    <row r="23">
      <c r="A23" s="2" t="inlineStr">
        <is>
          <t>A4-2|2</t>
        </is>
      </c>
      <c r="B23" s="2" t="inlineStr">
        <is>
          <t>T07-L1</t>
        </is>
      </c>
      <c r="C23" s="2" t="inlineStr">
        <is>
          <t>T04-L2</t>
        </is>
      </c>
      <c r="D23" s="2" t="inlineStr">
        <is>
          <t>T01-L3</t>
        </is>
      </c>
    </row>
    <row r="24">
      <c r="A24" s="2" t="inlineStr">
        <is>
          <t>A4-2|3</t>
        </is>
      </c>
      <c r="B24" s="2" t="inlineStr">
        <is>
          <t>T06-L1</t>
        </is>
      </c>
      <c r="C24" s="2" t="inlineStr">
        <is>
          <t>T01-L2</t>
        </is>
      </c>
      <c r="D24" s="2" t="inlineStr">
        <is>
          <t>T04-L3</t>
        </is>
      </c>
    </row>
    <row r="25">
      <c r="A25" s="2" t="inlineStr">
        <is>
          <t>A4-2|4</t>
        </is>
      </c>
      <c r="B25" s="2" t="inlineStr">
        <is>
          <t>T06-L1</t>
        </is>
      </c>
      <c r="C25" s="2" t="inlineStr">
        <is>
          <t>T01-L2</t>
        </is>
      </c>
      <c r="D25" s="2" t="inlineStr">
        <is>
          <t>T03-L3</t>
        </is>
      </c>
    </row>
    <row r="26">
      <c r="A26" s="2" t="inlineStr">
        <is>
          <t>A4-2|5</t>
        </is>
      </c>
      <c r="B26" s="2" t="inlineStr">
        <is>
          <t>T06-L1</t>
        </is>
      </c>
      <c r="C26" s="2" t="inlineStr">
        <is>
          <t>T01-L2</t>
        </is>
      </c>
      <c r="D26" s="2" t="inlineStr">
        <is>
          <t>T03-L3</t>
        </is>
      </c>
    </row>
    <row r="27">
      <c r="A27" s="2" t="inlineStr">
        <is>
          <t>A4-3|1</t>
        </is>
      </c>
      <c r="B27" s="2" t="inlineStr">
        <is>
          <t>T07-L1</t>
        </is>
      </c>
      <c r="C27" s="2" t="inlineStr">
        <is>
          <t>T10-L2</t>
        </is>
      </c>
      <c r="D27" s="2" t="inlineStr">
        <is>
          <t>T04-L3</t>
        </is>
      </c>
    </row>
    <row r="28">
      <c r="A28" s="2" t="inlineStr">
        <is>
          <t>A4-3|2</t>
        </is>
      </c>
      <c r="B28" s="2" t="inlineStr">
        <is>
          <t>T05-L1</t>
        </is>
      </c>
      <c r="C28" s="2" t="inlineStr">
        <is>
          <t>T07-L2</t>
        </is>
      </c>
      <c r="D28" s="2" t="inlineStr">
        <is>
          <t>T04-L3</t>
        </is>
      </c>
    </row>
    <row r="29">
      <c r="A29" s="2" t="inlineStr">
        <is>
          <t>A4-3|3</t>
        </is>
      </c>
      <c r="B29" s="2" t="inlineStr">
        <is>
          <t>T10-L1</t>
        </is>
      </c>
      <c r="C29" s="2" t="inlineStr">
        <is>
          <t>T04-L2</t>
        </is>
      </c>
      <c r="D29" s="2" t="inlineStr">
        <is>
          <t>T02-L3</t>
        </is>
      </c>
    </row>
    <row r="30">
      <c r="A30" s="2" t="inlineStr">
        <is>
          <t>A4-3|4</t>
        </is>
      </c>
      <c r="B30" s="2" t="inlineStr">
        <is>
          <t>T07-L1</t>
        </is>
      </c>
      <c r="C30" s="2" t="inlineStr">
        <is>
          <t>T10-L2</t>
        </is>
      </c>
      <c r="D30" s="2" t="inlineStr">
        <is>
          <t>T01-L3</t>
        </is>
      </c>
    </row>
    <row r="31">
      <c r="A31" s="2" t="inlineStr">
        <is>
          <t>A4-3|5</t>
        </is>
      </c>
      <c r="B31" s="2" t="inlineStr">
        <is>
          <t>T07-L1</t>
        </is>
      </c>
      <c r="C31" s="2" t="inlineStr">
        <is>
          <t>T08-L2</t>
        </is>
      </c>
      <c r="D31" s="2" t="inlineStr">
        <is>
          <t>T01-L3</t>
        </is>
      </c>
    </row>
    <row r="32">
      <c r="A32" s="2" t="inlineStr">
        <is>
          <t>A4-4|1</t>
        </is>
      </c>
      <c r="B32" s="2" t="inlineStr">
        <is>
          <t>T08-L1</t>
        </is>
      </c>
      <c r="C32" s="2" t="inlineStr">
        <is>
          <t>T04-L2</t>
        </is>
      </c>
      <c r="D32" s="2" t="inlineStr">
        <is>
          <t>T05-L3</t>
        </is>
      </c>
    </row>
    <row r="33">
      <c r="A33" s="2" t="inlineStr">
        <is>
          <t>A4-4|2</t>
        </is>
      </c>
      <c r="B33" s="2" t="inlineStr">
        <is>
          <t>T08-L1</t>
        </is>
      </c>
      <c r="C33" s="2" t="inlineStr">
        <is>
          <t>T04-L2</t>
        </is>
      </c>
      <c r="D33" s="2" t="inlineStr">
        <is>
          <t>T03-L3</t>
        </is>
      </c>
    </row>
    <row r="34">
      <c r="A34" s="2" t="inlineStr">
        <is>
          <t>A4-4|3</t>
        </is>
      </c>
      <c r="B34" s="2" t="inlineStr">
        <is>
          <t>T08-L1</t>
        </is>
      </c>
      <c r="C34" s="2" t="inlineStr">
        <is>
          <t>T01-L2</t>
        </is>
      </c>
      <c r="D34" s="2" t="inlineStr">
        <is>
          <t>T04-L3</t>
        </is>
      </c>
    </row>
    <row r="35">
      <c r="A35" s="2" t="inlineStr">
        <is>
          <t>A4-4|4</t>
        </is>
      </c>
      <c r="B35" s="2" t="inlineStr">
        <is>
          <t>T08-L1</t>
        </is>
      </c>
      <c r="C35" s="2" t="inlineStr">
        <is>
          <t>T07-L2</t>
        </is>
      </c>
      <c r="D35" s="2" t="inlineStr">
        <is>
          <t>T04-L3</t>
        </is>
      </c>
    </row>
    <row r="36">
      <c r="A36" s="2" t="inlineStr">
        <is>
          <t>A4-4|5</t>
        </is>
      </c>
      <c r="B36" s="2" t="inlineStr">
        <is>
          <t>T08-L1</t>
        </is>
      </c>
      <c r="C36" s="2" t="inlineStr">
        <is>
          <t>T07-L2</t>
        </is>
      </c>
      <c r="D36" s="2" t="inlineStr">
        <is>
          <t>T01-L3</t>
        </is>
      </c>
    </row>
    <row r="37">
      <c r="A37" s="2" t="inlineStr">
        <is>
          <t>B3-1|1</t>
        </is>
      </c>
      <c r="B37" s="2" t="inlineStr">
        <is>
          <t>T04-L1</t>
        </is>
      </c>
      <c r="C37" s="2" t="inlineStr">
        <is>
          <t>T03-L2</t>
        </is>
      </c>
      <c r="D37" s="2" t="inlineStr">
        <is>
          <t>T06-L3</t>
        </is>
      </c>
    </row>
    <row r="38">
      <c r="A38" s="2" t="inlineStr">
        <is>
          <t>B3-1|2</t>
        </is>
      </c>
      <c r="B38" s="2" t="inlineStr">
        <is>
          <t>T01-L1</t>
        </is>
      </c>
      <c r="C38" s="2" t="inlineStr">
        <is>
          <t>T04-L2</t>
        </is>
      </c>
      <c r="D38" s="2" t="inlineStr">
        <is>
          <t>T07-L3</t>
        </is>
      </c>
    </row>
    <row r="39">
      <c r="A39" s="2" t="inlineStr">
        <is>
          <t>B3-1|3</t>
        </is>
      </c>
      <c r="B39" s="2" t="inlineStr">
        <is>
          <t>T01-L1</t>
        </is>
      </c>
      <c r="C39" s="2" t="inlineStr">
        <is>
          <t>T10-L2</t>
        </is>
      </c>
      <c r="D39" s="2" t="inlineStr">
        <is>
          <t>T04-L3</t>
        </is>
      </c>
    </row>
    <row r="40">
      <c r="A40" s="2" t="inlineStr">
        <is>
          <t>B3-1|4</t>
        </is>
      </c>
      <c r="B40" s="2" t="inlineStr">
        <is>
          <t>T01-L1</t>
        </is>
      </c>
      <c r="C40" s="2" t="inlineStr">
        <is>
          <t>T07-L2</t>
        </is>
      </c>
      <c r="D40" s="2" t="inlineStr">
        <is>
          <t>T03-L3</t>
        </is>
      </c>
    </row>
    <row r="41">
      <c r="A41" s="2" t="inlineStr">
        <is>
          <t>B3-1|5</t>
        </is>
      </c>
      <c r="B41" s="2" t="inlineStr">
        <is>
          <t>T01-L1</t>
        </is>
      </c>
      <c r="C41" s="2" t="inlineStr">
        <is>
          <t>T03-L2</t>
        </is>
      </c>
      <c r="D41" s="2" t="inlineStr">
        <is>
          <t>T06-L3</t>
        </is>
      </c>
    </row>
    <row r="42">
      <c r="A42" s="2" t="inlineStr">
        <is>
          <t>B3-2|1</t>
        </is>
      </c>
      <c r="B42" s="2" t="inlineStr">
        <is>
          <t>T05-L1</t>
        </is>
      </c>
      <c r="C42" s="2" t="inlineStr">
        <is>
          <t>T04-L2</t>
        </is>
      </c>
      <c r="D42" s="2" t="inlineStr">
        <is>
          <t>T07-L3</t>
        </is>
      </c>
    </row>
    <row r="43">
      <c r="A43" s="2" t="inlineStr">
        <is>
          <t>B3-2|2</t>
        </is>
      </c>
      <c r="B43" s="2" t="inlineStr">
        <is>
          <t>T04-L1</t>
        </is>
      </c>
      <c r="C43" s="2" t="inlineStr">
        <is>
          <t>T07-L2</t>
        </is>
      </c>
      <c r="D43" s="2" t="inlineStr">
        <is>
          <t>T01-L3</t>
        </is>
      </c>
    </row>
    <row r="44">
      <c r="A44" s="2" t="inlineStr">
        <is>
          <t>B3-2|3</t>
        </is>
      </c>
      <c r="B44" s="2" t="inlineStr">
        <is>
          <t>T04-L1</t>
        </is>
      </c>
      <c r="C44" s="2" t="inlineStr">
        <is>
          <t>T08-L2</t>
        </is>
      </c>
      <c r="D44" s="2" t="inlineStr">
        <is>
          <t>T02-L3</t>
        </is>
      </c>
    </row>
    <row r="45">
      <c r="A45" s="2" t="inlineStr">
        <is>
          <t>B3-2|4</t>
        </is>
      </c>
      <c r="B45" s="2" t="inlineStr">
        <is>
          <t>T05-L1</t>
        </is>
      </c>
      <c r="C45" s="2" t="inlineStr">
        <is>
          <t>T01-L2</t>
        </is>
      </c>
      <c r="D45" s="2" t="inlineStr">
        <is>
          <t>T07-L3</t>
        </is>
      </c>
    </row>
    <row r="46">
      <c r="A46" s="2" t="inlineStr">
        <is>
          <t>B3-2|5</t>
        </is>
      </c>
      <c r="B46" s="2" t="inlineStr">
        <is>
          <t>T05-L1</t>
        </is>
      </c>
      <c r="C46" s="2" t="inlineStr">
        <is>
          <t>T01-L2</t>
        </is>
      </c>
      <c r="D46" s="2" t="inlineStr">
        <is>
          <t>T07-L3</t>
        </is>
      </c>
    </row>
    <row r="47">
      <c r="A47" s="2" t="inlineStr">
        <is>
          <t>B3-3|1</t>
        </is>
      </c>
      <c r="B47" s="2" t="inlineStr">
        <is>
          <t>T06-L1</t>
        </is>
      </c>
      <c r="C47" s="2" t="inlineStr">
        <is>
          <t>T08-L2</t>
        </is>
      </c>
      <c r="D47" s="2" t="inlineStr">
        <is>
          <t>T03-L3</t>
        </is>
      </c>
    </row>
    <row r="48">
      <c r="A48" s="2" t="inlineStr">
        <is>
          <t>B3-3|2</t>
        </is>
      </c>
      <c r="B48" s="2" t="inlineStr">
        <is>
          <t>T05-L1</t>
        </is>
      </c>
      <c r="C48" s="2" t="inlineStr">
        <is>
          <t>T08-L2</t>
        </is>
      </c>
      <c r="D48" s="2" t="inlineStr">
        <is>
          <t>T02-L3</t>
        </is>
      </c>
    </row>
    <row r="49">
      <c r="A49" s="2" t="inlineStr">
        <is>
          <t>B3-3|3</t>
        </is>
      </c>
      <c r="B49" s="2" t="inlineStr">
        <is>
          <t>T06-L1</t>
        </is>
      </c>
      <c r="C49" s="2" t="inlineStr">
        <is>
          <t>T01-L2</t>
        </is>
      </c>
      <c r="D49" s="2" t="inlineStr">
        <is>
          <t>T05-L3</t>
        </is>
      </c>
    </row>
    <row r="50">
      <c r="A50" s="2" t="inlineStr">
        <is>
          <t>B3-3|4</t>
        </is>
      </c>
      <c r="B50" s="2" t="inlineStr">
        <is>
          <t>T06-L1</t>
        </is>
      </c>
      <c r="C50" s="2" t="inlineStr">
        <is>
          <t>T08-L2</t>
        </is>
      </c>
      <c r="D50" s="2" t="inlineStr">
        <is>
          <t>T01-L3</t>
        </is>
      </c>
    </row>
    <row r="51">
      <c r="A51" s="2" t="inlineStr">
        <is>
          <t>B3-3|5</t>
        </is>
      </c>
      <c r="B51" s="2" t="inlineStr">
        <is>
          <t>T06-L1</t>
        </is>
      </c>
      <c r="C51" s="2" t="inlineStr">
        <is>
          <t>T04-L2</t>
        </is>
      </c>
      <c r="D51" s="2" t="inlineStr">
        <is>
          <t>T01-L3</t>
        </is>
      </c>
    </row>
    <row r="52">
      <c r="A52" s="2" t="inlineStr">
        <is>
          <t>B4-1|1</t>
        </is>
      </c>
      <c r="B52" s="2" t="inlineStr">
        <is>
          <t>T06-L1</t>
        </is>
      </c>
      <c r="C52" s="2" t="inlineStr">
        <is>
          <t>T03-L2</t>
        </is>
      </c>
      <c r="D52" s="2" t="inlineStr">
        <is>
          <t>T04-L3</t>
        </is>
      </c>
    </row>
    <row r="53">
      <c r="A53" s="2" t="inlineStr">
        <is>
          <t>B4-1|2</t>
        </is>
      </c>
      <c r="B53" s="2" t="inlineStr">
        <is>
          <t>T01-L1</t>
        </is>
      </c>
      <c r="C53" s="2" t="inlineStr">
        <is>
          <t>T04-L2</t>
        </is>
      </c>
      <c r="D53" s="2" t="inlineStr">
        <is>
          <t>T07-L3</t>
        </is>
      </c>
    </row>
    <row r="54">
      <c r="A54" s="2" t="inlineStr">
        <is>
          <t>B4-1|3</t>
        </is>
      </c>
      <c r="B54" s="2" t="inlineStr">
        <is>
          <t>T01-L1</t>
        </is>
      </c>
      <c r="C54" s="2" t="inlineStr">
        <is>
          <t>T10-L2</t>
        </is>
      </c>
      <c r="D54" s="2" t="inlineStr">
        <is>
          <t>T04-L3</t>
        </is>
      </c>
    </row>
    <row r="55">
      <c r="A55" s="2" t="inlineStr">
        <is>
          <t>B4-1|4</t>
        </is>
      </c>
      <c r="B55" s="2" t="inlineStr">
        <is>
          <t>T06-L1</t>
        </is>
      </c>
      <c r="C55" s="2" t="inlineStr">
        <is>
          <t>T01-L2</t>
        </is>
      </c>
      <c r="D55" s="2" t="inlineStr">
        <is>
          <t>T03-L3</t>
        </is>
      </c>
    </row>
    <row r="56">
      <c r="A56" s="2" t="inlineStr">
        <is>
          <t>B4-1|5</t>
        </is>
      </c>
      <c r="B56" s="2" t="inlineStr">
        <is>
          <t>T06-L1</t>
        </is>
      </c>
      <c r="C56" s="2" t="inlineStr">
        <is>
          <t>T01-L2</t>
        </is>
      </c>
      <c r="D56" s="2" t="inlineStr">
        <is>
          <t>T03-L3</t>
        </is>
      </c>
    </row>
    <row r="57">
      <c r="A57" s="2" t="inlineStr">
        <is>
          <t>B4-2|1</t>
        </is>
      </c>
      <c r="B57" s="2" t="inlineStr">
        <is>
          <t>T05-L1</t>
        </is>
      </c>
      <c r="C57" s="2" t="inlineStr">
        <is>
          <t>T10-L2</t>
        </is>
      </c>
      <c r="D57" s="2" t="inlineStr">
        <is>
          <t>T07-L3</t>
        </is>
      </c>
    </row>
    <row r="58">
      <c r="A58" s="2" t="inlineStr">
        <is>
          <t>B4-2|2</t>
        </is>
      </c>
      <c r="B58" s="2" t="inlineStr">
        <is>
          <t>T05-L1</t>
        </is>
      </c>
      <c r="C58" s="2" t="inlineStr">
        <is>
          <t>T07-L2</t>
        </is>
      </c>
      <c r="D58" s="2" t="inlineStr">
        <is>
          <t>T01-L3</t>
        </is>
      </c>
    </row>
    <row r="59">
      <c r="A59" s="2" t="inlineStr">
        <is>
          <t>B4-2|3</t>
        </is>
      </c>
      <c r="B59" s="2" t="inlineStr">
        <is>
          <t>T08-L1</t>
        </is>
      </c>
      <c r="C59" s="2" t="inlineStr">
        <is>
          <t>T04-L2</t>
        </is>
      </c>
      <c r="D59" s="2" t="inlineStr">
        <is>
          <t>T02-L3</t>
        </is>
      </c>
    </row>
    <row r="60">
      <c r="A60" s="2" t="inlineStr">
        <is>
          <t>B4-2|4</t>
        </is>
      </c>
      <c r="B60" s="2" t="inlineStr">
        <is>
          <t>T05-L1</t>
        </is>
      </c>
      <c r="C60" s="2" t="inlineStr">
        <is>
          <t>T10-L2</t>
        </is>
      </c>
      <c r="D60" s="2" t="inlineStr">
        <is>
          <t>T01-L3</t>
        </is>
      </c>
    </row>
    <row r="61">
      <c r="A61" s="2" t="inlineStr">
        <is>
          <t>B4-2|5</t>
        </is>
      </c>
      <c r="B61" s="2" t="inlineStr">
        <is>
          <t>T05-L1</t>
        </is>
      </c>
      <c r="C61" s="2" t="inlineStr">
        <is>
          <t>T07-L2</t>
        </is>
      </c>
      <c r="D61" s="2" t="inlineStr">
        <is>
          <t>T01-L3</t>
        </is>
      </c>
    </row>
    <row r="62">
      <c r="A62" s="2" t="inlineStr">
        <is>
          <t>B4-3|1</t>
        </is>
      </c>
      <c r="B62" s="2" t="inlineStr">
        <is>
          <t>T07-L1</t>
        </is>
      </c>
      <c r="C62" s="2" t="inlineStr">
        <is>
          <t>T04-L2</t>
        </is>
      </c>
      <c r="D62" s="2" t="inlineStr">
        <is>
          <t>T06-L3</t>
        </is>
      </c>
    </row>
    <row r="63">
      <c r="A63" s="2" t="inlineStr">
        <is>
          <t>B4-3|2</t>
        </is>
      </c>
      <c r="B63" s="2" t="inlineStr">
        <is>
          <t>T08-L1</t>
        </is>
      </c>
      <c r="C63" s="2" t="inlineStr">
        <is>
          <t>T04-L2</t>
        </is>
      </c>
      <c r="D63" s="2" t="inlineStr">
        <is>
          <t>T02-L3</t>
        </is>
      </c>
    </row>
    <row r="64">
      <c r="A64" s="2" t="inlineStr">
        <is>
          <t>B4-3|3</t>
        </is>
      </c>
      <c r="B64" s="2" t="inlineStr">
        <is>
          <t>T06-L1</t>
        </is>
      </c>
      <c r="C64" s="2" t="inlineStr">
        <is>
          <t>T01-L2</t>
        </is>
      </c>
      <c r="D64" s="2" t="inlineStr">
        <is>
          <t>T04-L3</t>
        </is>
      </c>
    </row>
    <row r="65">
      <c r="A65" s="2" t="inlineStr">
        <is>
          <t>B4-3|4</t>
        </is>
      </c>
      <c r="B65" s="2" t="inlineStr">
        <is>
          <t>T08-L1</t>
        </is>
      </c>
      <c r="C65" s="2" t="inlineStr">
        <is>
          <t>T07-L2</t>
        </is>
      </c>
      <c r="D65" s="2" t="inlineStr">
        <is>
          <t>T04-L3</t>
        </is>
      </c>
    </row>
    <row r="66">
      <c r="A66" s="2" t="inlineStr">
        <is>
          <t>B4-3|5</t>
        </is>
      </c>
      <c r="B66" s="2" t="inlineStr">
        <is>
          <t>T07-L1</t>
        </is>
      </c>
      <c r="C66" s="2" t="inlineStr">
        <is>
          <t>T03-L2</t>
        </is>
      </c>
      <c r="D66" s="2" t="inlineStr">
        <is>
          <t>T01-L3</t>
        </is>
      </c>
    </row>
    <row r="67">
      <c r="A67" s="2" t="inlineStr">
        <is>
          <t>B4-4|1</t>
        </is>
      </c>
      <c r="B67" s="2" t="inlineStr">
        <is>
          <t>T10-L1</t>
        </is>
      </c>
      <c r="C67" s="2" t="inlineStr">
        <is>
          <t>T09-L2</t>
        </is>
      </c>
      <c r="D67" s="2" t="inlineStr">
        <is>
          <t>T03-L3</t>
        </is>
      </c>
    </row>
    <row r="68">
      <c r="A68" s="2" t="inlineStr">
        <is>
          <t>B4-4|2</t>
        </is>
      </c>
      <c r="B68" s="2" t="inlineStr">
        <is>
          <t>T07-L1</t>
        </is>
      </c>
      <c r="C68" s="2" t="inlineStr">
        <is>
          <t>T10-L2</t>
        </is>
      </c>
      <c r="D68" s="2" t="inlineStr">
        <is>
          <t>T03-L3</t>
        </is>
      </c>
    </row>
    <row r="69">
      <c r="A69" s="2" t="inlineStr">
        <is>
          <t>B4-4|3</t>
        </is>
      </c>
      <c r="B69" s="2" t="inlineStr">
        <is>
          <t>T10-L1</t>
        </is>
      </c>
      <c r="C69" s="2" t="inlineStr">
        <is>
          <t>T01-L2</t>
        </is>
      </c>
      <c r="D69" s="2" t="inlineStr">
        <is>
          <t>T02-L3</t>
        </is>
      </c>
    </row>
    <row r="70">
      <c r="A70" s="2" t="inlineStr">
        <is>
          <t>B4-4|4</t>
        </is>
      </c>
      <c r="B70" s="2" t="inlineStr">
        <is>
          <t>T07-L1</t>
        </is>
      </c>
      <c r="C70" s="2" t="inlineStr">
        <is>
          <t>T09-L2</t>
        </is>
      </c>
      <c r="D70" s="2" t="inlineStr">
        <is>
          <t>T02-L3</t>
        </is>
      </c>
    </row>
    <row r="71">
      <c r="A71" s="2" t="inlineStr">
        <is>
          <t>B4-4|5</t>
        </is>
      </c>
      <c r="B71" s="2" t="inlineStr">
        <is>
          <t>T10-L1</t>
        </is>
      </c>
      <c r="C71" s="2" t="inlineStr">
        <is>
          <t>T04-L2</t>
        </is>
      </c>
      <c r="D71" s="2" t="inlineStr">
        <is>
          <t>T06-L3</t>
        </is>
      </c>
    </row>
    <row r="72">
      <c r="A72" s="2" t="inlineStr">
        <is>
          <t>C3-1|1</t>
        </is>
      </c>
      <c r="B72" s="2" t="inlineStr">
        <is>
          <t>T02-L1</t>
        </is>
      </c>
      <c r="C72" s="2" t="inlineStr">
        <is>
          <t>T04-L2</t>
        </is>
      </c>
      <c r="D72" s="2" t="inlineStr">
        <is>
          <t>T07-L3</t>
        </is>
      </c>
    </row>
    <row r="73">
      <c r="A73" s="2" t="inlineStr">
        <is>
          <t>C3-1|2</t>
        </is>
      </c>
      <c r="B73" s="2" t="inlineStr">
        <is>
          <t>T01-L1</t>
        </is>
      </c>
      <c r="C73" s="2" t="inlineStr">
        <is>
          <t>T04-L2</t>
        </is>
      </c>
      <c r="D73" s="2" t="inlineStr">
        <is>
          <t>T07-L3</t>
        </is>
      </c>
    </row>
    <row r="74">
      <c r="A74" s="2" t="inlineStr">
        <is>
          <t>C3-1|3</t>
        </is>
      </c>
      <c r="B74" s="2" t="inlineStr">
        <is>
          <t>T02-L1</t>
        </is>
      </c>
      <c r="C74" s="2" t="inlineStr">
        <is>
          <t>T04-L2</t>
        </is>
      </c>
      <c r="D74" s="2" t="inlineStr">
        <is>
          <t>T08-L3</t>
        </is>
      </c>
    </row>
    <row r="75">
      <c r="A75" s="2" t="inlineStr">
        <is>
          <t>C3-1|4</t>
        </is>
      </c>
      <c r="B75" s="2" t="inlineStr">
        <is>
          <t>T02-L1</t>
        </is>
      </c>
      <c r="C75" s="2" t="inlineStr">
        <is>
          <t>T01-L2</t>
        </is>
      </c>
      <c r="D75" s="2" t="inlineStr">
        <is>
          <t>T07-L3</t>
        </is>
      </c>
    </row>
    <row r="76">
      <c r="A76" s="2" t="inlineStr">
        <is>
          <t>C3-1|5</t>
        </is>
      </c>
      <c r="B76" s="2" t="inlineStr">
        <is>
          <t>T02-L1</t>
        </is>
      </c>
      <c r="C76" s="2" t="inlineStr">
        <is>
          <t>T01-L2</t>
        </is>
      </c>
      <c r="D76" s="2" t="inlineStr">
        <is>
          <t>T08-L3</t>
        </is>
      </c>
    </row>
    <row r="77">
      <c r="A77" s="2" t="inlineStr">
        <is>
          <t>C3-2|1</t>
        </is>
      </c>
      <c r="B77" s="2" t="inlineStr">
        <is>
          <t>T05-L1</t>
        </is>
      </c>
      <c r="C77" s="2" t="inlineStr">
        <is>
          <t>T03-L2</t>
        </is>
      </c>
      <c r="D77" s="2" t="inlineStr">
        <is>
          <t>T06-L3</t>
        </is>
      </c>
    </row>
    <row r="78">
      <c r="A78" s="2" t="inlineStr">
        <is>
          <t>C3-2|2</t>
        </is>
      </c>
      <c r="B78" s="2" t="inlineStr">
        <is>
          <t>T05-L1</t>
        </is>
      </c>
      <c r="C78" s="2" t="inlineStr">
        <is>
          <t>T07-L2</t>
        </is>
      </c>
      <c r="D78" s="2" t="inlineStr">
        <is>
          <t>T02-L3</t>
        </is>
      </c>
    </row>
    <row r="79">
      <c r="A79" s="2" t="inlineStr">
        <is>
          <t>C3-2|3</t>
        </is>
      </c>
      <c r="B79" s="2" t="inlineStr">
        <is>
          <t>T06-L1</t>
        </is>
      </c>
      <c r="C79" s="2" t="inlineStr">
        <is>
          <t>T01-L2</t>
        </is>
      </c>
      <c r="D79" s="2" t="inlineStr">
        <is>
          <t>T04-L3</t>
        </is>
      </c>
    </row>
    <row r="80">
      <c r="A80" s="2" t="inlineStr">
        <is>
          <t>C3-2|4</t>
        </is>
      </c>
      <c r="B80" s="2" t="inlineStr">
        <is>
          <t>T05-L1</t>
        </is>
      </c>
      <c r="C80" s="2" t="inlineStr">
        <is>
          <t>T07-L2</t>
        </is>
      </c>
      <c r="D80" s="2" t="inlineStr">
        <is>
          <t>T01-L3</t>
        </is>
      </c>
    </row>
    <row r="81">
      <c r="A81" s="2" t="inlineStr">
        <is>
          <t>C3-2|5</t>
        </is>
      </c>
      <c r="B81" s="2" t="inlineStr">
        <is>
          <t>T05-L1</t>
        </is>
      </c>
      <c r="C81" s="2" t="inlineStr">
        <is>
          <t>T03-L2</t>
        </is>
      </c>
      <c r="D81" s="2" t="inlineStr">
        <is>
          <t>T06-L3</t>
        </is>
      </c>
    </row>
    <row r="82">
      <c r="A82" s="2" t="inlineStr">
        <is>
          <t>C3-3|1</t>
        </is>
      </c>
      <c r="B82" s="2" t="inlineStr">
        <is>
          <t>T06-L1</t>
        </is>
      </c>
      <c r="C82" s="2" t="inlineStr">
        <is>
          <t>T09-L2</t>
        </is>
      </c>
      <c r="D82" s="2" t="inlineStr">
        <is>
          <t>T03-L3</t>
        </is>
      </c>
    </row>
    <row r="83">
      <c r="A83" s="2" t="inlineStr">
        <is>
          <t>C3-3|2</t>
        </is>
      </c>
      <c r="B83" s="2" t="inlineStr">
        <is>
          <t>T06-L1</t>
        </is>
      </c>
      <c r="C83" s="2" t="inlineStr">
        <is>
          <t>T10-L2</t>
        </is>
      </c>
      <c r="D83" s="2" t="inlineStr">
        <is>
          <t>T01-L3</t>
        </is>
      </c>
    </row>
    <row r="84">
      <c r="A84" s="2" t="inlineStr">
        <is>
          <t>C3-3|3</t>
        </is>
      </c>
      <c r="B84" s="2" t="inlineStr">
        <is>
          <t>T01-L1</t>
        </is>
      </c>
      <c r="C84" s="2" t="inlineStr">
        <is>
          <t>T10-L2</t>
        </is>
      </c>
      <c r="D84" s="2" t="inlineStr">
        <is>
          <t>T02-L3</t>
        </is>
      </c>
    </row>
    <row r="85">
      <c r="A85" s="2" t="inlineStr">
        <is>
          <t>C3-3|4</t>
        </is>
      </c>
      <c r="B85" s="2" t="inlineStr">
        <is>
          <t>T06-L1</t>
        </is>
      </c>
      <c r="C85" s="2" t="inlineStr">
        <is>
          <t>T09-L2</t>
        </is>
      </c>
      <c r="D85" s="2" t="inlineStr">
        <is>
          <t>T02-L3</t>
        </is>
      </c>
    </row>
    <row r="86">
      <c r="A86" s="2" t="inlineStr">
        <is>
          <t>C3-3|5</t>
        </is>
      </c>
      <c r="B86" s="2" t="inlineStr">
        <is>
          <t>T06-L1</t>
        </is>
      </c>
      <c r="C86" s="2" t="inlineStr">
        <is>
          <t>T04-L2</t>
        </is>
      </c>
      <c r="D86" s="2" t="inlineStr">
        <is>
          <t>T03-L3</t>
        </is>
      </c>
    </row>
    <row r="87">
      <c r="A87" s="2" t="inlineStr">
        <is>
          <t>C4-1|1</t>
        </is>
      </c>
      <c r="B87" s="2" t="inlineStr">
        <is>
          <t>T02-L1</t>
        </is>
      </c>
      <c r="C87" s="2" t="inlineStr">
        <is>
          <t>T04-L2</t>
        </is>
      </c>
      <c r="D87" s="2" t="inlineStr">
        <is>
          <t>T07-L3</t>
        </is>
      </c>
    </row>
    <row r="88">
      <c r="A88" s="2" t="inlineStr">
        <is>
          <t>C4-1|2</t>
        </is>
      </c>
      <c r="B88" s="2" t="inlineStr">
        <is>
          <t>T01-L1</t>
        </is>
      </c>
      <c r="C88" s="2" t="inlineStr">
        <is>
          <t>T04-L2</t>
        </is>
      </c>
      <c r="D88" s="2" t="inlineStr">
        <is>
          <t>T07-L3</t>
        </is>
      </c>
    </row>
    <row r="89">
      <c r="A89" s="2" t="inlineStr">
        <is>
          <t>C4-1|3</t>
        </is>
      </c>
      <c r="B89" s="2" t="inlineStr">
        <is>
          <t>T02-L1</t>
        </is>
      </c>
      <c r="C89" s="2" t="inlineStr">
        <is>
          <t>T10-L2</t>
        </is>
      </c>
      <c r="D89" s="2" t="inlineStr">
        <is>
          <t>T04-L3</t>
        </is>
      </c>
    </row>
    <row r="90">
      <c r="A90" s="2" t="inlineStr">
        <is>
          <t>C4-1|4</t>
        </is>
      </c>
      <c r="B90" s="2" t="inlineStr">
        <is>
          <t>T02-L1</t>
        </is>
      </c>
      <c r="C90" s="2" t="inlineStr">
        <is>
          <t>T01-L2</t>
        </is>
      </c>
      <c r="D90" s="2" t="inlineStr">
        <is>
          <t>T07-L3</t>
        </is>
      </c>
    </row>
    <row r="91">
      <c r="A91" s="2" t="inlineStr">
        <is>
          <t>C4-1|5</t>
        </is>
      </c>
      <c r="B91" s="2" t="inlineStr">
        <is>
          <t>T02-L1</t>
        </is>
      </c>
      <c r="C91" s="2" t="inlineStr">
        <is>
          <t>T01-L2</t>
        </is>
      </c>
      <c r="D91" s="2" t="inlineStr">
        <is>
          <t>T08-L3</t>
        </is>
      </c>
    </row>
    <row r="92">
      <c r="A92" s="2" t="inlineStr">
        <is>
          <t>C4-2|1</t>
        </is>
      </c>
      <c r="B92" s="2" t="inlineStr">
        <is>
          <t>T07-L1</t>
        </is>
      </c>
      <c r="C92" s="2" t="inlineStr">
        <is>
          <t>T05-L2</t>
        </is>
      </c>
      <c r="D92" s="2" t="inlineStr">
        <is>
          <t>T04-L3</t>
        </is>
      </c>
    </row>
    <row r="93">
      <c r="A93" s="2" t="inlineStr">
        <is>
          <t>C4-2|2</t>
        </is>
      </c>
      <c r="B93" s="2" t="inlineStr">
        <is>
          <t>T05-L1</t>
        </is>
      </c>
      <c r="C93" s="2" t="inlineStr">
        <is>
          <t>T04-L2</t>
        </is>
      </c>
      <c r="D93" s="2" t="inlineStr">
        <is>
          <t>T06-L3</t>
        </is>
      </c>
    </row>
    <row r="94">
      <c r="A94" s="2" t="inlineStr">
        <is>
          <t>C4-2|3</t>
        </is>
      </c>
      <c r="B94" s="2" t="inlineStr">
        <is>
          <t>T08-L1</t>
        </is>
      </c>
      <c r="C94" s="2" t="inlineStr">
        <is>
          <t>T01-L2</t>
        </is>
      </c>
      <c r="D94" s="2" t="inlineStr">
        <is>
          <t>T04-L3</t>
        </is>
      </c>
    </row>
    <row r="95">
      <c r="A95" s="2" t="inlineStr">
        <is>
          <t>C4-2|4</t>
        </is>
      </c>
      <c r="B95" s="2" t="inlineStr">
        <is>
          <t>T05-L1</t>
        </is>
      </c>
      <c r="C95" s="2" t="inlineStr">
        <is>
          <t>T07-L2</t>
        </is>
      </c>
      <c r="D95" s="2" t="inlineStr">
        <is>
          <t>T01-L3</t>
        </is>
      </c>
    </row>
    <row r="96">
      <c r="A96" s="2" t="inlineStr">
        <is>
          <t>C4-2|5</t>
        </is>
      </c>
      <c r="B96" s="2" t="inlineStr">
        <is>
          <t>T05-L1</t>
        </is>
      </c>
      <c r="C96" s="2" t="inlineStr">
        <is>
          <t>T03-L2</t>
        </is>
      </c>
      <c r="D96" s="2" t="inlineStr">
        <is>
          <t>T06-L3</t>
        </is>
      </c>
    </row>
    <row r="97">
      <c r="A97" s="2" t="inlineStr">
        <is>
          <t>C4-3|1</t>
        </is>
      </c>
      <c r="B97" s="2" t="inlineStr">
        <is>
          <t>T10-L1</t>
        </is>
      </c>
      <c r="C97" s="2" t="inlineStr">
        <is>
          <t>T03-L2</t>
        </is>
      </c>
      <c r="D97" s="2" t="inlineStr">
        <is>
          <t>T06-L3</t>
        </is>
      </c>
    </row>
    <row r="98">
      <c r="A98" s="2" t="inlineStr">
        <is>
          <t>C4-3|2</t>
        </is>
      </c>
      <c r="B98" s="2" t="inlineStr">
        <is>
          <t>T07-L1</t>
        </is>
      </c>
      <c r="C98" s="2" t="inlineStr">
        <is>
          <t>T10-L2</t>
        </is>
      </c>
      <c r="D98" s="2" t="inlineStr">
        <is>
          <t>T01-L3</t>
        </is>
      </c>
    </row>
    <row r="99">
      <c r="A99" s="2" t="inlineStr">
        <is>
          <t>C4-3|3</t>
        </is>
      </c>
      <c r="B99" s="2" t="inlineStr">
        <is>
          <t>T01-L1</t>
        </is>
      </c>
      <c r="C99" s="2" t="inlineStr">
        <is>
          <t>T10-L2</t>
        </is>
      </c>
      <c r="D99" s="2" t="inlineStr">
        <is>
          <t>T02-L3</t>
        </is>
      </c>
    </row>
    <row r="100">
      <c r="A100" s="2" t="inlineStr">
        <is>
          <t>C4-3|4</t>
        </is>
      </c>
      <c r="B100" s="2" t="inlineStr">
        <is>
          <t>T07-L1</t>
        </is>
      </c>
      <c r="C100" s="2" t="inlineStr">
        <is>
          <t>T10-L2</t>
        </is>
      </c>
      <c r="D100" s="2" t="inlineStr">
        <is>
          <t>T02-L3</t>
        </is>
      </c>
    </row>
    <row r="101">
      <c r="A101" s="2" t="inlineStr">
        <is>
          <t>C4-3|5</t>
        </is>
      </c>
      <c r="B101" s="2" t="inlineStr">
        <is>
          <t>T10-L1</t>
        </is>
      </c>
      <c r="C101" s="2" t="inlineStr">
        <is>
          <t>T04-L2</t>
        </is>
      </c>
      <c r="D101" s="2" t="inlineStr">
        <is>
          <t>T06-L3</t>
        </is>
      </c>
    </row>
    <row r="102">
      <c r="A102" s="2" t="inlineStr">
        <is>
          <t>C4-4|1</t>
        </is>
      </c>
      <c r="B102" s="2" t="inlineStr">
        <is>
          <t>T05-L1</t>
        </is>
      </c>
      <c r="C102" s="2" t="inlineStr">
        <is>
          <t>T10-L2</t>
        </is>
      </c>
      <c r="D102" s="2" t="inlineStr">
        <is>
          <t>T08-L3</t>
        </is>
      </c>
    </row>
    <row r="103">
      <c r="A103" s="2" t="inlineStr">
        <is>
          <t>C4-4|2</t>
        </is>
      </c>
      <c r="B103" s="2" t="inlineStr">
        <is>
          <t>T08-L1</t>
        </is>
      </c>
      <c r="C103" s="2" t="inlineStr">
        <is>
          <t>T07-L2</t>
        </is>
      </c>
      <c r="D103" s="2" t="inlineStr">
        <is>
          <t>T02-L3</t>
        </is>
      </c>
    </row>
    <row r="104">
      <c r="A104" s="2" t="inlineStr">
        <is>
          <t>C4-4|3</t>
        </is>
      </c>
      <c r="B104" s="2" t="inlineStr">
        <is>
          <t>T10-L1</t>
        </is>
      </c>
      <c r="C104" s="2" t="inlineStr">
        <is>
          <t>T04-L2</t>
        </is>
      </c>
      <c r="D104" s="2" t="inlineStr">
        <is>
          <t>T02-L3</t>
        </is>
      </c>
    </row>
    <row r="105">
      <c r="A105" s="2" t="inlineStr">
        <is>
          <t>C4-4|4</t>
        </is>
      </c>
      <c r="B105" s="2" t="inlineStr">
        <is>
          <t>T08-L1</t>
        </is>
      </c>
      <c r="C105" s="2" t="inlineStr">
        <is>
          <t>T05-L2</t>
        </is>
      </c>
      <c r="D105" s="2" t="inlineStr">
        <is>
          <t>T04-L3</t>
        </is>
      </c>
    </row>
    <row r="106">
      <c r="A106" s="2" t="inlineStr">
        <is>
          <t>C4-4|5</t>
        </is>
      </c>
      <c r="B106" s="2" t="inlineStr">
        <is>
          <t>T07-L1</t>
        </is>
      </c>
      <c r="C106" s="2" t="inlineStr">
        <is>
          <t>T05-L2</t>
        </is>
      </c>
      <c r="D106" s="2" t="inlineStr">
        <is>
          <t>T01-L3</t>
        </is>
      </c>
    </row>
    <row r="107">
      <c r="A107" s="2" t="inlineStr">
        <is>
          <t>D3-1|1</t>
        </is>
      </c>
      <c r="B107" s="2" t="inlineStr">
        <is>
          <t>T03-L1</t>
        </is>
      </c>
      <c r="C107" s="2" t="inlineStr">
        <is>
          <t>T04-L2</t>
        </is>
      </c>
      <c r="D107" s="2" t="inlineStr">
        <is>
          <t>T06-L3</t>
        </is>
      </c>
    </row>
    <row r="108">
      <c r="A108" s="2" t="inlineStr">
        <is>
          <t>D3-1|2</t>
        </is>
      </c>
      <c r="B108" s="2" t="inlineStr">
        <is>
          <t>T03-L1</t>
        </is>
      </c>
      <c r="C108" s="2" t="inlineStr">
        <is>
          <t>T04-L2</t>
        </is>
      </c>
      <c r="D108" s="2" t="inlineStr">
        <is>
          <t>T06-L3</t>
        </is>
      </c>
    </row>
    <row r="109">
      <c r="A109" s="2" t="inlineStr">
        <is>
          <t>D3-1|3</t>
        </is>
      </c>
      <c r="B109" s="2" t="inlineStr">
        <is>
          <t>T01-L1</t>
        </is>
      </c>
      <c r="C109" s="2" t="inlineStr">
        <is>
          <t>T06-L2</t>
        </is>
      </c>
      <c r="D109" s="2" t="inlineStr">
        <is>
          <t>T04-L3</t>
        </is>
      </c>
    </row>
    <row r="110">
      <c r="A110" s="2" t="inlineStr">
        <is>
          <t>D3-1|4</t>
        </is>
      </c>
      <c r="B110" s="2" t="inlineStr">
        <is>
          <t>T03-L1</t>
        </is>
      </c>
      <c r="C110" s="2" t="inlineStr">
        <is>
          <t>T01-L2</t>
        </is>
      </c>
      <c r="D110" s="2" t="inlineStr">
        <is>
          <t>T06-L3</t>
        </is>
      </c>
    </row>
    <row r="111">
      <c r="A111" s="2" t="inlineStr">
        <is>
          <t>D3-1|5</t>
        </is>
      </c>
      <c r="B111" s="2" t="inlineStr">
        <is>
          <t>T03-L1</t>
        </is>
      </c>
      <c r="C111" s="2" t="inlineStr">
        <is>
          <t>T01-L2</t>
        </is>
      </c>
      <c r="D111" s="2" t="inlineStr">
        <is>
          <t>T06-L3</t>
        </is>
      </c>
    </row>
    <row r="112">
      <c r="A112" s="2" t="inlineStr">
        <is>
          <t>D3-2|1</t>
        </is>
      </c>
      <c r="B112" s="2" t="inlineStr">
        <is>
          <t>T02-L1</t>
        </is>
      </c>
      <c r="C112" s="2" t="inlineStr">
        <is>
          <t>T03-L2</t>
        </is>
      </c>
      <c r="D112" s="2" t="inlineStr">
        <is>
          <t>T07-L3</t>
        </is>
      </c>
    </row>
    <row r="113">
      <c r="A113" s="2" t="inlineStr">
        <is>
          <t>D3-2|2</t>
        </is>
      </c>
      <c r="B113" s="2" t="inlineStr">
        <is>
          <t>T01-L1</t>
        </is>
      </c>
      <c r="C113" s="2" t="inlineStr">
        <is>
          <t>T06-L2</t>
        </is>
      </c>
      <c r="D113" s="2" t="inlineStr">
        <is>
          <t>T02-L3</t>
        </is>
      </c>
    </row>
    <row r="114">
      <c r="A114" s="2" t="inlineStr">
        <is>
          <t>D3-2|3</t>
        </is>
      </c>
      <c r="B114" s="2" t="inlineStr">
        <is>
          <t>T02-L1</t>
        </is>
      </c>
      <c r="C114" s="2" t="inlineStr">
        <is>
          <t>T10-L2</t>
        </is>
      </c>
      <c r="D114" s="2" t="inlineStr">
        <is>
          <t>T01-L3</t>
        </is>
      </c>
    </row>
    <row r="115">
      <c r="A115" s="2" t="inlineStr">
        <is>
          <t>D3-2|4</t>
        </is>
      </c>
      <c r="B115" s="2" t="inlineStr">
        <is>
          <t>T02-L1</t>
        </is>
      </c>
      <c r="C115" s="2" t="inlineStr">
        <is>
          <t>T06-L2</t>
        </is>
      </c>
      <c r="D115" s="2" t="inlineStr">
        <is>
          <t>T04-L3</t>
        </is>
      </c>
    </row>
    <row r="116">
      <c r="A116" s="2" t="inlineStr">
        <is>
          <t>D3-2|5</t>
        </is>
      </c>
      <c r="B116" s="2" t="inlineStr">
        <is>
          <t>T02-L1</t>
        </is>
      </c>
      <c r="C116" s="2" t="inlineStr">
        <is>
          <t>T03-L2</t>
        </is>
      </c>
      <c r="D116" s="2" t="inlineStr">
        <is>
          <t>T09-L3</t>
        </is>
      </c>
    </row>
    <row r="117">
      <c r="A117" s="2" t="inlineStr">
        <is>
          <t>D3-3|1</t>
        </is>
      </c>
      <c r="B117" s="2" t="inlineStr">
        <is>
          <t>T05-L1</t>
        </is>
      </c>
      <c r="C117" s="2" t="inlineStr">
        <is>
          <t>T10-L2</t>
        </is>
      </c>
      <c r="D117" s="2" t="inlineStr">
        <is>
          <t>T04-L3</t>
        </is>
      </c>
    </row>
    <row r="118">
      <c r="A118" s="2" t="inlineStr">
        <is>
          <t>D3-3|2</t>
        </is>
      </c>
      <c r="B118" s="2" t="inlineStr">
        <is>
          <t>T07-L1</t>
        </is>
      </c>
      <c r="C118" s="2" t="inlineStr">
        <is>
          <t>T10-L2</t>
        </is>
      </c>
      <c r="D118" s="2" t="inlineStr">
        <is>
          <t>T01-L3</t>
        </is>
      </c>
    </row>
    <row r="119">
      <c r="A119" s="2" t="inlineStr">
        <is>
          <t>D3-3|3</t>
        </is>
      </c>
      <c r="B119" s="2" t="inlineStr">
        <is>
          <t>T10-L1</t>
        </is>
      </c>
      <c r="C119" s="2" t="inlineStr">
        <is>
          <t>T01-L2</t>
        </is>
      </c>
      <c r="D119" s="2" t="inlineStr">
        <is>
          <t>T02-L3</t>
        </is>
      </c>
    </row>
    <row r="120">
      <c r="A120" s="2" t="inlineStr">
        <is>
          <t>D3-3|4</t>
        </is>
      </c>
      <c r="B120" s="2" t="inlineStr">
        <is>
          <t>T05-L1</t>
        </is>
      </c>
      <c r="C120" s="2" t="inlineStr">
        <is>
          <t>T07-L2</t>
        </is>
      </c>
      <c r="D120" s="2" t="inlineStr">
        <is>
          <t>T01-L3</t>
        </is>
      </c>
    </row>
    <row r="121">
      <c r="A121" s="2" t="inlineStr">
        <is>
          <t>D3-3|5</t>
        </is>
      </c>
      <c r="B121" s="2" t="inlineStr">
        <is>
          <t>T05-L1</t>
        </is>
      </c>
      <c r="C121" s="2" t="inlineStr">
        <is>
          <t>T04-L2</t>
        </is>
      </c>
      <c r="D121" s="2" t="inlineStr">
        <is>
          <t>T08-L3</t>
        </is>
      </c>
    </row>
    <row r="122">
      <c r="A122" s="2" t="inlineStr">
        <is>
          <t>D4-1|1</t>
        </is>
      </c>
      <c r="B122" s="2" t="inlineStr">
        <is>
          <t>T03-L1</t>
        </is>
      </c>
      <c r="C122" s="2" t="inlineStr">
        <is>
          <t>T04-L2</t>
        </is>
      </c>
      <c r="D122" s="2" t="inlineStr">
        <is>
          <t>T06-L3</t>
        </is>
      </c>
    </row>
    <row r="123">
      <c r="A123" s="2" t="inlineStr">
        <is>
          <t>D4-1|2</t>
        </is>
      </c>
      <c r="B123" s="2" t="inlineStr">
        <is>
          <t>T03-L1</t>
        </is>
      </c>
      <c r="C123" s="2" t="inlineStr">
        <is>
          <t>T04-L2</t>
        </is>
      </c>
      <c r="D123" s="2" t="inlineStr">
        <is>
          <t>T06-L3</t>
        </is>
      </c>
    </row>
    <row r="124">
      <c r="A124" s="2" t="inlineStr">
        <is>
          <t>D4-1|3</t>
        </is>
      </c>
      <c r="B124" s="2" t="inlineStr">
        <is>
          <t>T08-L1</t>
        </is>
      </c>
      <c r="C124" s="2" t="inlineStr">
        <is>
          <t>T01-L2</t>
        </is>
      </c>
      <c r="D124" s="2" t="inlineStr">
        <is>
          <t>T04-L3</t>
        </is>
      </c>
    </row>
    <row r="125">
      <c r="A125" s="2" t="inlineStr">
        <is>
          <t>D4-1|4</t>
        </is>
      </c>
      <c r="B125" s="2" t="inlineStr">
        <is>
          <t>T03-L1</t>
        </is>
      </c>
      <c r="C125" s="2" t="inlineStr">
        <is>
          <t>T01-L2</t>
        </is>
      </c>
      <c r="D125" s="2" t="inlineStr">
        <is>
          <t>T06-L3</t>
        </is>
      </c>
    </row>
    <row r="126">
      <c r="A126" s="2" t="inlineStr">
        <is>
          <t>D4-1|5</t>
        </is>
      </c>
      <c r="B126" s="2" t="inlineStr">
        <is>
          <t>T03-L1</t>
        </is>
      </c>
      <c r="C126" s="2" t="inlineStr">
        <is>
          <t>T01-L2</t>
        </is>
      </c>
      <c r="D126" s="2" t="inlineStr">
        <is>
          <t>T06-L3</t>
        </is>
      </c>
    </row>
    <row r="127">
      <c r="A127" s="2" t="inlineStr">
        <is>
          <t>D4-2|1</t>
        </is>
      </c>
      <c r="B127" s="2" t="inlineStr">
        <is>
          <t>T02-L1</t>
        </is>
      </c>
      <c r="C127" s="2" t="inlineStr">
        <is>
          <t>T03-L2</t>
        </is>
      </c>
      <c r="D127" s="2" t="inlineStr">
        <is>
          <t>T07-L3</t>
        </is>
      </c>
    </row>
    <row r="128">
      <c r="A128" s="2" t="inlineStr">
        <is>
          <t>D4-2|2</t>
        </is>
      </c>
      <c r="B128" s="2" t="inlineStr">
        <is>
          <t>T01-L1</t>
        </is>
      </c>
      <c r="C128" s="2" t="inlineStr">
        <is>
          <t>T06-L2</t>
        </is>
      </c>
      <c r="D128" s="2" t="inlineStr">
        <is>
          <t>T02-L3</t>
        </is>
      </c>
    </row>
    <row r="129">
      <c r="A129" s="2" t="inlineStr">
        <is>
          <t>D4-2|3</t>
        </is>
      </c>
      <c r="B129" s="2" t="inlineStr">
        <is>
          <t>T01-L1</t>
        </is>
      </c>
      <c r="C129" s="2" t="inlineStr">
        <is>
          <t>T06-L2</t>
        </is>
      </c>
      <c r="D129" s="2" t="inlineStr">
        <is>
          <t>T02-L3</t>
        </is>
      </c>
    </row>
    <row r="130">
      <c r="A130" s="2" t="inlineStr">
        <is>
          <t>D4-2|4</t>
        </is>
      </c>
      <c r="B130" s="2" t="inlineStr">
        <is>
          <t>T02-L1</t>
        </is>
      </c>
      <c r="C130" s="2" t="inlineStr">
        <is>
          <t>T06-L2</t>
        </is>
      </c>
      <c r="D130" s="2" t="inlineStr">
        <is>
          <t>T04-L3</t>
        </is>
      </c>
    </row>
    <row r="131">
      <c r="A131" s="2" t="inlineStr">
        <is>
          <t>D4-2|5</t>
        </is>
      </c>
      <c r="B131" s="2" t="inlineStr">
        <is>
          <t>T02-L1</t>
        </is>
      </c>
      <c r="C131" s="2" t="inlineStr">
        <is>
          <t>T03-L2</t>
        </is>
      </c>
      <c r="D131" s="2" t="inlineStr">
        <is>
          <t>T06-L3</t>
        </is>
      </c>
    </row>
    <row r="132">
      <c r="A132" s="2" t="inlineStr">
        <is>
          <t>D4-3|1</t>
        </is>
      </c>
      <c r="B132" s="2" t="inlineStr">
        <is>
          <t>T07-L1</t>
        </is>
      </c>
      <c r="C132" s="2" t="inlineStr">
        <is>
          <t>T05-L2</t>
        </is>
      </c>
      <c r="D132" s="2" t="inlineStr">
        <is>
          <t>T08-L3</t>
        </is>
      </c>
    </row>
    <row r="133">
      <c r="A133" s="2" t="inlineStr">
        <is>
          <t>D4-3|2</t>
        </is>
      </c>
      <c r="B133" s="2" t="inlineStr">
        <is>
          <t>T07-L1</t>
        </is>
      </c>
      <c r="C133" s="2" t="inlineStr">
        <is>
          <t>T04-L2</t>
        </is>
      </c>
      <c r="D133" s="2" t="inlineStr">
        <is>
          <t>T08-L3</t>
        </is>
      </c>
    </row>
    <row r="134">
      <c r="A134" s="2" t="inlineStr">
        <is>
          <t>D4-3|3</t>
        </is>
      </c>
      <c r="B134" s="2" t="inlineStr">
        <is>
          <t>T10-L1</t>
        </is>
      </c>
      <c r="C134" s="2" t="inlineStr">
        <is>
          <t>T04-L2</t>
        </is>
      </c>
      <c r="D134" s="2" t="inlineStr">
        <is>
          <t>T02-L3</t>
        </is>
      </c>
    </row>
    <row r="135">
      <c r="A135" s="2" t="inlineStr">
        <is>
          <t>D4-3|4</t>
        </is>
      </c>
      <c r="B135" s="2" t="inlineStr">
        <is>
          <t>T07-L1</t>
        </is>
      </c>
      <c r="C135" s="2" t="inlineStr">
        <is>
          <t>T05-L2</t>
        </is>
      </c>
      <c r="D135" s="2" t="inlineStr">
        <is>
          <t>T08-L3</t>
        </is>
      </c>
    </row>
    <row r="136">
      <c r="A136" s="2" t="inlineStr">
        <is>
          <t>D4-3|5</t>
        </is>
      </c>
      <c r="B136" s="2" t="inlineStr">
        <is>
          <t>T07-L1</t>
        </is>
      </c>
      <c r="C136" s="2" t="inlineStr">
        <is>
          <t>T05-L2</t>
        </is>
      </c>
      <c r="D136" s="2" t="inlineStr">
        <is>
          <t>T08-L3</t>
        </is>
      </c>
    </row>
    <row r="137">
      <c r="A137" s="2" t="inlineStr">
        <is>
          <t>D4-4|1</t>
        </is>
      </c>
      <c r="B137" s="2" t="inlineStr">
        <is>
          <t>T08-L1</t>
        </is>
      </c>
      <c r="C137" s="2" t="inlineStr">
        <is>
          <t>T06-L2</t>
        </is>
      </c>
      <c r="D137" s="2" t="inlineStr">
        <is>
          <t>T04-L3</t>
        </is>
      </c>
    </row>
    <row r="138">
      <c r="A138" s="2" t="inlineStr">
        <is>
          <t>D4-4|2</t>
        </is>
      </c>
      <c r="B138" s="2" t="inlineStr">
        <is>
          <t>T08-L1</t>
        </is>
      </c>
      <c r="C138" s="2" t="inlineStr">
        <is>
          <t>T07-L2</t>
        </is>
      </c>
      <c r="D138" s="2" t="inlineStr">
        <is>
          <t>T04-L3</t>
        </is>
      </c>
    </row>
    <row r="139">
      <c r="A139" s="2" t="inlineStr">
        <is>
          <t>D4-4|3</t>
        </is>
      </c>
      <c r="B139" s="2" t="inlineStr">
        <is>
          <t>T02-L1</t>
        </is>
      </c>
      <c r="C139" s="2" t="inlineStr">
        <is>
          <t>T06-L2</t>
        </is>
      </c>
      <c r="D139" s="2" t="inlineStr">
        <is>
          <t>T04-L3</t>
        </is>
      </c>
    </row>
    <row r="140">
      <c r="A140" s="2" t="inlineStr">
        <is>
          <t>D4-4|4</t>
        </is>
      </c>
      <c r="B140" s="2" t="inlineStr">
        <is>
          <t>T08-L1</t>
        </is>
      </c>
      <c r="C140" s="2" t="inlineStr">
        <is>
          <t>T07-L2</t>
        </is>
      </c>
      <c r="D140" s="2" t="inlineStr">
        <is>
          <t>T02-L3</t>
        </is>
      </c>
    </row>
    <row r="141">
      <c r="A141" s="2" t="inlineStr">
        <is>
          <t>D4-4|5</t>
        </is>
      </c>
      <c r="B141" s="2" t="inlineStr">
        <is>
          <t>T08-L1</t>
        </is>
      </c>
      <c r="C141" s="2" t="inlineStr">
        <is>
          <t>T04-L2</t>
        </is>
      </c>
      <c r="D141" s="2" t="inlineStr">
        <is>
          <t>T09-L3</t>
        </is>
      </c>
    </row>
    <row r="142">
      <c r="A142" s="2" t="inlineStr">
        <is>
          <t>E3-1|1</t>
        </is>
      </c>
      <c r="B142" s="2" t="inlineStr">
        <is>
          <t>T02-L1</t>
        </is>
      </c>
      <c r="C142" s="2" t="inlineStr">
        <is>
          <t>T03-L2</t>
        </is>
      </c>
      <c r="D142" s="2" t="inlineStr">
        <is>
          <t>T06-L3</t>
        </is>
      </c>
    </row>
    <row r="143">
      <c r="A143" s="2" t="inlineStr">
        <is>
          <t>E3-1|2</t>
        </is>
      </c>
      <c r="B143" s="2" t="inlineStr">
        <is>
          <t>T01-L1</t>
        </is>
      </c>
      <c r="C143" s="2" t="inlineStr">
        <is>
          <t>T06-L2</t>
        </is>
      </c>
      <c r="D143" s="2" t="inlineStr">
        <is>
          <t>T02-L3</t>
        </is>
      </c>
    </row>
    <row r="144">
      <c r="A144" s="2" t="inlineStr">
        <is>
          <t>E3-1|3</t>
        </is>
      </c>
      <c r="B144" s="2" t="inlineStr">
        <is>
          <t>T01-L1</t>
        </is>
      </c>
      <c r="C144" s="2" t="inlineStr">
        <is>
          <t>T02-L2</t>
        </is>
      </c>
      <c r="D144" s="2" t="inlineStr">
        <is>
          <t>T10-L3</t>
        </is>
      </c>
    </row>
    <row r="145">
      <c r="A145" s="2" t="inlineStr">
        <is>
          <t>E3-1|4</t>
        </is>
      </c>
      <c r="B145" s="2" t="inlineStr">
        <is>
          <t>T02-L1</t>
        </is>
      </c>
      <c r="C145" s="2" t="inlineStr">
        <is>
          <t>T06-L2</t>
        </is>
      </c>
      <c r="D145" s="2" t="inlineStr">
        <is>
          <t>T04-L3</t>
        </is>
      </c>
    </row>
    <row r="146">
      <c r="A146" s="2" t="inlineStr">
        <is>
          <t>E3-1|5</t>
        </is>
      </c>
      <c r="B146" s="2" t="inlineStr">
        <is>
          <t>T02-L1</t>
        </is>
      </c>
      <c r="C146" s="2" t="inlineStr">
        <is>
          <t>T03-L2</t>
        </is>
      </c>
      <c r="D146" s="2" t="inlineStr">
        <is>
          <t>T06-L3</t>
        </is>
      </c>
    </row>
    <row r="147">
      <c r="A147" s="2" t="inlineStr">
        <is>
          <t>E3-2|1</t>
        </is>
      </c>
      <c r="B147" s="2" t="inlineStr">
        <is>
          <t>T07-L1</t>
        </is>
      </c>
      <c r="C147" s="2" t="inlineStr">
        <is>
          <t>T02-L2</t>
        </is>
      </c>
      <c r="D147" s="2" t="inlineStr">
        <is>
          <t>T04-L3</t>
        </is>
      </c>
    </row>
    <row r="148">
      <c r="A148" s="2" t="inlineStr">
        <is>
          <t>E3-2|2</t>
        </is>
      </c>
      <c r="B148" s="2" t="inlineStr">
        <is>
          <t>T07-L1</t>
        </is>
      </c>
      <c r="C148" s="2" t="inlineStr">
        <is>
          <t>T01-L2</t>
        </is>
      </c>
      <c r="D148" s="2" t="inlineStr">
        <is>
          <t>T04-L3</t>
        </is>
      </c>
    </row>
    <row r="149">
      <c r="A149" s="2" t="inlineStr">
        <is>
          <t>E3-2|3</t>
        </is>
      </c>
      <c r="B149" s="2" t="inlineStr">
        <is>
          <t>T09-L1</t>
        </is>
      </c>
      <c r="C149" s="2" t="inlineStr">
        <is>
          <t>T01-L2</t>
        </is>
      </c>
      <c r="D149" s="2" t="inlineStr">
        <is>
          <t>T02-L3</t>
        </is>
      </c>
    </row>
    <row r="150">
      <c r="A150" s="2" t="inlineStr">
        <is>
          <t>E3-2|4</t>
        </is>
      </c>
      <c r="B150" s="2" t="inlineStr">
        <is>
          <t>T07-L1</t>
        </is>
      </c>
      <c r="C150" s="2" t="inlineStr">
        <is>
          <t>T01-L2</t>
        </is>
      </c>
      <c r="D150" s="2" t="inlineStr">
        <is>
          <t>T02-L3</t>
        </is>
      </c>
    </row>
    <row r="151">
      <c r="A151" s="2" t="inlineStr">
        <is>
          <t>E3-2|5</t>
        </is>
      </c>
      <c r="B151" s="2" t="inlineStr">
        <is>
          <t>T07-L1</t>
        </is>
      </c>
      <c r="C151" s="2" t="inlineStr">
        <is>
          <t>T01-L2</t>
        </is>
      </c>
      <c r="D151" s="2" t="inlineStr">
        <is>
          <t>T08-L3</t>
        </is>
      </c>
    </row>
    <row r="152">
      <c r="A152" s="2" t="inlineStr">
        <is>
          <t>E3-3|1</t>
        </is>
      </c>
      <c r="B152" s="2" t="inlineStr">
        <is>
          <t>T03-L1</t>
        </is>
      </c>
      <c r="C152" s="2" t="inlineStr">
        <is>
          <t>T04-L2</t>
        </is>
      </c>
      <c r="D152" s="2" t="inlineStr">
        <is>
          <t>T07-L3</t>
        </is>
      </c>
    </row>
    <row r="153">
      <c r="A153" s="2" t="inlineStr">
        <is>
          <t>E3-3|2</t>
        </is>
      </c>
      <c r="B153" s="2" t="inlineStr">
        <is>
          <t>T03-L1</t>
        </is>
      </c>
      <c r="C153" s="2" t="inlineStr">
        <is>
          <t>T04-L2</t>
        </is>
      </c>
      <c r="D153" s="2" t="inlineStr">
        <is>
          <t>T06-L3</t>
        </is>
      </c>
    </row>
    <row r="154">
      <c r="A154" s="2" t="inlineStr">
        <is>
          <t>E3-3|3</t>
        </is>
      </c>
      <c r="B154" s="2" t="inlineStr">
        <is>
          <t>T02-L1</t>
        </is>
      </c>
      <c r="C154" s="2" t="inlineStr">
        <is>
          <t>T06-L2</t>
        </is>
      </c>
      <c r="D154" s="2" t="inlineStr">
        <is>
          <t>T04-L3</t>
        </is>
      </c>
    </row>
    <row r="155">
      <c r="A155" s="2" t="inlineStr">
        <is>
          <t>E3-3|4</t>
        </is>
      </c>
      <c r="B155" s="2" t="inlineStr">
        <is>
          <t>T03-L1</t>
        </is>
      </c>
      <c r="C155" s="2" t="inlineStr">
        <is>
          <t>T02-L2</t>
        </is>
      </c>
      <c r="D155" s="2" t="inlineStr">
        <is>
          <t>T06-L3</t>
        </is>
      </c>
    </row>
    <row r="156">
      <c r="A156" s="2" t="inlineStr">
        <is>
          <t>E3-3|5</t>
        </is>
      </c>
      <c r="B156" s="2" t="inlineStr">
        <is>
          <t>T03-L1</t>
        </is>
      </c>
      <c r="C156" s="2" t="inlineStr">
        <is>
          <t>T02-L2</t>
        </is>
      </c>
      <c r="D156" s="2" t="inlineStr">
        <is>
          <t>T09-L3</t>
        </is>
      </c>
    </row>
    <row r="157">
      <c r="A157" s="2" t="inlineStr">
        <is>
          <t>E4-1|1</t>
        </is>
      </c>
      <c r="B157" s="2" t="inlineStr">
        <is>
          <t>T02-L1</t>
        </is>
      </c>
      <c r="C157" s="2" t="inlineStr">
        <is>
          <t>T03-L2</t>
        </is>
      </c>
      <c r="D157" s="2" t="inlineStr">
        <is>
          <t>T06-L3</t>
        </is>
      </c>
    </row>
    <row r="158">
      <c r="A158" s="2" t="inlineStr">
        <is>
          <t>E4-1|2</t>
        </is>
      </c>
      <c r="B158" s="2" t="inlineStr">
        <is>
          <t>T01-L1</t>
        </is>
      </c>
      <c r="C158" s="2" t="inlineStr">
        <is>
          <t>T06-L2</t>
        </is>
      </c>
      <c r="D158" s="2" t="inlineStr">
        <is>
          <t>T02-L3</t>
        </is>
      </c>
    </row>
    <row r="159">
      <c r="A159" s="2" t="inlineStr">
        <is>
          <t>E4-1|3</t>
        </is>
      </c>
      <c r="B159" s="2" t="inlineStr">
        <is>
          <t>T01-L1</t>
        </is>
      </c>
      <c r="C159" s="2" t="inlineStr">
        <is>
          <t>T02-L2</t>
        </is>
      </c>
      <c r="D159" s="2" t="inlineStr">
        <is>
          <t>T10-L3</t>
        </is>
      </c>
    </row>
    <row r="160">
      <c r="A160" s="2" t="inlineStr">
        <is>
          <t>E4-1|4</t>
        </is>
      </c>
      <c r="B160" s="2" t="inlineStr">
        <is>
          <t>T02-L1</t>
        </is>
      </c>
      <c r="C160" s="2" t="inlineStr">
        <is>
          <t>T06-L2</t>
        </is>
      </c>
      <c r="D160" s="2" t="inlineStr">
        <is>
          <t>T07-L3</t>
        </is>
      </c>
    </row>
    <row r="161">
      <c r="A161" s="2" t="inlineStr">
        <is>
          <t>E4-1|5</t>
        </is>
      </c>
      <c r="B161" s="2" t="inlineStr">
        <is>
          <t>T02-L1</t>
        </is>
      </c>
      <c r="C161" s="2" t="inlineStr">
        <is>
          <t>T03-L2</t>
        </is>
      </c>
      <c r="D161" s="2" t="inlineStr">
        <is>
          <t>T06-L3</t>
        </is>
      </c>
    </row>
    <row r="162">
      <c r="A162" s="2" t="inlineStr">
        <is>
          <t>E4-2|1</t>
        </is>
      </c>
      <c r="B162" s="2" t="inlineStr">
        <is>
          <t>T07-L1</t>
        </is>
      </c>
      <c r="C162" s="2" t="inlineStr">
        <is>
          <t>T04-L2</t>
        </is>
      </c>
      <c r="D162" s="2" t="inlineStr">
        <is>
          <t>T08-L3</t>
        </is>
      </c>
    </row>
    <row r="163">
      <c r="A163" s="2" t="inlineStr">
        <is>
          <t>E4-2|2</t>
        </is>
      </c>
      <c r="B163" s="2" t="inlineStr">
        <is>
          <t>T07-L1</t>
        </is>
      </c>
      <c r="C163" s="2" t="inlineStr">
        <is>
          <t>T04-L2</t>
        </is>
      </c>
      <c r="D163" s="2" t="inlineStr">
        <is>
          <t>T08-L3</t>
        </is>
      </c>
    </row>
    <row r="164">
      <c r="A164" s="2" t="inlineStr">
        <is>
          <t>E4-2|3</t>
        </is>
      </c>
      <c r="B164" s="2" t="inlineStr">
        <is>
          <t>T02-L1</t>
        </is>
      </c>
      <c r="C164" s="2" t="inlineStr">
        <is>
          <t>T04-L2</t>
        </is>
      </c>
      <c r="D164" s="2" t="inlineStr">
        <is>
          <t>T10-L3</t>
        </is>
      </c>
    </row>
    <row r="165">
      <c r="A165" s="2" t="inlineStr">
        <is>
          <t>E4-2|4</t>
        </is>
      </c>
      <c r="B165" s="2" t="inlineStr">
        <is>
          <t>T07-L1</t>
        </is>
      </c>
      <c r="C165" s="2" t="inlineStr">
        <is>
          <t>T02-L2</t>
        </is>
      </c>
      <c r="D165" s="2" t="inlineStr">
        <is>
          <t>T08-L3</t>
        </is>
      </c>
    </row>
    <row r="166">
      <c r="A166" s="2" t="inlineStr">
        <is>
          <t>E4-2|5</t>
        </is>
      </c>
      <c r="B166" s="2" t="inlineStr">
        <is>
          <t>T07-L1</t>
        </is>
      </c>
      <c r="C166" s="2" t="inlineStr">
        <is>
          <t>T02-L2</t>
        </is>
      </c>
      <c r="D166" s="2" t="inlineStr">
        <is>
          <t>T08-L3</t>
        </is>
      </c>
    </row>
    <row r="167">
      <c r="A167" s="2" t="inlineStr">
        <is>
          <t>E4-3|1</t>
        </is>
      </c>
      <c r="B167" s="2" t="inlineStr">
        <is>
          <t>T03-L1</t>
        </is>
      </c>
      <c r="C167" s="2" t="inlineStr">
        <is>
          <t>T06-L2</t>
        </is>
      </c>
      <c r="D167" s="2" t="inlineStr">
        <is>
          <t>T07-L3</t>
        </is>
      </c>
    </row>
    <row r="168">
      <c r="A168" s="2" t="inlineStr">
        <is>
          <t>E4-3|2</t>
        </is>
      </c>
      <c r="B168" s="2" t="inlineStr">
        <is>
          <t>T09-L1</t>
        </is>
      </c>
      <c r="C168" s="2" t="inlineStr">
        <is>
          <t>T04-L2</t>
        </is>
      </c>
      <c r="D168" s="2" t="inlineStr">
        <is>
          <t>T06-L3</t>
        </is>
      </c>
    </row>
    <row r="169">
      <c r="A169" s="2" t="inlineStr">
        <is>
          <t>E4-3|3</t>
        </is>
      </c>
      <c r="B169" s="2" t="inlineStr">
        <is>
          <t>T09-L1</t>
        </is>
      </c>
      <c r="C169" s="2" t="inlineStr">
        <is>
          <t>T04-L2</t>
        </is>
      </c>
      <c r="D169" s="2" t="inlineStr">
        <is>
          <t>T02-L3</t>
        </is>
      </c>
    </row>
    <row r="170">
      <c r="A170" s="2" t="inlineStr">
        <is>
          <t>E4-3|4</t>
        </is>
      </c>
      <c r="B170" s="2" t="inlineStr">
        <is>
          <t>T03-L1</t>
        </is>
      </c>
      <c r="C170" s="2" t="inlineStr">
        <is>
          <t>T07-L2</t>
        </is>
      </c>
      <c r="D170" s="2" t="inlineStr">
        <is>
          <t>T02-L3</t>
        </is>
      </c>
    </row>
    <row r="171">
      <c r="A171" s="2" t="inlineStr">
        <is>
          <t>E4-3|5</t>
        </is>
      </c>
      <c r="B171" s="2" t="inlineStr">
        <is>
          <t>T03-L1</t>
        </is>
      </c>
      <c r="C171" s="2" t="inlineStr">
        <is>
          <t>T04-L2</t>
        </is>
      </c>
      <c r="D171" s="2" t="inlineStr">
        <is>
          <t>T09-L3</t>
        </is>
      </c>
    </row>
    <row r="172">
      <c r="A172" s="2" t="inlineStr">
        <is>
          <t>E4-4|1</t>
        </is>
      </c>
      <c r="B172" s="2" t="inlineStr">
        <is>
          <t>T09-L1</t>
        </is>
      </c>
      <c r="C172" s="2" t="inlineStr">
        <is>
          <t>T05-L2</t>
        </is>
      </c>
      <c r="D172" s="2" t="inlineStr">
        <is>
          <t>T10-L3</t>
        </is>
      </c>
    </row>
    <row r="173">
      <c r="A173" s="2" t="inlineStr">
        <is>
          <t>E4-4|2</t>
        </is>
      </c>
      <c r="B173" s="2" t="inlineStr">
        <is>
          <t>T03-L1</t>
        </is>
      </c>
      <c r="C173" s="2" t="inlineStr">
        <is>
          <t>T07-L2</t>
        </is>
      </c>
      <c r="D173" s="2" t="inlineStr">
        <is>
          <t>T09-L3</t>
        </is>
      </c>
    </row>
    <row r="174">
      <c r="A174" s="2" t="inlineStr">
        <is>
          <t>E4-4|3</t>
        </is>
      </c>
      <c r="B174" s="2" t="inlineStr">
        <is>
          <t>T10-L1</t>
        </is>
      </c>
      <c r="C174" s="2" t="inlineStr">
        <is>
          <t>T06-L2</t>
        </is>
      </c>
      <c r="D174" s="2" t="inlineStr">
        <is>
          <t>T02-L3</t>
        </is>
      </c>
    </row>
    <row r="175">
      <c r="A175" s="2" t="inlineStr">
        <is>
          <t>E4-4|4</t>
        </is>
      </c>
      <c r="B175" s="2" t="inlineStr">
        <is>
          <t>T09-L1</t>
        </is>
      </c>
      <c r="C175" s="2" t="inlineStr">
        <is>
          <t>T05-L2</t>
        </is>
      </c>
      <c r="D175" s="2" t="inlineStr">
        <is>
          <t>T06-L3</t>
        </is>
      </c>
    </row>
    <row r="176">
      <c r="A176" s="2" t="inlineStr">
        <is>
          <t>E4-4|5</t>
        </is>
      </c>
      <c r="B176" s="2" t="inlineStr">
        <is>
          <t>T09-L1</t>
        </is>
      </c>
      <c r="C176" s="2" t="inlineStr">
        <is>
          <t>T05-L2</t>
        </is>
      </c>
      <c r="D176" s="2" t="inlineStr">
        <is>
          <t>T06-L3</t>
        </is>
      </c>
    </row>
    <row r="177">
      <c r="A177" s="2" t="inlineStr">
        <is>
          <t>F3-1|1</t>
        </is>
      </c>
      <c r="B177" s="2" t="inlineStr">
        <is>
          <t>T02-L1</t>
        </is>
      </c>
      <c r="C177" s="2" t="inlineStr">
        <is>
          <t>T04-L2</t>
        </is>
      </c>
      <c r="D177" s="2" t="inlineStr">
        <is>
          <t>T07-L3</t>
        </is>
      </c>
    </row>
    <row r="178">
      <c r="A178" s="2" t="inlineStr">
        <is>
          <t>F3-1|2</t>
        </is>
      </c>
      <c r="B178" s="2" t="inlineStr">
        <is>
          <t>T01-L1</t>
        </is>
      </c>
      <c r="C178" s="2" t="inlineStr">
        <is>
          <t>T04-L2</t>
        </is>
      </c>
      <c r="D178" s="2" t="inlineStr">
        <is>
          <t>T07-L3</t>
        </is>
      </c>
    </row>
    <row r="179">
      <c r="A179" s="2" t="inlineStr">
        <is>
          <t>F3-1|3</t>
        </is>
      </c>
      <c r="B179" s="2" t="inlineStr">
        <is>
          <t>T01-L1</t>
        </is>
      </c>
      <c r="C179" s="2" t="inlineStr">
        <is>
          <t>T02-L2</t>
        </is>
      </c>
      <c r="D179" s="2" t="inlineStr">
        <is>
          <t>T10-L3</t>
        </is>
      </c>
    </row>
    <row r="180">
      <c r="A180" s="2" t="inlineStr">
        <is>
          <t>F3-1|4</t>
        </is>
      </c>
      <c r="B180" s="2" t="inlineStr">
        <is>
          <t>T01-L1</t>
        </is>
      </c>
      <c r="C180" s="2" t="inlineStr">
        <is>
          <t>T02-L2</t>
        </is>
      </c>
      <c r="D180" s="2" t="inlineStr">
        <is>
          <t>T07-L3</t>
        </is>
      </c>
    </row>
    <row r="181">
      <c r="A181" s="2" t="inlineStr">
        <is>
          <t>F3-1|5</t>
        </is>
      </c>
      <c r="B181" s="2" t="inlineStr">
        <is>
          <t>T01-L1</t>
        </is>
      </c>
      <c r="C181" s="2" t="inlineStr">
        <is>
          <t>T02-L2</t>
        </is>
      </c>
      <c r="D181" s="2" t="inlineStr">
        <is>
          <t>T07-L3</t>
        </is>
      </c>
    </row>
    <row r="182">
      <c r="A182" s="2" t="inlineStr">
        <is>
          <t>F3-2|1</t>
        </is>
      </c>
      <c r="B182" s="2" t="inlineStr">
        <is>
          <t>T03-L1</t>
        </is>
      </c>
      <c r="C182" s="2" t="inlineStr">
        <is>
          <t>T06-L2</t>
        </is>
      </c>
      <c r="D182" s="2" t="inlineStr">
        <is>
          <t>T08-L3</t>
        </is>
      </c>
    </row>
    <row r="183">
      <c r="A183" s="2" t="inlineStr">
        <is>
          <t>F3-2|2</t>
        </is>
      </c>
      <c r="B183" s="2" t="inlineStr">
        <is>
          <t>T03-L1</t>
        </is>
      </c>
      <c r="C183" s="2" t="inlineStr">
        <is>
          <t>T06-L2</t>
        </is>
      </c>
      <c r="D183" s="2" t="inlineStr">
        <is>
          <t>T02-L3</t>
        </is>
      </c>
    </row>
    <row r="184">
      <c r="A184" s="2" t="inlineStr">
        <is>
          <t>F3-2|3</t>
        </is>
      </c>
      <c r="B184" s="2" t="inlineStr">
        <is>
          <t>T04-L1</t>
        </is>
      </c>
      <c r="C184" s="2" t="inlineStr">
        <is>
          <t>T08-L2</t>
        </is>
      </c>
      <c r="D184" s="2" t="inlineStr">
        <is>
          <t>T02-L3</t>
        </is>
      </c>
    </row>
    <row r="185">
      <c r="A185" s="2" t="inlineStr">
        <is>
          <t>F3-2|4</t>
        </is>
      </c>
      <c r="B185" s="2" t="inlineStr">
        <is>
          <t>T02-L1</t>
        </is>
      </c>
      <c r="C185" s="2" t="inlineStr">
        <is>
          <t>T06-L2</t>
        </is>
      </c>
      <c r="D185" s="2" t="inlineStr">
        <is>
          <t>T08-L3</t>
        </is>
      </c>
    </row>
    <row r="186">
      <c r="A186" s="2" t="inlineStr">
        <is>
          <t>F3-2|5</t>
        </is>
      </c>
      <c r="B186" s="2" t="inlineStr">
        <is>
          <t>T02-L1</t>
        </is>
      </c>
      <c r="C186" s="2" t="inlineStr">
        <is>
          <t>T03-L2</t>
        </is>
      </c>
      <c r="D186" s="2" t="inlineStr">
        <is>
          <t>T06-L3</t>
        </is>
      </c>
    </row>
    <row r="187">
      <c r="A187" s="2" t="inlineStr">
        <is>
          <t>F3-3|1</t>
        </is>
      </c>
      <c r="B187" s="2" t="inlineStr">
        <is>
          <t>T07-L1</t>
        </is>
      </c>
      <c r="C187" s="2" t="inlineStr">
        <is>
          <t>T03-L2</t>
        </is>
      </c>
      <c r="D187" s="2" t="inlineStr">
        <is>
          <t>T05-L3</t>
        </is>
      </c>
    </row>
    <row r="188">
      <c r="A188" s="2" t="inlineStr">
        <is>
          <t>F3-3|2</t>
        </is>
      </c>
      <c r="B188" s="2" t="inlineStr">
        <is>
          <t>T09-L1</t>
        </is>
      </c>
      <c r="C188" s="2" t="inlineStr">
        <is>
          <t>T07-L2</t>
        </is>
      </c>
      <c r="D188" s="2" t="inlineStr">
        <is>
          <t>T05-L3</t>
        </is>
      </c>
    </row>
    <row r="189">
      <c r="A189" s="2" t="inlineStr">
        <is>
          <t>F3-3|3</t>
        </is>
      </c>
      <c r="B189" s="2" t="inlineStr">
        <is>
          <t>T02-L1</t>
        </is>
      </c>
      <c r="C189" s="2" t="inlineStr">
        <is>
          <t>T06-L2</t>
        </is>
      </c>
      <c r="D189" s="2" t="inlineStr">
        <is>
          <t>T05-L3</t>
        </is>
      </c>
    </row>
    <row r="190">
      <c r="A190" s="2" t="inlineStr">
        <is>
          <t>F3-3|4</t>
        </is>
      </c>
      <c r="B190" s="2" t="inlineStr">
        <is>
          <t>T03-L1</t>
        </is>
      </c>
      <c r="C190" s="2" t="inlineStr">
        <is>
          <t>T05-L2</t>
        </is>
      </c>
      <c r="D190" s="2" t="inlineStr">
        <is>
          <t>T06-L3</t>
        </is>
      </c>
    </row>
    <row r="191">
      <c r="A191" s="2" t="inlineStr">
        <is>
          <t>F3-3|5</t>
        </is>
      </c>
      <c r="B191" s="2" t="inlineStr">
        <is>
          <t>T03-L1</t>
        </is>
      </c>
      <c r="C191" s="2" t="inlineStr">
        <is>
          <t>T04-L2</t>
        </is>
      </c>
      <c r="D191" s="2" t="inlineStr">
        <is>
          <t>T09-L3</t>
        </is>
      </c>
    </row>
    <row r="192">
      <c r="A192" s="2" t="inlineStr">
        <is>
          <t>F4-1|1</t>
        </is>
      </c>
      <c r="B192" s="2" t="inlineStr">
        <is>
          <t>T02-L1</t>
        </is>
      </c>
      <c r="C192" s="2" t="inlineStr">
        <is>
          <t>T04-L2</t>
        </is>
      </c>
      <c r="D192" s="2" t="inlineStr">
        <is>
          <t>T08-L3</t>
        </is>
      </c>
    </row>
    <row r="193">
      <c r="A193" s="2" t="inlineStr">
        <is>
          <t>F4-1|2</t>
        </is>
      </c>
      <c r="B193" s="2" t="inlineStr">
        <is>
          <t>T04-L1</t>
        </is>
      </c>
      <c r="C193" s="2" t="inlineStr">
        <is>
          <t>T07-L2</t>
        </is>
      </c>
      <c r="D193" s="2" t="inlineStr">
        <is>
          <t>T02-L3</t>
        </is>
      </c>
    </row>
    <row r="194">
      <c r="A194" s="2" t="inlineStr">
        <is>
          <t>F4-1|3</t>
        </is>
      </c>
      <c r="B194" s="2" t="inlineStr">
        <is>
          <t>T02-L1</t>
        </is>
      </c>
      <c r="C194" s="2" t="inlineStr">
        <is>
          <t>T04-L2</t>
        </is>
      </c>
      <c r="D194" s="2" t="inlineStr">
        <is>
          <t>T10-L3</t>
        </is>
      </c>
    </row>
    <row r="195">
      <c r="A195" s="2" t="inlineStr">
        <is>
          <t>F4-1|4</t>
        </is>
      </c>
      <c r="B195" s="2" t="inlineStr">
        <is>
          <t>T02-L1</t>
        </is>
      </c>
      <c r="C195" s="2" t="inlineStr">
        <is>
          <t>T05-L2</t>
        </is>
      </c>
      <c r="D195" s="2" t="inlineStr">
        <is>
          <t>T08-L3</t>
        </is>
      </c>
    </row>
    <row r="196">
      <c r="A196" s="2" t="inlineStr">
        <is>
          <t>F4-1|5</t>
        </is>
      </c>
      <c r="B196" s="2" t="inlineStr">
        <is>
          <t>T02-L1</t>
        </is>
      </c>
      <c r="C196" s="2" t="inlineStr">
        <is>
          <t>T04-L2</t>
        </is>
      </c>
      <c r="D196" s="2" t="inlineStr">
        <is>
          <t>T08-L3</t>
        </is>
      </c>
    </row>
    <row r="197">
      <c r="A197" s="2" t="inlineStr">
        <is>
          <t>F4-2|1</t>
        </is>
      </c>
      <c r="B197" s="2" t="inlineStr">
        <is>
          <t>T03-L1</t>
        </is>
      </c>
      <c r="C197" s="2" t="inlineStr">
        <is>
          <t>T08-L2</t>
        </is>
      </c>
      <c r="D197" s="2" t="inlineStr">
        <is>
          <t>T06-L3</t>
        </is>
      </c>
    </row>
    <row r="198">
      <c r="A198" s="2" t="inlineStr">
        <is>
          <t>F4-2|2</t>
        </is>
      </c>
      <c r="B198" s="2" t="inlineStr">
        <is>
          <t>T03-L1</t>
        </is>
      </c>
      <c r="C198" s="2" t="inlineStr">
        <is>
          <t>T04-L2</t>
        </is>
      </c>
      <c r="D198" s="2" t="inlineStr">
        <is>
          <t>T06-L3</t>
        </is>
      </c>
    </row>
    <row r="199">
      <c r="A199" s="2" t="inlineStr">
        <is>
          <t>F4-2|3</t>
        </is>
      </c>
      <c r="B199" s="2" t="inlineStr">
        <is>
          <t>T04-L1</t>
        </is>
      </c>
      <c r="C199" s="2" t="inlineStr">
        <is>
          <t>T06-L2</t>
        </is>
      </c>
      <c r="D199" s="2" t="inlineStr">
        <is>
          <t>T02-L3</t>
        </is>
      </c>
    </row>
    <row r="200">
      <c r="A200" s="2" t="inlineStr">
        <is>
          <t>F4-2|4</t>
        </is>
      </c>
      <c r="B200" s="2" t="inlineStr">
        <is>
          <t>T03-L1</t>
        </is>
      </c>
      <c r="C200" s="2" t="inlineStr">
        <is>
          <t>T02-L2</t>
        </is>
      </c>
      <c r="D200" s="2" t="inlineStr">
        <is>
          <t>T06-L3</t>
        </is>
      </c>
    </row>
    <row r="201">
      <c r="A201" s="2" t="inlineStr">
        <is>
          <t>F4-2|5</t>
        </is>
      </c>
      <c r="B201" s="2" t="inlineStr">
        <is>
          <t>T03-L1</t>
        </is>
      </c>
      <c r="C201" s="2" t="inlineStr">
        <is>
          <t>T06-L2</t>
        </is>
      </c>
      <c r="D201" s="2" t="inlineStr">
        <is>
          <t>T08-L3</t>
        </is>
      </c>
    </row>
    <row r="202">
      <c r="A202" s="2" t="inlineStr">
        <is>
          <t>F4-3|1</t>
        </is>
      </c>
      <c r="B202" s="2" t="inlineStr">
        <is>
          <t>T07-L1</t>
        </is>
      </c>
      <c r="C202" s="2" t="inlineStr">
        <is>
          <t>T05-L2</t>
        </is>
      </c>
      <c r="D202" s="2" t="inlineStr">
        <is>
          <t>T10-L3</t>
        </is>
      </c>
    </row>
    <row r="203">
      <c r="A203" s="2" t="inlineStr">
        <is>
          <t>F4-3|2</t>
        </is>
      </c>
      <c r="B203" s="2" t="inlineStr">
        <is>
          <t>T07-L1</t>
        </is>
      </c>
      <c r="C203" s="2" t="inlineStr">
        <is>
          <t>T06-L2</t>
        </is>
      </c>
      <c r="D203" s="2" t="inlineStr">
        <is>
          <t>T05-L3</t>
        </is>
      </c>
    </row>
    <row r="204">
      <c r="A204" s="2" t="inlineStr">
        <is>
          <t>F4-3|3</t>
        </is>
      </c>
      <c r="B204" s="2" t="inlineStr">
        <is>
          <t>T09-L1</t>
        </is>
      </c>
      <c r="C204" s="2" t="inlineStr">
        <is>
          <t>T02-L2</t>
        </is>
      </c>
      <c r="D204" s="2" t="inlineStr">
        <is>
          <t>T10-L3</t>
        </is>
      </c>
    </row>
    <row r="205">
      <c r="A205" s="2" t="inlineStr">
        <is>
          <t>F4-3|4</t>
        </is>
      </c>
      <c r="B205" s="2" t="inlineStr">
        <is>
          <t>T09-L1</t>
        </is>
      </c>
      <c r="C205" s="2" t="inlineStr">
        <is>
          <t>T07-L2</t>
        </is>
      </c>
      <c r="D205" s="2" t="inlineStr">
        <is>
          <t>T02-L3</t>
        </is>
      </c>
    </row>
    <row r="206">
      <c r="A206" s="2" t="inlineStr">
        <is>
          <t>F4-3|5</t>
        </is>
      </c>
      <c r="B206" s="2" t="inlineStr">
        <is>
          <t>T07-L1</t>
        </is>
      </c>
      <c r="C206" s="2" t="inlineStr">
        <is>
          <t>T02-L2</t>
        </is>
      </c>
      <c r="D206" s="2" t="inlineStr">
        <is>
          <t>T06-L3</t>
        </is>
      </c>
    </row>
    <row r="207">
      <c r="A207" s="2" t="inlineStr">
        <is>
          <t>F4-4|1</t>
        </is>
      </c>
      <c r="B207" s="2" t="inlineStr">
        <is>
          <t>T09-L1</t>
        </is>
      </c>
      <c r="C207" s="2" t="inlineStr">
        <is>
          <t>T06-L2</t>
        </is>
      </c>
      <c r="D207" s="2" t="inlineStr">
        <is>
          <t>T05-L3</t>
        </is>
      </c>
    </row>
    <row r="208">
      <c r="A208" s="2" t="inlineStr">
        <is>
          <t>F4-4|2</t>
        </is>
      </c>
      <c r="B208" s="2" t="inlineStr">
        <is>
          <t>T09-L1</t>
        </is>
      </c>
      <c r="C208" s="2" t="inlineStr">
        <is>
          <t>T04-L2</t>
        </is>
      </c>
      <c r="D208" s="2" t="inlineStr">
        <is>
          <t>T10-L3</t>
        </is>
      </c>
    </row>
    <row r="209">
      <c r="A209" s="2" t="inlineStr">
        <is>
          <t>F4-4|3</t>
        </is>
      </c>
      <c r="B209" s="2" t="inlineStr">
        <is>
          <t>T10-L1</t>
        </is>
      </c>
      <c r="C209" s="2" t="inlineStr">
        <is>
          <t>T04-L2</t>
        </is>
      </c>
      <c r="D209" s="2" t="inlineStr">
        <is>
          <t>T02-L3</t>
        </is>
      </c>
    </row>
    <row r="210">
      <c r="A210" s="2" t="inlineStr">
        <is>
          <t>F4-4|4</t>
        </is>
      </c>
      <c r="B210" s="2" t="inlineStr">
        <is>
          <t>T10-L1</t>
        </is>
      </c>
      <c r="C210" s="2" t="inlineStr">
        <is>
          <t>T06-L2</t>
        </is>
      </c>
      <c r="D210" s="2" t="inlineStr">
        <is>
          <t>T05-L3</t>
        </is>
      </c>
    </row>
    <row r="211">
      <c r="A211" s="2" t="inlineStr">
        <is>
          <t>F4-4|5</t>
        </is>
      </c>
      <c r="B211" s="2" t="inlineStr">
        <is>
          <t>T10-L1</t>
        </is>
      </c>
      <c r="C211" s="2" t="inlineStr">
        <is>
          <t>T05-L2</t>
        </is>
      </c>
      <c r="D211" s="2" t="inlineStr">
        <is>
          <t>T09-L3</t>
        </is>
      </c>
    </row>
    <row r="212">
      <c r="A212" s="2" t="inlineStr">
        <is>
          <t>G3-1|1</t>
        </is>
      </c>
      <c r="B212" s="2" t="inlineStr">
        <is>
          <t>T02-L1</t>
        </is>
      </c>
      <c r="C212" s="2" t="inlineStr">
        <is>
          <t>T04-L2</t>
        </is>
      </c>
      <c r="D212" s="2" t="inlineStr">
        <is>
          <t>T06-L3</t>
        </is>
      </c>
    </row>
    <row r="213">
      <c r="A213" s="2" t="inlineStr">
        <is>
          <t>G3-1|2</t>
        </is>
      </c>
      <c r="B213" s="2" t="inlineStr">
        <is>
          <t>T03-L1</t>
        </is>
      </c>
      <c r="C213" s="2" t="inlineStr">
        <is>
          <t>T04-L2</t>
        </is>
      </c>
      <c r="D213" s="2" t="inlineStr">
        <is>
          <t>T06-L3</t>
        </is>
      </c>
    </row>
    <row r="214">
      <c r="A214" s="2" t="inlineStr">
        <is>
          <t>G3-1|3</t>
        </is>
      </c>
      <c r="B214" s="2" t="inlineStr">
        <is>
          <t>T02-L1</t>
        </is>
      </c>
      <c r="C214" s="2" t="inlineStr">
        <is>
          <t>T04-L2</t>
        </is>
      </c>
      <c r="D214" s="2" t="inlineStr">
        <is>
          <t>T08-L3</t>
        </is>
      </c>
    </row>
    <row r="215">
      <c r="A215" s="2" t="inlineStr">
        <is>
          <t>G3-1|4</t>
        </is>
      </c>
      <c r="B215" s="2" t="inlineStr">
        <is>
          <t>T02-L1</t>
        </is>
      </c>
      <c r="C215" s="2" t="inlineStr">
        <is>
          <t>T06-L2</t>
        </is>
      </c>
      <c r="D215" s="2" t="inlineStr">
        <is>
          <t>T03-L3</t>
        </is>
      </c>
    </row>
    <row r="216">
      <c r="A216" s="2" t="inlineStr">
        <is>
          <t>G3-1|5</t>
        </is>
      </c>
      <c r="B216" s="2" t="inlineStr">
        <is>
          <t>T02-L1</t>
        </is>
      </c>
      <c r="C216" s="2" t="inlineStr">
        <is>
          <t>T04-L2</t>
        </is>
      </c>
      <c r="D216" s="2" t="inlineStr">
        <is>
          <t>T06-L3</t>
        </is>
      </c>
    </row>
    <row r="217">
      <c r="A217" s="2" t="inlineStr">
        <is>
          <t>G3-2|1</t>
        </is>
      </c>
      <c r="B217" s="2" t="inlineStr">
        <is>
          <t>T03-L1</t>
        </is>
      </c>
      <c r="C217" s="2" t="inlineStr">
        <is>
          <t>T05-L2</t>
        </is>
      </c>
      <c r="D217" s="2" t="inlineStr">
        <is>
          <t>T10-L3</t>
        </is>
      </c>
    </row>
    <row r="218">
      <c r="A218" s="2" t="inlineStr">
        <is>
          <t>G3-2|2</t>
        </is>
      </c>
      <c r="B218" s="2" t="inlineStr">
        <is>
          <t>T06-L1</t>
        </is>
      </c>
      <c r="C218" s="2" t="inlineStr">
        <is>
          <t>T05-L2</t>
        </is>
      </c>
      <c r="D218" s="2" t="inlineStr">
        <is>
          <t>T02-L3</t>
        </is>
      </c>
    </row>
    <row r="219">
      <c r="A219" s="2" t="inlineStr">
        <is>
          <t>G3-2|3</t>
        </is>
      </c>
      <c r="B219" s="2" t="inlineStr">
        <is>
          <t>T06-L1</t>
        </is>
      </c>
      <c r="C219" s="2" t="inlineStr">
        <is>
          <t>T02-L2</t>
        </is>
      </c>
      <c r="D219" s="2" t="inlineStr">
        <is>
          <t>T10-L3</t>
        </is>
      </c>
    </row>
    <row r="220">
      <c r="A220" s="2" t="inlineStr">
        <is>
          <t>G3-2|4</t>
        </is>
      </c>
      <c r="B220" s="2" t="inlineStr">
        <is>
          <t>T03-L1</t>
        </is>
      </c>
      <c r="C220" s="2" t="inlineStr">
        <is>
          <t>T02-L2</t>
        </is>
      </c>
      <c r="D220" s="2" t="inlineStr">
        <is>
          <t>T06-L3</t>
        </is>
      </c>
    </row>
    <row r="221">
      <c r="A221" s="2" t="inlineStr">
        <is>
          <t>G3-2|5</t>
        </is>
      </c>
      <c r="B221" s="2" t="inlineStr">
        <is>
          <t>T03-L1</t>
        </is>
      </c>
      <c r="C221" s="2" t="inlineStr">
        <is>
          <t>T02-L2</t>
        </is>
      </c>
      <c r="D221" s="2" t="inlineStr">
        <is>
          <t>T09-L3</t>
        </is>
      </c>
    </row>
    <row r="222">
      <c r="A222" s="2" t="inlineStr">
        <is>
          <t>G3-3|1</t>
        </is>
      </c>
      <c r="B222" s="2" t="inlineStr">
        <is>
          <t>T06-L1</t>
        </is>
      </c>
      <c r="C222" s="2" t="inlineStr">
        <is>
          <t>T08-L2</t>
        </is>
      </c>
      <c r="D222" s="2" t="inlineStr">
        <is>
          <t>T05-L3</t>
        </is>
      </c>
    </row>
    <row r="223">
      <c r="A223" s="2" t="inlineStr">
        <is>
          <t>G3-3|2</t>
        </is>
      </c>
      <c r="B223" s="2" t="inlineStr">
        <is>
          <t>T04-L1</t>
        </is>
      </c>
      <c r="C223" s="2" t="inlineStr">
        <is>
          <t>T06-L2</t>
        </is>
      </c>
      <c r="D223" s="2" t="inlineStr">
        <is>
          <t>T03-L3</t>
        </is>
      </c>
    </row>
    <row r="224">
      <c r="A224" s="2" t="inlineStr">
        <is>
          <t>G3-3|3</t>
        </is>
      </c>
      <c r="B224" s="2" t="inlineStr">
        <is>
          <t>T04-L1</t>
        </is>
      </c>
      <c r="C224" s="2" t="inlineStr">
        <is>
          <t>T06-L2</t>
        </is>
      </c>
      <c r="D224" s="2" t="inlineStr">
        <is>
          <t>T02-L3</t>
        </is>
      </c>
    </row>
    <row r="225">
      <c r="A225" s="2" t="inlineStr">
        <is>
          <t>G3-3|4</t>
        </is>
      </c>
      <c r="B225" s="2" t="inlineStr">
        <is>
          <t>T06-L1</t>
        </is>
      </c>
      <c r="C225" s="2" t="inlineStr">
        <is>
          <t>T05-L2</t>
        </is>
      </c>
      <c r="D225" s="2" t="inlineStr">
        <is>
          <t>T02-L3</t>
        </is>
      </c>
    </row>
    <row r="226">
      <c r="A226" s="2" t="inlineStr">
        <is>
          <t>G3-3|5</t>
        </is>
      </c>
      <c r="B226" s="2" t="inlineStr">
        <is>
          <t>T06-L1</t>
        </is>
      </c>
      <c r="C226" s="2" t="inlineStr">
        <is>
          <t>T05-L2</t>
        </is>
      </c>
      <c r="D226" s="2" t="inlineStr">
        <is>
          <t>T08-L3</t>
        </is>
      </c>
    </row>
    <row r="227">
      <c r="A227" s="2" t="inlineStr">
        <is>
          <t>G4-1|1</t>
        </is>
      </c>
      <c r="B227" s="2" t="inlineStr">
        <is>
          <t>T03-L1</t>
        </is>
      </c>
      <c r="C227" s="2" t="inlineStr">
        <is>
          <t>T08-L2</t>
        </is>
      </c>
      <c r="D227" s="2" t="inlineStr">
        <is>
          <t>T06-L3</t>
        </is>
      </c>
    </row>
    <row r="228">
      <c r="A228" s="2" t="inlineStr">
        <is>
          <t>G4-1|2</t>
        </is>
      </c>
      <c r="B228" s="2" t="inlineStr">
        <is>
          <t>T03-L1</t>
        </is>
      </c>
      <c r="C228" s="2" t="inlineStr">
        <is>
          <t>T04-L2</t>
        </is>
      </c>
      <c r="D228" s="2" t="inlineStr">
        <is>
          <t>T06-L3</t>
        </is>
      </c>
    </row>
    <row r="229">
      <c r="A229" s="2" t="inlineStr">
        <is>
          <t>G4-1|3</t>
        </is>
      </c>
      <c r="B229" s="2" t="inlineStr">
        <is>
          <t>T04-L1</t>
        </is>
      </c>
      <c r="C229" s="2" t="inlineStr">
        <is>
          <t>T06-L2</t>
        </is>
      </c>
      <c r="D229" s="2" t="inlineStr">
        <is>
          <t>T02-L3</t>
        </is>
      </c>
    </row>
    <row r="230">
      <c r="A230" s="2" t="inlineStr">
        <is>
          <t>G4-1|4</t>
        </is>
      </c>
      <c r="B230" s="2" t="inlineStr">
        <is>
          <t>T03-L1</t>
        </is>
      </c>
      <c r="C230" s="2" t="inlineStr">
        <is>
          <t>T02-L2</t>
        </is>
      </c>
      <c r="D230" s="2" t="inlineStr">
        <is>
          <t>T06-L3</t>
        </is>
      </c>
    </row>
    <row r="231">
      <c r="A231" s="2" t="inlineStr">
        <is>
          <t>G4-1|5</t>
        </is>
      </c>
      <c r="B231" s="2" t="inlineStr">
        <is>
          <t>T03-L1</t>
        </is>
      </c>
      <c r="C231" s="2" t="inlineStr">
        <is>
          <t>T02-L2</t>
        </is>
      </c>
      <c r="D231" s="2" t="inlineStr">
        <is>
          <t>T06-L3</t>
        </is>
      </c>
    </row>
    <row r="232">
      <c r="A232" s="2" t="inlineStr">
        <is>
          <t>G4-2|1</t>
        </is>
      </c>
      <c r="B232" s="2" t="inlineStr">
        <is>
          <t>T06-L1</t>
        </is>
      </c>
      <c r="C232" s="2" t="inlineStr">
        <is>
          <t>T09-L2</t>
        </is>
      </c>
      <c r="D232" s="2" t="inlineStr">
        <is>
          <t>T03-L3</t>
        </is>
      </c>
    </row>
    <row r="233">
      <c r="A233" s="2" t="inlineStr">
        <is>
          <t>G4-2|2</t>
        </is>
      </c>
      <c r="B233" s="2" t="inlineStr">
        <is>
          <t>T07-L1</t>
        </is>
      </c>
      <c r="C233" s="2" t="inlineStr">
        <is>
          <t>T06-L2</t>
        </is>
      </c>
      <c r="D233" s="2" t="inlineStr">
        <is>
          <t>T02-L3</t>
        </is>
      </c>
    </row>
    <row r="234">
      <c r="A234" s="2" t="inlineStr">
        <is>
          <t>G4-2|3</t>
        </is>
      </c>
      <c r="B234" s="2" t="inlineStr">
        <is>
          <t>T06-L1</t>
        </is>
      </c>
      <c r="C234" s="2" t="inlineStr">
        <is>
          <t>T02-L2</t>
        </is>
      </c>
      <c r="D234" s="2" t="inlineStr">
        <is>
          <t>T10-L3</t>
        </is>
      </c>
    </row>
    <row r="235">
      <c r="A235" s="2" t="inlineStr">
        <is>
          <t>G4-2|4</t>
        </is>
      </c>
      <c r="B235" s="2" t="inlineStr">
        <is>
          <t>T06-L1</t>
        </is>
      </c>
      <c r="C235" s="2" t="inlineStr">
        <is>
          <t>T07-L2</t>
        </is>
      </c>
      <c r="D235" s="2" t="inlineStr">
        <is>
          <t>T02-L3</t>
        </is>
      </c>
    </row>
    <row r="236">
      <c r="A236" s="2" t="inlineStr">
        <is>
          <t>G4-2|5</t>
        </is>
      </c>
      <c r="B236" s="2" t="inlineStr">
        <is>
          <t>T06-L1</t>
        </is>
      </c>
      <c r="C236" s="2" t="inlineStr">
        <is>
          <t>T07-L2</t>
        </is>
      </c>
      <c r="D236" s="2" t="inlineStr">
        <is>
          <t>T03-L3</t>
        </is>
      </c>
    </row>
    <row r="237">
      <c r="A237" s="2" t="inlineStr">
        <is>
          <t>G4-3|1</t>
        </is>
      </c>
      <c r="B237" s="2" t="inlineStr">
        <is>
          <t>T09-L1</t>
        </is>
      </c>
      <c r="C237" s="2" t="inlineStr">
        <is>
          <t>T06-L2</t>
        </is>
      </c>
      <c r="D237" s="2" t="inlineStr">
        <is>
          <t>T05-L3</t>
        </is>
      </c>
    </row>
    <row r="238">
      <c r="A238" s="2" t="inlineStr">
        <is>
          <t>G4-3|2</t>
        </is>
      </c>
      <c r="B238" s="2" t="inlineStr">
        <is>
          <t>T04-L1</t>
        </is>
      </c>
      <c r="C238" s="2" t="inlineStr">
        <is>
          <t>T06-L2</t>
        </is>
      </c>
      <c r="D238" s="2" t="inlineStr">
        <is>
          <t>T05-L3</t>
        </is>
      </c>
    </row>
    <row r="239">
      <c r="A239" s="2" t="inlineStr">
        <is>
          <t>G4-3|3</t>
        </is>
      </c>
      <c r="B239" s="2" t="inlineStr">
        <is>
          <t>T10-L1</t>
        </is>
      </c>
      <c r="C239" s="2" t="inlineStr">
        <is>
          <t>T04-L2</t>
        </is>
      </c>
      <c r="D239" s="2" t="inlineStr">
        <is>
          <t>T02-L3</t>
        </is>
      </c>
    </row>
    <row r="240">
      <c r="A240" s="2" t="inlineStr">
        <is>
          <t>G4-3|4</t>
        </is>
      </c>
      <c r="B240" s="2" t="inlineStr">
        <is>
          <t>T09-L1</t>
        </is>
      </c>
      <c r="C240" s="2" t="inlineStr">
        <is>
          <t>T06-L2</t>
        </is>
      </c>
      <c r="D240" s="2" t="inlineStr">
        <is>
          <t>T05-L3</t>
        </is>
      </c>
    </row>
    <row r="241">
      <c r="A241" s="2" t="inlineStr">
        <is>
          <t>G4-3|5</t>
        </is>
      </c>
      <c r="B241" s="2" t="inlineStr">
        <is>
          <t>T10-L1</t>
        </is>
      </c>
      <c r="C241" s="2" t="inlineStr">
        <is>
          <t>T04-L2</t>
        </is>
      </c>
      <c r="D241" s="2" t="inlineStr">
        <is>
          <t>T09-L3</t>
        </is>
      </c>
    </row>
    <row r="242">
      <c r="A242" s="2" t="inlineStr">
        <is>
          <t>G4-4|1</t>
        </is>
      </c>
      <c r="B242" s="2" t="inlineStr">
        <is>
          <t>T07-L1</t>
        </is>
      </c>
      <c r="C242" s="2" t="inlineStr">
        <is>
          <t>T04-L2</t>
        </is>
      </c>
      <c r="D242" s="2" t="inlineStr">
        <is>
          <t>T10-L3</t>
        </is>
      </c>
    </row>
    <row r="243">
      <c r="A243" s="2" t="inlineStr">
        <is>
          <t>G4-4|2</t>
        </is>
      </c>
      <c r="B243" s="2" t="inlineStr">
        <is>
          <t>T09-L1</t>
        </is>
      </c>
      <c r="C243" s="2" t="inlineStr">
        <is>
          <t>T07-L2</t>
        </is>
      </c>
      <c r="D243" s="2" t="inlineStr">
        <is>
          <t>T03-L3</t>
        </is>
      </c>
    </row>
    <row r="244">
      <c r="A244" s="2" t="inlineStr">
        <is>
          <t>G4-4|3</t>
        </is>
      </c>
      <c r="B244" s="2" t="inlineStr">
        <is>
          <t>T09-L1</t>
        </is>
      </c>
      <c r="C244" s="2" t="inlineStr">
        <is>
          <t>T04-L2</t>
        </is>
      </c>
      <c r="D244" s="2" t="inlineStr">
        <is>
          <t>T10-L3</t>
        </is>
      </c>
    </row>
    <row r="245">
      <c r="A245" s="2" t="inlineStr">
        <is>
          <t>G4-4|4</t>
        </is>
      </c>
      <c r="B245" s="2" t="inlineStr">
        <is>
          <t>T07-L1</t>
        </is>
      </c>
      <c r="C245" s="2" t="inlineStr">
        <is>
          <t>T09-L2</t>
        </is>
      </c>
      <c r="D245" s="2" t="inlineStr">
        <is>
          <t>T03-L3</t>
        </is>
      </c>
    </row>
    <row r="246">
      <c r="A246" s="2" t="inlineStr">
        <is>
          <t>G4-4|5</t>
        </is>
      </c>
      <c r="B246" s="2" t="inlineStr">
        <is>
          <t>T07-L1</t>
        </is>
      </c>
      <c r="C246" s="2" t="inlineStr">
        <is>
          <t>T06-L2</t>
        </is>
      </c>
      <c r="D246" s="2" t="inlineStr">
        <is>
          <t>T03-L3</t>
        </is>
      </c>
    </row>
    <row r="247">
      <c r="A247" s="2" t="inlineStr">
        <is>
          <t>H3-1|1</t>
        </is>
      </c>
      <c r="B247" s="2" t="inlineStr">
        <is>
          <t>T03-L1</t>
        </is>
      </c>
      <c r="C247" s="2" t="inlineStr">
        <is>
          <t>T06-L2</t>
        </is>
      </c>
      <c r="D247" s="2" t="inlineStr">
        <is>
          <t>T05-L3</t>
        </is>
      </c>
    </row>
    <row r="248">
      <c r="A248" s="2" t="inlineStr">
        <is>
          <t>H3-1|2</t>
        </is>
      </c>
      <c r="B248" s="2" t="inlineStr">
        <is>
          <t>T03-L1</t>
        </is>
      </c>
      <c r="C248" s="2" t="inlineStr">
        <is>
          <t>T06-L2</t>
        </is>
      </c>
      <c r="D248" s="2" t="inlineStr">
        <is>
          <t>T02-L3</t>
        </is>
      </c>
    </row>
    <row r="249">
      <c r="A249" s="2" t="inlineStr">
        <is>
          <t>H3-1|3</t>
        </is>
      </c>
      <c r="B249" s="2" t="inlineStr">
        <is>
          <t>T05-L1</t>
        </is>
      </c>
      <c r="C249" s="2" t="inlineStr">
        <is>
          <t>T02-L2</t>
        </is>
      </c>
      <c r="D249" s="2" t="inlineStr">
        <is>
          <t>T10-L3</t>
        </is>
      </c>
    </row>
    <row r="250">
      <c r="A250" s="2" t="inlineStr">
        <is>
          <t>H3-1|4</t>
        </is>
      </c>
      <c r="B250" s="2" t="inlineStr">
        <is>
          <t>T03-L1</t>
        </is>
      </c>
      <c r="C250" s="2" t="inlineStr">
        <is>
          <t>T02-L2</t>
        </is>
      </c>
      <c r="D250" s="2" t="inlineStr">
        <is>
          <t>T06-L3</t>
        </is>
      </c>
    </row>
    <row r="251">
      <c r="A251" s="2" t="inlineStr">
        <is>
          <t>H3-1|5</t>
        </is>
      </c>
      <c r="B251" s="2" t="inlineStr">
        <is>
          <t>T03-L1</t>
        </is>
      </c>
      <c r="C251" s="2" t="inlineStr">
        <is>
          <t>T02-L2</t>
        </is>
      </c>
      <c r="D251" s="2" t="inlineStr">
        <is>
          <t>T06-L3</t>
        </is>
      </c>
    </row>
    <row r="252">
      <c r="A252" s="2" t="inlineStr">
        <is>
          <t>H3-2|1</t>
        </is>
      </c>
      <c r="B252" s="2" t="inlineStr">
        <is>
          <t>T05-L1</t>
        </is>
      </c>
      <c r="C252" s="2" t="inlineStr">
        <is>
          <t>T08-L2</t>
        </is>
      </c>
      <c r="D252" s="2" t="inlineStr">
        <is>
          <t>T06-L3</t>
        </is>
      </c>
    </row>
    <row r="253">
      <c r="A253" s="2" t="inlineStr">
        <is>
          <t>H3-2|2</t>
        </is>
      </c>
      <c r="B253" s="2" t="inlineStr">
        <is>
          <t>T04-L1</t>
        </is>
      </c>
      <c r="C253" s="2" t="inlineStr">
        <is>
          <t>T10-L2</t>
        </is>
      </c>
      <c r="D253" s="2" t="inlineStr">
        <is>
          <t>T03-L3</t>
        </is>
      </c>
    </row>
    <row r="254">
      <c r="A254" s="2" t="inlineStr">
        <is>
          <t>H3-2|3</t>
        </is>
      </c>
      <c r="B254" s="2" t="inlineStr">
        <is>
          <t>T04-L1</t>
        </is>
      </c>
      <c r="C254" s="2" t="inlineStr">
        <is>
          <t>T06-L2</t>
        </is>
      </c>
      <c r="D254" s="2" t="inlineStr">
        <is>
          <t>T02-L3</t>
        </is>
      </c>
    </row>
    <row r="255">
      <c r="A255" s="2" t="inlineStr">
        <is>
          <t>H3-2|4</t>
        </is>
      </c>
      <c r="B255" s="2" t="inlineStr">
        <is>
          <t>T05-L1</t>
        </is>
      </c>
      <c r="C255" s="2" t="inlineStr">
        <is>
          <t>T06-L2</t>
        </is>
      </c>
      <c r="D255" s="2" t="inlineStr">
        <is>
          <t>T02-L3</t>
        </is>
      </c>
    </row>
    <row r="256">
      <c r="A256" s="2" t="inlineStr">
        <is>
          <t>H3-2|5</t>
        </is>
      </c>
      <c r="B256" s="2" t="inlineStr">
        <is>
          <t>T05-L1</t>
        </is>
      </c>
      <c r="C256" s="2" t="inlineStr">
        <is>
          <t>T04-L2</t>
        </is>
      </c>
      <c r="D256" s="2" t="inlineStr">
        <is>
          <t>T09-L3</t>
        </is>
      </c>
    </row>
    <row r="257">
      <c r="A257" s="2" t="inlineStr">
        <is>
          <t>H3-3|1</t>
        </is>
      </c>
      <c r="B257" s="2" t="inlineStr">
        <is>
          <t>T06-L1</t>
        </is>
      </c>
      <c r="C257" s="2" t="inlineStr">
        <is>
          <t>T04-L2</t>
        </is>
      </c>
      <c r="D257" s="2" t="inlineStr">
        <is>
          <t>T03-L3</t>
        </is>
      </c>
    </row>
    <row r="258">
      <c r="A258" s="2" t="inlineStr">
        <is>
          <t>H3-3|2</t>
        </is>
      </c>
      <c r="B258" s="2" t="inlineStr">
        <is>
          <t>T07-L1</t>
        </is>
      </c>
      <c r="C258" s="2" t="inlineStr">
        <is>
          <t>T04-L2</t>
        </is>
      </c>
      <c r="D258" s="2" t="inlineStr">
        <is>
          <t>T01-L3</t>
        </is>
      </c>
    </row>
    <row r="259">
      <c r="A259" s="2" t="inlineStr">
        <is>
          <t>H3-3|3</t>
        </is>
      </c>
      <c r="B259" s="2" t="inlineStr">
        <is>
          <t>T06-L1</t>
        </is>
      </c>
      <c r="C259" s="2" t="inlineStr">
        <is>
          <t>T04-L2</t>
        </is>
      </c>
      <c r="D259" s="2" t="inlineStr">
        <is>
          <t>T01-L3</t>
        </is>
      </c>
    </row>
    <row r="260">
      <c r="A260" s="2" t="inlineStr">
        <is>
          <t>H3-3|4</t>
        </is>
      </c>
      <c r="B260" s="2" t="inlineStr">
        <is>
          <t>T06-L1</t>
        </is>
      </c>
      <c r="C260" s="2" t="inlineStr">
        <is>
          <t>T07-L2</t>
        </is>
      </c>
      <c r="D260" s="2" t="inlineStr">
        <is>
          <t>T01-L3</t>
        </is>
      </c>
    </row>
    <row r="261">
      <c r="A261" s="2" t="inlineStr">
        <is>
          <t>H3-3|5</t>
        </is>
      </c>
      <c r="B261" s="2" t="inlineStr">
        <is>
          <t>T06-L1</t>
        </is>
      </c>
      <c r="C261" s="2" t="inlineStr">
        <is>
          <t>T07-L2</t>
        </is>
      </c>
      <c r="D261" s="2" t="inlineStr">
        <is>
          <t>T01-L3</t>
        </is>
      </c>
    </row>
    <row r="262">
      <c r="A262" s="2" t="inlineStr">
        <is>
          <t>H4-1|1</t>
        </is>
      </c>
      <c r="B262" s="2" t="inlineStr">
        <is>
          <t>T05-L1</t>
        </is>
      </c>
      <c r="C262" s="2" t="inlineStr">
        <is>
          <t>T09-L2</t>
        </is>
      </c>
      <c r="D262" s="2" t="inlineStr">
        <is>
          <t>T06-L3</t>
        </is>
      </c>
    </row>
    <row r="263">
      <c r="A263" s="2" t="inlineStr">
        <is>
          <t>H4-1|2</t>
        </is>
      </c>
      <c r="B263" s="2" t="inlineStr">
        <is>
          <t>T05-L1</t>
        </is>
      </c>
      <c r="C263" s="2" t="inlineStr">
        <is>
          <t>T07-L2</t>
        </is>
      </c>
      <c r="D263" s="2" t="inlineStr">
        <is>
          <t>T02-L3</t>
        </is>
      </c>
    </row>
    <row r="264">
      <c r="A264" s="2" t="inlineStr">
        <is>
          <t>H4-1|3</t>
        </is>
      </c>
      <c r="B264" s="2" t="inlineStr">
        <is>
          <t>T06-L1</t>
        </is>
      </c>
      <c r="C264" s="2" t="inlineStr">
        <is>
          <t>T02-L2</t>
        </is>
      </c>
      <c r="D264" s="2" t="inlineStr">
        <is>
          <t>T10-L3</t>
        </is>
      </c>
    </row>
    <row r="265">
      <c r="A265" s="2" t="inlineStr">
        <is>
          <t>H4-1|4</t>
        </is>
      </c>
      <c r="B265" s="2" t="inlineStr">
        <is>
          <t>T05-L1</t>
        </is>
      </c>
      <c r="C265" s="2" t="inlineStr">
        <is>
          <t>T02-L2</t>
        </is>
      </c>
      <c r="D265" s="2" t="inlineStr">
        <is>
          <t>T06-L3</t>
        </is>
      </c>
    </row>
    <row r="266">
      <c r="A266" s="2" t="inlineStr">
        <is>
          <t>H4-1|5</t>
        </is>
      </c>
      <c r="B266" s="2" t="inlineStr">
        <is>
          <t>T05-L1</t>
        </is>
      </c>
      <c r="C266" s="2" t="inlineStr">
        <is>
          <t>T02-L2</t>
        </is>
      </c>
      <c r="D266" s="2" t="inlineStr">
        <is>
          <t>T06-L3</t>
        </is>
      </c>
    </row>
    <row r="267">
      <c r="A267" s="2" t="inlineStr">
        <is>
          <t>H4-2|1</t>
        </is>
      </c>
      <c r="B267" s="2" t="inlineStr">
        <is>
          <t>T06-L1</t>
        </is>
      </c>
      <c r="C267" s="2" t="inlineStr">
        <is>
          <t>T08-L2</t>
        </is>
      </c>
      <c r="D267" s="2" t="inlineStr">
        <is>
          <t>T05-L3</t>
        </is>
      </c>
    </row>
    <row r="268">
      <c r="A268" s="2" t="inlineStr">
        <is>
          <t>H4-2|2</t>
        </is>
      </c>
      <c r="B268" s="2" t="inlineStr">
        <is>
          <t>T04-L1</t>
        </is>
      </c>
      <c r="C268" s="2" t="inlineStr">
        <is>
          <t>T10-L2</t>
        </is>
      </c>
      <c r="D268" s="2" t="inlineStr">
        <is>
          <t>T03-L3</t>
        </is>
      </c>
    </row>
    <row r="269">
      <c r="A269" s="2" t="inlineStr">
        <is>
          <t>H4-2|3</t>
        </is>
      </c>
      <c r="B269" s="2" t="inlineStr">
        <is>
          <t>T04-L1</t>
        </is>
      </c>
      <c r="C269" s="2" t="inlineStr">
        <is>
          <t>T10-L2</t>
        </is>
      </c>
      <c r="D269" s="2" t="inlineStr">
        <is>
          <t>T02-L3</t>
        </is>
      </c>
    </row>
    <row r="270">
      <c r="A270" s="2" t="inlineStr">
        <is>
          <t>H4-2|4</t>
        </is>
      </c>
      <c r="B270" s="2" t="inlineStr">
        <is>
          <t>T06-L1</t>
        </is>
      </c>
      <c r="C270" s="2" t="inlineStr">
        <is>
          <t>T09-L2</t>
        </is>
      </c>
      <c r="D270" s="2" t="inlineStr">
        <is>
          <t>T02-L3</t>
        </is>
      </c>
    </row>
    <row r="271">
      <c r="A271" s="2" t="inlineStr">
        <is>
          <t>H4-2|5</t>
        </is>
      </c>
      <c r="B271" s="2" t="inlineStr">
        <is>
          <t>T09-L1</t>
        </is>
      </c>
      <c r="C271" s="2" t="inlineStr">
        <is>
          <t>T04-L2</t>
        </is>
      </c>
      <c r="D271" s="2" t="inlineStr">
        <is>
          <t>T06-L3</t>
        </is>
      </c>
    </row>
    <row r="272">
      <c r="A272" s="2" t="inlineStr">
        <is>
          <t>H4-3|1</t>
        </is>
      </c>
      <c r="B272" s="2" t="inlineStr">
        <is>
          <t>T09-L1</t>
        </is>
      </c>
      <c r="C272" s="2" t="inlineStr">
        <is>
          <t>T10-L2</t>
        </is>
      </c>
      <c r="D272" s="2" t="inlineStr">
        <is>
          <t>T03-L3</t>
        </is>
      </c>
    </row>
    <row r="273">
      <c r="A273" s="2" t="inlineStr">
        <is>
          <t>H4-3|2</t>
        </is>
      </c>
      <c r="B273" s="2" t="inlineStr">
        <is>
          <t>T07-L1</t>
        </is>
      </c>
      <c r="C273" s="2" t="inlineStr">
        <is>
          <t>T04-L2</t>
        </is>
      </c>
      <c r="D273" s="2" t="inlineStr">
        <is>
          <t>T01-L3</t>
        </is>
      </c>
    </row>
    <row r="274">
      <c r="A274" s="2" t="inlineStr">
        <is>
          <t>H4-3|3</t>
        </is>
      </c>
      <c r="B274" s="2" t="inlineStr">
        <is>
          <t>T09-L1</t>
        </is>
      </c>
      <c r="C274" s="2" t="inlineStr">
        <is>
          <t>T04-L2</t>
        </is>
      </c>
      <c r="D274" s="2" t="inlineStr">
        <is>
          <t>T10-L3</t>
        </is>
      </c>
    </row>
    <row r="275">
      <c r="A275" s="2" t="inlineStr">
        <is>
          <t>H4-3|4</t>
        </is>
      </c>
      <c r="B275" s="2" t="inlineStr">
        <is>
          <t>T07-L1</t>
        </is>
      </c>
      <c r="C275" s="2" t="inlineStr">
        <is>
          <t>T10-L2</t>
        </is>
      </c>
      <c r="D275" s="2" t="inlineStr">
        <is>
          <t>T01-L3</t>
        </is>
      </c>
    </row>
    <row r="276">
      <c r="A276" s="2" t="inlineStr">
        <is>
          <t>H4-3|5</t>
        </is>
      </c>
      <c r="B276" s="2" t="inlineStr">
        <is>
          <t>T06-L1</t>
        </is>
      </c>
      <c r="C276" s="2" t="inlineStr">
        <is>
          <t>T07-L2</t>
        </is>
      </c>
      <c r="D276" s="2" t="inlineStr">
        <is>
          <t>T03-L3</t>
        </is>
      </c>
    </row>
    <row r="277">
      <c r="A277" s="2" t="inlineStr">
        <is>
          <t>H4-4|1</t>
        </is>
      </c>
      <c r="B277" s="2" t="inlineStr">
        <is>
          <t>T07-L1</t>
        </is>
      </c>
      <c r="C277" s="2" t="inlineStr">
        <is>
          <t>T04-L2</t>
        </is>
      </c>
      <c r="D277" s="2" t="inlineStr">
        <is>
          <t>T10-L3</t>
        </is>
      </c>
    </row>
    <row r="278">
      <c r="A278" s="2" t="inlineStr">
        <is>
          <t>H4-4|2</t>
        </is>
      </c>
      <c r="B278" s="2" t="inlineStr">
        <is>
          <t>T10-L1</t>
        </is>
      </c>
      <c r="C278" s="2" t="inlineStr">
        <is>
          <t>T04-L2</t>
        </is>
      </c>
      <c r="D278" s="2" t="inlineStr">
        <is>
          <t>T05-L3</t>
        </is>
      </c>
    </row>
    <row r="279">
      <c r="A279" s="2" t="inlineStr">
        <is>
          <t>H4-4|3</t>
        </is>
      </c>
      <c r="B279" s="2" t="inlineStr">
        <is>
          <t>T10-L1</t>
        </is>
      </c>
      <c r="C279" s="2" t="inlineStr">
        <is>
          <t>T04-L2</t>
        </is>
      </c>
      <c r="D279" s="2" t="inlineStr">
        <is>
          <t>T02-L3</t>
        </is>
      </c>
    </row>
    <row r="280">
      <c r="A280" s="2" t="inlineStr">
        <is>
          <t>H4-4|4</t>
        </is>
      </c>
      <c r="B280" s="2" t="inlineStr">
        <is>
          <t>T10-L1</t>
        </is>
      </c>
      <c r="C280" s="2" t="inlineStr">
        <is>
          <t>T07-L2</t>
        </is>
      </c>
      <c r="D280" s="2" t="inlineStr">
        <is>
          <t>T05-L3</t>
        </is>
      </c>
    </row>
    <row r="281">
      <c r="A281" s="2" t="inlineStr">
        <is>
          <t>H4-4|5</t>
        </is>
      </c>
      <c r="B281" s="2" t="inlineStr">
        <is>
          <t>T07-L1</t>
        </is>
      </c>
      <c r="C281" s="2" t="inlineStr">
        <is>
          <t>T08-L2</t>
        </is>
      </c>
      <c r="D281" s="2" t="inlineStr">
        <is>
          <t>T01-L3</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8" customWidth="1" min="1" max="1"/>
    <col width="30" customWidth="1" min="2" max="2"/>
    <col width="10" customWidth="1" min="3" max="3"/>
    <col width="10" customWidth="1" min="4" max="4"/>
    <col width="14" customWidth="1" min="5" max="5"/>
    <col width="20" customWidth="1" min="6" max="6"/>
  </cols>
  <sheetData>
    <row r="1">
      <c r="A1" s="4" t="inlineStr">
        <is>
          <t>Group</t>
        </is>
      </c>
      <c r="B1" s="4" t="inlineStr">
        <is>
          <t>Sub-problem (choose after Monday)</t>
        </is>
      </c>
      <c r="C1" s="4" t="inlineStr">
        <is>
          <t>Seats</t>
        </is>
      </c>
      <c r="D1" s="4" t="inlineStr">
        <is>
          <t>Present</t>
        </is>
      </c>
      <c r="E1" s="4" t="inlineStr">
        <is>
          <t>Mocks placed</t>
        </is>
      </c>
      <c r="F1" s="4" t="inlineStr">
        <is>
          <t>Assessor</t>
        </is>
      </c>
      <c r="G1" s="4" t="inlineStr">
        <is>
          <t>Order</t>
        </is>
      </c>
    </row>
    <row r="2">
      <c r="A2" s="2" t="inlineStr">
        <is>
          <t>G1</t>
        </is>
      </c>
      <c r="B2" s="3" t="n"/>
      <c r="C2" s="2">
        <f>COUNTIF(Seats!B$2:B$36,A2)</f>
        <v/>
      </c>
      <c r="D2" s="2">
        <f>COUNTIFS(Seats!B$2:B$36,A2,Seats!G$2:G$36,"yes")</f>
        <v/>
      </c>
      <c r="E2" s="2">
        <f>COUNTIF(Roster!I$2:I$43,A2)</f>
        <v/>
      </c>
      <c r="F2" s="2" t="inlineStr">
        <is>
          <t>Programme Head</t>
        </is>
      </c>
      <c r="G2" s="2" t="n">
        <v>1</v>
      </c>
    </row>
    <row r="3">
      <c r="A3" s="2" t="inlineStr">
        <is>
          <t>G2</t>
        </is>
      </c>
      <c r="B3" s="3" t="n"/>
      <c r="C3" s="2">
        <f>COUNTIF(Seats!B$2:B$36,A3)</f>
        <v/>
      </c>
      <c r="D3" s="2">
        <f>COUNTIFS(Seats!B$2:B$36,A3,Seats!G$2:G$36,"yes")</f>
        <v/>
      </c>
      <c r="E3" s="2">
        <f>COUNTIF(Roster!I$2:I$43,A3)</f>
        <v/>
      </c>
      <c r="F3" s="2" t="inlineStr">
        <is>
          <t>Academic TA</t>
        </is>
      </c>
      <c r="G3" s="2" t="n">
        <v>2</v>
      </c>
    </row>
    <row r="4">
      <c r="A4" s="2" t="inlineStr">
        <is>
          <t>G3</t>
        </is>
      </c>
      <c r="B4" s="3" t="n"/>
      <c r="C4" s="2">
        <f>COUNTIF(Seats!B$2:B$36,A4)</f>
        <v/>
      </c>
      <c r="D4" s="2">
        <f>COUNTIFS(Seats!B$2:B$36,A4,Seats!G$2:G$36,"yes")</f>
        <v/>
      </c>
      <c r="E4" s="2">
        <f>COUNTIF(Roster!I$2:I$43,A4)</f>
        <v/>
      </c>
      <c r="F4" s="2" t="inlineStr">
        <is>
          <t>Principal Advisor</t>
        </is>
      </c>
      <c r="G4" s="2" t="n">
        <v>3</v>
      </c>
    </row>
    <row r="5">
      <c r="A5" s="2" t="inlineStr">
        <is>
          <t>G4</t>
        </is>
      </c>
      <c r="B5" s="3" t="n"/>
      <c r="C5" s="2">
        <f>COUNTIF(Seats!B$2:B$36,A5)</f>
        <v/>
      </c>
      <c r="D5" s="2">
        <f>COUNTIFS(Seats!B$2:B$36,A5,Seats!G$2:G$36,"yes")</f>
        <v/>
      </c>
      <c r="E5" s="2">
        <f>COUNTIF(Roster!I$2:I$43,A5)</f>
        <v/>
      </c>
      <c r="F5" s="2" t="inlineStr">
        <is>
          <t>Programme Head</t>
        </is>
      </c>
      <c r="G5" s="2" t="n">
        <v>4</v>
      </c>
    </row>
    <row r="6">
      <c r="A6" s="2" t="inlineStr">
        <is>
          <t>G5</t>
        </is>
      </c>
      <c r="B6" s="3" t="n"/>
      <c r="C6" s="2">
        <f>COUNTIF(Seats!B$2:B$36,A6)</f>
        <v/>
      </c>
      <c r="D6" s="2">
        <f>COUNTIFS(Seats!B$2:B$36,A6,Seats!G$2:G$36,"yes")</f>
        <v/>
      </c>
      <c r="E6" s="2">
        <f>COUNTIF(Roster!I$2:I$43,A6)</f>
        <v/>
      </c>
      <c r="F6" s="2" t="inlineStr">
        <is>
          <t>Academic TA</t>
        </is>
      </c>
      <c r="G6" s="2" t="n">
        <v>5</v>
      </c>
    </row>
    <row r="7">
      <c r="A7" s="2" t="inlineStr">
        <is>
          <t>G6</t>
        </is>
      </c>
      <c r="B7" s="3" t="n"/>
      <c r="C7" s="2">
        <f>COUNTIF(Seats!B$2:B$36,A7)</f>
        <v/>
      </c>
      <c r="D7" s="2">
        <f>COUNTIFS(Seats!B$2:B$36,A7,Seats!G$2:G$36,"yes")</f>
        <v/>
      </c>
      <c r="E7" s="2">
        <f>COUNTIF(Roster!I$2:I$43,A7)</f>
        <v/>
      </c>
      <c r="F7" s="2" t="inlineStr">
        <is>
          <t>Principal Advisor</t>
        </is>
      </c>
      <c r="G7" s="2" t="n">
        <v>6</v>
      </c>
    </row>
    <row r="8">
      <c r="A8" s="2" t="inlineStr">
        <is>
          <t>G7</t>
        </is>
      </c>
      <c r="B8" s="3" t="n"/>
      <c r="C8" s="2">
        <f>COUNTIF(Seats!B$2:B$36,A8)</f>
        <v/>
      </c>
      <c r="D8" s="2">
        <f>COUNTIFS(Seats!B$2:B$36,A8,Seats!G$2:G$36,"yes")</f>
        <v/>
      </c>
      <c r="E8" s="2">
        <f>COUNTIF(Roster!I$2:I$43,A8)</f>
        <v/>
      </c>
      <c r="F8" s="2" t="inlineStr">
        <is>
          <t>Programme Head</t>
        </is>
      </c>
      <c r="G8" s="2" t="n">
        <v>7</v>
      </c>
    </row>
    <row r="9">
      <c r="A9" s="2" t="inlineStr">
        <is>
          <t>G8</t>
        </is>
      </c>
      <c r="B9" s="3" t="n"/>
      <c r="C9" s="2">
        <f>COUNTIF(Seats!B$2:B$36,A9)</f>
        <v/>
      </c>
      <c r="D9" s="2">
        <f>COUNTIFS(Seats!B$2:B$36,A9,Seats!G$2:G$36,"yes")</f>
        <v/>
      </c>
      <c r="E9" s="2">
        <f>COUNTIF(Roster!I$2:I$43,A9)</f>
        <v/>
      </c>
      <c r="F9" s="2" t="inlineStr">
        <is>
          <t>Academic TA</t>
        </is>
      </c>
      <c r="G9" s="2" t="n">
        <v>8</v>
      </c>
    </row>
    <row r="10">
      <c r="A10" s="2" t="inlineStr">
        <is>
          <t>G9</t>
        </is>
      </c>
      <c r="B10" s="3" t="n"/>
      <c r="C10" s="2">
        <f>COUNTIF(Seats!B$2:B$36,A10)</f>
        <v/>
      </c>
      <c r="D10" s="2">
        <f>COUNTIFS(Seats!B$2:B$36,A10,Seats!G$2:G$36,"yes")</f>
        <v/>
      </c>
      <c r="E10" s="2">
        <f>COUNTIF(Roster!I$2:I$43,A10)</f>
        <v/>
      </c>
      <c r="F10" s="2" t="inlineStr">
        <is>
          <t>Principal Advisor</t>
        </is>
      </c>
      <c r="G10" s="2" t="n">
        <v>9</v>
      </c>
    </row>
    <row r="11">
      <c r="A11" s="2" t="inlineStr">
        <is>
          <t>Total</t>
        </is>
      </c>
      <c r="C11" s="2">
        <f>SUM(C2:C10)</f>
        <v/>
      </c>
      <c r="D11" s="2">
        <f>SUM(D2:D10)</f>
        <v/>
      </c>
      <c r="E11" s="2">
        <f>SUM(E2:E10)</f>
        <v/>
      </c>
    </row>
  </sheetData>
  <dataValidations count="1">
    <dataValidation sqref="B2 B3 B4 B5 B6 B7 B8 B9 B10" showDropDown="0" showInputMessage="0" showErrorMessage="0" allowBlank="1" type="list">
      <formula1>"1 revenue,2 bookings,3 billing,4 no-shows,5 campaign"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36"/>
  <sheetViews>
    <sheetView workbookViewId="0">
      <selection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8"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20" customWidth="1" min="14" max="14"/>
    <col width="12" customWidth="1" min="15" max="15"/>
    <col width="12" customWidth="1" min="16" max="16"/>
    <col width="12" customWidth="1" min="17" max="17"/>
    <col width="12" customWidth="1" min="18" max="18"/>
    <col width="12" customWidth="1" min="19" max="19"/>
    <col width="16" customWidth="1" min="20" max="20"/>
  </cols>
  <sheetData>
    <row r="1">
      <c r="A1" s="4" t="inlineStr">
        <is>
          <t>Call order</t>
        </is>
      </c>
      <c r="B1" s="4" t="inlineStr">
        <is>
          <t>Group</t>
        </is>
      </c>
      <c r="C1" s="4" t="inlineStr">
        <is>
          <t>Seat</t>
        </is>
      </c>
      <c r="D1" s="4" t="inlineStr">
        <is>
          <t>Seat label</t>
        </is>
      </c>
      <c r="E1" s="4" t="inlineStr">
        <is>
          <t>Set</t>
        </is>
      </c>
      <c r="F1" s="4" t="inlineStr">
        <is>
          <t>Sub-problem</t>
        </is>
      </c>
      <c r="G1" s="4" t="inlineStr">
        <is>
          <t>Present</t>
        </is>
      </c>
      <c r="H1" s="4" t="inlineStr">
        <is>
          <t>Queue position</t>
        </is>
      </c>
      <c r="I1" s="4" t="inlineStr">
        <is>
          <t>Viva probe</t>
        </is>
      </c>
      <c r="J1" s="4" t="inlineStr">
        <is>
          <t>L1</t>
        </is>
      </c>
      <c r="K1" s="4" t="inlineStr">
        <is>
          <t>L2</t>
        </is>
      </c>
      <c r="L1" s="4" t="inlineStr">
        <is>
          <t>L3</t>
        </is>
      </c>
      <c r="M1" s="4" t="inlineStr">
        <is>
          <t>One family twice</t>
        </is>
      </c>
      <c r="N1" s="4" t="inlineStr">
        <is>
          <t>Shares a question with a group-mate</t>
        </is>
      </c>
      <c r="O1" s="4" t="inlineStr">
        <is>
          <t>Group's first letter</t>
        </is>
      </c>
      <c r="P1" s="4" t="inlineStr">
        <is>
          <t>Group size</t>
        </is>
      </c>
      <c r="Q1" s="4" t="inlineStr">
        <is>
          <t>Reserve L1</t>
        </is>
      </c>
      <c r="R1" s="4" t="inlineStr">
        <is>
          <t>Reserve L2</t>
        </is>
      </c>
      <c r="S1" s="4" t="inlineStr">
        <is>
          <t>Reserve L3</t>
        </is>
      </c>
      <c r="T1" s="4" t="inlineStr">
        <is>
          <t>Reserve check</t>
        </is>
      </c>
    </row>
    <row r="2">
      <c r="A2" s="2" t="n">
        <v>1</v>
      </c>
      <c r="B2" s="2" t="inlineStr">
        <is>
          <t>G1</t>
        </is>
      </c>
      <c r="C2" s="2" t="n">
        <v>1</v>
      </c>
      <c r="D2" s="2">
        <f>B2&amp;"-S"&amp;C2</f>
        <v/>
      </c>
      <c r="E2" s="2">
        <f>MID("ABCDEFGH",MOD(VALUE(MID(B2,2,2))+C2-2,8)+1,1)</f>
        <v/>
      </c>
      <c r="F2" s="2">
        <f>IF(INDEX(Groups!B$2:B$10,VALUE(MID(B2,2,2)))="","allocate on Monday",INDEX(Groups!B$2:B$10,VALUE(MID(B2,2,2))))</f>
        <v/>
      </c>
      <c r="G2" s="3" t="inlineStr">
        <is>
          <t>yes</t>
        </is>
      </c>
      <c r="H2" s="2">
        <f>IF(G2="yes",COUNTIFS(G$2:G$36,"yes",A$2:A$36,"&lt;="&amp;A2),"")</f>
        <v/>
      </c>
      <c r="I2" s="2">
        <f>"P"&amp;(MOD(C2-1+IF(LEFT(F2,1)="a",0,COUNTIFS(Groups!$B$2:$B$10,F2,Groups!$G$2:$G$10,"&lt;"&amp;VALUE(MID(B2,2,2)))),4)+1)</f>
        <v/>
      </c>
      <c r="J2" s="2">
        <f>IFERROR(INDEX(Sets!G$2:G$19,MATCH(INDEX(Sets!B$2:B$9,MATCH(E2,Sets!A$2:A$9,0))&amp;"|"&amp;LEFT(F2,1),Sets!F$2:F$19,0)),INDEX(Sets!B$2:B$9,MATCH(E2,Sets!A$2:A$9,0)))</f>
        <v/>
      </c>
      <c r="K2" s="2">
        <f>IFERROR(INDEX(Sets!G$2:G$19,MATCH(INDEX(Sets!C$2:C$9,MATCH(E2,Sets!A$2:A$9,0))&amp;"|"&amp;LEFT(F2,1),Sets!F$2:F$19,0)),INDEX(Sets!C$2:C$9,MATCH(E2,Sets!A$2:A$9,0)))</f>
        <v/>
      </c>
      <c r="L2" s="2">
        <f>IFERROR(INDEX(Sets!G$2:G$19,MATCH(INDEX(Sets!D$2:D$9,MATCH(E2,Sets!A$2:A$9,0))&amp;"|"&amp;LEFT(F2,1),Sets!F$2:F$19,0)),INDEX(Sets!D$2:D$9,MATCH(E2,Sets!A$2:A$9,0)))</f>
        <v/>
      </c>
      <c r="M2" s="2">
        <f>IF(OR(LEFT(J2,3)=LEFT(K2,3),LEFT(J2,3)=LEFT(L2,3),LEFT(K2,3)=LEFT(L2,3)),"repeat","ok")</f>
        <v/>
      </c>
      <c r="N2" s="2">
        <f>IF(COUNTIFS(B$2:B$36,B2,J$2:J$36,J2)+COUNTIFS(B$2:B$36,B2,K$2:K$36,K2)+COUNTIFS(B$2:B$36,B2,L$2:L$36,L2)&gt;3,"yes","no")</f>
        <v/>
      </c>
      <c r="O2" s="2">
        <f>MID("ABCDEFGH",MOD(VALUE(MID(B2,2,2))-1,8)+1,1)</f>
        <v/>
      </c>
      <c r="P2" s="2">
        <f>COUNTIF(B$2:B$36,B2)</f>
        <v/>
      </c>
      <c r="Q2" s="2">
        <f>IFERROR(INDEX(Reserves!B$2:B$281,MATCH(O2&amp;P2&amp;"-"&amp;C2&amp;"|"&amp;LEFT(F2,1),Reserves!A$2:A$281,0)),"after Monday")</f>
        <v/>
      </c>
      <c r="R2" s="2">
        <f>IFERROR(INDEX(Reserves!C$2:C$281,MATCH(O2&amp;P2&amp;"-"&amp;C2&amp;"|"&amp;LEFT(F2,1),Reserves!A$2:A$281,0)),"after Monday")</f>
        <v/>
      </c>
      <c r="S2" s="2">
        <f>IFERROR(INDEX(Reserves!D$2:D$281,MATCH(O2&amp;P2&amp;"-"&amp;C2&amp;"|"&amp;LEFT(F2,1),Reserves!A$2:A$281,0)),"after Monday")</f>
        <v/>
      </c>
      <c r="T2" s="2">
        <f>IF(Q2="after Monday","",IF(OR(LEFT(Q2,3)=LEFT(J2,3),LEFT(Q2,3)=LEFT(K2,3),LEFT(Q2,3)=LEFT(L2,3),LEFT(Q2,3)=LEFT(R2,3),LEFT(Q2,3)=LEFT(S2,3),LEFT(R2,3)=LEFT(J2,3),LEFT(R2,3)=LEFT(K2,3),LEFT(R2,3)=LEFT(L2,3),LEFT(R2,3)=LEFT(Q2,3),LEFT(R2,3)=LEFT(S2,3),LEFT(S2,3)=LEFT(J2,3),LEFT(S2,3)=LEFT(K2,3),LEFT(S2,3)=LEFT(L2,3),LEFT(S2,3)=LEFT(Q2,3),LEFT(S2,3)=LEFT(R2,3)),"clash",IF(COUNTIFS(B$2:B$36,B2,J$2:J$36,Q2)+COUNTIFS(B$2:B$36,B2,J$2:J$36,R2)+COUNTIFS(B$2:B$36,B2,J$2:J$36,S2)+COUNTIFS(B$2:B$36,B2,K$2:K$36,Q2)+COUNTIFS(B$2:B$36,B2,K$2:K$36,R2)+COUNTIFS(B$2:B$36,B2,K$2:K$36,S2)+COUNTIFS(B$2:B$36,B2,L$2:L$36,Q2)+COUNTIFS(B$2:B$36,B2,L$2:L$36,R2)+COUNTIFS(B$2:B$36,B2,L$2:L$36,S2)&gt;0,"clash","ok")))</f>
        <v/>
      </c>
    </row>
    <row r="3">
      <c r="A3" s="2" t="n">
        <v>2</v>
      </c>
      <c r="B3" s="2" t="inlineStr">
        <is>
          <t>G2</t>
        </is>
      </c>
      <c r="C3" s="2" t="n">
        <v>1</v>
      </c>
      <c r="D3" s="2">
        <f>B3&amp;"-S"&amp;C3</f>
        <v/>
      </c>
      <c r="E3" s="2">
        <f>MID("ABCDEFGH",MOD(VALUE(MID(B3,2,2))+C3-2,8)+1,1)</f>
        <v/>
      </c>
      <c r="F3" s="2">
        <f>IF(INDEX(Groups!B$2:B$10,VALUE(MID(B3,2,2)))="","allocate on Monday",INDEX(Groups!B$2:B$10,VALUE(MID(B3,2,2))))</f>
        <v/>
      </c>
      <c r="G3" s="3" t="inlineStr">
        <is>
          <t>yes</t>
        </is>
      </c>
      <c r="H3" s="2">
        <f>IF(G3="yes",COUNTIFS(G$2:G$36,"yes",A$2:A$36,"&lt;="&amp;A3),"")</f>
        <v/>
      </c>
      <c r="I3" s="2">
        <f>"P"&amp;(MOD(C3-1+IF(LEFT(F3,1)="a",0,COUNTIFS(Groups!$B$2:$B$10,F3,Groups!$G$2:$G$10,"&lt;"&amp;VALUE(MID(B3,2,2)))),4)+1)</f>
        <v/>
      </c>
      <c r="J3" s="2">
        <f>IFERROR(INDEX(Sets!G$2:G$19,MATCH(INDEX(Sets!B$2:B$9,MATCH(E3,Sets!A$2:A$9,0))&amp;"|"&amp;LEFT(F3,1),Sets!F$2:F$19,0)),INDEX(Sets!B$2:B$9,MATCH(E3,Sets!A$2:A$9,0)))</f>
        <v/>
      </c>
      <c r="K3" s="2">
        <f>IFERROR(INDEX(Sets!G$2:G$19,MATCH(INDEX(Sets!C$2:C$9,MATCH(E3,Sets!A$2:A$9,0))&amp;"|"&amp;LEFT(F3,1),Sets!F$2:F$19,0)),INDEX(Sets!C$2:C$9,MATCH(E3,Sets!A$2:A$9,0)))</f>
        <v/>
      </c>
      <c r="L3" s="2">
        <f>IFERROR(INDEX(Sets!G$2:G$19,MATCH(INDEX(Sets!D$2:D$9,MATCH(E3,Sets!A$2:A$9,0))&amp;"|"&amp;LEFT(F3,1),Sets!F$2:F$19,0)),INDEX(Sets!D$2:D$9,MATCH(E3,Sets!A$2:A$9,0)))</f>
        <v/>
      </c>
      <c r="M3" s="2">
        <f>IF(OR(LEFT(J3,3)=LEFT(K3,3),LEFT(J3,3)=LEFT(L3,3),LEFT(K3,3)=LEFT(L3,3)),"repeat","ok")</f>
        <v/>
      </c>
      <c r="N3" s="2">
        <f>IF(COUNTIFS(B$2:B$36,B3,J$2:J$36,J3)+COUNTIFS(B$2:B$36,B3,K$2:K$36,K3)+COUNTIFS(B$2:B$36,B3,L$2:L$36,L3)&gt;3,"yes","no")</f>
        <v/>
      </c>
      <c r="O3" s="2">
        <f>MID("ABCDEFGH",MOD(VALUE(MID(B3,2,2))-1,8)+1,1)</f>
        <v/>
      </c>
      <c r="P3" s="2">
        <f>COUNTIF(B$2:B$36,B3)</f>
        <v/>
      </c>
      <c r="Q3" s="2">
        <f>IFERROR(INDEX(Reserves!B$2:B$281,MATCH(O3&amp;P3&amp;"-"&amp;C3&amp;"|"&amp;LEFT(F3,1),Reserves!A$2:A$281,0)),"after Monday")</f>
        <v/>
      </c>
      <c r="R3" s="2">
        <f>IFERROR(INDEX(Reserves!C$2:C$281,MATCH(O3&amp;P3&amp;"-"&amp;C3&amp;"|"&amp;LEFT(F3,1),Reserves!A$2:A$281,0)),"after Monday")</f>
        <v/>
      </c>
      <c r="S3" s="2">
        <f>IFERROR(INDEX(Reserves!D$2:D$281,MATCH(O3&amp;P3&amp;"-"&amp;C3&amp;"|"&amp;LEFT(F3,1),Reserves!A$2:A$281,0)),"after Monday")</f>
        <v/>
      </c>
      <c r="T3" s="2">
        <f>IF(Q3="after Monday","",IF(OR(LEFT(Q3,3)=LEFT(J3,3),LEFT(Q3,3)=LEFT(K3,3),LEFT(Q3,3)=LEFT(L3,3),LEFT(Q3,3)=LEFT(R3,3),LEFT(Q3,3)=LEFT(S3,3),LEFT(R3,3)=LEFT(J3,3),LEFT(R3,3)=LEFT(K3,3),LEFT(R3,3)=LEFT(L3,3),LEFT(R3,3)=LEFT(Q3,3),LEFT(R3,3)=LEFT(S3,3),LEFT(S3,3)=LEFT(J3,3),LEFT(S3,3)=LEFT(K3,3),LEFT(S3,3)=LEFT(L3,3),LEFT(S3,3)=LEFT(Q3,3),LEFT(S3,3)=LEFT(R3,3)),"clash",IF(COUNTIFS(B$2:B$36,B3,J$2:J$36,Q3)+COUNTIFS(B$2:B$36,B3,J$2:J$36,R3)+COUNTIFS(B$2:B$36,B3,J$2:J$36,S3)+COUNTIFS(B$2:B$36,B3,K$2:K$36,Q3)+COUNTIFS(B$2:B$36,B3,K$2:K$36,R3)+COUNTIFS(B$2:B$36,B3,K$2:K$36,S3)+COUNTIFS(B$2:B$36,B3,L$2:L$36,Q3)+COUNTIFS(B$2:B$36,B3,L$2:L$36,R3)+COUNTIFS(B$2:B$36,B3,L$2:L$36,S3)&gt;0,"clash","ok")))</f>
        <v/>
      </c>
    </row>
    <row r="4">
      <c r="A4" s="2" t="n">
        <v>3</v>
      </c>
      <c r="B4" s="2" t="inlineStr">
        <is>
          <t>G3</t>
        </is>
      </c>
      <c r="C4" s="2" t="n">
        <v>1</v>
      </c>
      <c r="D4" s="2">
        <f>B4&amp;"-S"&amp;C4</f>
        <v/>
      </c>
      <c r="E4" s="2">
        <f>MID("ABCDEFGH",MOD(VALUE(MID(B4,2,2))+C4-2,8)+1,1)</f>
        <v/>
      </c>
      <c r="F4" s="2">
        <f>IF(INDEX(Groups!B$2:B$10,VALUE(MID(B4,2,2)))="","allocate on Monday",INDEX(Groups!B$2:B$10,VALUE(MID(B4,2,2))))</f>
        <v/>
      </c>
      <c r="G4" s="3" t="inlineStr">
        <is>
          <t>yes</t>
        </is>
      </c>
      <c r="H4" s="2">
        <f>IF(G4="yes",COUNTIFS(G$2:G$36,"yes",A$2:A$36,"&lt;="&amp;A4),"")</f>
        <v/>
      </c>
      <c r="I4" s="2">
        <f>"P"&amp;(MOD(C4-1+IF(LEFT(F4,1)="a",0,COUNTIFS(Groups!$B$2:$B$10,F4,Groups!$G$2:$G$10,"&lt;"&amp;VALUE(MID(B4,2,2)))),4)+1)</f>
        <v/>
      </c>
      <c r="J4" s="2">
        <f>IFERROR(INDEX(Sets!G$2:G$19,MATCH(INDEX(Sets!B$2:B$9,MATCH(E4,Sets!A$2:A$9,0))&amp;"|"&amp;LEFT(F4,1),Sets!F$2:F$19,0)),INDEX(Sets!B$2:B$9,MATCH(E4,Sets!A$2:A$9,0)))</f>
        <v/>
      </c>
      <c r="K4" s="2">
        <f>IFERROR(INDEX(Sets!G$2:G$19,MATCH(INDEX(Sets!C$2:C$9,MATCH(E4,Sets!A$2:A$9,0))&amp;"|"&amp;LEFT(F4,1),Sets!F$2:F$19,0)),INDEX(Sets!C$2:C$9,MATCH(E4,Sets!A$2:A$9,0)))</f>
        <v/>
      </c>
      <c r="L4" s="2">
        <f>IFERROR(INDEX(Sets!G$2:G$19,MATCH(INDEX(Sets!D$2:D$9,MATCH(E4,Sets!A$2:A$9,0))&amp;"|"&amp;LEFT(F4,1),Sets!F$2:F$19,0)),INDEX(Sets!D$2:D$9,MATCH(E4,Sets!A$2:A$9,0)))</f>
        <v/>
      </c>
      <c r="M4" s="2">
        <f>IF(OR(LEFT(J4,3)=LEFT(K4,3),LEFT(J4,3)=LEFT(L4,3),LEFT(K4,3)=LEFT(L4,3)),"repeat","ok")</f>
        <v/>
      </c>
      <c r="N4" s="2">
        <f>IF(COUNTIFS(B$2:B$36,B4,J$2:J$36,J4)+COUNTIFS(B$2:B$36,B4,K$2:K$36,K4)+COUNTIFS(B$2:B$36,B4,L$2:L$36,L4)&gt;3,"yes","no")</f>
        <v/>
      </c>
      <c r="O4" s="2">
        <f>MID("ABCDEFGH",MOD(VALUE(MID(B4,2,2))-1,8)+1,1)</f>
        <v/>
      </c>
      <c r="P4" s="2">
        <f>COUNTIF(B$2:B$36,B4)</f>
        <v/>
      </c>
      <c r="Q4" s="2">
        <f>IFERROR(INDEX(Reserves!B$2:B$281,MATCH(O4&amp;P4&amp;"-"&amp;C4&amp;"|"&amp;LEFT(F4,1),Reserves!A$2:A$281,0)),"after Monday")</f>
        <v/>
      </c>
      <c r="R4" s="2">
        <f>IFERROR(INDEX(Reserves!C$2:C$281,MATCH(O4&amp;P4&amp;"-"&amp;C4&amp;"|"&amp;LEFT(F4,1),Reserves!A$2:A$281,0)),"after Monday")</f>
        <v/>
      </c>
      <c r="S4" s="2">
        <f>IFERROR(INDEX(Reserves!D$2:D$281,MATCH(O4&amp;P4&amp;"-"&amp;C4&amp;"|"&amp;LEFT(F4,1),Reserves!A$2:A$281,0)),"after Monday")</f>
        <v/>
      </c>
      <c r="T4" s="2">
        <f>IF(Q4="after Monday","",IF(OR(LEFT(Q4,3)=LEFT(J4,3),LEFT(Q4,3)=LEFT(K4,3),LEFT(Q4,3)=LEFT(L4,3),LEFT(Q4,3)=LEFT(R4,3),LEFT(Q4,3)=LEFT(S4,3),LEFT(R4,3)=LEFT(J4,3),LEFT(R4,3)=LEFT(K4,3),LEFT(R4,3)=LEFT(L4,3),LEFT(R4,3)=LEFT(Q4,3),LEFT(R4,3)=LEFT(S4,3),LEFT(S4,3)=LEFT(J4,3),LEFT(S4,3)=LEFT(K4,3),LEFT(S4,3)=LEFT(L4,3),LEFT(S4,3)=LEFT(Q4,3),LEFT(S4,3)=LEFT(R4,3)),"clash",IF(COUNTIFS(B$2:B$36,B4,J$2:J$36,Q4)+COUNTIFS(B$2:B$36,B4,J$2:J$36,R4)+COUNTIFS(B$2:B$36,B4,J$2:J$36,S4)+COUNTIFS(B$2:B$36,B4,K$2:K$36,Q4)+COUNTIFS(B$2:B$36,B4,K$2:K$36,R4)+COUNTIFS(B$2:B$36,B4,K$2:K$36,S4)+COUNTIFS(B$2:B$36,B4,L$2:L$36,Q4)+COUNTIFS(B$2:B$36,B4,L$2:L$36,R4)+COUNTIFS(B$2:B$36,B4,L$2:L$36,S4)&gt;0,"clash","ok")))</f>
        <v/>
      </c>
    </row>
    <row r="5">
      <c r="A5" s="2" t="n">
        <v>4</v>
      </c>
      <c r="B5" s="2" t="inlineStr">
        <is>
          <t>G4</t>
        </is>
      </c>
      <c r="C5" s="2" t="n">
        <v>1</v>
      </c>
      <c r="D5" s="2">
        <f>B5&amp;"-S"&amp;C5</f>
        <v/>
      </c>
      <c r="E5" s="2">
        <f>MID("ABCDEFGH",MOD(VALUE(MID(B5,2,2))+C5-2,8)+1,1)</f>
        <v/>
      </c>
      <c r="F5" s="2">
        <f>IF(INDEX(Groups!B$2:B$10,VALUE(MID(B5,2,2)))="","allocate on Monday",INDEX(Groups!B$2:B$10,VALUE(MID(B5,2,2))))</f>
        <v/>
      </c>
      <c r="G5" s="3" t="inlineStr">
        <is>
          <t>yes</t>
        </is>
      </c>
      <c r="H5" s="2">
        <f>IF(G5="yes",COUNTIFS(G$2:G$36,"yes",A$2:A$36,"&lt;="&amp;A5),"")</f>
        <v/>
      </c>
      <c r="I5" s="2">
        <f>"P"&amp;(MOD(C5-1+IF(LEFT(F5,1)="a",0,COUNTIFS(Groups!$B$2:$B$10,F5,Groups!$G$2:$G$10,"&lt;"&amp;VALUE(MID(B5,2,2)))),4)+1)</f>
        <v/>
      </c>
      <c r="J5" s="2">
        <f>IFERROR(INDEX(Sets!G$2:G$19,MATCH(INDEX(Sets!B$2:B$9,MATCH(E5,Sets!A$2:A$9,0))&amp;"|"&amp;LEFT(F5,1),Sets!F$2:F$19,0)),INDEX(Sets!B$2:B$9,MATCH(E5,Sets!A$2:A$9,0)))</f>
        <v/>
      </c>
      <c r="K5" s="2">
        <f>IFERROR(INDEX(Sets!G$2:G$19,MATCH(INDEX(Sets!C$2:C$9,MATCH(E5,Sets!A$2:A$9,0))&amp;"|"&amp;LEFT(F5,1),Sets!F$2:F$19,0)),INDEX(Sets!C$2:C$9,MATCH(E5,Sets!A$2:A$9,0)))</f>
        <v/>
      </c>
      <c r="L5" s="2">
        <f>IFERROR(INDEX(Sets!G$2:G$19,MATCH(INDEX(Sets!D$2:D$9,MATCH(E5,Sets!A$2:A$9,0))&amp;"|"&amp;LEFT(F5,1),Sets!F$2:F$19,0)),INDEX(Sets!D$2:D$9,MATCH(E5,Sets!A$2:A$9,0)))</f>
        <v/>
      </c>
      <c r="M5" s="2">
        <f>IF(OR(LEFT(J5,3)=LEFT(K5,3),LEFT(J5,3)=LEFT(L5,3),LEFT(K5,3)=LEFT(L5,3)),"repeat","ok")</f>
        <v/>
      </c>
      <c r="N5" s="2">
        <f>IF(COUNTIFS(B$2:B$36,B5,J$2:J$36,J5)+COUNTIFS(B$2:B$36,B5,K$2:K$36,K5)+COUNTIFS(B$2:B$36,B5,L$2:L$36,L5)&gt;3,"yes","no")</f>
        <v/>
      </c>
      <c r="O5" s="2">
        <f>MID("ABCDEFGH",MOD(VALUE(MID(B5,2,2))-1,8)+1,1)</f>
        <v/>
      </c>
      <c r="P5" s="2">
        <f>COUNTIF(B$2:B$36,B5)</f>
        <v/>
      </c>
      <c r="Q5" s="2">
        <f>IFERROR(INDEX(Reserves!B$2:B$281,MATCH(O5&amp;P5&amp;"-"&amp;C5&amp;"|"&amp;LEFT(F5,1),Reserves!A$2:A$281,0)),"after Monday")</f>
        <v/>
      </c>
      <c r="R5" s="2">
        <f>IFERROR(INDEX(Reserves!C$2:C$281,MATCH(O5&amp;P5&amp;"-"&amp;C5&amp;"|"&amp;LEFT(F5,1),Reserves!A$2:A$281,0)),"after Monday")</f>
        <v/>
      </c>
      <c r="S5" s="2">
        <f>IFERROR(INDEX(Reserves!D$2:D$281,MATCH(O5&amp;P5&amp;"-"&amp;C5&amp;"|"&amp;LEFT(F5,1),Reserves!A$2:A$281,0)),"after Monday")</f>
        <v/>
      </c>
      <c r="T5" s="2">
        <f>IF(Q5="after Monday","",IF(OR(LEFT(Q5,3)=LEFT(J5,3),LEFT(Q5,3)=LEFT(K5,3),LEFT(Q5,3)=LEFT(L5,3),LEFT(Q5,3)=LEFT(R5,3),LEFT(Q5,3)=LEFT(S5,3),LEFT(R5,3)=LEFT(J5,3),LEFT(R5,3)=LEFT(K5,3),LEFT(R5,3)=LEFT(L5,3),LEFT(R5,3)=LEFT(Q5,3),LEFT(R5,3)=LEFT(S5,3),LEFT(S5,3)=LEFT(J5,3),LEFT(S5,3)=LEFT(K5,3),LEFT(S5,3)=LEFT(L5,3),LEFT(S5,3)=LEFT(Q5,3),LEFT(S5,3)=LEFT(R5,3)),"clash",IF(COUNTIFS(B$2:B$36,B5,J$2:J$36,Q5)+COUNTIFS(B$2:B$36,B5,J$2:J$36,R5)+COUNTIFS(B$2:B$36,B5,J$2:J$36,S5)+COUNTIFS(B$2:B$36,B5,K$2:K$36,Q5)+COUNTIFS(B$2:B$36,B5,K$2:K$36,R5)+COUNTIFS(B$2:B$36,B5,K$2:K$36,S5)+COUNTIFS(B$2:B$36,B5,L$2:L$36,Q5)+COUNTIFS(B$2:B$36,B5,L$2:L$36,R5)+COUNTIFS(B$2:B$36,B5,L$2:L$36,S5)&gt;0,"clash","ok")))</f>
        <v/>
      </c>
    </row>
    <row r="6">
      <c r="A6" s="2" t="n">
        <v>5</v>
      </c>
      <c r="B6" s="2" t="inlineStr">
        <is>
          <t>G5</t>
        </is>
      </c>
      <c r="C6" s="2" t="n">
        <v>1</v>
      </c>
      <c r="D6" s="2">
        <f>B6&amp;"-S"&amp;C6</f>
        <v/>
      </c>
      <c r="E6" s="2">
        <f>MID("ABCDEFGH",MOD(VALUE(MID(B6,2,2))+C6-2,8)+1,1)</f>
        <v/>
      </c>
      <c r="F6" s="2">
        <f>IF(INDEX(Groups!B$2:B$10,VALUE(MID(B6,2,2)))="","allocate on Monday",INDEX(Groups!B$2:B$10,VALUE(MID(B6,2,2))))</f>
        <v/>
      </c>
      <c r="G6" s="3" t="inlineStr">
        <is>
          <t>yes</t>
        </is>
      </c>
      <c r="H6" s="2">
        <f>IF(G6="yes",COUNTIFS(G$2:G$36,"yes",A$2:A$36,"&lt;="&amp;A6),"")</f>
        <v/>
      </c>
      <c r="I6" s="2">
        <f>"P"&amp;(MOD(C6-1+IF(LEFT(F6,1)="a",0,COUNTIFS(Groups!$B$2:$B$10,F6,Groups!$G$2:$G$10,"&lt;"&amp;VALUE(MID(B6,2,2)))),4)+1)</f>
        <v/>
      </c>
      <c r="J6" s="2">
        <f>IFERROR(INDEX(Sets!G$2:G$19,MATCH(INDEX(Sets!B$2:B$9,MATCH(E6,Sets!A$2:A$9,0))&amp;"|"&amp;LEFT(F6,1),Sets!F$2:F$19,0)),INDEX(Sets!B$2:B$9,MATCH(E6,Sets!A$2:A$9,0)))</f>
        <v/>
      </c>
      <c r="K6" s="2">
        <f>IFERROR(INDEX(Sets!G$2:G$19,MATCH(INDEX(Sets!C$2:C$9,MATCH(E6,Sets!A$2:A$9,0))&amp;"|"&amp;LEFT(F6,1),Sets!F$2:F$19,0)),INDEX(Sets!C$2:C$9,MATCH(E6,Sets!A$2:A$9,0)))</f>
        <v/>
      </c>
      <c r="L6" s="2">
        <f>IFERROR(INDEX(Sets!G$2:G$19,MATCH(INDEX(Sets!D$2:D$9,MATCH(E6,Sets!A$2:A$9,0))&amp;"|"&amp;LEFT(F6,1),Sets!F$2:F$19,0)),INDEX(Sets!D$2:D$9,MATCH(E6,Sets!A$2:A$9,0)))</f>
        <v/>
      </c>
      <c r="M6" s="2">
        <f>IF(OR(LEFT(J6,3)=LEFT(K6,3),LEFT(J6,3)=LEFT(L6,3),LEFT(K6,3)=LEFT(L6,3)),"repeat","ok")</f>
        <v/>
      </c>
      <c r="N6" s="2">
        <f>IF(COUNTIFS(B$2:B$36,B6,J$2:J$36,J6)+COUNTIFS(B$2:B$36,B6,K$2:K$36,K6)+COUNTIFS(B$2:B$36,B6,L$2:L$36,L6)&gt;3,"yes","no")</f>
        <v/>
      </c>
      <c r="O6" s="2">
        <f>MID("ABCDEFGH",MOD(VALUE(MID(B6,2,2))-1,8)+1,1)</f>
        <v/>
      </c>
      <c r="P6" s="2">
        <f>COUNTIF(B$2:B$36,B6)</f>
        <v/>
      </c>
      <c r="Q6" s="2">
        <f>IFERROR(INDEX(Reserves!B$2:B$281,MATCH(O6&amp;P6&amp;"-"&amp;C6&amp;"|"&amp;LEFT(F6,1),Reserves!A$2:A$281,0)),"after Monday")</f>
        <v/>
      </c>
      <c r="R6" s="2">
        <f>IFERROR(INDEX(Reserves!C$2:C$281,MATCH(O6&amp;P6&amp;"-"&amp;C6&amp;"|"&amp;LEFT(F6,1),Reserves!A$2:A$281,0)),"after Monday")</f>
        <v/>
      </c>
      <c r="S6" s="2">
        <f>IFERROR(INDEX(Reserves!D$2:D$281,MATCH(O6&amp;P6&amp;"-"&amp;C6&amp;"|"&amp;LEFT(F6,1),Reserves!A$2:A$281,0)),"after Monday")</f>
        <v/>
      </c>
      <c r="T6" s="2">
        <f>IF(Q6="after Monday","",IF(OR(LEFT(Q6,3)=LEFT(J6,3),LEFT(Q6,3)=LEFT(K6,3),LEFT(Q6,3)=LEFT(L6,3),LEFT(Q6,3)=LEFT(R6,3),LEFT(Q6,3)=LEFT(S6,3),LEFT(R6,3)=LEFT(J6,3),LEFT(R6,3)=LEFT(K6,3),LEFT(R6,3)=LEFT(L6,3),LEFT(R6,3)=LEFT(Q6,3),LEFT(R6,3)=LEFT(S6,3),LEFT(S6,3)=LEFT(J6,3),LEFT(S6,3)=LEFT(K6,3),LEFT(S6,3)=LEFT(L6,3),LEFT(S6,3)=LEFT(Q6,3),LEFT(S6,3)=LEFT(R6,3)),"clash",IF(COUNTIFS(B$2:B$36,B6,J$2:J$36,Q6)+COUNTIFS(B$2:B$36,B6,J$2:J$36,R6)+COUNTIFS(B$2:B$36,B6,J$2:J$36,S6)+COUNTIFS(B$2:B$36,B6,K$2:K$36,Q6)+COUNTIFS(B$2:B$36,B6,K$2:K$36,R6)+COUNTIFS(B$2:B$36,B6,K$2:K$36,S6)+COUNTIFS(B$2:B$36,B6,L$2:L$36,Q6)+COUNTIFS(B$2:B$36,B6,L$2:L$36,R6)+COUNTIFS(B$2:B$36,B6,L$2:L$36,S6)&gt;0,"clash","ok")))</f>
        <v/>
      </c>
    </row>
    <row r="7">
      <c r="A7" s="2" t="n">
        <v>6</v>
      </c>
      <c r="B7" s="2" t="inlineStr">
        <is>
          <t>G6</t>
        </is>
      </c>
      <c r="C7" s="2" t="n">
        <v>1</v>
      </c>
      <c r="D7" s="2">
        <f>B7&amp;"-S"&amp;C7</f>
        <v/>
      </c>
      <c r="E7" s="2">
        <f>MID("ABCDEFGH",MOD(VALUE(MID(B7,2,2))+C7-2,8)+1,1)</f>
        <v/>
      </c>
      <c r="F7" s="2">
        <f>IF(INDEX(Groups!B$2:B$10,VALUE(MID(B7,2,2)))="","allocate on Monday",INDEX(Groups!B$2:B$10,VALUE(MID(B7,2,2))))</f>
        <v/>
      </c>
      <c r="G7" s="3" t="inlineStr">
        <is>
          <t>yes</t>
        </is>
      </c>
      <c r="H7" s="2">
        <f>IF(G7="yes",COUNTIFS(G$2:G$36,"yes",A$2:A$36,"&lt;="&amp;A7),"")</f>
        <v/>
      </c>
      <c r="I7" s="2">
        <f>"P"&amp;(MOD(C7-1+IF(LEFT(F7,1)="a",0,COUNTIFS(Groups!$B$2:$B$10,F7,Groups!$G$2:$G$10,"&lt;"&amp;VALUE(MID(B7,2,2)))),4)+1)</f>
        <v/>
      </c>
      <c r="J7" s="2">
        <f>IFERROR(INDEX(Sets!G$2:G$19,MATCH(INDEX(Sets!B$2:B$9,MATCH(E7,Sets!A$2:A$9,0))&amp;"|"&amp;LEFT(F7,1),Sets!F$2:F$19,0)),INDEX(Sets!B$2:B$9,MATCH(E7,Sets!A$2:A$9,0)))</f>
        <v/>
      </c>
      <c r="K7" s="2">
        <f>IFERROR(INDEX(Sets!G$2:G$19,MATCH(INDEX(Sets!C$2:C$9,MATCH(E7,Sets!A$2:A$9,0))&amp;"|"&amp;LEFT(F7,1),Sets!F$2:F$19,0)),INDEX(Sets!C$2:C$9,MATCH(E7,Sets!A$2:A$9,0)))</f>
        <v/>
      </c>
      <c r="L7" s="2">
        <f>IFERROR(INDEX(Sets!G$2:G$19,MATCH(INDEX(Sets!D$2:D$9,MATCH(E7,Sets!A$2:A$9,0))&amp;"|"&amp;LEFT(F7,1),Sets!F$2:F$19,0)),INDEX(Sets!D$2:D$9,MATCH(E7,Sets!A$2:A$9,0)))</f>
        <v/>
      </c>
      <c r="M7" s="2">
        <f>IF(OR(LEFT(J7,3)=LEFT(K7,3),LEFT(J7,3)=LEFT(L7,3),LEFT(K7,3)=LEFT(L7,3)),"repeat","ok")</f>
        <v/>
      </c>
      <c r="N7" s="2">
        <f>IF(COUNTIFS(B$2:B$36,B7,J$2:J$36,J7)+COUNTIFS(B$2:B$36,B7,K$2:K$36,K7)+COUNTIFS(B$2:B$36,B7,L$2:L$36,L7)&gt;3,"yes","no")</f>
        <v/>
      </c>
      <c r="O7" s="2">
        <f>MID("ABCDEFGH",MOD(VALUE(MID(B7,2,2))-1,8)+1,1)</f>
        <v/>
      </c>
      <c r="P7" s="2">
        <f>COUNTIF(B$2:B$36,B7)</f>
        <v/>
      </c>
      <c r="Q7" s="2">
        <f>IFERROR(INDEX(Reserves!B$2:B$281,MATCH(O7&amp;P7&amp;"-"&amp;C7&amp;"|"&amp;LEFT(F7,1),Reserves!A$2:A$281,0)),"after Monday")</f>
        <v/>
      </c>
      <c r="R7" s="2">
        <f>IFERROR(INDEX(Reserves!C$2:C$281,MATCH(O7&amp;P7&amp;"-"&amp;C7&amp;"|"&amp;LEFT(F7,1),Reserves!A$2:A$281,0)),"after Monday")</f>
        <v/>
      </c>
      <c r="S7" s="2">
        <f>IFERROR(INDEX(Reserves!D$2:D$281,MATCH(O7&amp;P7&amp;"-"&amp;C7&amp;"|"&amp;LEFT(F7,1),Reserves!A$2:A$281,0)),"after Monday")</f>
        <v/>
      </c>
      <c r="T7" s="2">
        <f>IF(Q7="after Monday","",IF(OR(LEFT(Q7,3)=LEFT(J7,3),LEFT(Q7,3)=LEFT(K7,3),LEFT(Q7,3)=LEFT(L7,3),LEFT(Q7,3)=LEFT(R7,3),LEFT(Q7,3)=LEFT(S7,3),LEFT(R7,3)=LEFT(J7,3),LEFT(R7,3)=LEFT(K7,3),LEFT(R7,3)=LEFT(L7,3),LEFT(R7,3)=LEFT(Q7,3),LEFT(R7,3)=LEFT(S7,3),LEFT(S7,3)=LEFT(J7,3),LEFT(S7,3)=LEFT(K7,3),LEFT(S7,3)=LEFT(L7,3),LEFT(S7,3)=LEFT(Q7,3),LEFT(S7,3)=LEFT(R7,3)),"clash",IF(COUNTIFS(B$2:B$36,B7,J$2:J$36,Q7)+COUNTIFS(B$2:B$36,B7,J$2:J$36,R7)+COUNTIFS(B$2:B$36,B7,J$2:J$36,S7)+COUNTIFS(B$2:B$36,B7,K$2:K$36,Q7)+COUNTIFS(B$2:B$36,B7,K$2:K$36,R7)+COUNTIFS(B$2:B$36,B7,K$2:K$36,S7)+COUNTIFS(B$2:B$36,B7,L$2:L$36,Q7)+COUNTIFS(B$2:B$36,B7,L$2:L$36,R7)+COUNTIFS(B$2:B$36,B7,L$2:L$36,S7)&gt;0,"clash","ok")))</f>
        <v/>
      </c>
    </row>
    <row r="8">
      <c r="A8" s="2" t="n">
        <v>7</v>
      </c>
      <c r="B8" s="2" t="inlineStr">
        <is>
          <t>G7</t>
        </is>
      </c>
      <c r="C8" s="2" t="n">
        <v>1</v>
      </c>
      <c r="D8" s="2">
        <f>B8&amp;"-S"&amp;C8</f>
        <v/>
      </c>
      <c r="E8" s="2">
        <f>MID("ABCDEFGH",MOD(VALUE(MID(B8,2,2))+C8-2,8)+1,1)</f>
        <v/>
      </c>
      <c r="F8" s="2">
        <f>IF(INDEX(Groups!B$2:B$10,VALUE(MID(B8,2,2)))="","allocate on Monday",INDEX(Groups!B$2:B$10,VALUE(MID(B8,2,2))))</f>
        <v/>
      </c>
      <c r="G8" s="3" t="inlineStr">
        <is>
          <t>yes</t>
        </is>
      </c>
      <c r="H8" s="2">
        <f>IF(G8="yes",COUNTIFS(G$2:G$36,"yes",A$2:A$36,"&lt;="&amp;A8),"")</f>
        <v/>
      </c>
      <c r="I8" s="2">
        <f>"P"&amp;(MOD(C8-1+IF(LEFT(F8,1)="a",0,COUNTIFS(Groups!$B$2:$B$10,F8,Groups!$G$2:$G$10,"&lt;"&amp;VALUE(MID(B8,2,2)))),4)+1)</f>
        <v/>
      </c>
      <c r="J8" s="2">
        <f>IFERROR(INDEX(Sets!G$2:G$19,MATCH(INDEX(Sets!B$2:B$9,MATCH(E8,Sets!A$2:A$9,0))&amp;"|"&amp;LEFT(F8,1),Sets!F$2:F$19,0)),INDEX(Sets!B$2:B$9,MATCH(E8,Sets!A$2:A$9,0)))</f>
        <v/>
      </c>
      <c r="K8" s="2">
        <f>IFERROR(INDEX(Sets!G$2:G$19,MATCH(INDEX(Sets!C$2:C$9,MATCH(E8,Sets!A$2:A$9,0))&amp;"|"&amp;LEFT(F8,1),Sets!F$2:F$19,0)),INDEX(Sets!C$2:C$9,MATCH(E8,Sets!A$2:A$9,0)))</f>
        <v/>
      </c>
      <c r="L8" s="2">
        <f>IFERROR(INDEX(Sets!G$2:G$19,MATCH(INDEX(Sets!D$2:D$9,MATCH(E8,Sets!A$2:A$9,0))&amp;"|"&amp;LEFT(F8,1),Sets!F$2:F$19,0)),INDEX(Sets!D$2:D$9,MATCH(E8,Sets!A$2:A$9,0)))</f>
        <v/>
      </c>
      <c r="M8" s="2">
        <f>IF(OR(LEFT(J8,3)=LEFT(K8,3),LEFT(J8,3)=LEFT(L8,3),LEFT(K8,3)=LEFT(L8,3)),"repeat","ok")</f>
        <v/>
      </c>
      <c r="N8" s="2">
        <f>IF(COUNTIFS(B$2:B$36,B8,J$2:J$36,J8)+COUNTIFS(B$2:B$36,B8,K$2:K$36,K8)+COUNTIFS(B$2:B$36,B8,L$2:L$36,L8)&gt;3,"yes","no")</f>
        <v/>
      </c>
      <c r="O8" s="2">
        <f>MID("ABCDEFGH",MOD(VALUE(MID(B8,2,2))-1,8)+1,1)</f>
        <v/>
      </c>
      <c r="P8" s="2">
        <f>COUNTIF(B$2:B$36,B8)</f>
        <v/>
      </c>
      <c r="Q8" s="2">
        <f>IFERROR(INDEX(Reserves!B$2:B$281,MATCH(O8&amp;P8&amp;"-"&amp;C8&amp;"|"&amp;LEFT(F8,1),Reserves!A$2:A$281,0)),"after Monday")</f>
        <v/>
      </c>
      <c r="R8" s="2">
        <f>IFERROR(INDEX(Reserves!C$2:C$281,MATCH(O8&amp;P8&amp;"-"&amp;C8&amp;"|"&amp;LEFT(F8,1),Reserves!A$2:A$281,0)),"after Monday")</f>
        <v/>
      </c>
      <c r="S8" s="2">
        <f>IFERROR(INDEX(Reserves!D$2:D$281,MATCH(O8&amp;P8&amp;"-"&amp;C8&amp;"|"&amp;LEFT(F8,1),Reserves!A$2:A$281,0)),"after Monday")</f>
        <v/>
      </c>
      <c r="T8" s="2">
        <f>IF(Q8="after Monday","",IF(OR(LEFT(Q8,3)=LEFT(J8,3),LEFT(Q8,3)=LEFT(K8,3),LEFT(Q8,3)=LEFT(L8,3),LEFT(Q8,3)=LEFT(R8,3),LEFT(Q8,3)=LEFT(S8,3),LEFT(R8,3)=LEFT(J8,3),LEFT(R8,3)=LEFT(K8,3),LEFT(R8,3)=LEFT(L8,3),LEFT(R8,3)=LEFT(Q8,3),LEFT(R8,3)=LEFT(S8,3),LEFT(S8,3)=LEFT(J8,3),LEFT(S8,3)=LEFT(K8,3),LEFT(S8,3)=LEFT(L8,3),LEFT(S8,3)=LEFT(Q8,3),LEFT(S8,3)=LEFT(R8,3)),"clash",IF(COUNTIFS(B$2:B$36,B8,J$2:J$36,Q8)+COUNTIFS(B$2:B$36,B8,J$2:J$36,R8)+COUNTIFS(B$2:B$36,B8,J$2:J$36,S8)+COUNTIFS(B$2:B$36,B8,K$2:K$36,Q8)+COUNTIFS(B$2:B$36,B8,K$2:K$36,R8)+COUNTIFS(B$2:B$36,B8,K$2:K$36,S8)+COUNTIFS(B$2:B$36,B8,L$2:L$36,Q8)+COUNTIFS(B$2:B$36,B8,L$2:L$36,R8)+COUNTIFS(B$2:B$36,B8,L$2:L$36,S8)&gt;0,"clash","ok")))</f>
        <v/>
      </c>
    </row>
    <row r="9">
      <c r="A9" s="2" t="n">
        <v>8</v>
      </c>
      <c r="B9" s="2" t="inlineStr">
        <is>
          <t>G8</t>
        </is>
      </c>
      <c r="C9" s="2" t="n">
        <v>1</v>
      </c>
      <c r="D9" s="2">
        <f>B9&amp;"-S"&amp;C9</f>
        <v/>
      </c>
      <c r="E9" s="2">
        <f>MID("ABCDEFGH",MOD(VALUE(MID(B9,2,2))+C9-2,8)+1,1)</f>
        <v/>
      </c>
      <c r="F9" s="2">
        <f>IF(INDEX(Groups!B$2:B$10,VALUE(MID(B9,2,2)))="","allocate on Monday",INDEX(Groups!B$2:B$10,VALUE(MID(B9,2,2))))</f>
        <v/>
      </c>
      <c r="G9" s="3" t="inlineStr">
        <is>
          <t>yes</t>
        </is>
      </c>
      <c r="H9" s="2">
        <f>IF(G9="yes",COUNTIFS(G$2:G$36,"yes",A$2:A$36,"&lt;="&amp;A9),"")</f>
        <v/>
      </c>
      <c r="I9" s="2">
        <f>"P"&amp;(MOD(C9-1+IF(LEFT(F9,1)="a",0,COUNTIFS(Groups!$B$2:$B$10,F9,Groups!$G$2:$G$10,"&lt;"&amp;VALUE(MID(B9,2,2)))),4)+1)</f>
        <v/>
      </c>
      <c r="J9" s="2">
        <f>IFERROR(INDEX(Sets!G$2:G$19,MATCH(INDEX(Sets!B$2:B$9,MATCH(E9,Sets!A$2:A$9,0))&amp;"|"&amp;LEFT(F9,1),Sets!F$2:F$19,0)),INDEX(Sets!B$2:B$9,MATCH(E9,Sets!A$2:A$9,0)))</f>
        <v/>
      </c>
      <c r="K9" s="2">
        <f>IFERROR(INDEX(Sets!G$2:G$19,MATCH(INDEX(Sets!C$2:C$9,MATCH(E9,Sets!A$2:A$9,0))&amp;"|"&amp;LEFT(F9,1),Sets!F$2:F$19,0)),INDEX(Sets!C$2:C$9,MATCH(E9,Sets!A$2:A$9,0)))</f>
        <v/>
      </c>
      <c r="L9" s="2">
        <f>IFERROR(INDEX(Sets!G$2:G$19,MATCH(INDEX(Sets!D$2:D$9,MATCH(E9,Sets!A$2:A$9,0))&amp;"|"&amp;LEFT(F9,1),Sets!F$2:F$19,0)),INDEX(Sets!D$2:D$9,MATCH(E9,Sets!A$2:A$9,0)))</f>
        <v/>
      </c>
      <c r="M9" s="2">
        <f>IF(OR(LEFT(J9,3)=LEFT(K9,3),LEFT(J9,3)=LEFT(L9,3),LEFT(K9,3)=LEFT(L9,3)),"repeat","ok")</f>
        <v/>
      </c>
      <c r="N9" s="2">
        <f>IF(COUNTIFS(B$2:B$36,B9,J$2:J$36,J9)+COUNTIFS(B$2:B$36,B9,K$2:K$36,K9)+COUNTIFS(B$2:B$36,B9,L$2:L$36,L9)&gt;3,"yes","no")</f>
        <v/>
      </c>
      <c r="O9" s="2">
        <f>MID("ABCDEFGH",MOD(VALUE(MID(B9,2,2))-1,8)+1,1)</f>
        <v/>
      </c>
      <c r="P9" s="2">
        <f>COUNTIF(B$2:B$36,B9)</f>
        <v/>
      </c>
      <c r="Q9" s="2">
        <f>IFERROR(INDEX(Reserves!B$2:B$281,MATCH(O9&amp;P9&amp;"-"&amp;C9&amp;"|"&amp;LEFT(F9,1),Reserves!A$2:A$281,0)),"after Monday")</f>
        <v/>
      </c>
      <c r="R9" s="2">
        <f>IFERROR(INDEX(Reserves!C$2:C$281,MATCH(O9&amp;P9&amp;"-"&amp;C9&amp;"|"&amp;LEFT(F9,1),Reserves!A$2:A$281,0)),"after Monday")</f>
        <v/>
      </c>
      <c r="S9" s="2">
        <f>IFERROR(INDEX(Reserves!D$2:D$281,MATCH(O9&amp;P9&amp;"-"&amp;C9&amp;"|"&amp;LEFT(F9,1),Reserves!A$2:A$281,0)),"after Monday")</f>
        <v/>
      </c>
      <c r="T9" s="2">
        <f>IF(Q9="after Monday","",IF(OR(LEFT(Q9,3)=LEFT(J9,3),LEFT(Q9,3)=LEFT(K9,3),LEFT(Q9,3)=LEFT(L9,3),LEFT(Q9,3)=LEFT(R9,3),LEFT(Q9,3)=LEFT(S9,3),LEFT(R9,3)=LEFT(J9,3),LEFT(R9,3)=LEFT(K9,3),LEFT(R9,3)=LEFT(L9,3),LEFT(R9,3)=LEFT(Q9,3),LEFT(R9,3)=LEFT(S9,3),LEFT(S9,3)=LEFT(J9,3),LEFT(S9,3)=LEFT(K9,3),LEFT(S9,3)=LEFT(L9,3),LEFT(S9,3)=LEFT(Q9,3),LEFT(S9,3)=LEFT(R9,3)),"clash",IF(COUNTIFS(B$2:B$36,B9,J$2:J$36,Q9)+COUNTIFS(B$2:B$36,B9,J$2:J$36,R9)+COUNTIFS(B$2:B$36,B9,J$2:J$36,S9)+COUNTIFS(B$2:B$36,B9,K$2:K$36,Q9)+COUNTIFS(B$2:B$36,B9,K$2:K$36,R9)+COUNTIFS(B$2:B$36,B9,K$2:K$36,S9)+COUNTIFS(B$2:B$36,B9,L$2:L$36,Q9)+COUNTIFS(B$2:B$36,B9,L$2:L$36,R9)+COUNTIFS(B$2:B$36,B9,L$2:L$36,S9)&gt;0,"clash","ok")))</f>
        <v/>
      </c>
    </row>
    <row r="10">
      <c r="A10" s="2" t="n">
        <v>9</v>
      </c>
      <c r="B10" s="2" t="inlineStr">
        <is>
          <t>G9</t>
        </is>
      </c>
      <c r="C10" s="2" t="n">
        <v>1</v>
      </c>
      <c r="D10" s="2">
        <f>B10&amp;"-S"&amp;C10</f>
        <v/>
      </c>
      <c r="E10" s="2">
        <f>MID("ABCDEFGH",MOD(VALUE(MID(B10,2,2))+C10-2,8)+1,1)</f>
        <v/>
      </c>
      <c r="F10" s="2">
        <f>IF(INDEX(Groups!B$2:B$10,VALUE(MID(B10,2,2)))="","allocate on Monday",INDEX(Groups!B$2:B$10,VALUE(MID(B10,2,2))))</f>
        <v/>
      </c>
      <c r="G10" s="3" t="inlineStr">
        <is>
          <t>yes</t>
        </is>
      </c>
      <c r="H10" s="2">
        <f>IF(G10="yes",COUNTIFS(G$2:G$36,"yes",A$2:A$36,"&lt;="&amp;A10),"")</f>
        <v/>
      </c>
      <c r="I10" s="2">
        <f>"P"&amp;(MOD(C10-1+IF(LEFT(F10,1)="a",0,COUNTIFS(Groups!$B$2:$B$10,F10,Groups!$G$2:$G$10,"&lt;"&amp;VALUE(MID(B10,2,2)))),4)+1)</f>
        <v/>
      </c>
      <c r="J10" s="2">
        <f>IFERROR(INDEX(Sets!G$2:G$19,MATCH(INDEX(Sets!B$2:B$9,MATCH(E10,Sets!A$2:A$9,0))&amp;"|"&amp;LEFT(F10,1),Sets!F$2:F$19,0)),INDEX(Sets!B$2:B$9,MATCH(E10,Sets!A$2:A$9,0)))</f>
        <v/>
      </c>
      <c r="K10" s="2">
        <f>IFERROR(INDEX(Sets!G$2:G$19,MATCH(INDEX(Sets!C$2:C$9,MATCH(E10,Sets!A$2:A$9,0))&amp;"|"&amp;LEFT(F10,1),Sets!F$2:F$19,0)),INDEX(Sets!C$2:C$9,MATCH(E10,Sets!A$2:A$9,0)))</f>
        <v/>
      </c>
      <c r="L10" s="2">
        <f>IFERROR(INDEX(Sets!G$2:G$19,MATCH(INDEX(Sets!D$2:D$9,MATCH(E10,Sets!A$2:A$9,0))&amp;"|"&amp;LEFT(F10,1),Sets!F$2:F$19,0)),INDEX(Sets!D$2:D$9,MATCH(E10,Sets!A$2:A$9,0)))</f>
        <v/>
      </c>
      <c r="M10" s="2">
        <f>IF(OR(LEFT(J10,3)=LEFT(K10,3),LEFT(J10,3)=LEFT(L10,3),LEFT(K10,3)=LEFT(L10,3)),"repeat","ok")</f>
        <v/>
      </c>
      <c r="N10" s="2">
        <f>IF(COUNTIFS(B$2:B$36,B10,J$2:J$36,J10)+COUNTIFS(B$2:B$36,B10,K$2:K$36,K10)+COUNTIFS(B$2:B$36,B10,L$2:L$36,L10)&gt;3,"yes","no")</f>
        <v/>
      </c>
      <c r="O10" s="2">
        <f>MID("ABCDEFGH",MOD(VALUE(MID(B10,2,2))-1,8)+1,1)</f>
        <v/>
      </c>
      <c r="P10" s="2">
        <f>COUNTIF(B$2:B$36,B10)</f>
        <v/>
      </c>
      <c r="Q10" s="2">
        <f>IFERROR(INDEX(Reserves!B$2:B$281,MATCH(O10&amp;P10&amp;"-"&amp;C10&amp;"|"&amp;LEFT(F10,1),Reserves!A$2:A$281,0)),"after Monday")</f>
        <v/>
      </c>
      <c r="R10" s="2">
        <f>IFERROR(INDEX(Reserves!C$2:C$281,MATCH(O10&amp;P10&amp;"-"&amp;C10&amp;"|"&amp;LEFT(F10,1),Reserves!A$2:A$281,0)),"after Monday")</f>
        <v/>
      </c>
      <c r="S10" s="2">
        <f>IFERROR(INDEX(Reserves!D$2:D$281,MATCH(O10&amp;P10&amp;"-"&amp;C10&amp;"|"&amp;LEFT(F10,1),Reserves!A$2:A$281,0)),"after Monday")</f>
        <v/>
      </c>
      <c r="T10" s="2">
        <f>IF(Q10="after Monday","",IF(OR(LEFT(Q10,3)=LEFT(J10,3),LEFT(Q10,3)=LEFT(K10,3),LEFT(Q10,3)=LEFT(L10,3),LEFT(Q10,3)=LEFT(R10,3),LEFT(Q10,3)=LEFT(S10,3),LEFT(R10,3)=LEFT(J10,3),LEFT(R10,3)=LEFT(K10,3),LEFT(R10,3)=LEFT(L10,3),LEFT(R10,3)=LEFT(Q10,3),LEFT(R10,3)=LEFT(S10,3),LEFT(S10,3)=LEFT(J10,3),LEFT(S10,3)=LEFT(K10,3),LEFT(S10,3)=LEFT(L10,3),LEFT(S10,3)=LEFT(Q10,3),LEFT(S10,3)=LEFT(R10,3)),"clash",IF(COUNTIFS(B$2:B$36,B10,J$2:J$36,Q10)+COUNTIFS(B$2:B$36,B10,J$2:J$36,R10)+COUNTIFS(B$2:B$36,B10,J$2:J$36,S10)+COUNTIFS(B$2:B$36,B10,K$2:K$36,Q10)+COUNTIFS(B$2:B$36,B10,K$2:K$36,R10)+COUNTIFS(B$2:B$36,B10,K$2:K$36,S10)+COUNTIFS(B$2:B$36,B10,L$2:L$36,Q10)+COUNTIFS(B$2:B$36,B10,L$2:L$36,R10)+COUNTIFS(B$2:B$36,B10,L$2:L$36,S10)&gt;0,"clash","ok")))</f>
        <v/>
      </c>
    </row>
    <row r="11">
      <c r="A11" s="2" t="n">
        <v>10</v>
      </c>
      <c r="B11" s="2" t="inlineStr">
        <is>
          <t>G1</t>
        </is>
      </c>
      <c r="C11" s="2" t="n">
        <v>2</v>
      </c>
      <c r="D11" s="2">
        <f>B11&amp;"-S"&amp;C11</f>
        <v/>
      </c>
      <c r="E11" s="2">
        <f>MID("ABCDEFGH",MOD(VALUE(MID(B11,2,2))+C11-2,8)+1,1)</f>
        <v/>
      </c>
      <c r="F11" s="2">
        <f>IF(INDEX(Groups!B$2:B$10,VALUE(MID(B11,2,2)))="","allocate on Monday",INDEX(Groups!B$2:B$10,VALUE(MID(B11,2,2))))</f>
        <v/>
      </c>
      <c r="G11" s="3" t="inlineStr">
        <is>
          <t>yes</t>
        </is>
      </c>
      <c r="H11" s="2">
        <f>IF(G11="yes",COUNTIFS(G$2:G$36,"yes",A$2:A$36,"&lt;="&amp;A11),"")</f>
        <v/>
      </c>
      <c r="I11" s="2">
        <f>"P"&amp;(MOD(C11-1+IF(LEFT(F11,1)="a",0,COUNTIFS(Groups!$B$2:$B$10,F11,Groups!$G$2:$G$10,"&lt;"&amp;VALUE(MID(B11,2,2)))),4)+1)</f>
        <v/>
      </c>
      <c r="J11" s="2">
        <f>IFERROR(INDEX(Sets!G$2:G$19,MATCH(INDEX(Sets!B$2:B$9,MATCH(E11,Sets!A$2:A$9,0))&amp;"|"&amp;LEFT(F11,1),Sets!F$2:F$19,0)),INDEX(Sets!B$2:B$9,MATCH(E11,Sets!A$2:A$9,0)))</f>
        <v/>
      </c>
      <c r="K11" s="2">
        <f>IFERROR(INDEX(Sets!G$2:G$19,MATCH(INDEX(Sets!C$2:C$9,MATCH(E11,Sets!A$2:A$9,0))&amp;"|"&amp;LEFT(F11,1),Sets!F$2:F$19,0)),INDEX(Sets!C$2:C$9,MATCH(E11,Sets!A$2:A$9,0)))</f>
        <v/>
      </c>
      <c r="L11" s="2">
        <f>IFERROR(INDEX(Sets!G$2:G$19,MATCH(INDEX(Sets!D$2:D$9,MATCH(E11,Sets!A$2:A$9,0))&amp;"|"&amp;LEFT(F11,1),Sets!F$2:F$19,0)),INDEX(Sets!D$2:D$9,MATCH(E11,Sets!A$2:A$9,0)))</f>
        <v/>
      </c>
      <c r="M11" s="2">
        <f>IF(OR(LEFT(J11,3)=LEFT(K11,3),LEFT(J11,3)=LEFT(L11,3),LEFT(K11,3)=LEFT(L11,3)),"repeat","ok")</f>
        <v/>
      </c>
      <c r="N11" s="2">
        <f>IF(COUNTIFS(B$2:B$36,B11,J$2:J$36,J11)+COUNTIFS(B$2:B$36,B11,K$2:K$36,K11)+COUNTIFS(B$2:B$36,B11,L$2:L$36,L11)&gt;3,"yes","no")</f>
        <v/>
      </c>
      <c r="O11" s="2">
        <f>MID("ABCDEFGH",MOD(VALUE(MID(B11,2,2))-1,8)+1,1)</f>
        <v/>
      </c>
      <c r="P11" s="2">
        <f>COUNTIF(B$2:B$36,B11)</f>
        <v/>
      </c>
      <c r="Q11" s="2">
        <f>IFERROR(INDEX(Reserves!B$2:B$281,MATCH(O11&amp;P11&amp;"-"&amp;C11&amp;"|"&amp;LEFT(F11,1),Reserves!A$2:A$281,0)),"after Monday")</f>
        <v/>
      </c>
      <c r="R11" s="2">
        <f>IFERROR(INDEX(Reserves!C$2:C$281,MATCH(O11&amp;P11&amp;"-"&amp;C11&amp;"|"&amp;LEFT(F11,1),Reserves!A$2:A$281,0)),"after Monday")</f>
        <v/>
      </c>
      <c r="S11" s="2">
        <f>IFERROR(INDEX(Reserves!D$2:D$281,MATCH(O11&amp;P11&amp;"-"&amp;C11&amp;"|"&amp;LEFT(F11,1),Reserves!A$2:A$281,0)),"after Monday")</f>
        <v/>
      </c>
      <c r="T11" s="2">
        <f>IF(Q11="after Monday","",IF(OR(LEFT(Q11,3)=LEFT(J11,3),LEFT(Q11,3)=LEFT(K11,3),LEFT(Q11,3)=LEFT(L11,3),LEFT(Q11,3)=LEFT(R11,3),LEFT(Q11,3)=LEFT(S11,3),LEFT(R11,3)=LEFT(J11,3),LEFT(R11,3)=LEFT(K11,3),LEFT(R11,3)=LEFT(L11,3),LEFT(R11,3)=LEFT(Q11,3),LEFT(R11,3)=LEFT(S11,3),LEFT(S11,3)=LEFT(J11,3),LEFT(S11,3)=LEFT(K11,3),LEFT(S11,3)=LEFT(L11,3),LEFT(S11,3)=LEFT(Q11,3),LEFT(S11,3)=LEFT(R11,3)),"clash",IF(COUNTIFS(B$2:B$36,B11,J$2:J$36,Q11)+COUNTIFS(B$2:B$36,B11,J$2:J$36,R11)+COUNTIFS(B$2:B$36,B11,J$2:J$36,S11)+COUNTIFS(B$2:B$36,B11,K$2:K$36,Q11)+COUNTIFS(B$2:B$36,B11,K$2:K$36,R11)+COUNTIFS(B$2:B$36,B11,K$2:K$36,S11)+COUNTIFS(B$2:B$36,B11,L$2:L$36,Q11)+COUNTIFS(B$2:B$36,B11,L$2:L$36,R11)+COUNTIFS(B$2:B$36,B11,L$2:L$36,S11)&gt;0,"clash","ok")))</f>
        <v/>
      </c>
    </row>
    <row r="12">
      <c r="A12" s="2" t="n">
        <v>11</v>
      </c>
      <c r="B12" s="2" t="inlineStr">
        <is>
          <t>G2</t>
        </is>
      </c>
      <c r="C12" s="2" t="n">
        <v>2</v>
      </c>
      <c r="D12" s="2">
        <f>B12&amp;"-S"&amp;C12</f>
        <v/>
      </c>
      <c r="E12" s="2">
        <f>MID("ABCDEFGH",MOD(VALUE(MID(B12,2,2))+C12-2,8)+1,1)</f>
        <v/>
      </c>
      <c r="F12" s="2">
        <f>IF(INDEX(Groups!B$2:B$10,VALUE(MID(B12,2,2)))="","allocate on Monday",INDEX(Groups!B$2:B$10,VALUE(MID(B12,2,2))))</f>
        <v/>
      </c>
      <c r="G12" s="3" t="inlineStr">
        <is>
          <t>yes</t>
        </is>
      </c>
      <c r="H12" s="2">
        <f>IF(G12="yes",COUNTIFS(G$2:G$36,"yes",A$2:A$36,"&lt;="&amp;A12),"")</f>
        <v/>
      </c>
      <c r="I12" s="2">
        <f>"P"&amp;(MOD(C12-1+IF(LEFT(F12,1)="a",0,COUNTIFS(Groups!$B$2:$B$10,F12,Groups!$G$2:$G$10,"&lt;"&amp;VALUE(MID(B12,2,2)))),4)+1)</f>
        <v/>
      </c>
      <c r="J12" s="2">
        <f>IFERROR(INDEX(Sets!G$2:G$19,MATCH(INDEX(Sets!B$2:B$9,MATCH(E12,Sets!A$2:A$9,0))&amp;"|"&amp;LEFT(F12,1),Sets!F$2:F$19,0)),INDEX(Sets!B$2:B$9,MATCH(E12,Sets!A$2:A$9,0)))</f>
        <v/>
      </c>
      <c r="K12" s="2">
        <f>IFERROR(INDEX(Sets!G$2:G$19,MATCH(INDEX(Sets!C$2:C$9,MATCH(E12,Sets!A$2:A$9,0))&amp;"|"&amp;LEFT(F12,1),Sets!F$2:F$19,0)),INDEX(Sets!C$2:C$9,MATCH(E12,Sets!A$2:A$9,0)))</f>
        <v/>
      </c>
      <c r="L12" s="2">
        <f>IFERROR(INDEX(Sets!G$2:G$19,MATCH(INDEX(Sets!D$2:D$9,MATCH(E12,Sets!A$2:A$9,0))&amp;"|"&amp;LEFT(F12,1),Sets!F$2:F$19,0)),INDEX(Sets!D$2:D$9,MATCH(E12,Sets!A$2:A$9,0)))</f>
        <v/>
      </c>
      <c r="M12" s="2">
        <f>IF(OR(LEFT(J12,3)=LEFT(K12,3),LEFT(J12,3)=LEFT(L12,3),LEFT(K12,3)=LEFT(L12,3)),"repeat","ok")</f>
        <v/>
      </c>
      <c r="N12" s="2">
        <f>IF(COUNTIFS(B$2:B$36,B12,J$2:J$36,J12)+COUNTIFS(B$2:B$36,B12,K$2:K$36,K12)+COUNTIFS(B$2:B$36,B12,L$2:L$36,L12)&gt;3,"yes","no")</f>
        <v/>
      </c>
      <c r="O12" s="2">
        <f>MID("ABCDEFGH",MOD(VALUE(MID(B12,2,2))-1,8)+1,1)</f>
        <v/>
      </c>
      <c r="P12" s="2">
        <f>COUNTIF(B$2:B$36,B12)</f>
        <v/>
      </c>
      <c r="Q12" s="2">
        <f>IFERROR(INDEX(Reserves!B$2:B$281,MATCH(O12&amp;P12&amp;"-"&amp;C12&amp;"|"&amp;LEFT(F12,1),Reserves!A$2:A$281,0)),"after Monday")</f>
        <v/>
      </c>
      <c r="R12" s="2">
        <f>IFERROR(INDEX(Reserves!C$2:C$281,MATCH(O12&amp;P12&amp;"-"&amp;C12&amp;"|"&amp;LEFT(F12,1),Reserves!A$2:A$281,0)),"after Monday")</f>
        <v/>
      </c>
      <c r="S12" s="2">
        <f>IFERROR(INDEX(Reserves!D$2:D$281,MATCH(O12&amp;P12&amp;"-"&amp;C12&amp;"|"&amp;LEFT(F12,1),Reserves!A$2:A$281,0)),"after Monday")</f>
        <v/>
      </c>
      <c r="T12" s="2">
        <f>IF(Q12="after Monday","",IF(OR(LEFT(Q12,3)=LEFT(J12,3),LEFT(Q12,3)=LEFT(K12,3),LEFT(Q12,3)=LEFT(L12,3),LEFT(Q12,3)=LEFT(R12,3),LEFT(Q12,3)=LEFT(S12,3),LEFT(R12,3)=LEFT(J12,3),LEFT(R12,3)=LEFT(K12,3),LEFT(R12,3)=LEFT(L12,3),LEFT(R12,3)=LEFT(Q12,3),LEFT(R12,3)=LEFT(S12,3),LEFT(S12,3)=LEFT(J12,3),LEFT(S12,3)=LEFT(K12,3),LEFT(S12,3)=LEFT(L12,3),LEFT(S12,3)=LEFT(Q12,3),LEFT(S12,3)=LEFT(R12,3)),"clash",IF(COUNTIFS(B$2:B$36,B12,J$2:J$36,Q12)+COUNTIFS(B$2:B$36,B12,J$2:J$36,R12)+COUNTIFS(B$2:B$36,B12,J$2:J$36,S12)+COUNTIFS(B$2:B$36,B12,K$2:K$36,Q12)+COUNTIFS(B$2:B$36,B12,K$2:K$36,R12)+COUNTIFS(B$2:B$36,B12,K$2:K$36,S12)+COUNTIFS(B$2:B$36,B12,L$2:L$36,Q12)+COUNTIFS(B$2:B$36,B12,L$2:L$36,R12)+COUNTIFS(B$2:B$36,B12,L$2:L$36,S12)&gt;0,"clash","ok")))</f>
        <v/>
      </c>
    </row>
    <row r="13">
      <c r="A13" s="2" t="n">
        <v>12</v>
      </c>
      <c r="B13" s="2" t="inlineStr">
        <is>
          <t>G3</t>
        </is>
      </c>
      <c r="C13" s="2" t="n">
        <v>2</v>
      </c>
      <c r="D13" s="2">
        <f>B13&amp;"-S"&amp;C13</f>
        <v/>
      </c>
      <c r="E13" s="2">
        <f>MID("ABCDEFGH",MOD(VALUE(MID(B13,2,2))+C13-2,8)+1,1)</f>
        <v/>
      </c>
      <c r="F13" s="2">
        <f>IF(INDEX(Groups!B$2:B$10,VALUE(MID(B13,2,2)))="","allocate on Monday",INDEX(Groups!B$2:B$10,VALUE(MID(B13,2,2))))</f>
        <v/>
      </c>
      <c r="G13" s="3" t="inlineStr">
        <is>
          <t>yes</t>
        </is>
      </c>
      <c r="H13" s="2">
        <f>IF(G13="yes",COUNTIFS(G$2:G$36,"yes",A$2:A$36,"&lt;="&amp;A13),"")</f>
        <v/>
      </c>
      <c r="I13" s="2">
        <f>"P"&amp;(MOD(C13-1+IF(LEFT(F13,1)="a",0,COUNTIFS(Groups!$B$2:$B$10,F13,Groups!$G$2:$G$10,"&lt;"&amp;VALUE(MID(B13,2,2)))),4)+1)</f>
        <v/>
      </c>
      <c r="J13" s="2">
        <f>IFERROR(INDEX(Sets!G$2:G$19,MATCH(INDEX(Sets!B$2:B$9,MATCH(E13,Sets!A$2:A$9,0))&amp;"|"&amp;LEFT(F13,1),Sets!F$2:F$19,0)),INDEX(Sets!B$2:B$9,MATCH(E13,Sets!A$2:A$9,0)))</f>
        <v/>
      </c>
      <c r="K13" s="2">
        <f>IFERROR(INDEX(Sets!G$2:G$19,MATCH(INDEX(Sets!C$2:C$9,MATCH(E13,Sets!A$2:A$9,0))&amp;"|"&amp;LEFT(F13,1),Sets!F$2:F$19,0)),INDEX(Sets!C$2:C$9,MATCH(E13,Sets!A$2:A$9,0)))</f>
        <v/>
      </c>
      <c r="L13" s="2">
        <f>IFERROR(INDEX(Sets!G$2:G$19,MATCH(INDEX(Sets!D$2:D$9,MATCH(E13,Sets!A$2:A$9,0))&amp;"|"&amp;LEFT(F13,1),Sets!F$2:F$19,0)),INDEX(Sets!D$2:D$9,MATCH(E13,Sets!A$2:A$9,0)))</f>
        <v/>
      </c>
      <c r="M13" s="2">
        <f>IF(OR(LEFT(J13,3)=LEFT(K13,3),LEFT(J13,3)=LEFT(L13,3),LEFT(K13,3)=LEFT(L13,3)),"repeat","ok")</f>
        <v/>
      </c>
      <c r="N13" s="2">
        <f>IF(COUNTIFS(B$2:B$36,B13,J$2:J$36,J13)+COUNTIFS(B$2:B$36,B13,K$2:K$36,K13)+COUNTIFS(B$2:B$36,B13,L$2:L$36,L13)&gt;3,"yes","no")</f>
        <v/>
      </c>
      <c r="O13" s="2">
        <f>MID("ABCDEFGH",MOD(VALUE(MID(B13,2,2))-1,8)+1,1)</f>
        <v/>
      </c>
      <c r="P13" s="2">
        <f>COUNTIF(B$2:B$36,B13)</f>
        <v/>
      </c>
      <c r="Q13" s="2">
        <f>IFERROR(INDEX(Reserves!B$2:B$281,MATCH(O13&amp;P13&amp;"-"&amp;C13&amp;"|"&amp;LEFT(F13,1),Reserves!A$2:A$281,0)),"after Monday")</f>
        <v/>
      </c>
      <c r="R13" s="2">
        <f>IFERROR(INDEX(Reserves!C$2:C$281,MATCH(O13&amp;P13&amp;"-"&amp;C13&amp;"|"&amp;LEFT(F13,1),Reserves!A$2:A$281,0)),"after Monday")</f>
        <v/>
      </c>
      <c r="S13" s="2">
        <f>IFERROR(INDEX(Reserves!D$2:D$281,MATCH(O13&amp;P13&amp;"-"&amp;C13&amp;"|"&amp;LEFT(F13,1),Reserves!A$2:A$281,0)),"after Monday")</f>
        <v/>
      </c>
      <c r="T13" s="2">
        <f>IF(Q13="after Monday","",IF(OR(LEFT(Q13,3)=LEFT(J13,3),LEFT(Q13,3)=LEFT(K13,3),LEFT(Q13,3)=LEFT(L13,3),LEFT(Q13,3)=LEFT(R13,3),LEFT(Q13,3)=LEFT(S13,3),LEFT(R13,3)=LEFT(J13,3),LEFT(R13,3)=LEFT(K13,3),LEFT(R13,3)=LEFT(L13,3),LEFT(R13,3)=LEFT(Q13,3),LEFT(R13,3)=LEFT(S13,3),LEFT(S13,3)=LEFT(J13,3),LEFT(S13,3)=LEFT(K13,3),LEFT(S13,3)=LEFT(L13,3),LEFT(S13,3)=LEFT(Q13,3),LEFT(S13,3)=LEFT(R13,3)),"clash",IF(COUNTIFS(B$2:B$36,B13,J$2:J$36,Q13)+COUNTIFS(B$2:B$36,B13,J$2:J$36,R13)+COUNTIFS(B$2:B$36,B13,J$2:J$36,S13)+COUNTIFS(B$2:B$36,B13,K$2:K$36,Q13)+COUNTIFS(B$2:B$36,B13,K$2:K$36,R13)+COUNTIFS(B$2:B$36,B13,K$2:K$36,S13)+COUNTIFS(B$2:B$36,B13,L$2:L$36,Q13)+COUNTIFS(B$2:B$36,B13,L$2:L$36,R13)+COUNTIFS(B$2:B$36,B13,L$2:L$36,S13)&gt;0,"clash","ok")))</f>
        <v/>
      </c>
    </row>
    <row r="14">
      <c r="A14" s="2" t="n">
        <v>13</v>
      </c>
      <c r="B14" s="2" t="inlineStr">
        <is>
          <t>G4</t>
        </is>
      </c>
      <c r="C14" s="2" t="n">
        <v>2</v>
      </c>
      <c r="D14" s="2">
        <f>B14&amp;"-S"&amp;C14</f>
        <v/>
      </c>
      <c r="E14" s="2">
        <f>MID("ABCDEFGH",MOD(VALUE(MID(B14,2,2))+C14-2,8)+1,1)</f>
        <v/>
      </c>
      <c r="F14" s="2">
        <f>IF(INDEX(Groups!B$2:B$10,VALUE(MID(B14,2,2)))="","allocate on Monday",INDEX(Groups!B$2:B$10,VALUE(MID(B14,2,2))))</f>
        <v/>
      </c>
      <c r="G14" s="3" t="inlineStr">
        <is>
          <t>yes</t>
        </is>
      </c>
      <c r="H14" s="2">
        <f>IF(G14="yes",COUNTIFS(G$2:G$36,"yes",A$2:A$36,"&lt;="&amp;A14),"")</f>
        <v/>
      </c>
      <c r="I14" s="2">
        <f>"P"&amp;(MOD(C14-1+IF(LEFT(F14,1)="a",0,COUNTIFS(Groups!$B$2:$B$10,F14,Groups!$G$2:$G$10,"&lt;"&amp;VALUE(MID(B14,2,2)))),4)+1)</f>
        <v/>
      </c>
      <c r="J14" s="2">
        <f>IFERROR(INDEX(Sets!G$2:G$19,MATCH(INDEX(Sets!B$2:B$9,MATCH(E14,Sets!A$2:A$9,0))&amp;"|"&amp;LEFT(F14,1),Sets!F$2:F$19,0)),INDEX(Sets!B$2:B$9,MATCH(E14,Sets!A$2:A$9,0)))</f>
        <v/>
      </c>
      <c r="K14" s="2">
        <f>IFERROR(INDEX(Sets!G$2:G$19,MATCH(INDEX(Sets!C$2:C$9,MATCH(E14,Sets!A$2:A$9,0))&amp;"|"&amp;LEFT(F14,1),Sets!F$2:F$19,0)),INDEX(Sets!C$2:C$9,MATCH(E14,Sets!A$2:A$9,0)))</f>
        <v/>
      </c>
      <c r="L14" s="2">
        <f>IFERROR(INDEX(Sets!G$2:G$19,MATCH(INDEX(Sets!D$2:D$9,MATCH(E14,Sets!A$2:A$9,0))&amp;"|"&amp;LEFT(F14,1),Sets!F$2:F$19,0)),INDEX(Sets!D$2:D$9,MATCH(E14,Sets!A$2:A$9,0)))</f>
        <v/>
      </c>
      <c r="M14" s="2">
        <f>IF(OR(LEFT(J14,3)=LEFT(K14,3),LEFT(J14,3)=LEFT(L14,3),LEFT(K14,3)=LEFT(L14,3)),"repeat","ok")</f>
        <v/>
      </c>
      <c r="N14" s="2">
        <f>IF(COUNTIFS(B$2:B$36,B14,J$2:J$36,J14)+COUNTIFS(B$2:B$36,B14,K$2:K$36,K14)+COUNTIFS(B$2:B$36,B14,L$2:L$36,L14)&gt;3,"yes","no")</f>
        <v/>
      </c>
      <c r="O14" s="2">
        <f>MID("ABCDEFGH",MOD(VALUE(MID(B14,2,2))-1,8)+1,1)</f>
        <v/>
      </c>
      <c r="P14" s="2">
        <f>COUNTIF(B$2:B$36,B14)</f>
        <v/>
      </c>
      <c r="Q14" s="2">
        <f>IFERROR(INDEX(Reserves!B$2:B$281,MATCH(O14&amp;P14&amp;"-"&amp;C14&amp;"|"&amp;LEFT(F14,1),Reserves!A$2:A$281,0)),"after Monday")</f>
        <v/>
      </c>
      <c r="R14" s="2">
        <f>IFERROR(INDEX(Reserves!C$2:C$281,MATCH(O14&amp;P14&amp;"-"&amp;C14&amp;"|"&amp;LEFT(F14,1),Reserves!A$2:A$281,0)),"after Monday")</f>
        <v/>
      </c>
      <c r="S14" s="2">
        <f>IFERROR(INDEX(Reserves!D$2:D$281,MATCH(O14&amp;P14&amp;"-"&amp;C14&amp;"|"&amp;LEFT(F14,1),Reserves!A$2:A$281,0)),"after Monday")</f>
        <v/>
      </c>
      <c r="T14" s="2">
        <f>IF(Q14="after Monday","",IF(OR(LEFT(Q14,3)=LEFT(J14,3),LEFT(Q14,3)=LEFT(K14,3),LEFT(Q14,3)=LEFT(L14,3),LEFT(Q14,3)=LEFT(R14,3),LEFT(Q14,3)=LEFT(S14,3),LEFT(R14,3)=LEFT(J14,3),LEFT(R14,3)=LEFT(K14,3),LEFT(R14,3)=LEFT(L14,3),LEFT(R14,3)=LEFT(Q14,3),LEFT(R14,3)=LEFT(S14,3),LEFT(S14,3)=LEFT(J14,3),LEFT(S14,3)=LEFT(K14,3),LEFT(S14,3)=LEFT(L14,3),LEFT(S14,3)=LEFT(Q14,3),LEFT(S14,3)=LEFT(R14,3)),"clash",IF(COUNTIFS(B$2:B$36,B14,J$2:J$36,Q14)+COUNTIFS(B$2:B$36,B14,J$2:J$36,R14)+COUNTIFS(B$2:B$36,B14,J$2:J$36,S14)+COUNTIFS(B$2:B$36,B14,K$2:K$36,Q14)+COUNTIFS(B$2:B$36,B14,K$2:K$36,R14)+COUNTIFS(B$2:B$36,B14,K$2:K$36,S14)+COUNTIFS(B$2:B$36,B14,L$2:L$36,Q14)+COUNTIFS(B$2:B$36,B14,L$2:L$36,R14)+COUNTIFS(B$2:B$36,B14,L$2:L$36,S14)&gt;0,"clash","ok")))</f>
        <v/>
      </c>
    </row>
    <row r="15">
      <c r="A15" s="2" t="n">
        <v>14</v>
      </c>
      <c r="B15" s="2" t="inlineStr">
        <is>
          <t>G5</t>
        </is>
      </c>
      <c r="C15" s="2" t="n">
        <v>2</v>
      </c>
      <c r="D15" s="2">
        <f>B15&amp;"-S"&amp;C15</f>
        <v/>
      </c>
      <c r="E15" s="2">
        <f>MID("ABCDEFGH",MOD(VALUE(MID(B15,2,2))+C15-2,8)+1,1)</f>
        <v/>
      </c>
      <c r="F15" s="2">
        <f>IF(INDEX(Groups!B$2:B$10,VALUE(MID(B15,2,2)))="","allocate on Monday",INDEX(Groups!B$2:B$10,VALUE(MID(B15,2,2))))</f>
        <v/>
      </c>
      <c r="G15" s="3" t="inlineStr">
        <is>
          <t>yes</t>
        </is>
      </c>
      <c r="H15" s="2">
        <f>IF(G15="yes",COUNTIFS(G$2:G$36,"yes",A$2:A$36,"&lt;="&amp;A15),"")</f>
        <v/>
      </c>
      <c r="I15" s="2">
        <f>"P"&amp;(MOD(C15-1+IF(LEFT(F15,1)="a",0,COUNTIFS(Groups!$B$2:$B$10,F15,Groups!$G$2:$G$10,"&lt;"&amp;VALUE(MID(B15,2,2)))),4)+1)</f>
        <v/>
      </c>
      <c r="J15" s="2">
        <f>IFERROR(INDEX(Sets!G$2:G$19,MATCH(INDEX(Sets!B$2:B$9,MATCH(E15,Sets!A$2:A$9,0))&amp;"|"&amp;LEFT(F15,1),Sets!F$2:F$19,0)),INDEX(Sets!B$2:B$9,MATCH(E15,Sets!A$2:A$9,0)))</f>
        <v/>
      </c>
      <c r="K15" s="2">
        <f>IFERROR(INDEX(Sets!G$2:G$19,MATCH(INDEX(Sets!C$2:C$9,MATCH(E15,Sets!A$2:A$9,0))&amp;"|"&amp;LEFT(F15,1),Sets!F$2:F$19,0)),INDEX(Sets!C$2:C$9,MATCH(E15,Sets!A$2:A$9,0)))</f>
        <v/>
      </c>
      <c r="L15" s="2">
        <f>IFERROR(INDEX(Sets!G$2:G$19,MATCH(INDEX(Sets!D$2:D$9,MATCH(E15,Sets!A$2:A$9,0))&amp;"|"&amp;LEFT(F15,1),Sets!F$2:F$19,0)),INDEX(Sets!D$2:D$9,MATCH(E15,Sets!A$2:A$9,0)))</f>
        <v/>
      </c>
      <c r="M15" s="2">
        <f>IF(OR(LEFT(J15,3)=LEFT(K15,3),LEFT(J15,3)=LEFT(L15,3),LEFT(K15,3)=LEFT(L15,3)),"repeat","ok")</f>
        <v/>
      </c>
      <c r="N15" s="2">
        <f>IF(COUNTIFS(B$2:B$36,B15,J$2:J$36,J15)+COUNTIFS(B$2:B$36,B15,K$2:K$36,K15)+COUNTIFS(B$2:B$36,B15,L$2:L$36,L15)&gt;3,"yes","no")</f>
        <v/>
      </c>
      <c r="O15" s="2">
        <f>MID("ABCDEFGH",MOD(VALUE(MID(B15,2,2))-1,8)+1,1)</f>
        <v/>
      </c>
      <c r="P15" s="2">
        <f>COUNTIF(B$2:B$36,B15)</f>
        <v/>
      </c>
      <c r="Q15" s="2">
        <f>IFERROR(INDEX(Reserves!B$2:B$281,MATCH(O15&amp;P15&amp;"-"&amp;C15&amp;"|"&amp;LEFT(F15,1),Reserves!A$2:A$281,0)),"after Monday")</f>
        <v/>
      </c>
      <c r="R15" s="2">
        <f>IFERROR(INDEX(Reserves!C$2:C$281,MATCH(O15&amp;P15&amp;"-"&amp;C15&amp;"|"&amp;LEFT(F15,1),Reserves!A$2:A$281,0)),"after Monday")</f>
        <v/>
      </c>
      <c r="S15" s="2">
        <f>IFERROR(INDEX(Reserves!D$2:D$281,MATCH(O15&amp;P15&amp;"-"&amp;C15&amp;"|"&amp;LEFT(F15,1),Reserves!A$2:A$281,0)),"after Monday")</f>
        <v/>
      </c>
      <c r="T15" s="2">
        <f>IF(Q15="after Monday","",IF(OR(LEFT(Q15,3)=LEFT(J15,3),LEFT(Q15,3)=LEFT(K15,3),LEFT(Q15,3)=LEFT(L15,3),LEFT(Q15,3)=LEFT(R15,3),LEFT(Q15,3)=LEFT(S15,3),LEFT(R15,3)=LEFT(J15,3),LEFT(R15,3)=LEFT(K15,3),LEFT(R15,3)=LEFT(L15,3),LEFT(R15,3)=LEFT(Q15,3),LEFT(R15,3)=LEFT(S15,3),LEFT(S15,3)=LEFT(J15,3),LEFT(S15,3)=LEFT(K15,3),LEFT(S15,3)=LEFT(L15,3),LEFT(S15,3)=LEFT(Q15,3),LEFT(S15,3)=LEFT(R15,3)),"clash",IF(COUNTIFS(B$2:B$36,B15,J$2:J$36,Q15)+COUNTIFS(B$2:B$36,B15,J$2:J$36,R15)+COUNTIFS(B$2:B$36,B15,J$2:J$36,S15)+COUNTIFS(B$2:B$36,B15,K$2:K$36,Q15)+COUNTIFS(B$2:B$36,B15,K$2:K$36,R15)+COUNTIFS(B$2:B$36,B15,K$2:K$36,S15)+COUNTIFS(B$2:B$36,B15,L$2:L$36,Q15)+COUNTIFS(B$2:B$36,B15,L$2:L$36,R15)+COUNTIFS(B$2:B$36,B15,L$2:L$36,S15)&gt;0,"clash","ok")))</f>
        <v/>
      </c>
    </row>
    <row r="16">
      <c r="A16" s="2" t="n">
        <v>15</v>
      </c>
      <c r="B16" s="2" t="inlineStr">
        <is>
          <t>G6</t>
        </is>
      </c>
      <c r="C16" s="2" t="n">
        <v>2</v>
      </c>
      <c r="D16" s="2">
        <f>B16&amp;"-S"&amp;C16</f>
        <v/>
      </c>
      <c r="E16" s="2">
        <f>MID("ABCDEFGH",MOD(VALUE(MID(B16,2,2))+C16-2,8)+1,1)</f>
        <v/>
      </c>
      <c r="F16" s="2">
        <f>IF(INDEX(Groups!B$2:B$10,VALUE(MID(B16,2,2)))="","allocate on Monday",INDEX(Groups!B$2:B$10,VALUE(MID(B16,2,2))))</f>
        <v/>
      </c>
      <c r="G16" s="3" t="inlineStr">
        <is>
          <t>yes</t>
        </is>
      </c>
      <c r="H16" s="2">
        <f>IF(G16="yes",COUNTIFS(G$2:G$36,"yes",A$2:A$36,"&lt;="&amp;A16),"")</f>
        <v/>
      </c>
      <c r="I16" s="2">
        <f>"P"&amp;(MOD(C16-1+IF(LEFT(F16,1)="a",0,COUNTIFS(Groups!$B$2:$B$10,F16,Groups!$G$2:$G$10,"&lt;"&amp;VALUE(MID(B16,2,2)))),4)+1)</f>
        <v/>
      </c>
      <c r="J16" s="2">
        <f>IFERROR(INDEX(Sets!G$2:G$19,MATCH(INDEX(Sets!B$2:B$9,MATCH(E16,Sets!A$2:A$9,0))&amp;"|"&amp;LEFT(F16,1),Sets!F$2:F$19,0)),INDEX(Sets!B$2:B$9,MATCH(E16,Sets!A$2:A$9,0)))</f>
        <v/>
      </c>
      <c r="K16" s="2">
        <f>IFERROR(INDEX(Sets!G$2:G$19,MATCH(INDEX(Sets!C$2:C$9,MATCH(E16,Sets!A$2:A$9,0))&amp;"|"&amp;LEFT(F16,1),Sets!F$2:F$19,0)),INDEX(Sets!C$2:C$9,MATCH(E16,Sets!A$2:A$9,0)))</f>
        <v/>
      </c>
      <c r="L16" s="2">
        <f>IFERROR(INDEX(Sets!G$2:G$19,MATCH(INDEX(Sets!D$2:D$9,MATCH(E16,Sets!A$2:A$9,0))&amp;"|"&amp;LEFT(F16,1),Sets!F$2:F$19,0)),INDEX(Sets!D$2:D$9,MATCH(E16,Sets!A$2:A$9,0)))</f>
        <v/>
      </c>
      <c r="M16" s="2">
        <f>IF(OR(LEFT(J16,3)=LEFT(K16,3),LEFT(J16,3)=LEFT(L16,3),LEFT(K16,3)=LEFT(L16,3)),"repeat","ok")</f>
        <v/>
      </c>
      <c r="N16" s="2">
        <f>IF(COUNTIFS(B$2:B$36,B16,J$2:J$36,J16)+COUNTIFS(B$2:B$36,B16,K$2:K$36,K16)+COUNTIFS(B$2:B$36,B16,L$2:L$36,L16)&gt;3,"yes","no")</f>
        <v/>
      </c>
      <c r="O16" s="2">
        <f>MID("ABCDEFGH",MOD(VALUE(MID(B16,2,2))-1,8)+1,1)</f>
        <v/>
      </c>
      <c r="P16" s="2">
        <f>COUNTIF(B$2:B$36,B16)</f>
        <v/>
      </c>
      <c r="Q16" s="2">
        <f>IFERROR(INDEX(Reserves!B$2:B$281,MATCH(O16&amp;P16&amp;"-"&amp;C16&amp;"|"&amp;LEFT(F16,1),Reserves!A$2:A$281,0)),"after Monday")</f>
        <v/>
      </c>
      <c r="R16" s="2">
        <f>IFERROR(INDEX(Reserves!C$2:C$281,MATCH(O16&amp;P16&amp;"-"&amp;C16&amp;"|"&amp;LEFT(F16,1),Reserves!A$2:A$281,0)),"after Monday")</f>
        <v/>
      </c>
      <c r="S16" s="2">
        <f>IFERROR(INDEX(Reserves!D$2:D$281,MATCH(O16&amp;P16&amp;"-"&amp;C16&amp;"|"&amp;LEFT(F16,1),Reserves!A$2:A$281,0)),"after Monday")</f>
        <v/>
      </c>
      <c r="T16" s="2">
        <f>IF(Q16="after Monday","",IF(OR(LEFT(Q16,3)=LEFT(J16,3),LEFT(Q16,3)=LEFT(K16,3),LEFT(Q16,3)=LEFT(L16,3),LEFT(Q16,3)=LEFT(R16,3),LEFT(Q16,3)=LEFT(S16,3),LEFT(R16,3)=LEFT(J16,3),LEFT(R16,3)=LEFT(K16,3),LEFT(R16,3)=LEFT(L16,3),LEFT(R16,3)=LEFT(Q16,3),LEFT(R16,3)=LEFT(S16,3),LEFT(S16,3)=LEFT(J16,3),LEFT(S16,3)=LEFT(K16,3),LEFT(S16,3)=LEFT(L16,3),LEFT(S16,3)=LEFT(Q16,3),LEFT(S16,3)=LEFT(R16,3)),"clash",IF(COUNTIFS(B$2:B$36,B16,J$2:J$36,Q16)+COUNTIFS(B$2:B$36,B16,J$2:J$36,R16)+COUNTIFS(B$2:B$36,B16,J$2:J$36,S16)+COUNTIFS(B$2:B$36,B16,K$2:K$36,Q16)+COUNTIFS(B$2:B$36,B16,K$2:K$36,R16)+COUNTIFS(B$2:B$36,B16,K$2:K$36,S16)+COUNTIFS(B$2:B$36,B16,L$2:L$36,Q16)+COUNTIFS(B$2:B$36,B16,L$2:L$36,R16)+COUNTIFS(B$2:B$36,B16,L$2:L$36,S16)&gt;0,"clash","ok")))</f>
        <v/>
      </c>
    </row>
    <row r="17">
      <c r="A17" s="2" t="n">
        <v>16</v>
      </c>
      <c r="B17" s="2" t="inlineStr">
        <is>
          <t>G7</t>
        </is>
      </c>
      <c r="C17" s="2" t="n">
        <v>2</v>
      </c>
      <c r="D17" s="2">
        <f>B17&amp;"-S"&amp;C17</f>
        <v/>
      </c>
      <c r="E17" s="2">
        <f>MID("ABCDEFGH",MOD(VALUE(MID(B17,2,2))+C17-2,8)+1,1)</f>
        <v/>
      </c>
      <c r="F17" s="2">
        <f>IF(INDEX(Groups!B$2:B$10,VALUE(MID(B17,2,2)))="","allocate on Monday",INDEX(Groups!B$2:B$10,VALUE(MID(B17,2,2))))</f>
        <v/>
      </c>
      <c r="G17" s="3" t="inlineStr">
        <is>
          <t>yes</t>
        </is>
      </c>
      <c r="H17" s="2">
        <f>IF(G17="yes",COUNTIFS(G$2:G$36,"yes",A$2:A$36,"&lt;="&amp;A17),"")</f>
        <v/>
      </c>
      <c r="I17" s="2">
        <f>"P"&amp;(MOD(C17-1+IF(LEFT(F17,1)="a",0,COUNTIFS(Groups!$B$2:$B$10,F17,Groups!$G$2:$G$10,"&lt;"&amp;VALUE(MID(B17,2,2)))),4)+1)</f>
        <v/>
      </c>
      <c r="J17" s="2">
        <f>IFERROR(INDEX(Sets!G$2:G$19,MATCH(INDEX(Sets!B$2:B$9,MATCH(E17,Sets!A$2:A$9,0))&amp;"|"&amp;LEFT(F17,1),Sets!F$2:F$19,0)),INDEX(Sets!B$2:B$9,MATCH(E17,Sets!A$2:A$9,0)))</f>
        <v/>
      </c>
      <c r="K17" s="2">
        <f>IFERROR(INDEX(Sets!G$2:G$19,MATCH(INDEX(Sets!C$2:C$9,MATCH(E17,Sets!A$2:A$9,0))&amp;"|"&amp;LEFT(F17,1),Sets!F$2:F$19,0)),INDEX(Sets!C$2:C$9,MATCH(E17,Sets!A$2:A$9,0)))</f>
        <v/>
      </c>
      <c r="L17" s="2">
        <f>IFERROR(INDEX(Sets!G$2:G$19,MATCH(INDEX(Sets!D$2:D$9,MATCH(E17,Sets!A$2:A$9,0))&amp;"|"&amp;LEFT(F17,1),Sets!F$2:F$19,0)),INDEX(Sets!D$2:D$9,MATCH(E17,Sets!A$2:A$9,0)))</f>
        <v/>
      </c>
      <c r="M17" s="2">
        <f>IF(OR(LEFT(J17,3)=LEFT(K17,3),LEFT(J17,3)=LEFT(L17,3),LEFT(K17,3)=LEFT(L17,3)),"repeat","ok")</f>
        <v/>
      </c>
      <c r="N17" s="2">
        <f>IF(COUNTIFS(B$2:B$36,B17,J$2:J$36,J17)+COUNTIFS(B$2:B$36,B17,K$2:K$36,K17)+COUNTIFS(B$2:B$36,B17,L$2:L$36,L17)&gt;3,"yes","no")</f>
        <v/>
      </c>
      <c r="O17" s="2">
        <f>MID("ABCDEFGH",MOD(VALUE(MID(B17,2,2))-1,8)+1,1)</f>
        <v/>
      </c>
      <c r="P17" s="2">
        <f>COUNTIF(B$2:B$36,B17)</f>
        <v/>
      </c>
      <c r="Q17" s="2">
        <f>IFERROR(INDEX(Reserves!B$2:B$281,MATCH(O17&amp;P17&amp;"-"&amp;C17&amp;"|"&amp;LEFT(F17,1),Reserves!A$2:A$281,0)),"after Monday")</f>
        <v/>
      </c>
      <c r="R17" s="2">
        <f>IFERROR(INDEX(Reserves!C$2:C$281,MATCH(O17&amp;P17&amp;"-"&amp;C17&amp;"|"&amp;LEFT(F17,1),Reserves!A$2:A$281,0)),"after Monday")</f>
        <v/>
      </c>
      <c r="S17" s="2">
        <f>IFERROR(INDEX(Reserves!D$2:D$281,MATCH(O17&amp;P17&amp;"-"&amp;C17&amp;"|"&amp;LEFT(F17,1),Reserves!A$2:A$281,0)),"after Monday")</f>
        <v/>
      </c>
      <c r="T17" s="2">
        <f>IF(Q17="after Monday","",IF(OR(LEFT(Q17,3)=LEFT(J17,3),LEFT(Q17,3)=LEFT(K17,3),LEFT(Q17,3)=LEFT(L17,3),LEFT(Q17,3)=LEFT(R17,3),LEFT(Q17,3)=LEFT(S17,3),LEFT(R17,3)=LEFT(J17,3),LEFT(R17,3)=LEFT(K17,3),LEFT(R17,3)=LEFT(L17,3),LEFT(R17,3)=LEFT(Q17,3),LEFT(R17,3)=LEFT(S17,3),LEFT(S17,3)=LEFT(J17,3),LEFT(S17,3)=LEFT(K17,3),LEFT(S17,3)=LEFT(L17,3),LEFT(S17,3)=LEFT(Q17,3),LEFT(S17,3)=LEFT(R17,3)),"clash",IF(COUNTIFS(B$2:B$36,B17,J$2:J$36,Q17)+COUNTIFS(B$2:B$36,B17,J$2:J$36,R17)+COUNTIFS(B$2:B$36,B17,J$2:J$36,S17)+COUNTIFS(B$2:B$36,B17,K$2:K$36,Q17)+COUNTIFS(B$2:B$36,B17,K$2:K$36,R17)+COUNTIFS(B$2:B$36,B17,K$2:K$36,S17)+COUNTIFS(B$2:B$36,B17,L$2:L$36,Q17)+COUNTIFS(B$2:B$36,B17,L$2:L$36,R17)+COUNTIFS(B$2:B$36,B17,L$2:L$36,S17)&gt;0,"clash","ok")))</f>
        <v/>
      </c>
    </row>
    <row r="18">
      <c r="A18" s="2" t="n">
        <v>17</v>
      </c>
      <c r="B18" s="2" t="inlineStr">
        <is>
          <t>G8</t>
        </is>
      </c>
      <c r="C18" s="2" t="n">
        <v>2</v>
      </c>
      <c r="D18" s="2">
        <f>B18&amp;"-S"&amp;C18</f>
        <v/>
      </c>
      <c r="E18" s="2">
        <f>MID("ABCDEFGH",MOD(VALUE(MID(B18,2,2))+C18-2,8)+1,1)</f>
        <v/>
      </c>
      <c r="F18" s="2">
        <f>IF(INDEX(Groups!B$2:B$10,VALUE(MID(B18,2,2)))="","allocate on Monday",INDEX(Groups!B$2:B$10,VALUE(MID(B18,2,2))))</f>
        <v/>
      </c>
      <c r="G18" s="3" t="inlineStr">
        <is>
          <t>yes</t>
        </is>
      </c>
      <c r="H18" s="2">
        <f>IF(G18="yes",COUNTIFS(G$2:G$36,"yes",A$2:A$36,"&lt;="&amp;A18),"")</f>
        <v/>
      </c>
      <c r="I18" s="2">
        <f>"P"&amp;(MOD(C18-1+IF(LEFT(F18,1)="a",0,COUNTIFS(Groups!$B$2:$B$10,F18,Groups!$G$2:$G$10,"&lt;"&amp;VALUE(MID(B18,2,2)))),4)+1)</f>
        <v/>
      </c>
      <c r="J18" s="2">
        <f>IFERROR(INDEX(Sets!G$2:G$19,MATCH(INDEX(Sets!B$2:B$9,MATCH(E18,Sets!A$2:A$9,0))&amp;"|"&amp;LEFT(F18,1),Sets!F$2:F$19,0)),INDEX(Sets!B$2:B$9,MATCH(E18,Sets!A$2:A$9,0)))</f>
        <v/>
      </c>
      <c r="K18" s="2">
        <f>IFERROR(INDEX(Sets!G$2:G$19,MATCH(INDEX(Sets!C$2:C$9,MATCH(E18,Sets!A$2:A$9,0))&amp;"|"&amp;LEFT(F18,1),Sets!F$2:F$19,0)),INDEX(Sets!C$2:C$9,MATCH(E18,Sets!A$2:A$9,0)))</f>
        <v/>
      </c>
      <c r="L18" s="2">
        <f>IFERROR(INDEX(Sets!G$2:G$19,MATCH(INDEX(Sets!D$2:D$9,MATCH(E18,Sets!A$2:A$9,0))&amp;"|"&amp;LEFT(F18,1),Sets!F$2:F$19,0)),INDEX(Sets!D$2:D$9,MATCH(E18,Sets!A$2:A$9,0)))</f>
        <v/>
      </c>
      <c r="M18" s="2">
        <f>IF(OR(LEFT(J18,3)=LEFT(K18,3),LEFT(J18,3)=LEFT(L18,3),LEFT(K18,3)=LEFT(L18,3)),"repeat","ok")</f>
        <v/>
      </c>
      <c r="N18" s="2">
        <f>IF(COUNTIFS(B$2:B$36,B18,J$2:J$36,J18)+COUNTIFS(B$2:B$36,B18,K$2:K$36,K18)+COUNTIFS(B$2:B$36,B18,L$2:L$36,L18)&gt;3,"yes","no")</f>
        <v/>
      </c>
      <c r="O18" s="2">
        <f>MID("ABCDEFGH",MOD(VALUE(MID(B18,2,2))-1,8)+1,1)</f>
        <v/>
      </c>
      <c r="P18" s="2">
        <f>COUNTIF(B$2:B$36,B18)</f>
        <v/>
      </c>
      <c r="Q18" s="2">
        <f>IFERROR(INDEX(Reserves!B$2:B$281,MATCH(O18&amp;P18&amp;"-"&amp;C18&amp;"|"&amp;LEFT(F18,1),Reserves!A$2:A$281,0)),"after Monday")</f>
        <v/>
      </c>
      <c r="R18" s="2">
        <f>IFERROR(INDEX(Reserves!C$2:C$281,MATCH(O18&amp;P18&amp;"-"&amp;C18&amp;"|"&amp;LEFT(F18,1),Reserves!A$2:A$281,0)),"after Monday")</f>
        <v/>
      </c>
      <c r="S18" s="2">
        <f>IFERROR(INDEX(Reserves!D$2:D$281,MATCH(O18&amp;P18&amp;"-"&amp;C18&amp;"|"&amp;LEFT(F18,1),Reserves!A$2:A$281,0)),"after Monday")</f>
        <v/>
      </c>
      <c r="T18" s="2">
        <f>IF(Q18="after Monday","",IF(OR(LEFT(Q18,3)=LEFT(J18,3),LEFT(Q18,3)=LEFT(K18,3),LEFT(Q18,3)=LEFT(L18,3),LEFT(Q18,3)=LEFT(R18,3),LEFT(Q18,3)=LEFT(S18,3),LEFT(R18,3)=LEFT(J18,3),LEFT(R18,3)=LEFT(K18,3),LEFT(R18,3)=LEFT(L18,3),LEFT(R18,3)=LEFT(Q18,3),LEFT(R18,3)=LEFT(S18,3),LEFT(S18,3)=LEFT(J18,3),LEFT(S18,3)=LEFT(K18,3),LEFT(S18,3)=LEFT(L18,3),LEFT(S18,3)=LEFT(Q18,3),LEFT(S18,3)=LEFT(R18,3)),"clash",IF(COUNTIFS(B$2:B$36,B18,J$2:J$36,Q18)+COUNTIFS(B$2:B$36,B18,J$2:J$36,R18)+COUNTIFS(B$2:B$36,B18,J$2:J$36,S18)+COUNTIFS(B$2:B$36,B18,K$2:K$36,Q18)+COUNTIFS(B$2:B$36,B18,K$2:K$36,R18)+COUNTIFS(B$2:B$36,B18,K$2:K$36,S18)+COUNTIFS(B$2:B$36,B18,L$2:L$36,Q18)+COUNTIFS(B$2:B$36,B18,L$2:L$36,R18)+COUNTIFS(B$2:B$36,B18,L$2:L$36,S18)&gt;0,"clash","ok")))</f>
        <v/>
      </c>
    </row>
    <row r="19">
      <c r="A19" s="2" t="n">
        <v>18</v>
      </c>
      <c r="B19" s="2" t="inlineStr">
        <is>
          <t>G9</t>
        </is>
      </c>
      <c r="C19" s="2" t="n">
        <v>2</v>
      </c>
      <c r="D19" s="2">
        <f>B19&amp;"-S"&amp;C19</f>
        <v/>
      </c>
      <c r="E19" s="2">
        <f>MID("ABCDEFGH",MOD(VALUE(MID(B19,2,2))+C19-2,8)+1,1)</f>
        <v/>
      </c>
      <c r="F19" s="2">
        <f>IF(INDEX(Groups!B$2:B$10,VALUE(MID(B19,2,2)))="","allocate on Monday",INDEX(Groups!B$2:B$10,VALUE(MID(B19,2,2))))</f>
        <v/>
      </c>
      <c r="G19" s="3" t="inlineStr">
        <is>
          <t>yes</t>
        </is>
      </c>
      <c r="H19" s="2">
        <f>IF(G19="yes",COUNTIFS(G$2:G$36,"yes",A$2:A$36,"&lt;="&amp;A19),"")</f>
        <v/>
      </c>
      <c r="I19" s="2">
        <f>"P"&amp;(MOD(C19-1+IF(LEFT(F19,1)="a",0,COUNTIFS(Groups!$B$2:$B$10,F19,Groups!$G$2:$G$10,"&lt;"&amp;VALUE(MID(B19,2,2)))),4)+1)</f>
        <v/>
      </c>
      <c r="J19" s="2">
        <f>IFERROR(INDEX(Sets!G$2:G$19,MATCH(INDEX(Sets!B$2:B$9,MATCH(E19,Sets!A$2:A$9,0))&amp;"|"&amp;LEFT(F19,1),Sets!F$2:F$19,0)),INDEX(Sets!B$2:B$9,MATCH(E19,Sets!A$2:A$9,0)))</f>
        <v/>
      </c>
      <c r="K19" s="2">
        <f>IFERROR(INDEX(Sets!G$2:G$19,MATCH(INDEX(Sets!C$2:C$9,MATCH(E19,Sets!A$2:A$9,0))&amp;"|"&amp;LEFT(F19,1),Sets!F$2:F$19,0)),INDEX(Sets!C$2:C$9,MATCH(E19,Sets!A$2:A$9,0)))</f>
        <v/>
      </c>
      <c r="L19" s="2">
        <f>IFERROR(INDEX(Sets!G$2:G$19,MATCH(INDEX(Sets!D$2:D$9,MATCH(E19,Sets!A$2:A$9,0))&amp;"|"&amp;LEFT(F19,1),Sets!F$2:F$19,0)),INDEX(Sets!D$2:D$9,MATCH(E19,Sets!A$2:A$9,0)))</f>
        <v/>
      </c>
      <c r="M19" s="2">
        <f>IF(OR(LEFT(J19,3)=LEFT(K19,3),LEFT(J19,3)=LEFT(L19,3),LEFT(K19,3)=LEFT(L19,3)),"repeat","ok")</f>
        <v/>
      </c>
      <c r="N19" s="2">
        <f>IF(COUNTIFS(B$2:B$36,B19,J$2:J$36,J19)+COUNTIFS(B$2:B$36,B19,K$2:K$36,K19)+COUNTIFS(B$2:B$36,B19,L$2:L$36,L19)&gt;3,"yes","no")</f>
        <v/>
      </c>
      <c r="O19" s="2">
        <f>MID("ABCDEFGH",MOD(VALUE(MID(B19,2,2))-1,8)+1,1)</f>
        <v/>
      </c>
      <c r="P19" s="2">
        <f>COUNTIF(B$2:B$36,B19)</f>
        <v/>
      </c>
      <c r="Q19" s="2">
        <f>IFERROR(INDEX(Reserves!B$2:B$281,MATCH(O19&amp;P19&amp;"-"&amp;C19&amp;"|"&amp;LEFT(F19,1),Reserves!A$2:A$281,0)),"after Monday")</f>
        <v/>
      </c>
      <c r="R19" s="2">
        <f>IFERROR(INDEX(Reserves!C$2:C$281,MATCH(O19&amp;P19&amp;"-"&amp;C19&amp;"|"&amp;LEFT(F19,1),Reserves!A$2:A$281,0)),"after Monday")</f>
        <v/>
      </c>
      <c r="S19" s="2">
        <f>IFERROR(INDEX(Reserves!D$2:D$281,MATCH(O19&amp;P19&amp;"-"&amp;C19&amp;"|"&amp;LEFT(F19,1),Reserves!A$2:A$281,0)),"after Monday")</f>
        <v/>
      </c>
      <c r="T19" s="2">
        <f>IF(Q19="after Monday","",IF(OR(LEFT(Q19,3)=LEFT(J19,3),LEFT(Q19,3)=LEFT(K19,3),LEFT(Q19,3)=LEFT(L19,3),LEFT(Q19,3)=LEFT(R19,3),LEFT(Q19,3)=LEFT(S19,3),LEFT(R19,3)=LEFT(J19,3),LEFT(R19,3)=LEFT(K19,3),LEFT(R19,3)=LEFT(L19,3),LEFT(R19,3)=LEFT(Q19,3),LEFT(R19,3)=LEFT(S19,3),LEFT(S19,3)=LEFT(J19,3),LEFT(S19,3)=LEFT(K19,3),LEFT(S19,3)=LEFT(L19,3),LEFT(S19,3)=LEFT(Q19,3),LEFT(S19,3)=LEFT(R19,3)),"clash",IF(COUNTIFS(B$2:B$36,B19,J$2:J$36,Q19)+COUNTIFS(B$2:B$36,B19,J$2:J$36,R19)+COUNTIFS(B$2:B$36,B19,J$2:J$36,S19)+COUNTIFS(B$2:B$36,B19,K$2:K$36,Q19)+COUNTIFS(B$2:B$36,B19,K$2:K$36,R19)+COUNTIFS(B$2:B$36,B19,K$2:K$36,S19)+COUNTIFS(B$2:B$36,B19,L$2:L$36,Q19)+COUNTIFS(B$2:B$36,B19,L$2:L$36,R19)+COUNTIFS(B$2:B$36,B19,L$2:L$36,S19)&gt;0,"clash","ok")))</f>
        <v/>
      </c>
    </row>
    <row r="20">
      <c r="A20" s="2" t="n">
        <v>19</v>
      </c>
      <c r="B20" s="2" t="inlineStr">
        <is>
          <t>G1</t>
        </is>
      </c>
      <c r="C20" s="2" t="n">
        <v>3</v>
      </c>
      <c r="D20" s="2">
        <f>B20&amp;"-S"&amp;C20</f>
        <v/>
      </c>
      <c r="E20" s="2">
        <f>MID("ABCDEFGH",MOD(VALUE(MID(B20,2,2))+C20-2,8)+1,1)</f>
        <v/>
      </c>
      <c r="F20" s="2">
        <f>IF(INDEX(Groups!B$2:B$10,VALUE(MID(B20,2,2)))="","allocate on Monday",INDEX(Groups!B$2:B$10,VALUE(MID(B20,2,2))))</f>
        <v/>
      </c>
      <c r="G20" s="3" t="inlineStr">
        <is>
          <t>yes</t>
        </is>
      </c>
      <c r="H20" s="2">
        <f>IF(G20="yes",COUNTIFS(G$2:G$36,"yes",A$2:A$36,"&lt;="&amp;A20),"")</f>
        <v/>
      </c>
      <c r="I20" s="2">
        <f>"P"&amp;(MOD(C20-1+IF(LEFT(F20,1)="a",0,COUNTIFS(Groups!$B$2:$B$10,F20,Groups!$G$2:$G$10,"&lt;"&amp;VALUE(MID(B20,2,2)))),4)+1)</f>
        <v/>
      </c>
      <c r="J20" s="2">
        <f>IFERROR(INDEX(Sets!G$2:G$19,MATCH(INDEX(Sets!B$2:B$9,MATCH(E20,Sets!A$2:A$9,0))&amp;"|"&amp;LEFT(F20,1),Sets!F$2:F$19,0)),INDEX(Sets!B$2:B$9,MATCH(E20,Sets!A$2:A$9,0)))</f>
        <v/>
      </c>
      <c r="K20" s="2">
        <f>IFERROR(INDEX(Sets!G$2:G$19,MATCH(INDEX(Sets!C$2:C$9,MATCH(E20,Sets!A$2:A$9,0))&amp;"|"&amp;LEFT(F20,1),Sets!F$2:F$19,0)),INDEX(Sets!C$2:C$9,MATCH(E20,Sets!A$2:A$9,0)))</f>
        <v/>
      </c>
      <c r="L20" s="2">
        <f>IFERROR(INDEX(Sets!G$2:G$19,MATCH(INDEX(Sets!D$2:D$9,MATCH(E20,Sets!A$2:A$9,0))&amp;"|"&amp;LEFT(F20,1),Sets!F$2:F$19,0)),INDEX(Sets!D$2:D$9,MATCH(E20,Sets!A$2:A$9,0)))</f>
        <v/>
      </c>
      <c r="M20" s="2">
        <f>IF(OR(LEFT(J20,3)=LEFT(K20,3),LEFT(J20,3)=LEFT(L20,3),LEFT(K20,3)=LEFT(L20,3)),"repeat","ok")</f>
        <v/>
      </c>
      <c r="N20" s="2">
        <f>IF(COUNTIFS(B$2:B$36,B20,J$2:J$36,J20)+COUNTIFS(B$2:B$36,B20,K$2:K$36,K20)+COUNTIFS(B$2:B$36,B20,L$2:L$36,L20)&gt;3,"yes","no")</f>
        <v/>
      </c>
      <c r="O20" s="2">
        <f>MID("ABCDEFGH",MOD(VALUE(MID(B20,2,2))-1,8)+1,1)</f>
        <v/>
      </c>
      <c r="P20" s="2">
        <f>COUNTIF(B$2:B$36,B20)</f>
        <v/>
      </c>
      <c r="Q20" s="2">
        <f>IFERROR(INDEX(Reserves!B$2:B$281,MATCH(O20&amp;P20&amp;"-"&amp;C20&amp;"|"&amp;LEFT(F20,1),Reserves!A$2:A$281,0)),"after Monday")</f>
        <v/>
      </c>
      <c r="R20" s="2">
        <f>IFERROR(INDEX(Reserves!C$2:C$281,MATCH(O20&amp;P20&amp;"-"&amp;C20&amp;"|"&amp;LEFT(F20,1),Reserves!A$2:A$281,0)),"after Monday")</f>
        <v/>
      </c>
      <c r="S20" s="2">
        <f>IFERROR(INDEX(Reserves!D$2:D$281,MATCH(O20&amp;P20&amp;"-"&amp;C20&amp;"|"&amp;LEFT(F20,1),Reserves!A$2:A$281,0)),"after Monday")</f>
        <v/>
      </c>
      <c r="T20" s="2">
        <f>IF(Q20="after Monday","",IF(OR(LEFT(Q20,3)=LEFT(J20,3),LEFT(Q20,3)=LEFT(K20,3),LEFT(Q20,3)=LEFT(L20,3),LEFT(Q20,3)=LEFT(R20,3),LEFT(Q20,3)=LEFT(S20,3),LEFT(R20,3)=LEFT(J20,3),LEFT(R20,3)=LEFT(K20,3),LEFT(R20,3)=LEFT(L20,3),LEFT(R20,3)=LEFT(Q20,3),LEFT(R20,3)=LEFT(S20,3),LEFT(S20,3)=LEFT(J20,3),LEFT(S20,3)=LEFT(K20,3),LEFT(S20,3)=LEFT(L20,3),LEFT(S20,3)=LEFT(Q20,3),LEFT(S20,3)=LEFT(R20,3)),"clash",IF(COUNTIFS(B$2:B$36,B20,J$2:J$36,Q20)+COUNTIFS(B$2:B$36,B20,J$2:J$36,R20)+COUNTIFS(B$2:B$36,B20,J$2:J$36,S20)+COUNTIFS(B$2:B$36,B20,K$2:K$36,Q20)+COUNTIFS(B$2:B$36,B20,K$2:K$36,R20)+COUNTIFS(B$2:B$36,B20,K$2:K$36,S20)+COUNTIFS(B$2:B$36,B20,L$2:L$36,Q20)+COUNTIFS(B$2:B$36,B20,L$2:L$36,R20)+COUNTIFS(B$2:B$36,B20,L$2:L$36,S20)&gt;0,"clash","ok")))</f>
        <v/>
      </c>
    </row>
    <row r="21">
      <c r="A21" s="2" t="n">
        <v>20</v>
      </c>
      <c r="B21" s="2" t="inlineStr">
        <is>
          <t>G2</t>
        </is>
      </c>
      <c r="C21" s="2" t="n">
        <v>3</v>
      </c>
      <c r="D21" s="2">
        <f>B21&amp;"-S"&amp;C21</f>
        <v/>
      </c>
      <c r="E21" s="2">
        <f>MID("ABCDEFGH",MOD(VALUE(MID(B21,2,2))+C21-2,8)+1,1)</f>
        <v/>
      </c>
      <c r="F21" s="2">
        <f>IF(INDEX(Groups!B$2:B$10,VALUE(MID(B21,2,2)))="","allocate on Monday",INDEX(Groups!B$2:B$10,VALUE(MID(B21,2,2))))</f>
        <v/>
      </c>
      <c r="G21" s="3" t="inlineStr">
        <is>
          <t>yes</t>
        </is>
      </c>
      <c r="H21" s="2">
        <f>IF(G21="yes",COUNTIFS(G$2:G$36,"yes",A$2:A$36,"&lt;="&amp;A21),"")</f>
        <v/>
      </c>
      <c r="I21" s="2">
        <f>"P"&amp;(MOD(C21-1+IF(LEFT(F21,1)="a",0,COUNTIFS(Groups!$B$2:$B$10,F21,Groups!$G$2:$G$10,"&lt;"&amp;VALUE(MID(B21,2,2)))),4)+1)</f>
        <v/>
      </c>
      <c r="J21" s="2">
        <f>IFERROR(INDEX(Sets!G$2:G$19,MATCH(INDEX(Sets!B$2:B$9,MATCH(E21,Sets!A$2:A$9,0))&amp;"|"&amp;LEFT(F21,1),Sets!F$2:F$19,0)),INDEX(Sets!B$2:B$9,MATCH(E21,Sets!A$2:A$9,0)))</f>
        <v/>
      </c>
      <c r="K21" s="2">
        <f>IFERROR(INDEX(Sets!G$2:G$19,MATCH(INDEX(Sets!C$2:C$9,MATCH(E21,Sets!A$2:A$9,0))&amp;"|"&amp;LEFT(F21,1),Sets!F$2:F$19,0)),INDEX(Sets!C$2:C$9,MATCH(E21,Sets!A$2:A$9,0)))</f>
        <v/>
      </c>
      <c r="L21" s="2">
        <f>IFERROR(INDEX(Sets!G$2:G$19,MATCH(INDEX(Sets!D$2:D$9,MATCH(E21,Sets!A$2:A$9,0))&amp;"|"&amp;LEFT(F21,1),Sets!F$2:F$19,0)),INDEX(Sets!D$2:D$9,MATCH(E21,Sets!A$2:A$9,0)))</f>
        <v/>
      </c>
      <c r="M21" s="2">
        <f>IF(OR(LEFT(J21,3)=LEFT(K21,3),LEFT(J21,3)=LEFT(L21,3),LEFT(K21,3)=LEFT(L21,3)),"repeat","ok")</f>
        <v/>
      </c>
      <c r="N21" s="2">
        <f>IF(COUNTIFS(B$2:B$36,B21,J$2:J$36,J21)+COUNTIFS(B$2:B$36,B21,K$2:K$36,K21)+COUNTIFS(B$2:B$36,B21,L$2:L$36,L21)&gt;3,"yes","no")</f>
        <v/>
      </c>
      <c r="O21" s="2">
        <f>MID("ABCDEFGH",MOD(VALUE(MID(B21,2,2))-1,8)+1,1)</f>
        <v/>
      </c>
      <c r="P21" s="2">
        <f>COUNTIF(B$2:B$36,B21)</f>
        <v/>
      </c>
      <c r="Q21" s="2">
        <f>IFERROR(INDEX(Reserves!B$2:B$281,MATCH(O21&amp;P21&amp;"-"&amp;C21&amp;"|"&amp;LEFT(F21,1),Reserves!A$2:A$281,0)),"after Monday")</f>
        <v/>
      </c>
      <c r="R21" s="2">
        <f>IFERROR(INDEX(Reserves!C$2:C$281,MATCH(O21&amp;P21&amp;"-"&amp;C21&amp;"|"&amp;LEFT(F21,1),Reserves!A$2:A$281,0)),"after Monday")</f>
        <v/>
      </c>
      <c r="S21" s="2">
        <f>IFERROR(INDEX(Reserves!D$2:D$281,MATCH(O21&amp;P21&amp;"-"&amp;C21&amp;"|"&amp;LEFT(F21,1),Reserves!A$2:A$281,0)),"after Monday")</f>
        <v/>
      </c>
      <c r="T21" s="2">
        <f>IF(Q21="after Monday","",IF(OR(LEFT(Q21,3)=LEFT(J21,3),LEFT(Q21,3)=LEFT(K21,3),LEFT(Q21,3)=LEFT(L21,3),LEFT(Q21,3)=LEFT(R21,3),LEFT(Q21,3)=LEFT(S21,3),LEFT(R21,3)=LEFT(J21,3),LEFT(R21,3)=LEFT(K21,3),LEFT(R21,3)=LEFT(L21,3),LEFT(R21,3)=LEFT(Q21,3),LEFT(R21,3)=LEFT(S21,3),LEFT(S21,3)=LEFT(J21,3),LEFT(S21,3)=LEFT(K21,3),LEFT(S21,3)=LEFT(L21,3),LEFT(S21,3)=LEFT(Q21,3),LEFT(S21,3)=LEFT(R21,3)),"clash",IF(COUNTIFS(B$2:B$36,B21,J$2:J$36,Q21)+COUNTIFS(B$2:B$36,B21,J$2:J$36,R21)+COUNTIFS(B$2:B$36,B21,J$2:J$36,S21)+COUNTIFS(B$2:B$36,B21,K$2:K$36,Q21)+COUNTIFS(B$2:B$36,B21,K$2:K$36,R21)+COUNTIFS(B$2:B$36,B21,K$2:K$36,S21)+COUNTIFS(B$2:B$36,B21,L$2:L$36,Q21)+COUNTIFS(B$2:B$36,B21,L$2:L$36,R21)+COUNTIFS(B$2:B$36,B21,L$2:L$36,S21)&gt;0,"clash","ok")))</f>
        <v/>
      </c>
    </row>
    <row r="22">
      <c r="A22" s="2" t="n">
        <v>21</v>
      </c>
      <c r="B22" s="2" t="inlineStr">
        <is>
          <t>G3</t>
        </is>
      </c>
      <c r="C22" s="2" t="n">
        <v>3</v>
      </c>
      <c r="D22" s="2">
        <f>B22&amp;"-S"&amp;C22</f>
        <v/>
      </c>
      <c r="E22" s="2">
        <f>MID("ABCDEFGH",MOD(VALUE(MID(B22,2,2))+C22-2,8)+1,1)</f>
        <v/>
      </c>
      <c r="F22" s="2">
        <f>IF(INDEX(Groups!B$2:B$10,VALUE(MID(B22,2,2)))="","allocate on Monday",INDEX(Groups!B$2:B$10,VALUE(MID(B22,2,2))))</f>
        <v/>
      </c>
      <c r="G22" s="3" t="inlineStr">
        <is>
          <t>yes</t>
        </is>
      </c>
      <c r="H22" s="2">
        <f>IF(G22="yes",COUNTIFS(G$2:G$36,"yes",A$2:A$36,"&lt;="&amp;A22),"")</f>
        <v/>
      </c>
      <c r="I22" s="2">
        <f>"P"&amp;(MOD(C22-1+IF(LEFT(F22,1)="a",0,COUNTIFS(Groups!$B$2:$B$10,F22,Groups!$G$2:$G$10,"&lt;"&amp;VALUE(MID(B22,2,2)))),4)+1)</f>
        <v/>
      </c>
      <c r="J22" s="2">
        <f>IFERROR(INDEX(Sets!G$2:G$19,MATCH(INDEX(Sets!B$2:B$9,MATCH(E22,Sets!A$2:A$9,0))&amp;"|"&amp;LEFT(F22,1),Sets!F$2:F$19,0)),INDEX(Sets!B$2:B$9,MATCH(E22,Sets!A$2:A$9,0)))</f>
        <v/>
      </c>
      <c r="K22" s="2">
        <f>IFERROR(INDEX(Sets!G$2:G$19,MATCH(INDEX(Sets!C$2:C$9,MATCH(E22,Sets!A$2:A$9,0))&amp;"|"&amp;LEFT(F22,1),Sets!F$2:F$19,0)),INDEX(Sets!C$2:C$9,MATCH(E22,Sets!A$2:A$9,0)))</f>
        <v/>
      </c>
      <c r="L22" s="2">
        <f>IFERROR(INDEX(Sets!G$2:G$19,MATCH(INDEX(Sets!D$2:D$9,MATCH(E22,Sets!A$2:A$9,0))&amp;"|"&amp;LEFT(F22,1),Sets!F$2:F$19,0)),INDEX(Sets!D$2:D$9,MATCH(E22,Sets!A$2:A$9,0)))</f>
        <v/>
      </c>
      <c r="M22" s="2">
        <f>IF(OR(LEFT(J22,3)=LEFT(K22,3),LEFT(J22,3)=LEFT(L22,3),LEFT(K22,3)=LEFT(L22,3)),"repeat","ok")</f>
        <v/>
      </c>
      <c r="N22" s="2">
        <f>IF(COUNTIFS(B$2:B$36,B22,J$2:J$36,J22)+COUNTIFS(B$2:B$36,B22,K$2:K$36,K22)+COUNTIFS(B$2:B$36,B22,L$2:L$36,L22)&gt;3,"yes","no")</f>
        <v/>
      </c>
      <c r="O22" s="2">
        <f>MID("ABCDEFGH",MOD(VALUE(MID(B22,2,2))-1,8)+1,1)</f>
        <v/>
      </c>
      <c r="P22" s="2">
        <f>COUNTIF(B$2:B$36,B22)</f>
        <v/>
      </c>
      <c r="Q22" s="2">
        <f>IFERROR(INDEX(Reserves!B$2:B$281,MATCH(O22&amp;P22&amp;"-"&amp;C22&amp;"|"&amp;LEFT(F22,1),Reserves!A$2:A$281,0)),"after Monday")</f>
        <v/>
      </c>
      <c r="R22" s="2">
        <f>IFERROR(INDEX(Reserves!C$2:C$281,MATCH(O22&amp;P22&amp;"-"&amp;C22&amp;"|"&amp;LEFT(F22,1),Reserves!A$2:A$281,0)),"after Monday")</f>
        <v/>
      </c>
      <c r="S22" s="2">
        <f>IFERROR(INDEX(Reserves!D$2:D$281,MATCH(O22&amp;P22&amp;"-"&amp;C22&amp;"|"&amp;LEFT(F22,1),Reserves!A$2:A$281,0)),"after Monday")</f>
        <v/>
      </c>
      <c r="T22" s="2">
        <f>IF(Q22="after Monday","",IF(OR(LEFT(Q22,3)=LEFT(J22,3),LEFT(Q22,3)=LEFT(K22,3),LEFT(Q22,3)=LEFT(L22,3),LEFT(Q22,3)=LEFT(R22,3),LEFT(Q22,3)=LEFT(S22,3),LEFT(R22,3)=LEFT(J22,3),LEFT(R22,3)=LEFT(K22,3),LEFT(R22,3)=LEFT(L22,3),LEFT(R22,3)=LEFT(Q22,3),LEFT(R22,3)=LEFT(S22,3),LEFT(S22,3)=LEFT(J22,3),LEFT(S22,3)=LEFT(K22,3),LEFT(S22,3)=LEFT(L22,3),LEFT(S22,3)=LEFT(Q22,3),LEFT(S22,3)=LEFT(R22,3)),"clash",IF(COUNTIFS(B$2:B$36,B22,J$2:J$36,Q22)+COUNTIFS(B$2:B$36,B22,J$2:J$36,R22)+COUNTIFS(B$2:B$36,B22,J$2:J$36,S22)+COUNTIFS(B$2:B$36,B22,K$2:K$36,Q22)+COUNTIFS(B$2:B$36,B22,K$2:K$36,R22)+COUNTIFS(B$2:B$36,B22,K$2:K$36,S22)+COUNTIFS(B$2:B$36,B22,L$2:L$36,Q22)+COUNTIFS(B$2:B$36,B22,L$2:L$36,R22)+COUNTIFS(B$2:B$36,B22,L$2:L$36,S22)&gt;0,"clash","ok")))</f>
        <v/>
      </c>
    </row>
    <row r="23">
      <c r="A23" s="2" t="n">
        <v>22</v>
      </c>
      <c r="B23" s="2" t="inlineStr">
        <is>
          <t>G4</t>
        </is>
      </c>
      <c r="C23" s="2" t="n">
        <v>3</v>
      </c>
      <c r="D23" s="2">
        <f>B23&amp;"-S"&amp;C23</f>
        <v/>
      </c>
      <c r="E23" s="2">
        <f>MID("ABCDEFGH",MOD(VALUE(MID(B23,2,2))+C23-2,8)+1,1)</f>
        <v/>
      </c>
      <c r="F23" s="2">
        <f>IF(INDEX(Groups!B$2:B$10,VALUE(MID(B23,2,2)))="","allocate on Monday",INDEX(Groups!B$2:B$10,VALUE(MID(B23,2,2))))</f>
        <v/>
      </c>
      <c r="G23" s="3" t="inlineStr">
        <is>
          <t>yes</t>
        </is>
      </c>
      <c r="H23" s="2">
        <f>IF(G23="yes",COUNTIFS(G$2:G$36,"yes",A$2:A$36,"&lt;="&amp;A23),"")</f>
        <v/>
      </c>
      <c r="I23" s="2">
        <f>"P"&amp;(MOD(C23-1+IF(LEFT(F23,1)="a",0,COUNTIFS(Groups!$B$2:$B$10,F23,Groups!$G$2:$G$10,"&lt;"&amp;VALUE(MID(B23,2,2)))),4)+1)</f>
        <v/>
      </c>
      <c r="J23" s="2">
        <f>IFERROR(INDEX(Sets!G$2:G$19,MATCH(INDEX(Sets!B$2:B$9,MATCH(E23,Sets!A$2:A$9,0))&amp;"|"&amp;LEFT(F23,1),Sets!F$2:F$19,0)),INDEX(Sets!B$2:B$9,MATCH(E23,Sets!A$2:A$9,0)))</f>
        <v/>
      </c>
      <c r="K23" s="2">
        <f>IFERROR(INDEX(Sets!G$2:G$19,MATCH(INDEX(Sets!C$2:C$9,MATCH(E23,Sets!A$2:A$9,0))&amp;"|"&amp;LEFT(F23,1),Sets!F$2:F$19,0)),INDEX(Sets!C$2:C$9,MATCH(E23,Sets!A$2:A$9,0)))</f>
        <v/>
      </c>
      <c r="L23" s="2">
        <f>IFERROR(INDEX(Sets!G$2:G$19,MATCH(INDEX(Sets!D$2:D$9,MATCH(E23,Sets!A$2:A$9,0))&amp;"|"&amp;LEFT(F23,1),Sets!F$2:F$19,0)),INDEX(Sets!D$2:D$9,MATCH(E23,Sets!A$2:A$9,0)))</f>
        <v/>
      </c>
      <c r="M23" s="2">
        <f>IF(OR(LEFT(J23,3)=LEFT(K23,3),LEFT(J23,3)=LEFT(L23,3),LEFT(K23,3)=LEFT(L23,3)),"repeat","ok")</f>
        <v/>
      </c>
      <c r="N23" s="2">
        <f>IF(COUNTIFS(B$2:B$36,B23,J$2:J$36,J23)+COUNTIFS(B$2:B$36,B23,K$2:K$36,K23)+COUNTIFS(B$2:B$36,B23,L$2:L$36,L23)&gt;3,"yes","no")</f>
        <v/>
      </c>
      <c r="O23" s="2">
        <f>MID("ABCDEFGH",MOD(VALUE(MID(B23,2,2))-1,8)+1,1)</f>
        <v/>
      </c>
      <c r="P23" s="2">
        <f>COUNTIF(B$2:B$36,B23)</f>
        <v/>
      </c>
      <c r="Q23" s="2">
        <f>IFERROR(INDEX(Reserves!B$2:B$281,MATCH(O23&amp;P23&amp;"-"&amp;C23&amp;"|"&amp;LEFT(F23,1),Reserves!A$2:A$281,0)),"after Monday")</f>
        <v/>
      </c>
      <c r="R23" s="2">
        <f>IFERROR(INDEX(Reserves!C$2:C$281,MATCH(O23&amp;P23&amp;"-"&amp;C23&amp;"|"&amp;LEFT(F23,1),Reserves!A$2:A$281,0)),"after Monday")</f>
        <v/>
      </c>
      <c r="S23" s="2">
        <f>IFERROR(INDEX(Reserves!D$2:D$281,MATCH(O23&amp;P23&amp;"-"&amp;C23&amp;"|"&amp;LEFT(F23,1),Reserves!A$2:A$281,0)),"after Monday")</f>
        <v/>
      </c>
      <c r="T23" s="2">
        <f>IF(Q23="after Monday","",IF(OR(LEFT(Q23,3)=LEFT(J23,3),LEFT(Q23,3)=LEFT(K23,3),LEFT(Q23,3)=LEFT(L23,3),LEFT(Q23,3)=LEFT(R23,3),LEFT(Q23,3)=LEFT(S23,3),LEFT(R23,3)=LEFT(J23,3),LEFT(R23,3)=LEFT(K23,3),LEFT(R23,3)=LEFT(L23,3),LEFT(R23,3)=LEFT(Q23,3),LEFT(R23,3)=LEFT(S23,3),LEFT(S23,3)=LEFT(J23,3),LEFT(S23,3)=LEFT(K23,3),LEFT(S23,3)=LEFT(L23,3),LEFT(S23,3)=LEFT(Q23,3),LEFT(S23,3)=LEFT(R23,3)),"clash",IF(COUNTIFS(B$2:B$36,B23,J$2:J$36,Q23)+COUNTIFS(B$2:B$36,B23,J$2:J$36,R23)+COUNTIFS(B$2:B$36,B23,J$2:J$36,S23)+COUNTIFS(B$2:B$36,B23,K$2:K$36,Q23)+COUNTIFS(B$2:B$36,B23,K$2:K$36,R23)+COUNTIFS(B$2:B$36,B23,K$2:K$36,S23)+COUNTIFS(B$2:B$36,B23,L$2:L$36,Q23)+COUNTIFS(B$2:B$36,B23,L$2:L$36,R23)+COUNTIFS(B$2:B$36,B23,L$2:L$36,S23)&gt;0,"clash","ok")))</f>
        <v/>
      </c>
    </row>
    <row r="24">
      <c r="A24" s="2" t="n">
        <v>23</v>
      </c>
      <c r="B24" s="2" t="inlineStr">
        <is>
          <t>G5</t>
        </is>
      </c>
      <c r="C24" s="2" t="n">
        <v>3</v>
      </c>
      <c r="D24" s="2">
        <f>B24&amp;"-S"&amp;C24</f>
        <v/>
      </c>
      <c r="E24" s="2">
        <f>MID("ABCDEFGH",MOD(VALUE(MID(B24,2,2))+C24-2,8)+1,1)</f>
        <v/>
      </c>
      <c r="F24" s="2">
        <f>IF(INDEX(Groups!B$2:B$10,VALUE(MID(B24,2,2)))="","allocate on Monday",INDEX(Groups!B$2:B$10,VALUE(MID(B24,2,2))))</f>
        <v/>
      </c>
      <c r="G24" s="3" t="inlineStr">
        <is>
          <t>yes</t>
        </is>
      </c>
      <c r="H24" s="2">
        <f>IF(G24="yes",COUNTIFS(G$2:G$36,"yes",A$2:A$36,"&lt;="&amp;A24),"")</f>
        <v/>
      </c>
      <c r="I24" s="2">
        <f>"P"&amp;(MOD(C24-1+IF(LEFT(F24,1)="a",0,COUNTIFS(Groups!$B$2:$B$10,F24,Groups!$G$2:$G$10,"&lt;"&amp;VALUE(MID(B24,2,2)))),4)+1)</f>
        <v/>
      </c>
      <c r="J24" s="2">
        <f>IFERROR(INDEX(Sets!G$2:G$19,MATCH(INDEX(Sets!B$2:B$9,MATCH(E24,Sets!A$2:A$9,0))&amp;"|"&amp;LEFT(F24,1),Sets!F$2:F$19,0)),INDEX(Sets!B$2:B$9,MATCH(E24,Sets!A$2:A$9,0)))</f>
        <v/>
      </c>
      <c r="K24" s="2">
        <f>IFERROR(INDEX(Sets!G$2:G$19,MATCH(INDEX(Sets!C$2:C$9,MATCH(E24,Sets!A$2:A$9,0))&amp;"|"&amp;LEFT(F24,1),Sets!F$2:F$19,0)),INDEX(Sets!C$2:C$9,MATCH(E24,Sets!A$2:A$9,0)))</f>
        <v/>
      </c>
      <c r="L24" s="2">
        <f>IFERROR(INDEX(Sets!G$2:G$19,MATCH(INDEX(Sets!D$2:D$9,MATCH(E24,Sets!A$2:A$9,0))&amp;"|"&amp;LEFT(F24,1),Sets!F$2:F$19,0)),INDEX(Sets!D$2:D$9,MATCH(E24,Sets!A$2:A$9,0)))</f>
        <v/>
      </c>
      <c r="M24" s="2">
        <f>IF(OR(LEFT(J24,3)=LEFT(K24,3),LEFT(J24,3)=LEFT(L24,3),LEFT(K24,3)=LEFT(L24,3)),"repeat","ok")</f>
        <v/>
      </c>
      <c r="N24" s="2">
        <f>IF(COUNTIFS(B$2:B$36,B24,J$2:J$36,J24)+COUNTIFS(B$2:B$36,B24,K$2:K$36,K24)+COUNTIFS(B$2:B$36,B24,L$2:L$36,L24)&gt;3,"yes","no")</f>
        <v/>
      </c>
      <c r="O24" s="2">
        <f>MID("ABCDEFGH",MOD(VALUE(MID(B24,2,2))-1,8)+1,1)</f>
        <v/>
      </c>
      <c r="P24" s="2">
        <f>COUNTIF(B$2:B$36,B24)</f>
        <v/>
      </c>
      <c r="Q24" s="2">
        <f>IFERROR(INDEX(Reserves!B$2:B$281,MATCH(O24&amp;P24&amp;"-"&amp;C24&amp;"|"&amp;LEFT(F24,1),Reserves!A$2:A$281,0)),"after Monday")</f>
        <v/>
      </c>
      <c r="R24" s="2">
        <f>IFERROR(INDEX(Reserves!C$2:C$281,MATCH(O24&amp;P24&amp;"-"&amp;C24&amp;"|"&amp;LEFT(F24,1),Reserves!A$2:A$281,0)),"after Monday")</f>
        <v/>
      </c>
      <c r="S24" s="2">
        <f>IFERROR(INDEX(Reserves!D$2:D$281,MATCH(O24&amp;P24&amp;"-"&amp;C24&amp;"|"&amp;LEFT(F24,1),Reserves!A$2:A$281,0)),"after Monday")</f>
        <v/>
      </c>
      <c r="T24" s="2">
        <f>IF(Q24="after Monday","",IF(OR(LEFT(Q24,3)=LEFT(J24,3),LEFT(Q24,3)=LEFT(K24,3),LEFT(Q24,3)=LEFT(L24,3),LEFT(Q24,3)=LEFT(R24,3),LEFT(Q24,3)=LEFT(S24,3),LEFT(R24,3)=LEFT(J24,3),LEFT(R24,3)=LEFT(K24,3),LEFT(R24,3)=LEFT(L24,3),LEFT(R24,3)=LEFT(Q24,3),LEFT(R24,3)=LEFT(S24,3),LEFT(S24,3)=LEFT(J24,3),LEFT(S24,3)=LEFT(K24,3),LEFT(S24,3)=LEFT(L24,3),LEFT(S24,3)=LEFT(Q24,3),LEFT(S24,3)=LEFT(R24,3)),"clash",IF(COUNTIFS(B$2:B$36,B24,J$2:J$36,Q24)+COUNTIFS(B$2:B$36,B24,J$2:J$36,R24)+COUNTIFS(B$2:B$36,B24,J$2:J$36,S24)+COUNTIFS(B$2:B$36,B24,K$2:K$36,Q24)+COUNTIFS(B$2:B$36,B24,K$2:K$36,R24)+COUNTIFS(B$2:B$36,B24,K$2:K$36,S24)+COUNTIFS(B$2:B$36,B24,L$2:L$36,Q24)+COUNTIFS(B$2:B$36,B24,L$2:L$36,R24)+COUNTIFS(B$2:B$36,B24,L$2:L$36,S24)&gt;0,"clash","ok")))</f>
        <v/>
      </c>
    </row>
    <row r="25">
      <c r="A25" s="2" t="n">
        <v>24</v>
      </c>
      <c r="B25" s="2" t="inlineStr">
        <is>
          <t>G6</t>
        </is>
      </c>
      <c r="C25" s="2" t="n">
        <v>3</v>
      </c>
      <c r="D25" s="2">
        <f>B25&amp;"-S"&amp;C25</f>
        <v/>
      </c>
      <c r="E25" s="2">
        <f>MID("ABCDEFGH",MOD(VALUE(MID(B25,2,2))+C25-2,8)+1,1)</f>
        <v/>
      </c>
      <c r="F25" s="2">
        <f>IF(INDEX(Groups!B$2:B$10,VALUE(MID(B25,2,2)))="","allocate on Monday",INDEX(Groups!B$2:B$10,VALUE(MID(B25,2,2))))</f>
        <v/>
      </c>
      <c r="G25" s="3" t="inlineStr">
        <is>
          <t>yes</t>
        </is>
      </c>
      <c r="H25" s="2">
        <f>IF(G25="yes",COUNTIFS(G$2:G$36,"yes",A$2:A$36,"&lt;="&amp;A25),"")</f>
        <v/>
      </c>
      <c r="I25" s="2">
        <f>"P"&amp;(MOD(C25-1+IF(LEFT(F25,1)="a",0,COUNTIFS(Groups!$B$2:$B$10,F25,Groups!$G$2:$G$10,"&lt;"&amp;VALUE(MID(B25,2,2)))),4)+1)</f>
        <v/>
      </c>
      <c r="J25" s="2">
        <f>IFERROR(INDEX(Sets!G$2:G$19,MATCH(INDEX(Sets!B$2:B$9,MATCH(E25,Sets!A$2:A$9,0))&amp;"|"&amp;LEFT(F25,1),Sets!F$2:F$19,0)),INDEX(Sets!B$2:B$9,MATCH(E25,Sets!A$2:A$9,0)))</f>
        <v/>
      </c>
      <c r="K25" s="2">
        <f>IFERROR(INDEX(Sets!G$2:G$19,MATCH(INDEX(Sets!C$2:C$9,MATCH(E25,Sets!A$2:A$9,0))&amp;"|"&amp;LEFT(F25,1),Sets!F$2:F$19,0)),INDEX(Sets!C$2:C$9,MATCH(E25,Sets!A$2:A$9,0)))</f>
        <v/>
      </c>
      <c r="L25" s="2">
        <f>IFERROR(INDEX(Sets!G$2:G$19,MATCH(INDEX(Sets!D$2:D$9,MATCH(E25,Sets!A$2:A$9,0))&amp;"|"&amp;LEFT(F25,1),Sets!F$2:F$19,0)),INDEX(Sets!D$2:D$9,MATCH(E25,Sets!A$2:A$9,0)))</f>
        <v/>
      </c>
      <c r="M25" s="2">
        <f>IF(OR(LEFT(J25,3)=LEFT(K25,3),LEFT(J25,3)=LEFT(L25,3),LEFT(K25,3)=LEFT(L25,3)),"repeat","ok")</f>
        <v/>
      </c>
      <c r="N25" s="2">
        <f>IF(COUNTIFS(B$2:B$36,B25,J$2:J$36,J25)+COUNTIFS(B$2:B$36,B25,K$2:K$36,K25)+COUNTIFS(B$2:B$36,B25,L$2:L$36,L25)&gt;3,"yes","no")</f>
        <v/>
      </c>
      <c r="O25" s="2">
        <f>MID("ABCDEFGH",MOD(VALUE(MID(B25,2,2))-1,8)+1,1)</f>
        <v/>
      </c>
      <c r="P25" s="2">
        <f>COUNTIF(B$2:B$36,B25)</f>
        <v/>
      </c>
      <c r="Q25" s="2">
        <f>IFERROR(INDEX(Reserves!B$2:B$281,MATCH(O25&amp;P25&amp;"-"&amp;C25&amp;"|"&amp;LEFT(F25,1),Reserves!A$2:A$281,0)),"after Monday")</f>
        <v/>
      </c>
      <c r="R25" s="2">
        <f>IFERROR(INDEX(Reserves!C$2:C$281,MATCH(O25&amp;P25&amp;"-"&amp;C25&amp;"|"&amp;LEFT(F25,1),Reserves!A$2:A$281,0)),"after Monday")</f>
        <v/>
      </c>
      <c r="S25" s="2">
        <f>IFERROR(INDEX(Reserves!D$2:D$281,MATCH(O25&amp;P25&amp;"-"&amp;C25&amp;"|"&amp;LEFT(F25,1),Reserves!A$2:A$281,0)),"after Monday")</f>
        <v/>
      </c>
      <c r="T25" s="2">
        <f>IF(Q25="after Monday","",IF(OR(LEFT(Q25,3)=LEFT(J25,3),LEFT(Q25,3)=LEFT(K25,3),LEFT(Q25,3)=LEFT(L25,3),LEFT(Q25,3)=LEFT(R25,3),LEFT(Q25,3)=LEFT(S25,3),LEFT(R25,3)=LEFT(J25,3),LEFT(R25,3)=LEFT(K25,3),LEFT(R25,3)=LEFT(L25,3),LEFT(R25,3)=LEFT(Q25,3),LEFT(R25,3)=LEFT(S25,3),LEFT(S25,3)=LEFT(J25,3),LEFT(S25,3)=LEFT(K25,3),LEFT(S25,3)=LEFT(L25,3),LEFT(S25,3)=LEFT(Q25,3),LEFT(S25,3)=LEFT(R25,3)),"clash",IF(COUNTIFS(B$2:B$36,B25,J$2:J$36,Q25)+COUNTIFS(B$2:B$36,B25,J$2:J$36,R25)+COUNTIFS(B$2:B$36,B25,J$2:J$36,S25)+COUNTIFS(B$2:B$36,B25,K$2:K$36,Q25)+COUNTIFS(B$2:B$36,B25,K$2:K$36,R25)+COUNTIFS(B$2:B$36,B25,K$2:K$36,S25)+COUNTIFS(B$2:B$36,B25,L$2:L$36,Q25)+COUNTIFS(B$2:B$36,B25,L$2:L$36,R25)+COUNTIFS(B$2:B$36,B25,L$2:L$36,S25)&gt;0,"clash","ok")))</f>
        <v/>
      </c>
    </row>
    <row r="26">
      <c r="A26" s="2" t="n">
        <v>25</v>
      </c>
      <c r="B26" s="2" t="inlineStr">
        <is>
          <t>G7</t>
        </is>
      </c>
      <c r="C26" s="2" t="n">
        <v>3</v>
      </c>
      <c r="D26" s="2">
        <f>B26&amp;"-S"&amp;C26</f>
        <v/>
      </c>
      <c r="E26" s="2">
        <f>MID("ABCDEFGH",MOD(VALUE(MID(B26,2,2))+C26-2,8)+1,1)</f>
        <v/>
      </c>
      <c r="F26" s="2">
        <f>IF(INDEX(Groups!B$2:B$10,VALUE(MID(B26,2,2)))="","allocate on Monday",INDEX(Groups!B$2:B$10,VALUE(MID(B26,2,2))))</f>
        <v/>
      </c>
      <c r="G26" s="3" t="inlineStr">
        <is>
          <t>yes</t>
        </is>
      </c>
      <c r="H26" s="2">
        <f>IF(G26="yes",COUNTIFS(G$2:G$36,"yes",A$2:A$36,"&lt;="&amp;A26),"")</f>
        <v/>
      </c>
      <c r="I26" s="2">
        <f>"P"&amp;(MOD(C26-1+IF(LEFT(F26,1)="a",0,COUNTIFS(Groups!$B$2:$B$10,F26,Groups!$G$2:$G$10,"&lt;"&amp;VALUE(MID(B26,2,2)))),4)+1)</f>
        <v/>
      </c>
      <c r="J26" s="2">
        <f>IFERROR(INDEX(Sets!G$2:G$19,MATCH(INDEX(Sets!B$2:B$9,MATCH(E26,Sets!A$2:A$9,0))&amp;"|"&amp;LEFT(F26,1),Sets!F$2:F$19,0)),INDEX(Sets!B$2:B$9,MATCH(E26,Sets!A$2:A$9,0)))</f>
        <v/>
      </c>
      <c r="K26" s="2">
        <f>IFERROR(INDEX(Sets!G$2:G$19,MATCH(INDEX(Sets!C$2:C$9,MATCH(E26,Sets!A$2:A$9,0))&amp;"|"&amp;LEFT(F26,1),Sets!F$2:F$19,0)),INDEX(Sets!C$2:C$9,MATCH(E26,Sets!A$2:A$9,0)))</f>
        <v/>
      </c>
      <c r="L26" s="2">
        <f>IFERROR(INDEX(Sets!G$2:G$19,MATCH(INDEX(Sets!D$2:D$9,MATCH(E26,Sets!A$2:A$9,0))&amp;"|"&amp;LEFT(F26,1),Sets!F$2:F$19,0)),INDEX(Sets!D$2:D$9,MATCH(E26,Sets!A$2:A$9,0)))</f>
        <v/>
      </c>
      <c r="M26" s="2">
        <f>IF(OR(LEFT(J26,3)=LEFT(K26,3),LEFT(J26,3)=LEFT(L26,3),LEFT(K26,3)=LEFT(L26,3)),"repeat","ok")</f>
        <v/>
      </c>
      <c r="N26" s="2">
        <f>IF(COUNTIFS(B$2:B$36,B26,J$2:J$36,J26)+COUNTIFS(B$2:B$36,B26,K$2:K$36,K26)+COUNTIFS(B$2:B$36,B26,L$2:L$36,L26)&gt;3,"yes","no")</f>
        <v/>
      </c>
      <c r="O26" s="2">
        <f>MID("ABCDEFGH",MOD(VALUE(MID(B26,2,2))-1,8)+1,1)</f>
        <v/>
      </c>
      <c r="P26" s="2">
        <f>COUNTIF(B$2:B$36,B26)</f>
        <v/>
      </c>
      <c r="Q26" s="2">
        <f>IFERROR(INDEX(Reserves!B$2:B$281,MATCH(O26&amp;P26&amp;"-"&amp;C26&amp;"|"&amp;LEFT(F26,1),Reserves!A$2:A$281,0)),"after Monday")</f>
        <v/>
      </c>
      <c r="R26" s="2">
        <f>IFERROR(INDEX(Reserves!C$2:C$281,MATCH(O26&amp;P26&amp;"-"&amp;C26&amp;"|"&amp;LEFT(F26,1),Reserves!A$2:A$281,0)),"after Monday")</f>
        <v/>
      </c>
      <c r="S26" s="2">
        <f>IFERROR(INDEX(Reserves!D$2:D$281,MATCH(O26&amp;P26&amp;"-"&amp;C26&amp;"|"&amp;LEFT(F26,1),Reserves!A$2:A$281,0)),"after Monday")</f>
        <v/>
      </c>
      <c r="T26" s="2">
        <f>IF(Q26="after Monday","",IF(OR(LEFT(Q26,3)=LEFT(J26,3),LEFT(Q26,3)=LEFT(K26,3),LEFT(Q26,3)=LEFT(L26,3),LEFT(Q26,3)=LEFT(R26,3),LEFT(Q26,3)=LEFT(S26,3),LEFT(R26,3)=LEFT(J26,3),LEFT(R26,3)=LEFT(K26,3),LEFT(R26,3)=LEFT(L26,3),LEFT(R26,3)=LEFT(Q26,3),LEFT(R26,3)=LEFT(S26,3),LEFT(S26,3)=LEFT(J26,3),LEFT(S26,3)=LEFT(K26,3),LEFT(S26,3)=LEFT(L26,3),LEFT(S26,3)=LEFT(Q26,3),LEFT(S26,3)=LEFT(R26,3)),"clash",IF(COUNTIFS(B$2:B$36,B26,J$2:J$36,Q26)+COUNTIFS(B$2:B$36,B26,J$2:J$36,R26)+COUNTIFS(B$2:B$36,B26,J$2:J$36,S26)+COUNTIFS(B$2:B$36,B26,K$2:K$36,Q26)+COUNTIFS(B$2:B$36,B26,K$2:K$36,R26)+COUNTIFS(B$2:B$36,B26,K$2:K$36,S26)+COUNTIFS(B$2:B$36,B26,L$2:L$36,Q26)+COUNTIFS(B$2:B$36,B26,L$2:L$36,R26)+COUNTIFS(B$2:B$36,B26,L$2:L$36,S26)&gt;0,"clash","ok")))</f>
        <v/>
      </c>
    </row>
    <row r="27">
      <c r="A27" s="2" t="n">
        <v>26</v>
      </c>
      <c r="B27" s="2" t="inlineStr">
        <is>
          <t>G8</t>
        </is>
      </c>
      <c r="C27" s="2" t="n">
        <v>3</v>
      </c>
      <c r="D27" s="2">
        <f>B27&amp;"-S"&amp;C27</f>
        <v/>
      </c>
      <c r="E27" s="2">
        <f>MID("ABCDEFGH",MOD(VALUE(MID(B27,2,2))+C27-2,8)+1,1)</f>
        <v/>
      </c>
      <c r="F27" s="2">
        <f>IF(INDEX(Groups!B$2:B$10,VALUE(MID(B27,2,2)))="","allocate on Monday",INDEX(Groups!B$2:B$10,VALUE(MID(B27,2,2))))</f>
        <v/>
      </c>
      <c r="G27" s="3" t="inlineStr">
        <is>
          <t>yes</t>
        </is>
      </c>
      <c r="H27" s="2">
        <f>IF(G27="yes",COUNTIFS(G$2:G$36,"yes",A$2:A$36,"&lt;="&amp;A27),"")</f>
        <v/>
      </c>
      <c r="I27" s="2">
        <f>"P"&amp;(MOD(C27-1+IF(LEFT(F27,1)="a",0,COUNTIFS(Groups!$B$2:$B$10,F27,Groups!$G$2:$G$10,"&lt;"&amp;VALUE(MID(B27,2,2)))),4)+1)</f>
        <v/>
      </c>
      <c r="J27" s="2">
        <f>IFERROR(INDEX(Sets!G$2:G$19,MATCH(INDEX(Sets!B$2:B$9,MATCH(E27,Sets!A$2:A$9,0))&amp;"|"&amp;LEFT(F27,1),Sets!F$2:F$19,0)),INDEX(Sets!B$2:B$9,MATCH(E27,Sets!A$2:A$9,0)))</f>
        <v/>
      </c>
      <c r="K27" s="2">
        <f>IFERROR(INDEX(Sets!G$2:G$19,MATCH(INDEX(Sets!C$2:C$9,MATCH(E27,Sets!A$2:A$9,0))&amp;"|"&amp;LEFT(F27,1),Sets!F$2:F$19,0)),INDEX(Sets!C$2:C$9,MATCH(E27,Sets!A$2:A$9,0)))</f>
        <v/>
      </c>
      <c r="L27" s="2">
        <f>IFERROR(INDEX(Sets!G$2:G$19,MATCH(INDEX(Sets!D$2:D$9,MATCH(E27,Sets!A$2:A$9,0))&amp;"|"&amp;LEFT(F27,1),Sets!F$2:F$19,0)),INDEX(Sets!D$2:D$9,MATCH(E27,Sets!A$2:A$9,0)))</f>
        <v/>
      </c>
      <c r="M27" s="2">
        <f>IF(OR(LEFT(J27,3)=LEFT(K27,3),LEFT(J27,3)=LEFT(L27,3),LEFT(K27,3)=LEFT(L27,3)),"repeat","ok")</f>
        <v/>
      </c>
      <c r="N27" s="2">
        <f>IF(COUNTIFS(B$2:B$36,B27,J$2:J$36,J27)+COUNTIFS(B$2:B$36,B27,K$2:K$36,K27)+COUNTIFS(B$2:B$36,B27,L$2:L$36,L27)&gt;3,"yes","no")</f>
        <v/>
      </c>
      <c r="O27" s="2">
        <f>MID("ABCDEFGH",MOD(VALUE(MID(B27,2,2))-1,8)+1,1)</f>
        <v/>
      </c>
      <c r="P27" s="2">
        <f>COUNTIF(B$2:B$36,B27)</f>
        <v/>
      </c>
      <c r="Q27" s="2">
        <f>IFERROR(INDEX(Reserves!B$2:B$281,MATCH(O27&amp;P27&amp;"-"&amp;C27&amp;"|"&amp;LEFT(F27,1),Reserves!A$2:A$281,0)),"after Monday")</f>
        <v/>
      </c>
      <c r="R27" s="2">
        <f>IFERROR(INDEX(Reserves!C$2:C$281,MATCH(O27&amp;P27&amp;"-"&amp;C27&amp;"|"&amp;LEFT(F27,1),Reserves!A$2:A$281,0)),"after Monday")</f>
        <v/>
      </c>
      <c r="S27" s="2">
        <f>IFERROR(INDEX(Reserves!D$2:D$281,MATCH(O27&amp;P27&amp;"-"&amp;C27&amp;"|"&amp;LEFT(F27,1),Reserves!A$2:A$281,0)),"after Monday")</f>
        <v/>
      </c>
      <c r="T27" s="2">
        <f>IF(Q27="after Monday","",IF(OR(LEFT(Q27,3)=LEFT(J27,3),LEFT(Q27,3)=LEFT(K27,3),LEFT(Q27,3)=LEFT(L27,3),LEFT(Q27,3)=LEFT(R27,3),LEFT(Q27,3)=LEFT(S27,3),LEFT(R27,3)=LEFT(J27,3),LEFT(R27,3)=LEFT(K27,3),LEFT(R27,3)=LEFT(L27,3),LEFT(R27,3)=LEFT(Q27,3),LEFT(R27,3)=LEFT(S27,3),LEFT(S27,3)=LEFT(J27,3),LEFT(S27,3)=LEFT(K27,3),LEFT(S27,3)=LEFT(L27,3),LEFT(S27,3)=LEFT(Q27,3),LEFT(S27,3)=LEFT(R27,3)),"clash",IF(COUNTIFS(B$2:B$36,B27,J$2:J$36,Q27)+COUNTIFS(B$2:B$36,B27,J$2:J$36,R27)+COUNTIFS(B$2:B$36,B27,J$2:J$36,S27)+COUNTIFS(B$2:B$36,B27,K$2:K$36,Q27)+COUNTIFS(B$2:B$36,B27,K$2:K$36,R27)+COUNTIFS(B$2:B$36,B27,K$2:K$36,S27)+COUNTIFS(B$2:B$36,B27,L$2:L$36,Q27)+COUNTIFS(B$2:B$36,B27,L$2:L$36,R27)+COUNTIFS(B$2:B$36,B27,L$2:L$36,S27)&gt;0,"clash","ok")))</f>
        <v/>
      </c>
    </row>
    <row r="28">
      <c r="A28" s="2" t="n">
        <v>27</v>
      </c>
      <c r="B28" s="2" t="inlineStr">
        <is>
          <t>G9</t>
        </is>
      </c>
      <c r="C28" s="2" t="n">
        <v>3</v>
      </c>
      <c r="D28" s="2">
        <f>B28&amp;"-S"&amp;C28</f>
        <v/>
      </c>
      <c r="E28" s="2">
        <f>MID("ABCDEFGH",MOD(VALUE(MID(B28,2,2))+C28-2,8)+1,1)</f>
        <v/>
      </c>
      <c r="F28" s="2">
        <f>IF(INDEX(Groups!B$2:B$10,VALUE(MID(B28,2,2)))="","allocate on Monday",INDEX(Groups!B$2:B$10,VALUE(MID(B28,2,2))))</f>
        <v/>
      </c>
      <c r="G28" s="3" t="inlineStr">
        <is>
          <t>yes</t>
        </is>
      </c>
      <c r="H28" s="2">
        <f>IF(G28="yes",COUNTIFS(G$2:G$36,"yes",A$2:A$36,"&lt;="&amp;A28),"")</f>
        <v/>
      </c>
      <c r="I28" s="2">
        <f>"P"&amp;(MOD(C28-1+IF(LEFT(F28,1)="a",0,COUNTIFS(Groups!$B$2:$B$10,F28,Groups!$G$2:$G$10,"&lt;"&amp;VALUE(MID(B28,2,2)))),4)+1)</f>
        <v/>
      </c>
      <c r="J28" s="2">
        <f>IFERROR(INDEX(Sets!G$2:G$19,MATCH(INDEX(Sets!B$2:B$9,MATCH(E28,Sets!A$2:A$9,0))&amp;"|"&amp;LEFT(F28,1),Sets!F$2:F$19,0)),INDEX(Sets!B$2:B$9,MATCH(E28,Sets!A$2:A$9,0)))</f>
        <v/>
      </c>
      <c r="K28" s="2">
        <f>IFERROR(INDEX(Sets!G$2:G$19,MATCH(INDEX(Sets!C$2:C$9,MATCH(E28,Sets!A$2:A$9,0))&amp;"|"&amp;LEFT(F28,1),Sets!F$2:F$19,0)),INDEX(Sets!C$2:C$9,MATCH(E28,Sets!A$2:A$9,0)))</f>
        <v/>
      </c>
      <c r="L28" s="2">
        <f>IFERROR(INDEX(Sets!G$2:G$19,MATCH(INDEX(Sets!D$2:D$9,MATCH(E28,Sets!A$2:A$9,0))&amp;"|"&amp;LEFT(F28,1),Sets!F$2:F$19,0)),INDEX(Sets!D$2:D$9,MATCH(E28,Sets!A$2:A$9,0)))</f>
        <v/>
      </c>
      <c r="M28" s="2">
        <f>IF(OR(LEFT(J28,3)=LEFT(K28,3),LEFT(J28,3)=LEFT(L28,3),LEFT(K28,3)=LEFT(L28,3)),"repeat","ok")</f>
        <v/>
      </c>
      <c r="N28" s="2">
        <f>IF(COUNTIFS(B$2:B$36,B28,J$2:J$36,J28)+COUNTIFS(B$2:B$36,B28,K$2:K$36,K28)+COUNTIFS(B$2:B$36,B28,L$2:L$36,L28)&gt;3,"yes","no")</f>
        <v/>
      </c>
      <c r="O28" s="2">
        <f>MID("ABCDEFGH",MOD(VALUE(MID(B28,2,2))-1,8)+1,1)</f>
        <v/>
      </c>
      <c r="P28" s="2">
        <f>COUNTIF(B$2:B$36,B28)</f>
        <v/>
      </c>
      <c r="Q28" s="2">
        <f>IFERROR(INDEX(Reserves!B$2:B$281,MATCH(O28&amp;P28&amp;"-"&amp;C28&amp;"|"&amp;LEFT(F28,1),Reserves!A$2:A$281,0)),"after Monday")</f>
        <v/>
      </c>
      <c r="R28" s="2">
        <f>IFERROR(INDEX(Reserves!C$2:C$281,MATCH(O28&amp;P28&amp;"-"&amp;C28&amp;"|"&amp;LEFT(F28,1),Reserves!A$2:A$281,0)),"after Monday")</f>
        <v/>
      </c>
      <c r="S28" s="2">
        <f>IFERROR(INDEX(Reserves!D$2:D$281,MATCH(O28&amp;P28&amp;"-"&amp;C28&amp;"|"&amp;LEFT(F28,1),Reserves!A$2:A$281,0)),"after Monday")</f>
        <v/>
      </c>
      <c r="T28" s="2">
        <f>IF(Q28="after Monday","",IF(OR(LEFT(Q28,3)=LEFT(J28,3),LEFT(Q28,3)=LEFT(K28,3),LEFT(Q28,3)=LEFT(L28,3),LEFT(Q28,3)=LEFT(R28,3),LEFT(Q28,3)=LEFT(S28,3),LEFT(R28,3)=LEFT(J28,3),LEFT(R28,3)=LEFT(K28,3),LEFT(R28,3)=LEFT(L28,3),LEFT(R28,3)=LEFT(Q28,3),LEFT(R28,3)=LEFT(S28,3),LEFT(S28,3)=LEFT(J28,3),LEFT(S28,3)=LEFT(K28,3),LEFT(S28,3)=LEFT(L28,3),LEFT(S28,3)=LEFT(Q28,3),LEFT(S28,3)=LEFT(R28,3)),"clash",IF(COUNTIFS(B$2:B$36,B28,J$2:J$36,Q28)+COUNTIFS(B$2:B$36,B28,J$2:J$36,R28)+COUNTIFS(B$2:B$36,B28,J$2:J$36,S28)+COUNTIFS(B$2:B$36,B28,K$2:K$36,Q28)+COUNTIFS(B$2:B$36,B28,K$2:K$36,R28)+COUNTIFS(B$2:B$36,B28,K$2:K$36,S28)+COUNTIFS(B$2:B$36,B28,L$2:L$36,Q28)+COUNTIFS(B$2:B$36,B28,L$2:L$36,R28)+COUNTIFS(B$2:B$36,B28,L$2:L$36,S28)&gt;0,"clash","ok")))</f>
        <v/>
      </c>
    </row>
    <row r="29">
      <c r="A29" s="2" t="n">
        <v>28</v>
      </c>
      <c r="B29" s="2" t="inlineStr">
        <is>
          <t>G1</t>
        </is>
      </c>
      <c r="C29" s="2" t="n">
        <v>4</v>
      </c>
      <c r="D29" s="2">
        <f>B29&amp;"-S"&amp;C29</f>
        <v/>
      </c>
      <c r="E29" s="2">
        <f>MID("ABCDEFGH",MOD(VALUE(MID(B29,2,2))+C29-2,8)+1,1)</f>
        <v/>
      </c>
      <c r="F29" s="2">
        <f>IF(INDEX(Groups!B$2:B$10,VALUE(MID(B29,2,2)))="","allocate on Monday",INDEX(Groups!B$2:B$10,VALUE(MID(B29,2,2))))</f>
        <v/>
      </c>
      <c r="G29" s="3" t="inlineStr">
        <is>
          <t>yes</t>
        </is>
      </c>
      <c r="H29" s="2">
        <f>IF(G29="yes",COUNTIFS(G$2:G$36,"yes",A$2:A$36,"&lt;="&amp;A29),"")</f>
        <v/>
      </c>
      <c r="I29" s="2">
        <f>"P"&amp;(MOD(C29-1+IF(LEFT(F29,1)="a",0,COUNTIFS(Groups!$B$2:$B$10,F29,Groups!$G$2:$G$10,"&lt;"&amp;VALUE(MID(B29,2,2)))),4)+1)</f>
        <v/>
      </c>
      <c r="J29" s="2">
        <f>IFERROR(INDEX(Sets!G$2:G$19,MATCH(INDEX(Sets!B$2:B$9,MATCH(E29,Sets!A$2:A$9,0))&amp;"|"&amp;LEFT(F29,1),Sets!F$2:F$19,0)),INDEX(Sets!B$2:B$9,MATCH(E29,Sets!A$2:A$9,0)))</f>
        <v/>
      </c>
      <c r="K29" s="2">
        <f>IFERROR(INDEX(Sets!G$2:G$19,MATCH(INDEX(Sets!C$2:C$9,MATCH(E29,Sets!A$2:A$9,0))&amp;"|"&amp;LEFT(F29,1),Sets!F$2:F$19,0)),INDEX(Sets!C$2:C$9,MATCH(E29,Sets!A$2:A$9,0)))</f>
        <v/>
      </c>
      <c r="L29" s="2">
        <f>IFERROR(INDEX(Sets!G$2:G$19,MATCH(INDEX(Sets!D$2:D$9,MATCH(E29,Sets!A$2:A$9,0))&amp;"|"&amp;LEFT(F29,1),Sets!F$2:F$19,0)),INDEX(Sets!D$2:D$9,MATCH(E29,Sets!A$2:A$9,0)))</f>
        <v/>
      </c>
      <c r="M29" s="2">
        <f>IF(OR(LEFT(J29,3)=LEFT(K29,3),LEFT(J29,3)=LEFT(L29,3),LEFT(K29,3)=LEFT(L29,3)),"repeat","ok")</f>
        <v/>
      </c>
      <c r="N29" s="2">
        <f>IF(COUNTIFS(B$2:B$36,B29,J$2:J$36,J29)+COUNTIFS(B$2:B$36,B29,K$2:K$36,K29)+COUNTIFS(B$2:B$36,B29,L$2:L$36,L29)&gt;3,"yes","no")</f>
        <v/>
      </c>
      <c r="O29" s="2">
        <f>MID("ABCDEFGH",MOD(VALUE(MID(B29,2,2))-1,8)+1,1)</f>
        <v/>
      </c>
      <c r="P29" s="2">
        <f>COUNTIF(B$2:B$36,B29)</f>
        <v/>
      </c>
      <c r="Q29" s="2">
        <f>IFERROR(INDEX(Reserves!B$2:B$281,MATCH(O29&amp;P29&amp;"-"&amp;C29&amp;"|"&amp;LEFT(F29,1),Reserves!A$2:A$281,0)),"after Monday")</f>
        <v/>
      </c>
      <c r="R29" s="2">
        <f>IFERROR(INDEX(Reserves!C$2:C$281,MATCH(O29&amp;P29&amp;"-"&amp;C29&amp;"|"&amp;LEFT(F29,1),Reserves!A$2:A$281,0)),"after Monday")</f>
        <v/>
      </c>
      <c r="S29" s="2">
        <f>IFERROR(INDEX(Reserves!D$2:D$281,MATCH(O29&amp;P29&amp;"-"&amp;C29&amp;"|"&amp;LEFT(F29,1),Reserves!A$2:A$281,0)),"after Monday")</f>
        <v/>
      </c>
      <c r="T29" s="2">
        <f>IF(Q29="after Monday","",IF(OR(LEFT(Q29,3)=LEFT(J29,3),LEFT(Q29,3)=LEFT(K29,3),LEFT(Q29,3)=LEFT(L29,3),LEFT(Q29,3)=LEFT(R29,3),LEFT(Q29,3)=LEFT(S29,3),LEFT(R29,3)=LEFT(J29,3),LEFT(R29,3)=LEFT(K29,3),LEFT(R29,3)=LEFT(L29,3),LEFT(R29,3)=LEFT(Q29,3),LEFT(R29,3)=LEFT(S29,3),LEFT(S29,3)=LEFT(J29,3),LEFT(S29,3)=LEFT(K29,3),LEFT(S29,3)=LEFT(L29,3),LEFT(S29,3)=LEFT(Q29,3),LEFT(S29,3)=LEFT(R29,3)),"clash",IF(COUNTIFS(B$2:B$36,B29,J$2:J$36,Q29)+COUNTIFS(B$2:B$36,B29,J$2:J$36,R29)+COUNTIFS(B$2:B$36,B29,J$2:J$36,S29)+COUNTIFS(B$2:B$36,B29,K$2:K$36,Q29)+COUNTIFS(B$2:B$36,B29,K$2:K$36,R29)+COUNTIFS(B$2:B$36,B29,K$2:K$36,S29)+COUNTIFS(B$2:B$36,B29,L$2:L$36,Q29)+COUNTIFS(B$2:B$36,B29,L$2:L$36,R29)+COUNTIFS(B$2:B$36,B29,L$2:L$36,S29)&gt;0,"clash","ok")))</f>
        <v/>
      </c>
    </row>
    <row r="30">
      <c r="A30" s="2" t="n">
        <v>29</v>
      </c>
      <c r="B30" s="2" t="inlineStr">
        <is>
          <t>G2</t>
        </is>
      </c>
      <c r="C30" s="2" t="n">
        <v>4</v>
      </c>
      <c r="D30" s="2">
        <f>B30&amp;"-S"&amp;C30</f>
        <v/>
      </c>
      <c r="E30" s="2">
        <f>MID("ABCDEFGH",MOD(VALUE(MID(B30,2,2))+C30-2,8)+1,1)</f>
        <v/>
      </c>
      <c r="F30" s="2">
        <f>IF(INDEX(Groups!B$2:B$10,VALUE(MID(B30,2,2)))="","allocate on Monday",INDEX(Groups!B$2:B$10,VALUE(MID(B30,2,2))))</f>
        <v/>
      </c>
      <c r="G30" s="3" t="inlineStr">
        <is>
          <t>yes</t>
        </is>
      </c>
      <c r="H30" s="2">
        <f>IF(G30="yes",COUNTIFS(G$2:G$36,"yes",A$2:A$36,"&lt;="&amp;A30),"")</f>
        <v/>
      </c>
      <c r="I30" s="2">
        <f>"P"&amp;(MOD(C30-1+IF(LEFT(F30,1)="a",0,COUNTIFS(Groups!$B$2:$B$10,F30,Groups!$G$2:$G$10,"&lt;"&amp;VALUE(MID(B30,2,2)))),4)+1)</f>
        <v/>
      </c>
      <c r="J30" s="2">
        <f>IFERROR(INDEX(Sets!G$2:G$19,MATCH(INDEX(Sets!B$2:B$9,MATCH(E30,Sets!A$2:A$9,0))&amp;"|"&amp;LEFT(F30,1),Sets!F$2:F$19,0)),INDEX(Sets!B$2:B$9,MATCH(E30,Sets!A$2:A$9,0)))</f>
        <v/>
      </c>
      <c r="K30" s="2">
        <f>IFERROR(INDEX(Sets!G$2:G$19,MATCH(INDEX(Sets!C$2:C$9,MATCH(E30,Sets!A$2:A$9,0))&amp;"|"&amp;LEFT(F30,1),Sets!F$2:F$19,0)),INDEX(Sets!C$2:C$9,MATCH(E30,Sets!A$2:A$9,0)))</f>
        <v/>
      </c>
      <c r="L30" s="2">
        <f>IFERROR(INDEX(Sets!G$2:G$19,MATCH(INDEX(Sets!D$2:D$9,MATCH(E30,Sets!A$2:A$9,0))&amp;"|"&amp;LEFT(F30,1),Sets!F$2:F$19,0)),INDEX(Sets!D$2:D$9,MATCH(E30,Sets!A$2:A$9,0)))</f>
        <v/>
      </c>
      <c r="M30" s="2">
        <f>IF(OR(LEFT(J30,3)=LEFT(K30,3),LEFT(J30,3)=LEFT(L30,3),LEFT(K30,3)=LEFT(L30,3)),"repeat","ok")</f>
        <v/>
      </c>
      <c r="N30" s="2">
        <f>IF(COUNTIFS(B$2:B$36,B30,J$2:J$36,J30)+COUNTIFS(B$2:B$36,B30,K$2:K$36,K30)+COUNTIFS(B$2:B$36,B30,L$2:L$36,L30)&gt;3,"yes","no")</f>
        <v/>
      </c>
      <c r="O30" s="2">
        <f>MID("ABCDEFGH",MOD(VALUE(MID(B30,2,2))-1,8)+1,1)</f>
        <v/>
      </c>
      <c r="P30" s="2">
        <f>COUNTIF(B$2:B$36,B30)</f>
        <v/>
      </c>
      <c r="Q30" s="2">
        <f>IFERROR(INDEX(Reserves!B$2:B$281,MATCH(O30&amp;P30&amp;"-"&amp;C30&amp;"|"&amp;LEFT(F30,1),Reserves!A$2:A$281,0)),"after Monday")</f>
        <v/>
      </c>
      <c r="R30" s="2">
        <f>IFERROR(INDEX(Reserves!C$2:C$281,MATCH(O30&amp;P30&amp;"-"&amp;C30&amp;"|"&amp;LEFT(F30,1),Reserves!A$2:A$281,0)),"after Monday")</f>
        <v/>
      </c>
      <c r="S30" s="2">
        <f>IFERROR(INDEX(Reserves!D$2:D$281,MATCH(O30&amp;P30&amp;"-"&amp;C30&amp;"|"&amp;LEFT(F30,1),Reserves!A$2:A$281,0)),"after Monday")</f>
        <v/>
      </c>
      <c r="T30" s="2">
        <f>IF(Q30="after Monday","",IF(OR(LEFT(Q30,3)=LEFT(J30,3),LEFT(Q30,3)=LEFT(K30,3),LEFT(Q30,3)=LEFT(L30,3),LEFT(Q30,3)=LEFT(R30,3),LEFT(Q30,3)=LEFT(S30,3),LEFT(R30,3)=LEFT(J30,3),LEFT(R30,3)=LEFT(K30,3),LEFT(R30,3)=LEFT(L30,3),LEFT(R30,3)=LEFT(Q30,3),LEFT(R30,3)=LEFT(S30,3),LEFT(S30,3)=LEFT(J30,3),LEFT(S30,3)=LEFT(K30,3),LEFT(S30,3)=LEFT(L30,3),LEFT(S30,3)=LEFT(Q30,3),LEFT(S30,3)=LEFT(R30,3)),"clash",IF(COUNTIFS(B$2:B$36,B30,J$2:J$36,Q30)+COUNTIFS(B$2:B$36,B30,J$2:J$36,R30)+COUNTIFS(B$2:B$36,B30,J$2:J$36,S30)+COUNTIFS(B$2:B$36,B30,K$2:K$36,Q30)+COUNTIFS(B$2:B$36,B30,K$2:K$36,R30)+COUNTIFS(B$2:B$36,B30,K$2:K$36,S30)+COUNTIFS(B$2:B$36,B30,L$2:L$36,Q30)+COUNTIFS(B$2:B$36,B30,L$2:L$36,R30)+COUNTIFS(B$2:B$36,B30,L$2:L$36,S30)&gt;0,"clash","ok")))</f>
        <v/>
      </c>
    </row>
    <row r="31">
      <c r="A31" s="2" t="n">
        <v>30</v>
      </c>
      <c r="B31" s="2" t="inlineStr">
        <is>
          <t>G3</t>
        </is>
      </c>
      <c r="C31" s="2" t="n">
        <v>4</v>
      </c>
      <c r="D31" s="2">
        <f>B31&amp;"-S"&amp;C31</f>
        <v/>
      </c>
      <c r="E31" s="2">
        <f>MID("ABCDEFGH",MOD(VALUE(MID(B31,2,2))+C31-2,8)+1,1)</f>
        <v/>
      </c>
      <c r="F31" s="2">
        <f>IF(INDEX(Groups!B$2:B$10,VALUE(MID(B31,2,2)))="","allocate on Monday",INDEX(Groups!B$2:B$10,VALUE(MID(B31,2,2))))</f>
        <v/>
      </c>
      <c r="G31" s="3" t="inlineStr">
        <is>
          <t>yes</t>
        </is>
      </c>
      <c r="H31" s="2">
        <f>IF(G31="yes",COUNTIFS(G$2:G$36,"yes",A$2:A$36,"&lt;="&amp;A31),"")</f>
        <v/>
      </c>
      <c r="I31" s="2">
        <f>"P"&amp;(MOD(C31-1+IF(LEFT(F31,1)="a",0,COUNTIFS(Groups!$B$2:$B$10,F31,Groups!$G$2:$G$10,"&lt;"&amp;VALUE(MID(B31,2,2)))),4)+1)</f>
        <v/>
      </c>
      <c r="J31" s="2">
        <f>IFERROR(INDEX(Sets!G$2:G$19,MATCH(INDEX(Sets!B$2:B$9,MATCH(E31,Sets!A$2:A$9,0))&amp;"|"&amp;LEFT(F31,1),Sets!F$2:F$19,0)),INDEX(Sets!B$2:B$9,MATCH(E31,Sets!A$2:A$9,0)))</f>
        <v/>
      </c>
      <c r="K31" s="2">
        <f>IFERROR(INDEX(Sets!G$2:G$19,MATCH(INDEX(Sets!C$2:C$9,MATCH(E31,Sets!A$2:A$9,0))&amp;"|"&amp;LEFT(F31,1),Sets!F$2:F$19,0)),INDEX(Sets!C$2:C$9,MATCH(E31,Sets!A$2:A$9,0)))</f>
        <v/>
      </c>
      <c r="L31" s="2">
        <f>IFERROR(INDEX(Sets!G$2:G$19,MATCH(INDEX(Sets!D$2:D$9,MATCH(E31,Sets!A$2:A$9,0))&amp;"|"&amp;LEFT(F31,1),Sets!F$2:F$19,0)),INDEX(Sets!D$2:D$9,MATCH(E31,Sets!A$2:A$9,0)))</f>
        <v/>
      </c>
      <c r="M31" s="2">
        <f>IF(OR(LEFT(J31,3)=LEFT(K31,3),LEFT(J31,3)=LEFT(L31,3),LEFT(K31,3)=LEFT(L31,3)),"repeat","ok")</f>
        <v/>
      </c>
      <c r="N31" s="2">
        <f>IF(COUNTIFS(B$2:B$36,B31,J$2:J$36,J31)+COUNTIFS(B$2:B$36,B31,K$2:K$36,K31)+COUNTIFS(B$2:B$36,B31,L$2:L$36,L31)&gt;3,"yes","no")</f>
        <v/>
      </c>
      <c r="O31" s="2">
        <f>MID("ABCDEFGH",MOD(VALUE(MID(B31,2,2))-1,8)+1,1)</f>
        <v/>
      </c>
      <c r="P31" s="2">
        <f>COUNTIF(B$2:B$36,B31)</f>
        <v/>
      </c>
      <c r="Q31" s="2">
        <f>IFERROR(INDEX(Reserves!B$2:B$281,MATCH(O31&amp;P31&amp;"-"&amp;C31&amp;"|"&amp;LEFT(F31,1),Reserves!A$2:A$281,0)),"after Monday")</f>
        <v/>
      </c>
      <c r="R31" s="2">
        <f>IFERROR(INDEX(Reserves!C$2:C$281,MATCH(O31&amp;P31&amp;"-"&amp;C31&amp;"|"&amp;LEFT(F31,1),Reserves!A$2:A$281,0)),"after Monday")</f>
        <v/>
      </c>
      <c r="S31" s="2">
        <f>IFERROR(INDEX(Reserves!D$2:D$281,MATCH(O31&amp;P31&amp;"-"&amp;C31&amp;"|"&amp;LEFT(F31,1),Reserves!A$2:A$281,0)),"after Monday")</f>
        <v/>
      </c>
      <c r="T31" s="2">
        <f>IF(Q31="after Monday","",IF(OR(LEFT(Q31,3)=LEFT(J31,3),LEFT(Q31,3)=LEFT(K31,3),LEFT(Q31,3)=LEFT(L31,3),LEFT(Q31,3)=LEFT(R31,3),LEFT(Q31,3)=LEFT(S31,3),LEFT(R31,3)=LEFT(J31,3),LEFT(R31,3)=LEFT(K31,3),LEFT(R31,3)=LEFT(L31,3),LEFT(R31,3)=LEFT(Q31,3),LEFT(R31,3)=LEFT(S31,3),LEFT(S31,3)=LEFT(J31,3),LEFT(S31,3)=LEFT(K31,3),LEFT(S31,3)=LEFT(L31,3),LEFT(S31,3)=LEFT(Q31,3),LEFT(S31,3)=LEFT(R31,3)),"clash",IF(COUNTIFS(B$2:B$36,B31,J$2:J$36,Q31)+COUNTIFS(B$2:B$36,B31,J$2:J$36,R31)+COUNTIFS(B$2:B$36,B31,J$2:J$36,S31)+COUNTIFS(B$2:B$36,B31,K$2:K$36,Q31)+COUNTIFS(B$2:B$36,B31,K$2:K$36,R31)+COUNTIFS(B$2:B$36,B31,K$2:K$36,S31)+COUNTIFS(B$2:B$36,B31,L$2:L$36,Q31)+COUNTIFS(B$2:B$36,B31,L$2:L$36,R31)+COUNTIFS(B$2:B$36,B31,L$2:L$36,S31)&gt;0,"clash","ok")))</f>
        <v/>
      </c>
    </row>
    <row r="32">
      <c r="A32" s="2" t="n">
        <v>31</v>
      </c>
      <c r="B32" s="2" t="inlineStr">
        <is>
          <t>G4</t>
        </is>
      </c>
      <c r="C32" s="2" t="n">
        <v>4</v>
      </c>
      <c r="D32" s="2">
        <f>B32&amp;"-S"&amp;C32</f>
        <v/>
      </c>
      <c r="E32" s="2">
        <f>MID("ABCDEFGH",MOD(VALUE(MID(B32,2,2))+C32-2,8)+1,1)</f>
        <v/>
      </c>
      <c r="F32" s="2">
        <f>IF(INDEX(Groups!B$2:B$10,VALUE(MID(B32,2,2)))="","allocate on Monday",INDEX(Groups!B$2:B$10,VALUE(MID(B32,2,2))))</f>
        <v/>
      </c>
      <c r="G32" s="3" t="inlineStr">
        <is>
          <t>yes</t>
        </is>
      </c>
      <c r="H32" s="2">
        <f>IF(G32="yes",COUNTIFS(G$2:G$36,"yes",A$2:A$36,"&lt;="&amp;A32),"")</f>
        <v/>
      </c>
      <c r="I32" s="2">
        <f>"P"&amp;(MOD(C32-1+IF(LEFT(F32,1)="a",0,COUNTIFS(Groups!$B$2:$B$10,F32,Groups!$G$2:$G$10,"&lt;"&amp;VALUE(MID(B32,2,2)))),4)+1)</f>
        <v/>
      </c>
      <c r="J32" s="2">
        <f>IFERROR(INDEX(Sets!G$2:G$19,MATCH(INDEX(Sets!B$2:B$9,MATCH(E32,Sets!A$2:A$9,0))&amp;"|"&amp;LEFT(F32,1),Sets!F$2:F$19,0)),INDEX(Sets!B$2:B$9,MATCH(E32,Sets!A$2:A$9,0)))</f>
        <v/>
      </c>
      <c r="K32" s="2">
        <f>IFERROR(INDEX(Sets!G$2:G$19,MATCH(INDEX(Sets!C$2:C$9,MATCH(E32,Sets!A$2:A$9,0))&amp;"|"&amp;LEFT(F32,1),Sets!F$2:F$19,0)),INDEX(Sets!C$2:C$9,MATCH(E32,Sets!A$2:A$9,0)))</f>
        <v/>
      </c>
      <c r="L32" s="2">
        <f>IFERROR(INDEX(Sets!G$2:G$19,MATCH(INDEX(Sets!D$2:D$9,MATCH(E32,Sets!A$2:A$9,0))&amp;"|"&amp;LEFT(F32,1),Sets!F$2:F$19,0)),INDEX(Sets!D$2:D$9,MATCH(E32,Sets!A$2:A$9,0)))</f>
        <v/>
      </c>
      <c r="M32" s="2">
        <f>IF(OR(LEFT(J32,3)=LEFT(K32,3),LEFT(J32,3)=LEFT(L32,3),LEFT(K32,3)=LEFT(L32,3)),"repeat","ok")</f>
        <v/>
      </c>
      <c r="N32" s="2">
        <f>IF(COUNTIFS(B$2:B$36,B32,J$2:J$36,J32)+COUNTIFS(B$2:B$36,B32,K$2:K$36,K32)+COUNTIFS(B$2:B$36,B32,L$2:L$36,L32)&gt;3,"yes","no")</f>
        <v/>
      </c>
      <c r="O32" s="2">
        <f>MID("ABCDEFGH",MOD(VALUE(MID(B32,2,2))-1,8)+1,1)</f>
        <v/>
      </c>
      <c r="P32" s="2">
        <f>COUNTIF(B$2:B$36,B32)</f>
        <v/>
      </c>
      <c r="Q32" s="2">
        <f>IFERROR(INDEX(Reserves!B$2:B$281,MATCH(O32&amp;P32&amp;"-"&amp;C32&amp;"|"&amp;LEFT(F32,1),Reserves!A$2:A$281,0)),"after Monday")</f>
        <v/>
      </c>
      <c r="R32" s="2">
        <f>IFERROR(INDEX(Reserves!C$2:C$281,MATCH(O32&amp;P32&amp;"-"&amp;C32&amp;"|"&amp;LEFT(F32,1),Reserves!A$2:A$281,0)),"after Monday")</f>
        <v/>
      </c>
      <c r="S32" s="2">
        <f>IFERROR(INDEX(Reserves!D$2:D$281,MATCH(O32&amp;P32&amp;"-"&amp;C32&amp;"|"&amp;LEFT(F32,1),Reserves!A$2:A$281,0)),"after Monday")</f>
        <v/>
      </c>
      <c r="T32" s="2">
        <f>IF(Q32="after Monday","",IF(OR(LEFT(Q32,3)=LEFT(J32,3),LEFT(Q32,3)=LEFT(K32,3),LEFT(Q32,3)=LEFT(L32,3),LEFT(Q32,3)=LEFT(R32,3),LEFT(Q32,3)=LEFT(S32,3),LEFT(R32,3)=LEFT(J32,3),LEFT(R32,3)=LEFT(K32,3),LEFT(R32,3)=LEFT(L32,3),LEFT(R32,3)=LEFT(Q32,3),LEFT(R32,3)=LEFT(S32,3),LEFT(S32,3)=LEFT(J32,3),LEFT(S32,3)=LEFT(K32,3),LEFT(S32,3)=LEFT(L32,3),LEFT(S32,3)=LEFT(Q32,3),LEFT(S32,3)=LEFT(R32,3)),"clash",IF(COUNTIFS(B$2:B$36,B32,J$2:J$36,Q32)+COUNTIFS(B$2:B$36,B32,J$2:J$36,R32)+COUNTIFS(B$2:B$36,B32,J$2:J$36,S32)+COUNTIFS(B$2:B$36,B32,K$2:K$36,Q32)+COUNTIFS(B$2:B$36,B32,K$2:K$36,R32)+COUNTIFS(B$2:B$36,B32,K$2:K$36,S32)+COUNTIFS(B$2:B$36,B32,L$2:L$36,Q32)+COUNTIFS(B$2:B$36,B32,L$2:L$36,R32)+COUNTIFS(B$2:B$36,B32,L$2:L$36,S32)&gt;0,"clash","ok")))</f>
        <v/>
      </c>
    </row>
    <row r="33">
      <c r="A33" s="2" t="n">
        <v>32</v>
      </c>
      <c r="B33" s="2" t="inlineStr">
        <is>
          <t>G5</t>
        </is>
      </c>
      <c r="C33" s="2" t="n">
        <v>4</v>
      </c>
      <c r="D33" s="2">
        <f>B33&amp;"-S"&amp;C33</f>
        <v/>
      </c>
      <c r="E33" s="2">
        <f>MID("ABCDEFGH",MOD(VALUE(MID(B33,2,2))+C33-2,8)+1,1)</f>
        <v/>
      </c>
      <c r="F33" s="2">
        <f>IF(INDEX(Groups!B$2:B$10,VALUE(MID(B33,2,2)))="","allocate on Monday",INDEX(Groups!B$2:B$10,VALUE(MID(B33,2,2))))</f>
        <v/>
      </c>
      <c r="G33" s="3" t="inlineStr">
        <is>
          <t>yes</t>
        </is>
      </c>
      <c r="H33" s="2">
        <f>IF(G33="yes",COUNTIFS(G$2:G$36,"yes",A$2:A$36,"&lt;="&amp;A33),"")</f>
        <v/>
      </c>
      <c r="I33" s="2">
        <f>"P"&amp;(MOD(C33-1+IF(LEFT(F33,1)="a",0,COUNTIFS(Groups!$B$2:$B$10,F33,Groups!$G$2:$G$10,"&lt;"&amp;VALUE(MID(B33,2,2)))),4)+1)</f>
        <v/>
      </c>
      <c r="J33" s="2">
        <f>IFERROR(INDEX(Sets!G$2:G$19,MATCH(INDEX(Sets!B$2:B$9,MATCH(E33,Sets!A$2:A$9,0))&amp;"|"&amp;LEFT(F33,1),Sets!F$2:F$19,0)),INDEX(Sets!B$2:B$9,MATCH(E33,Sets!A$2:A$9,0)))</f>
        <v/>
      </c>
      <c r="K33" s="2">
        <f>IFERROR(INDEX(Sets!G$2:G$19,MATCH(INDEX(Sets!C$2:C$9,MATCH(E33,Sets!A$2:A$9,0))&amp;"|"&amp;LEFT(F33,1),Sets!F$2:F$19,0)),INDEX(Sets!C$2:C$9,MATCH(E33,Sets!A$2:A$9,0)))</f>
        <v/>
      </c>
      <c r="L33" s="2">
        <f>IFERROR(INDEX(Sets!G$2:G$19,MATCH(INDEX(Sets!D$2:D$9,MATCH(E33,Sets!A$2:A$9,0))&amp;"|"&amp;LEFT(F33,1),Sets!F$2:F$19,0)),INDEX(Sets!D$2:D$9,MATCH(E33,Sets!A$2:A$9,0)))</f>
        <v/>
      </c>
      <c r="M33" s="2">
        <f>IF(OR(LEFT(J33,3)=LEFT(K33,3),LEFT(J33,3)=LEFT(L33,3),LEFT(K33,3)=LEFT(L33,3)),"repeat","ok")</f>
        <v/>
      </c>
      <c r="N33" s="2">
        <f>IF(COUNTIFS(B$2:B$36,B33,J$2:J$36,J33)+COUNTIFS(B$2:B$36,B33,K$2:K$36,K33)+COUNTIFS(B$2:B$36,B33,L$2:L$36,L33)&gt;3,"yes","no")</f>
        <v/>
      </c>
      <c r="O33" s="2">
        <f>MID("ABCDEFGH",MOD(VALUE(MID(B33,2,2))-1,8)+1,1)</f>
        <v/>
      </c>
      <c r="P33" s="2">
        <f>COUNTIF(B$2:B$36,B33)</f>
        <v/>
      </c>
      <c r="Q33" s="2">
        <f>IFERROR(INDEX(Reserves!B$2:B$281,MATCH(O33&amp;P33&amp;"-"&amp;C33&amp;"|"&amp;LEFT(F33,1),Reserves!A$2:A$281,0)),"after Monday")</f>
        <v/>
      </c>
      <c r="R33" s="2">
        <f>IFERROR(INDEX(Reserves!C$2:C$281,MATCH(O33&amp;P33&amp;"-"&amp;C33&amp;"|"&amp;LEFT(F33,1),Reserves!A$2:A$281,0)),"after Monday")</f>
        <v/>
      </c>
      <c r="S33" s="2">
        <f>IFERROR(INDEX(Reserves!D$2:D$281,MATCH(O33&amp;P33&amp;"-"&amp;C33&amp;"|"&amp;LEFT(F33,1),Reserves!A$2:A$281,0)),"after Monday")</f>
        <v/>
      </c>
      <c r="T33" s="2">
        <f>IF(Q33="after Monday","",IF(OR(LEFT(Q33,3)=LEFT(J33,3),LEFT(Q33,3)=LEFT(K33,3),LEFT(Q33,3)=LEFT(L33,3),LEFT(Q33,3)=LEFT(R33,3),LEFT(Q33,3)=LEFT(S33,3),LEFT(R33,3)=LEFT(J33,3),LEFT(R33,3)=LEFT(K33,3),LEFT(R33,3)=LEFT(L33,3),LEFT(R33,3)=LEFT(Q33,3),LEFT(R33,3)=LEFT(S33,3),LEFT(S33,3)=LEFT(J33,3),LEFT(S33,3)=LEFT(K33,3),LEFT(S33,3)=LEFT(L33,3),LEFT(S33,3)=LEFT(Q33,3),LEFT(S33,3)=LEFT(R33,3)),"clash",IF(COUNTIFS(B$2:B$36,B33,J$2:J$36,Q33)+COUNTIFS(B$2:B$36,B33,J$2:J$36,R33)+COUNTIFS(B$2:B$36,B33,J$2:J$36,S33)+COUNTIFS(B$2:B$36,B33,K$2:K$36,Q33)+COUNTIFS(B$2:B$36,B33,K$2:K$36,R33)+COUNTIFS(B$2:B$36,B33,K$2:K$36,S33)+COUNTIFS(B$2:B$36,B33,L$2:L$36,Q33)+COUNTIFS(B$2:B$36,B33,L$2:L$36,R33)+COUNTIFS(B$2:B$36,B33,L$2:L$36,S33)&gt;0,"clash","ok")))</f>
        <v/>
      </c>
    </row>
    <row r="34">
      <c r="A34" s="2" t="n">
        <v>33</v>
      </c>
      <c r="B34" s="2" t="inlineStr">
        <is>
          <t>G6</t>
        </is>
      </c>
      <c r="C34" s="2" t="n">
        <v>4</v>
      </c>
      <c r="D34" s="2">
        <f>B34&amp;"-S"&amp;C34</f>
        <v/>
      </c>
      <c r="E34" s="2">
        <f>MID("ABCDEFGH",MOD(VALUE(MID(B34,2,2))+C34-2,8)+1,1)</f>
        <v/>
      </c>
      <c r="F34" s="2">
        <f>IF(INDEX(Groups!B$2:B$10,VALUE(MID(B34,2,2)))="","allocate on Monday",INDEX(Groups!B$2:B$10,VALUE(MID(B34,2,2))))</f>
        <v/>
      </c>
      <c r="G34" s="3" t="inlineStr">
        <is>
          <t>yes</t>
        </is>
      </c>
      <c r="H34" s="2">
        <f>IF(G34="yes",COUNTIFS(G$2:G$36,"yes",A$2:A$36,"&lt;="&amp;A34),"")</f>
        <v/>
      </c>
      <c r="I34" s="2">
        <f>"P"&amp;(MOD(C34-1+IF(LEFT(F34,1)="a",0,COUNTIFS(Groups!$B$2:$B$10,F34,Groups!$G$2:$G$10,"&lt;"&amp;VALUE(MID(B34,2,2)))),4)+1)</f>
        <v/>
      </c>
      <c r="J34" s="2">
        <f>IFERROR(INDEX(Sets!G$2:G$19,MATCH(INDEX(Sets!B$2:B$9,MATCH(E34,Sets!A$2:A$9,0))&amp;"|"&amp;LEFT(F34,1),Sets!F$2:F$19,0)),INDEX(Sets!B$2:B$9,MATCH(E34,Sets!A$2:A$9,0)))</f>
        <v/>
      </c>
      <c r="K34" s="2">
        <f>IFERROR(INDEX(Sets!G$2:G$19,MATCH(INDEX(Sets!C$2:C$9,MATCH(E34,Sets!A$2:A$9,0))&amp;"|"&amp;LEFT(F34,1),Sets!F$2:F$19,0)),INDEX(Sets!C$2:C$9,MATCH(E34,Sets!A$2:A$9,0)))</f>
        <v/>
      </c>
      <c r="L34" s="2">
        <f>IFERROR(INDEX(Sets!G$2:G$19,MATCH(INDEX(Sets!D$2:D$9,MATCH(E34,Sets!A$2:A$9,0))&amp;"|"&amp;LEFT(F34,1),Sets!F$2:F$19,0)),INDEX(Sets!D$2:D$9,MATCH(E34,Sets!A$2:A$9,0)))</f>
        <v/>
      </c>
      <c r="M34" s="2">
        <f>IF(OR(LEFT(J34,3)=LEFT(K34,3),LEFT(J34,3)=LEFT(L34,3),LEFT(K34,3)=LEFT(L34,3)),"repeat","ok")</f>
        <v/>
      </c>
      <c r="N34" s="2">
        <f>IF(COUNTIFS(B$2:B$36,B34,J$2:J$36,J34)+COUNTIFS(B$2:B$36,B34,K$2:K$36,K34)+COUNTIFS(B$2:B$36,B34,L$2:L$36,L34)&gt;3,"yes","no")</f>
        <v/>
      </c>
      <c r="O34" s="2">
        <f>MID("ABCDEFGH",MOD(VALUE(MID(B34,2,2))-1,8)+1,1)</f>
        <v/>
      </c>
      <c r="P34" s="2">
        <f>COUNTIF(B$2:B$36,B34)</f>
        <v/>
      </c>
      <c r="Q34" s="2">
        <f>IFERROR(INDEX(Reserves!B$2:B$281,MATCH(O34&amp;P34&amp;"-"&amp;C34&amp;"|"&amp;LEFT(F34,1),Reserves!A$2:A$281,0)),"after Monday")</f>
        <v/>
      </c>
      <c r="R34" s="2">
        <f>IFERROR(INDEX(Reserves!C$2:C$281,MATCH(O34&amp;P34&amp;"-"&amp;C34&amp;"|"&amp;LEFT(F34,1),Reserves!A$2:A$281,0)),"after Monday")</f>
        <v/>
      </c>
      <c r="S34" s="2">
        <f>IFERROR(INDEX(Reserves!D$2:D$281,MATCH(O34&amp;P34&amp;"-"&amp;C34&amp;"|"&amp;LEFT(F34,1),Reserves!A$2:A$281,0)),"after Monday")</f>
        <v/>
      </c>
      <c r="T34" s="2">
        <f>IF(Q34="after Monday","",IF(OR(LEFT(Q34,3)=LEFT(J34,3),LEFT(Q34,3)=LEFT(K34,3),LEFT(Q34,3)=LEFT(L34,3),LEFT(Q34,3)=LEFT(R34,3),LEFT(Q34,3)=LEFT(S34,3),LEFT(R34,3)=LEFT(J34,3),LEFT(R34,3)=LEFT(K34,3),LEFT(R34,3)=LEFT(L34,3),LEFT(R34,3)=LEFT(Q34,3),LEFT(R34,3)=LEFT(S34,3),LEFT(S34,3)=LEFT(J34,3),LEFT(S34,3)=LEFT(K34,3),LEFT(S34,3)=LEFT(L34,3),LEFT(S34,3)=LEFT(Q34,3),LEFT(S34,3)=LEFT(R34,3)),"clash",IF(COUNTIFS(B$2:B$36,B34,J$2:J$36,Q34)+COUNTIFS(B$2:B$36,B34,J$2:J$36,R34)+COUNTIFS(B$2:B$36,B34,J$2:J$36,S34)+COUNTIFS(B$2:B$36,B34,K$2:K$36,Q34)+COUNTIFS(B$2:B$36,B34,K$2:K$36,R34)+COUNTIFS(B$2:B$36,B34,K$2:K$36,S34)+COUNTIFS(B$2:B$36,B34,L$2:L$36,Q34)+COUNTIFS(B$2:B$36,B34,L$2:L$36,R34)+COUNTIFS(B$2:B$36,B34,L$2:L$36,S34)&gt;0,"clash","ok")))</f>
        <v/>
      </c>
    </row>
    <row r="35">
      <c r="A35" s="2" t="n">
        <v>34</v>
      </c>
      <c r="B35" s="2" t="inlineStr">
        <is>
          <t>G7</t>
        </is>
      </c>
      <c r="C35" s="2" t="n">
        <v>4</v>
      </c>
      <c r="D35" s="2">
        <f>B35&amp;"-S"&amp;C35</f>
        <v/>
      </c>
      <c r="E35" s="2">
        <f>MID("ABCDEFGH",MOD(VALUE(MID(B35,2,2))+C35-2,8)+1,1)</f>
        <v/>
      </c>
      <c r="F35" s="2">
        <f>IF(INDEX(Groups!B$2:B$10,VALUE(MID(B35,2,2)))="","allocate on Monday",INDEX(Groups!B$2:B$10,VALUE(MID(B35,2,2))))</f>
        <v/>
      </c>
      <c r="G35" s="3" t="inlineStr">
        <is>
          <t>yes</t>
        </is>
      </c>
      <c r="H35" s="2">
        <f>IF(G35="yes",COUNTIFS(G$2:G$36,"yes",A$2:A$36,"&lt;="&amp;A35),"")</f>
        <v/>
      </c>
      <c r="I35" s="2">
        <f>"P"&amp;(MOD(C35-1+IF(LEFT(F35,1)="a",0,COUNTIFS(Groups!$B$2:$B$10,F35,Groups!$G$2:$G$10,"&lt;"&amp;VALUE(MID(B35,2,2)))),4)+1)</f>
        <v/>
      </c>
      <c r="J35" s="2">
        <f>IFERROR(INDEX(Sets!G$2:G$19,MATCH(INDEX(Sets!B$2:B$9,MATCH(E35,Sets!A$2:A$9,0))&amp;"|"&amp;LEFT(F35,1),Sets!F$2:F$19,0)),INDEX(Sets!B$2:B$9,MATCH(E35,Sets!A$2:A$9,0)))</f>
        <v/>
      </c>
      <c r="K35" s="2">
        <f>IFERROR(INDEX(Sets!G$2:G$19,MATCH(INDEX(Sets!C$2:C$9,MATCH(E35,Sets!A$2:A$9,0))&amp;"|"&amp;LEFT(F35,1),Sets!F$2:F$19,0)),INDEX(Sets!C$2:C$9,MATCH(E35,Sets!A$2:A$9,0)))</f>
        <v/>
      </c>
      <c r="L35" s="2">
        <f>IFERROR(INDEX(Sets!G$2:G$19,MATCH(INDEX(Sets!D$2:D$9,MATCH(E35,Sets!A$2:A$9,0))&amp;"|"&amp;LEFT(F35,1),Sets!F$2:F$19,0)),INDEX(Sets!D$2:D$9,MATCH(E35,Sets!A$2:A$9,0)))</f>
        <v/>
      </c>
      <c r="M35" s="2">
        <f>IF(OR(LEFT(J35,3)=LEFT(K35,3),LEFT(J35,3)=LEFT(L35,3),LEFT(K35,3)=LEFT(L35,3)),"repeat","ok")</f>
        <v/>
      </c>
      <c r="N35" s="2">
        <f>IF(COUNTIFS(B$2:B$36,B35,J$2:J$36,J35)+COUNTIFS(B$2:B$36,B35,K$2:K$36,K35)+COUNTIFS(B$2:B$36,B35,L$2:L$36,L35)&gt;3,"yes","no")</f>
        <v/>
      </c>
      <c r="O35" s="2">
        <f>MID("ABCDEFGH",MOD(VALUE(MID(B35,2,2))-1,8)+1,1)</f>
        <v/>
      </c>
      <c r="P35" s="2">
        <f>COUNTIF(B$2:B$36,B35)</f>
        <v/>
      </c>
      <c r="Q35" s="2">
        <f>IFERROR(INDEX(Reserves!B$2:B$281,MATCH(O35&amp;P35&amp;"-"&amp;C35&amp;"|"&amp;LEFT(F35,1),Reserves!A$2:A$281,0)),"after Monday")</f>
        <v/>
      </c>
      <c r="R35" s="2">
        <f>IFERROR(INDEX(Reserves!C$2:C$281,MATCH(O35&amp;P35&amp;"-"&amp;C35&amp;"|"&amp;LEFT(F35,1),Reserves!A$2:A$281,0)),"after Monday")</f>
        <v/>
      </c>
      <c r="S35" s="2">
        <f>IFERROR(INDEX(Reserves!D$2:D$281,MATCH(O35&amp;P35&amp;"-"&amp;C35&amp;"|"&amp;LEFT(F35,1),Reserves!A$2:A$281,0)),"after Monday")</f>
        <v/>
      </c>
      <c r="T35" s="2">
        <f>IF(Q35="after Monday","",IF(OR(LEFT(Q35,3)=LEFT(J35,3),LEFT(Q35,3)=LEFT(K35,3),LEFT(Q35,3)=LEFT(L35,3),LEFT(Q35,3)=LEFT(R35,3),LEFT(Q35,3)=LEFT(S35,3),LEFT(R35,3)=LEFT(J35,3),LEFT(R35,3)=LEFT(K35,3),LEFT(R35,3)=LEFT(L35,3),LEFT(R35,3)=LEFT(Q35,3),LEFT(R35,3)=LEFT(S35,3),LEFT(S35,3)=LEFT(J35,3),LEFT(S35,3)=LEFT(K35,3),LEFT(S35,3)=LEFT(L35,3),LEFT(S35,3)=LEFT(Q35,3),LEFT(S35,3)=LEFT(R35,3)),"clash",IF(COUNTIFS(B$2:B$36,B35,J$2:J$36,Q35)+COUNTIFS(B$2:B$36,B35,J$2:J$36,R35)+COUNTIFS(B$2:B$36,B35,J$2:J$36,S35)+COUNTIFS(B$2:B$36,B35,K$2:K$36,Q35)+COUNTIFS(B$2:B$36,B35,K$2:K$36,R35)+COUNTIFS(B$2:B$36,B35,K$2:K$36,S35)+COUNTIFS(B$2:B$36,B35,L$2:L$36,Q35)+COUNTIFS(B$2:B$36,B35,L$2:L$36,R35)+COUNTIFS(B$2:B$36,B35,L$2:L$36,S35)&gt;0,"clash","ok")))</f>
        <v/>
      </c>
    </row>
    <row r="36">
      <c r="A36" s="2" t="n">
        <v>35</v>
      </c>
      <c r="B36" s="2" t="inlineStr">
        <is>
          <t>G8</t>
        </is>
      </c>
      <c r="C36" s="2" t="n">
        <v>4</v>
      </c>
      <c r="D36" s="2">
        <f>B36&amp;"-S"&amp;C36</f>
        <v/>
      </c>
      <c r="E36" s="2">
        <f>MID("ABCDEFGH",MOD(VALUE(MID(B36,2,2))+C36-2,8)+1,1)</f>
        <v/>
      </c>
      <c r="F36" s="2">
        <f>IF(INDEX(Groups!B$2:B$10,VALUE(MID(B36,2,2)))="","allocate on Monday",INDEX(Groups!B$2:B$10,VALUE(MID(B36,2,2))))</f>
        <v/>
      </c>
      <c r="G36" s="3" t="inlineStr">
        <is>
          <t>yes</t>
        </is>
      </c>
      <c r="H36" s="2">
        <f>IF(G36="yes",COUNTIFS(G$2:G$36,"yes",A$2:A$36,"&lt;="&amp;A36),"")</f>
        <v/>
      </c>
      <c r="I36" s="2">
        <f>"P"&amp;(MOD(C36-1+IF(LEFT(F36,1)="a",0,COUNTIFS(Groups!$B$2:$B$10,F36,Groups!$G$2:$G$10,"&lt;"&amp;VALUE(MID(B36,2,2)))),4)+1)</f>
        <v/>
      </c>
      <c r="J36" s="2">
        <f>IFERROR(INDEX(Sets!G$2:G$19,MATCH(INDEX(Sets!B$2:B$9,MATCH(E36,Sets!A$2:A$9,0))&amp;"|"&amp;LEFT(F36,1),Sets!F$2:F$19,0)),INDEX(Sets!B$2:B$9,MATCH(E36,Sets!A$2:A$9,0)))</f>
        <v/>
      </c>
      <c r="K36" s="2">
        <f>IFERROR(INDEX(Sets!G$2:G$19,MATCH(INDEX(Sets!C$2:C$9,MATCH(E36,Sets!A$2:A$9,0))&amp;"|"&amp;LEFT(F36,1),Sets!F$2:F$19,0)),INDEX(Sets!C$2:C$9,MATCH(E36,Sets!A$2:A$9,0)))</f>
        <v/>
      </c>
      <c r="L36" s="2">
        <f>IFERROR(INDEX(Sets!G$2:G$19,MATCH(INDEX(Sets!D$2:D$9,MATCH(E36,Sets!A$2:A$9,0))&amp;"|"&amp;LEFT(F36,1),Sets!F$2:F$19,0)),INDEX(Sets!D$2:D$9,MATCH(E36,Sets!A$2:A$9,0)))</f>
        <v/>
      </c>
      <c r="M36" s="2">
        <f>IF(OR(LEFT(J36,3)=LEFT(K36,3),LEFT(J36,3)=LEFT(L36,3),LEFT(K36,3)=LEFT(L36,3)),"repeat","ok")</f>
        <v/>
      </c>
      <c r="N36" s="2">
        <f>IF(COUNTIFS(B$2:B$36,B36,J$2:J$36,J36)+COUNTIFS(B$2:B$36,B36,K$2:K$36,K36)+COUNTIFS(B$2:B$36,B36,L$2:L$36,L36)&gt;3,"yes","no")</f>
        <v/>
      </c>
      <c r="O36" s="2">
        <f>MID("ABCDEFGH",MOD(VALUE(MID(B36,2,2))-1,8)+1,1)</f>
        <v/>
      </c>
      <c r="P36" s="2">
        <f>COUNTIF(B$2:B$36,B36)</f>
        <v/>
      </c>
      <c r="Q36" s="2">
        <f>IFERROR(INDEX(Reserves!B$2:B$281,MATCH(O36&amp;P36&amp;"-"&amp;C36&amp;"|"&amp;LEFT(F36,1),Reserves!A$2:A$281,0)),"after Monday")</f>
        <v/>
      </c>
      <c r="R36" s="2">
        <f>IFERROR(INDEX(Reserves!C$2:C$281,MATCH(O36&amp;P36&amp;"-"&amp;C36&amp;"|"&amp;LEFT(F36,1),Reserves!A$2:A$281,0)),"after Monday")</f>
        <v/>
      </c>
      <c r="S36" s="2">
        <f>IFERROR(INDEX(Reserves!D$2:D$281,MATCH(O36&amp;P36&amp;"-"&amp;C36&amp;"|"&amp;LEFT(F36,1),Reserves!A$2:A$281,0)),"after Monday")</f>
        <v/>
      </c>
      <c r="T36" s="2">
        <f>IF(Q36="after Monday","",IF(OR(LEFT(Q36,3)=LEFT(J36,3),LEFT(Q36,3)=LEFT(K36,3),LEFT(Q36,3)=LEFT(L36,3),LEFT(Q36,3)=LEFT(R36,3),LEFT(Q36,3)=LEFT(S36,3),LEFT(R36,3)=LEFT(J36,3),LEFT(R36,3)=LEFT(K36,3),LEFT(R36,3)=LEFT(L36,3),LEFT(R36,3)=LEFT(Q36,3),LEFT(R36,3)=LEFT(S36,3),LEFT(S36,3)=LEFT(J36,3),LEFT(S36,3)=LEFT(K36,3),LEFT(S36,3)=LEFT(L36,3),LEFT(S36,3)=LEFT(Q36,3),LEFT(S36,3)=LEFT(R36,3)),"clash",IF(COUNTIFS(B$2:B$36,B36,J$2:J$36,Q36)+COUNTIFS(B$2:B$36,B36,J$2:J$36,R36)+COUNTIFS(B$2:B$36,B36,J$2:J$36,S36)+COUNTIFS(B$2:B$36,B36,K$2:K$36,Q36)+COUNTIFS(B$2:B$36,B36,K$2:K$36,R36)+COUNTIFS(B$2:B$36,B36,K$2:K$36,S36)+COUNTIFS(B$2:B$36,B36,L$2:L$36,Q36)+COUNTIFS(B$2:B$36,B36,L$2:L$36,R36)+COUNTIFS(B$2:B$36,B36,L$2:L$36,S36)&gt;0,"clash","ok")))</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43"/>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44" customWidth="1" min="18" max="18"/>
    <col width="14" customWidth="1" min="19" max="19"/>
    <col width="14" customWidth="1" min="20" max="20"/>
    <col width="14" customWidth="1" min="21" max="21"/>
  </cols>
  <sheetData>
    <row r="1">
      <c r="A1" s="4" t="inlineStr">
        <is>
          <t>Slot</t>
        </is>
      </c>
      <c r="B1" s="4" t="inlineStr">
        <is>
          <t>Assessor</t>
        </is>
      </c>
      <c r="C1" s="4" t="inlineStr">
        <is>
          <t>Mode</t>
        </is>
      </c>
      <c r="D1" s="4" t="inlineStr">
        <is>
          <t>Block</t>
        </is>
      </c>
      <c r="E1" s="4" t="inlineStr">
        <is>
          <t>Starts, minute of block</t>
        </is>
      </c>
      <c r="F1" s="4" t="inlineStr">
        <is>
          <t>Ends, minute of block</t>
        </is>
      </c>
      <c r="G1" s="4" t="inlineStr">
        <is>
          <t>Queue position</t>
        </is>
      </c>
      <c r="H1" s="4" t="inlineStr">
        <is>
          <t>Seat</t>
        </is>
      </c>
      <c r="I1" s="4" t="inlineStr">
        <is>
          <t>Group</t>
        </is>
      </c>
      <c r="J1" s="4" t="inlineStr">
        <is>
          <t>Set</t>
        </is>
      </c>
      <c r="K1" s="4" t="inlineStr">
        <is>
          <t>Sub-problem</t>
        </is>
      </c>
      <c r="L1" s="4" t="inlineStr">
        <is>
          <t>Group-mate in same slot</t>
        </is>
      </c>
      <c r="M1" s="4" t="inlineStr">
        <is>
          <t>Ends, minute of day</t>
        </is>
      </c>
      <c r="N1" s="4" t="inlineStr">
        <is>
          <t>Viva probe</t>
        </is>
      </c>
      <c r="O1" s="4" t="inlineStr">
        <is>
          <t>L1</t>
        </is>
      </c>
      <c r="P1" s="4" t="inlineStr">
        <is>
          <t>L2</t>
        </is>
      </c>
      <c r="Q1" s="4" t="inlineStr">
        <is>
          <t>L3</t>
        </is>
      </c>
      <c r="R1" s="4" t="inlineStr">
        <is>
          <t>Grid text</t>
        </is>
      </c>
      <c r="S1" s="4" t="inlineStr">
        <is>
          <t>Reserve L1</t>
        </is>
      </c>
      <c r="T1" s="4" t="inlineStr">
        <is>
          <t>Reserve L2</t>
        </is>
      </c>
      <c r="U1" s="4" t="inlineStr">
        <is>
          <t>Reserve L3</t>
        </is>
      </c>
    </row>
    <row r="2">
      <c r="A2" s="2" t="n">
        <v>1</v>
      </c>
      <c r="B2" s="2" t="inlineStr">
        <is>
          <t>Programme Head</t>
        </is>
      </c>
      <c r="C2" s="2" t="inlineStr">
        <is>
          <t>in person</t>
        </is>
      </c>
      <c r="D2" s="2">
        <f>IF(A2&lt;=Settings!$B$9,1,IF(A2&lt;=Settings!$B$11,2,"none"))</f>
        <v/>
      </c>
      <c r="E2" s="2">
        <f>IF(D2=1,Settings!$B$6+(A2-1)*Settings!$B$8,IF(D2=2,(A2-Settings!$B$9-1)*Settings!$B$8,""))</f>
        <v/>
      </c>
      <c r="F2" s="2">
        <f>IF(E2="","",E2+Settings!$B$3)</f>
        <v/>
      </c>
      <c r="G2" s="2">
        <f>(A2-1)*Settings!$B$12+1</f>
        <v/>
      </c>
      <c r="H2" s="2">
        <f>IF(D2="none","outside the day",IF(ISNUMBER(MATCH(G2,Seats!$H$2:$H$36,0)),INDEX(Seats!$D$2:$D$36,MATCH(G2,Seats!$H$2:$H$36,0)),"spare"))</f>
        <v/>
      </c>
      <c r="I2" s="2">
        <f>IF(LEFT(H2,1)="G",INDEX(Seats!$B$2:$B$36,MATCH(G2,Seats!$H$2:$H$36,0)),"")</f>
        <v/>
      </c>
      <c r="J2" s="2">
        <f>IF(I2="","",INDEX(Seats!$E$2:$E$36,MATCH(G2,Seats!$H$2:$H$36,0)))</f>
        <v/>
      </c>
      <c r="K2" s="2">
        <f>IF(I2="","",INDEX(Seats!$F$2:$F$36,MATCH(G2,Seats!$H$2:$H$36,0)))</f>
        <v/>
      </c>
      <c r="L2" s="2">
        <f>IF(I2="","",IF(COUNTIFS($A$2:$A$43,A2,$I$2:$I$43,I2)&gt;1,"yes","no"))</f>
        <v/>
      </c>
      <c r="M2" s="2">
        <f>IF(D2=1,F2,IF(D2=2,Settings!$B$5+F2,""))</f>
        <v/>
      </c>
      <c r="N2" s="2">
        <f>IF(I2="","",INDEX(Seats!$I$2:$I$36,MATCH(G2,Seats!$H$2:$H$36,0)))</f>
        <v/>
      </c>
      <c r="O2" s="2">
        <f>IF(I2="","",INDEX(Seats!$J$2:$J$36,MATCH(G2,Seats!$H$2:$H$36,0)))</f>
        <v/>
      </c>
      <c r="P2" s="2">
        <f>IF(I2="","",INDEX(Seats!$K$2:$K$36,MATCH(G2,Seats!$H$2:$H$36,0)))</f>
        <v/>
      </c>
      <c r="Q2" s="2">
        <f>IF(I2="","",INDEX(Seats!$L$2:$L$36,MATCH(G2,Seats!$H$2:$H$36,0)))</f>
        <v/>
      </c>
      <c r="R2" s="2">
        <f>IF(I2="",H2,H2&amp;", set "&amp;J2&amp;", "&amp;N2&amp;": "&amp;O2&amp;", "&amp;P2&amp;", "&amp;Q2&amp;IF(S2="after Monday","; reserves after Monday's allocation","; reserves "&amp;S2&amp;", "&amp;T2&amp;", "&amp;U2))</f>
        <v/>
      </c>
      <c r="S2" s="2">
        <f>IF(I2="","",INDEX(Seats!$Q$2:$Q$36,MATCH(G2,Seats!$H$2:$H$36,0)))</f>
        <v/>
      </c>
      <c r="T2" s="2">
        <f>IF(I2="","",INDEX(Seats!$R$2:$R$36,MATCH(G2,Seats!$H$2:$H$36,0)))</f>
        <v/>
      </c>
      <c r="U2" s="2">
        <f>IF(I2="","",INDEX(Seats!$S$2:$S$36,MATCH(G2,Seats!$H$2:$H$36,0)))</f>
        <v/>
      </c>
    </row>
    <row r="3">
      <c r="A3" s="2" t="n">
        <v>1</v>
      </c>
      <c r="B3" s="2" t="inlineStr">
        <is>
          <t>Academic TA</t>
        </is>
      </c>
      <c r="C3" s="2" t="inlineStr">
        <is>
          <t>in person</t>
        </is>
      </c>
      <c r="D3" s="2">
        <f>IF(A3&lt;=Settings!$B$9,1,IF(A3&lt;=Settings!$B$11,2,"none"))</f>
        <v/>
      </c>
      <c r="E3" s="2">
        <f>IF(D3=1,Settings!$B$6+(A3-1)*Settings!$B$8,IF(D3=2,(A3-Settings!$B$9-1)*Settings!$B$8,""))</f>
        <v/>
      </c>
      <c r="F3" s="2">
        <f>IF(E3="","",E3+Settings!$B$3)</f>
        <v/>
      </c>
      <c r="G3" s="2">
        <f>(A3-1)*Settings!$B$12+2</f>
        <v/>
      </c>
      <c r="H3" s="2">
        <f>IF(D3="none","outside the day",IF(ISNUMBER(MATCH(G3,Seats!$H$2:$H$36,0)),INDEX(Seats!$D$2:$D$36,MATCH(G3,Seats!$H$2:$H$36,0)),"spare"))</f>
        <v/>
      </c>
      <c r="I3" s="2">
        <f>IF(LEFT(H3,1)="G",INDEX(Seats!$B$2:$B$36,MATCH(G3,Seats!$H$2:$H$36,0)),"")</f>
        <v/>
      </c>
      <c r="J3" s="2">
        <f>IF(I3="","",INDEX(Seats!$E$2:$E$36,MATCH(G3,Seats!$H$2:$H$36,0)))</f>
        <v/>
      </c>
      <c r="K3" s="2">
        <f>IF(I3="","",INDEX(Seats!$F$2:$F$36,MATCH(G3,Seats!$H$2:$H$36,0)))</f>
        <v/>
      </c>
      <c r="L3" s="2">
        <f>IF(I3="","",IF(COUNTIFS($A$2:$A$43,A3,$I$2:$I$43,I3)&gt;1,"yes","no"))</f>
        <v/>
      </c>
      <c r="M3" s="2">
        <f>IF(D3=1,F3,IF(D3=2,Settings!$B$5+F3,""))</f>
        <v/>
      </c>
      <c r="N3" s="2">
        <f>IF(I3="","",INDEX(Seats!$I$2:$I$36,MATCH(G3,Seats!$H$2:$H$36,0)))</f>
        <v/>
      </c>
      <c r="O3" s="2">
        <f>IF(I3="","",INDEX(Seats!$J$2:$J$36,MATCH(G3,Seats!$H$2:$H$36,0)))</f>
        <v/>
      </c>
      <c r="P3" s="2">
        <f>IF(I3="","",INDEX(Seats!$K$2:$K$36,MATCH(G3,Seats!$H$2:$H$36,0)))</f>
        <v/>
      </c>
      <c r="Q3" s="2">
        <f>IF(I3="","",INDEX(Seats!$L$2:$L$36,MATCH(G3,Seats!$H$2:$H$36,0)))</f>
        <v/>
      </c>
      <c r="R3" s="2">
        <f>IF(I3="",H3,H3&amp;", set "&amp;J3&amp;", "&amp;N3&amp;": "&amp;O3&amp;", "&amp;P3&amp;", "&amp;Q3&amp;IF(S3="after Monday","; reserves after Monday's allocation","; reserves "&amp;S3&amp;", "&amp;T3&amp;", "&amp;U3))</f>
        <v/>
      </c>
      <c r="S3" s="2">
        <f>IF(I3="","",INDEX(Seats!$Q$2:$Q$36,MATCH(G3,Seats!$H$2:$H$36,0)))</f>
        <v/>
      </c>
      <c r="T3" s="2">
        <f>IF(I3="","",INDEX(Seats!$R$2:$R$36,MATCH(G3,Seats!$H$2:$H$36,0)))</f>
        <v/>
      </c>
      <c r="U3" s="2">
        <f>IF(I3="","",INDEX(Seats!$S$2:$S$36,MATCH(G3,Seats!$H$2:$H$36,0)))</f>
        <v/>
      </c>
    </row>
    <row r="4">
      <c r="A4" s="2" t="n">
        <v>1</v>
      </c>
      <c r="B4" s="2" t="inlineStr">
        <is>
          <t>Principal Advisor</t>
        </is>
      </c>
      <c r="C4" s="2" t="inlineStr">
        <is>
          <t>online</t>
        </is>
      </c>
      <c r="D4" s="2">
        <f>IF(A4&lt;=Settings!$B$9,1,IF(A4&lt;=Settings!$B$11,2,"none"))</f>
        <v/>
      </c>
      <c r="E4" s="2">
        <f>IF(D4=1,Settings!$B$6+(A4-1)*Settings!$B$8,IF(D4=2,(A4-Settings!$B$9-1)*Settings!$B$8,""))</f>
        <v/>
      </c>
      <c r="F4" s="2">
        <f>IF(E4="","",E4+Settings!$B$3)</f>
        <v/>
      </c>
      <c r="G4" s="2">
        <f>(A4-1)*Settings!$B$12+3</f>
        <v/>
      </c>
      <c r="H4" s="2">
        <f>IF(D4="none","outside the day",IF(ISNUMBER(MATCH(G4,Seats!$H$2:$H$36,0)),INDEX(Seats!$D$2:$D$36,MATCH(G4,Seats!$H$2:$H$36,0)),"spare"))</f>
        <v/>
      </c>
      <c r="I4" s="2">
        <f>IF(LEFT(H4,1)="G",INDEX(Seats!$B$2:$B$36,MATCH(G4,Seats!$H$2:$H$36,0)),"")</f>
        <v/>
      </c>
      <c r="J4" s="2">
        <f>IF(I4="","",INDEX(Seats!$E$2:$E$36,MATCH(G4,Seats!$H$2:$H$36,0)))</f>
        <v/>
      </c>
      <c r="K4" s="2">
        <f>IF(I4="","",INDEX(Seats!$F$2:$F$36,MATCH(G4,Seats!$H$2:$H$36,0)))</f>
        <v/>
      </c>
      <c r="L4" s="2">
        <f>IF(I4="","",IF(COUNTIFS($A$2:$A$43,A4,$I$2:$I$43,I4)&gt;1,"yes","no"))</f>
        <v/>
      </c>
      <c r="M4" s="2">
        <f>IF(D4=1,F4,IF(D4=2,Settings!$B$5+F4,""))</f>
        <v/>
      </c>
      <c r="N4" s="2">
        <f>IF(I4="","",INDEX(Seats!$I$2:$I$36,MATCH(G4,Seats!$H$2:$H$36,0)))</f>
        <v/>
      </c>
      <c r="O4" s="2">
        <f>IF(I4="","",INDEX(Seats!$J$2:$J$36,MATCH(G4,Seats!$H$2:$H$36,0)))</f>
        <v/>
      </c>
      <c r="P4" s="2">
        <f>IF(I4="","",INDEX(Seats!$K$2:$K$36,MATCH(G4,Seats!$H$2:$H$36,0)))</f>
        <v/>
      </c>
      <c r="Q4" s="2">
        <f>IF(I4="","",INDEX(Seats!$L$2:$L$36,MATCH(G4,Seats!$H$2:$H$36,0)))</f>
        <v/>
      </c>
      <c r="R4" s="2">
        <f>IF(I4="",H4,H4&amp;", set "&amp;J4&amp;", "&amp;N4&amp;": "&amp;O4&amp;", "&amp;P4&amp;", "&amp;Q4&amp;IF(S4="after Monday","; reserves after Monday's allocation","; reserves "&amp;S4&amp;", "&amp;T4&amp;", "&amp;U4))</f>
        <v/>
      </c>
      <c r="S4" s="2">
        <f>IF(I4="","",INDEX(Seats!$Q$2:$Q$36,MATCH(G4,Seats!$H$2:$H$36,0)))</f>
        <v/>
      </c>
      <c r="T4" s="2">
        <f>IF(I4="","",INDEX(Seats!$R$2:$R$36,MATCH(G4,Seats!$H$2:$H$36,0)))</f>
        <v/>
      </c>
      <c r="U4" s="2">
        <f>IF(I4="","",INDEX(Seats!$S$2:$S$36,MATCH(G4,Seats!$H$2:$H$36,0)))</f>
        <v/>
      </c>
    </row>
    <row r="5">
      <c r="A5" s="2" t="n">
        <v>2</v>
      </c>
      <c r="B5" s="2" t="inlineStr">
        <is>
          <t>Programme Head</t>
        </is>
      </c>
      <c r="C5" s="2" t="inlineStr">
        <is>
          <t>in person</t>
        </is>
      </c>
      <c r="D5" s="2">
        <f>IF(A5&lt;=Settings!$B$9,1,IF(A5&lt;=Settings!$B$11,2,"none"))</f>
        <v/>
      </c>
      <c r="E5" s="2">
        <f>IF(D5=1,Settings!$B$6+(A5-1)*Settings!$B$8,IF(D5=2,(A5-Settings!$B$9-1)*Settings!$B$8,""))</f>
        <v/>
      </c>
      <c r="F5" s="2">
        <f>IF(E5="","",E5+Settings!$B$3)</f>
        <v/>
      </c>
      <c r="G5" s="2">
        <f>(A5-1)*Settings!$B$12+1</f>
        <v/>
      </c>
      <c r="H5" s="2">
        <f>IF(D5="none","outside the day",IF(ISNUMBER(MATCH(G5,Seats!$H$2:$H$36,0)),INDEX(Seats!$D$2:$D$36,MATCH(G5,Seats!$H$2:$H$36,0)),"spare"))</f>
        <v/>
      </c>
      <c r="I5" s="2">
        <f>IF(LEFT(H5,1)="G",INDEX(Seats!$B$2:$B$36,MATCH(G5,Seats!$H$2:$H$36,0)),"")</f>
        <v/>
      </c>
      <c r="J5" s="2">
        <f>IF(I5="","",INDEX(Seats!$E$2:$E$36,MATCH(G5,Seats!$H$2:$H$36,0)))</f>
        <v/>
      </c>
      <c r="K5" s="2">
        <f>IF(I5="","",INDEX(Seats!$F$2:$F$36,MATCH(G5,Seats!$H$2:$H$36,0)))</f>
        <v/>
      </c>
      <c r="L5" s="2">
        <f>IF(I5="","",IF(COUNTIFS($A$2:$A$43,A5,$I$2:$I$43,I5)&gt;1,"yes","no"))</f>
        <v/>
      </c>
      <c r="M5" s="2">
        <f>IF(D5=1,F5,IF(D5=2,Settings!$B$5+F5,""))</f>
        <v/>
      </c>
      <c r="N5" s="2">
        <f>IF(I5="","",INDEX(Seats!$I$2:$I$36,MATCH(G5,Seats!$H$2:$H$36,0)))</f>
        <v/>
      </c>
      <c r="O5" s="2">
        <f>IF(I5="","",INDEX(Seats!$J$2:$J$36,MATCH(G5,Seats!$H$2:$H$36,0)))</f>
        <v/>
      </c>
      <c r="P5" s="2">
        <f>IF(I5="","",INDEX(Seats!$K$2:$K$36,MATCH(G5,Seats!$H$2:$H$36,0)))</f>
        <v/>
      </c>
      <c r="Q5" s="2">
        <f>IF(I5="","",INDEX(Seats!$L$2:$L$36,MATCH(G5,Seats!$H$2:$H$36,0)))</f>
        <v/>
      </c>
      <c r="R5" s="2">
        <f>IF(I5="",H5,H5&amp;", set "&amp;J5&amp;", "&amp;N5&amp;": "&amp;O5&amp;", "&amp;P5&amp;", "&amp;Q5&amp;IF(S5="after Monday","; reserves after Monday's allocation","; reserves "&amp;S5&amp;", "&amp;T5&amp;", "&amp;U5))</f>
        <v/>
      </c>
      <c r="S5" s="2">
        <f>IF(I5="","",INDEX(Seats!$Q$2:$Q$36,MATCH(G5,Seats!$H$2:$H$36,0)))</f>
        <v/>
      </c>
      <c r="T5" s="2">
        <f>IF(I5="","",INDEX(Seats!$R$2:$R$36,MATCH(G5,Seats!$H$2:$H$36,0)))</f>
        <v/>
      </c>
      <c r="U5" s="2">
        <f>IF(I5="","",INDEX(Seats!$S$2:$S$36,MATCH(G5,Seats!$H$2:$H$36,0)))</f>
        <v/>
      </c>
    </row>
    <row r="6">
      <c r="A6" s="2" t="n">
        <v>2</v>
      </c>
      <c r="B6" s="2" t="inlineStr">
        <is>
          <t>Academic TA</t>
        </is>
      </c>
      <c r="C6" s="2" t="inlineStr">
        <is>
          <t>in person</t>
        </is>
      </c>
      <c r="D6" s="2">
        <f>IF(A6&lt;=Settings!$B$9,1,IF(A6&lt;=Settings!$B$11,2,"none"))</f>
        <v/>
      </c>
      <c r="E6" s="2">
        <f>IF(D6=1,Settings!$B$6+(A6-1)*Settings!$B$8,IF(D6=2,(A6-Settings!$B$9-1)*Settings!$B$8,""))</f>
        <v/>
      </c>
      <c r="F6" s="2">
        <f>IF(E6="","",E6+Settings!$B$3)</f>
        <v/>
      </c>
      <c r="G6" s="2">
        <f>(A6-1)*Settings!$B$12+2</f>
        <v/>
      </c>
      <c r="H6" s="2">
        <f>IF(D6="none","outside the day",IF(ISNUMBER(MATCH(G6,Seats!$H$2:$H$36,0)),INDEX(Seats!$D$2:$D$36,MATCH(G6,Seats!$H$2:$H$36,0)),"spare"))</f>
        <v/>
      </c>
      <c r="I6" s="2">
        <f>IF(LEFT(H6,1)="G",INDEX(Seats!$B$2:$B$36,MATCH(G6,Seats!$H$2:$H$36,0)),"")</f>
        <v/>
      </c>
      <c r="J6" s="2">
        <f>IF(I6="","",INDEX(Seats!$E$2:$E$36,MATCH(G6,Seats!$H$2:$H$36,0)))</f>
        <v/>
      </c>
      <c r="K6" s="2">
        <f>IF(I6="","",INDEX(Seats!$F$2:$F$36,MATCH(G6,Seats!$H$2:$H$36,0)))</f>
        <v/>
      </c>
      <c r="L6" s="2">
        <f>IF(I6="","",IF(COUNTIFS($A$2:$A$43,A6,$I$2:$I$43,I6)&gt;1,"yes","no"))</f>
        <v/>
      </c>
      <c r="M6" s="2">
        <f>IF(D6=1,F6,IF(D6=2,Settings!$B$5+F6,""))</f>
        <v/>
      </c>
      <c r="N6" s="2">
        <f>IF(I6="","",INDEX(Seats!$I$2:$I$36,MATCH(G6,Seats!$H$2:$H$36,0)))</f>
        <v/>
      </c>
      <c r="O6" s="2">
        <f>IF(I6="","",INDEX(Seats!$J$2:$J$36,MATCH(G6,Seats!$H$2:$H$36,0)))</f>
        <v/>
      </c>
      <c r="P6" s="2">
        <f>IF(I6="","",INDEX(Seats!$K$2:$K$36,MATCH(G6,Seats!$H$2:$H$36,0)))</f>
        <v/>
      </c>
      <c r="Q6" s="2">
        <f>IF(I6="","",INDEX(Seats!$L$2:$L$36,MATCH(G6,Seats!$H$2:$H$36,0)))</f>
        <v/>
      </c>
      <c r="R6" s="2">
        <f>IF(I6="",H6,H6&amp;", set "&amp;J6&amp;", "&amp;N6&amp;": "&amp;O6&amp;", "&amp;P6&amp;", "&amp;Q6&amp;IF(S6="after Monday","; reserves after Monday's allocation","; reserves "&amp;S6&amp;", "&amp;T6&amp;", "&amp;U6))</f>
        <v/>
      </c>
      <c r="S6" s="2">
        <f>IF(I6="","",INDEX(Seats!$Q$2:$Q$36,MATCH(G6,Seats!$H$2:$H$36,0)))</f>
        <v/>
      </c>
      <c r="T6" s="2">
        <f>IF(I6="","",INDEX(Seats!$R$2:$R$36,MATCH(G6,Seats!$H$2:$H$36,0)))</f>
        <v/>
      </c>
      <c r="U6" s="2">
        <f>IF(I6="","",INDEX(Seats!$S$2:$S$36,MATCH(G6,Seats!$H$2:$H$36,0)))</f>
        <v/>
      </c>
    </row>
    <row r="7">
      <c r="A7" s="2" t="n">
        <v>2</v>
      </c>
      <c r="B7" s="2" t="inlineStr">
        <is>
          <t>Principal Advisor</t>
        </is>
      </c>
      <c r="C7" s="2" t="inlineStr">
        <is>
          <t>online</t>
        </is>
      </c>
      <c r="D7" s="2">
        <f>IF(A7&lt;=Settings!$B$9,1,IF(A7&lt;=Settings!$B$11,2,"none"))</f>
        <v/>
      </c>
      <c r="E7" s="2">
        <f>IF(D7=1,Settings!$B$6+(A7-1)*Settings!$B$8,IF(D7=2,(A7-Settings!$B$9-1)*Settings!$B$8,""))</f>
        <v/>
      </c>
      <c r="F7" s="2">
        <f>IF(E7="","",E7+Settings!$B$3)</f>
        <v/>
      </c>
      <c r="G7" s="2">
        <f>(A7-1)*Settings!$B$12+3</f>
        <v/>
      </c>
      <c r="H7" s="2">
        <f>IF(D7="none","outside the day",IF(ISNUMBER(MATCH(G7,Seats!$H$2:$H$36,0)),INDEX(Seats!$D$2:$D$36,MATCH(G7,Seats!$H$2:$H$36,0)),"spare"))</f>
        <v/>
      </c>
      <c r="I7" s="2">
        <f>IF(LEFT(H7,1)="G",INDEX(Seats!$B$2:$B$36,MATCH(G7,Seats!$H$2:$H$36,0)),"")</f>
        <v/>
      </c>
      <c r="J7" s="2">
        <f>IF(I7="","",INDEX(Seats!$E$2:$E$36,MATCH(G7,Seats!$H$2:$H$36,0)))</f>
        <v/>
      </c>
      <c r="K7" s="2">
        <f>IF(I7="","",INDEX(Seats!$F$2:$F$36,MATCH(G7,Seats!$H$2:$H$36,0)))</f>
        <v/>
      </c>
      <c r="L7" s="2">
        <f>IF(I7="","",IF(COUNTIFS($A$2:$A$43,A7,$I$2:$I$43,I7)&gt;1,"yes","no"))</f>
        <v/>
      </c>
      <c r="M7" s="2">
        <f>IF(D7=1,F7,IF(D7=2,Settings!$B$5+F7,""))</f>
        <v/>
      </c>
      <c r="N7" s="2">
        <f>IF(I7="","",INDEX(Seats!$I$2:$I$36,MATCH(G7,Seats!$H$2:$H$36,0)))</f>
        <v/>
      </c>
      <c r="O7" s="2">
        <f>IF(I7="","",INDEX(Seats!$J$2:$J$36,MATCH(G7,Seats!$H$2:$H$36,0)))</f>
        <v/>
      </c>
      <c r="P7" s="2">
        <f>IF(I7="","",INDEX(Seats!$K$2:$K$36,MATCH(G7,Seats!$H$2:$H$36,0)))</f>
        <v/>
      </c>
      <c r="Q7" s="2">
        <f>IF(I7="","",INDEX(Seats!$L$2:$L$36,MATCH(G7,Seats!$H$2:$H$36,0)))</f>
        <v/>
      </c>
      <c r="R7" s="2">
        <f>IF(I7="",H7,H7&amp;", set "&amp;J7&amp;", "&amp;N7&amp;": "&amp;O7&amp;", "&amp;P7&amp;", "&amp;Q7&amp;IF(S7="after Monday","; reserves after Monday's allocation","; reserves "&amp;S7&amp;", "&amp;T7&amp;", "&amp;U7))</f>
        <v/>
      </c>
      <c r="S7" s="2">
        <f>IF(I7="","",INDEX(Seats!$Q$2:$Q$36,MATCH(G7,Seats!$H$2:$H$36,0)))</f>
        <v/>
      </c>
      <c r="T7" s="2">
        <f>IF(I7="","",INDEX(Seats!$R$2:$R$36,MATCH(G7,Seats!$H$2:$H$36,0)))</f>
        <v/>
      </c>
      <c r="U7" s="2">
        <f>IF(I7="","",INDEX(Seats!$S$2:$S$36,MATCH(G7,Seats!$H$2:$H$36,0)))</f>
        <v/>
      </c>
    </row>
    <row r="8">
      <c r="A8" s="2" t="n">
        <v>3</v>
      </c>
      <c r="B8" s="2" t="inlineStr">
        <is>
          <t>Programme Head</t>
        </is>
      </c>
      <c r="C8" s="2" t="inlineStr">
        <is>
          <t>in person</t>
        </is>
      </c>
      <c r="D8" s="2">
        <f>IF(A8&lt;=Settings!$B$9,1,IF(A8&lt;=Settings!$B$11,2,"none"))</f>
        <v/>
      </c>
      <c r="E8" s="2">
        <f>IF(D8=1,Settings!$B$6+(A8-1)*Settings!$B$8,IF(D8=2,(A8-Settings!$B$9-1)*Settings!$B$8,""))</f>
        <v/>
      </c>
      <c r="F8" s="2">
        <f>IF(E8="","",E8+Settings!$B$3)</f>
        <v/>
      </c>
      <c r="G8" s="2">
        <f>(A8-1)*Settings!$B$12+1</f>
        <v/>
      </c>
      <c r="H8" s="2">
        <f>IF(D8="none","outside the day",IF(ISNUMBER(MATCH(G8,Seats!$H$2:$H$36,0)),INDEX(Seats!$D$2:$D$36,MATCH(G8,Seats!$H$2:$H$36,0)),"spare"))</f>
        <v/>
      </c>
      <c r="I8" s="2">
        <f>IF(LEFT(H8,1)="G",INDEX(Seats!$B$2:$B$36,MATCH(G8,Seats!$H$2:$H$36,0)),"")</f>
        <v/>
      </c>
      <c r="J8" s="2">
        <f>IF(I8="","",INDEX(Seats!$E$2:$E$36,MATCH(G8,Seats!$H$2:$H$36,0)))</f>
        <v/>
      </c>
      <c r="K8" s="2">
        <f>IF(I8="","",INDEX(Seats!$F$2:$F$36,MATCH(G8,Seats!$H$2:$H$36,0)))</f>
        <v/>
      </c>
      <c r="L8" s="2">
        <f>IF(I8="","",IF(COUNTIFS($A$2:$A$43,A8,$I$2:$I$43,I8)&gt;1,"yes","no"))</f>
        <v/>
      </c>
      <c r="M8" s="2">
        <f>IF(D8=1,F8,IF(D8=2,Settings!$B$5+F8,""))</f>
        <v/>
      </c>
      <c r="N8" s="2">
        <f>IF(I8="","",INDEX(Seats!$I$2:$I$36,MATCH(G8,Seats!$H$2:$H$36,0)))</f>
        <v/>
      </c>
      <c r="O8" s="2">
        <f>IF(I8="","",INDEX(Seats!$J$2:$J$36,MATCH(G8,Seats!$H$2:$H$36,0)))</f>
        <v/>
      </c>
      <c r="P8" s="2">
        <f>IF(I8="","",INDEX(Seats!$K$2:$K$36,MATCH(G8,Seats!$H$2:$H$36,0)))</f>
        <v/>
      </c>
      <c r="Q8" s="2">
        <f>IF(I8="","",INDEX(Seats!$L$2:$L$36,MATCH(G8,Seats!$H$2:$H$36,0)))</f>
        <v/>
      </c>
      <c r="R8" s="2">
        <f>IF(I8="",H8,H8&amp;", set "&amp;J8&amp;", "&amp;N8&amp;": "&amp;O8&amp;", "&amp;P8&amp;", "&amp;Q8&amp;IF(S8="after Monday","; reserves after Monday's allocation","; reserves "&amp;S8&amp;", "&amp;T8&amp;", "&amp;U8))</f>
        <v/>
      </c>
      <c r="S8" s="2">
        <f>IF(I8="","",INDEX(Seats!$Q$2:$Q$36,MATCH(G8,Seats!$H$2:$H$36,0)))</f>
        <v/>
      </c>
      <c r="T8" s="2">
        <f>IF(I8="","",INDEX(Seats!$R$2:$R$36,MATCH(G8,Seats!$H$2:$H$36,0)))</f>
        <v/>
      </c>
      <c r="U8" s="2">
        <f>IF(I8="","",INDEX(Seats!$S$2:$S$36,MATCH(G8,Seats!$H$2:$H$36,0)))</f>
        <v/>
      </c>
    </row>
    <row r="9">
      <c r="A9" s="2" t="n">
        <v>3</v>
      </c>
      <c r="B9" s="2" t="inlineStr">
        <is>
          <t>Academic TA</t>
        </is>
      </c>
      <c r="C9" s="2" t="inlineStr">
        <is>
          <t>in person</t>
        </is>
      </c>
      <c r="D9" s="2">
        <f>IF(A9&lt;=Settings!$B$9,1,IF(A9&lt;=Settings!$B$11,2,"none"))</f>
        <v/>
      </c>
      <c r="E9" s="2">
        <f>IF(D9=1,Settings!$B$6+(A9-1)*Settings!$B$8,IF(D9=2,(A9-Settings!$B$9-1)*Settings!$B$8,""))</f>
        <v/>
      </c>
      <c r="F9" s="2">
        <f>IF(E9="","",E9+Settings!$B$3)</f>
        <v/>
      </c>
      <c r="G9" s="2">
        <f>(A9-1)*Settings!$B$12+2</f>
        <v/>
      </c>
      <c r="H9" s="2">
        <f>IF(D9="none","outside the day",IF(ISNUMBER(MATCH(G9,Seats!$H$2:$H$36,0)),INDEX(Seats!$D$2:$D$36,MATCH(G9,Seats!$H$2:$H$36,0)),"spare"))</f>
        <v/>
      </c>
      <c r="I9" s="2">
        <f>IF(LEFT(H9,1)="G",INDEX(Seats!$B$2:$B$36,MATCH(G9,Seats!$H$2:$H$36,0)),"")</f>
        <v/>
      </c>
      <c r="J9" s="2">
        <f>IF(I9="","",INDEX(Seats!$E$2:$E$36,MATCH(G9,Seats!$H$2:$H$36,0)))</f>
        <v/>
      </c>
      <c r="K9" s="2">
        <f>IF(I9="","",INDEX(Seats!$F$2:$F$36,MATCH(G9,Seats!$H$2:$H$36,0)))</f>
        <v/>
      </c>
      <c r="L9" s="2">
        <f>IF(I9="","",IF(COUNTIFS($A$2:$A$43,A9,$I$2:$I$43,I9)&gt;1,"yes","no"))</f>
        <v/>
      </c>
      <c r="M9" s="2">
        <f>IF(D9=1,F9,IF(D9=2,Settings!$B$5+F9,""))</f>
        <v/>
      </c>
      <c r="N9" s="2">
        <f>IF(I9="","",INDEX(Seats!$I$2:$I$36,MATCH(G9,Seats!$H$2:$H$36,0)))</f>
        <v/>
      </c>
      <c r="O9" s="2">
        <f>IF(I9="","",INDEX(Seats!$J$2:$J$36,MATCH(G9,Seats!$H$2:$H$36,0)))</f>
        <v/>
      </c>
      <c r="P9" s="2">
        <f>IF(I9="","",INDEX(Seats!$K$2:$K$36,MATCH(G9,Seats!$H$2:$H$36,0)))</f>
        <v/>
      </c>
      <c r="Q9" s="2">
        <f>IF(I9="","",INDEX(Seats!$L$2:$L$36,MATCH(G9,Seats!$H$2:$H$36,0)))</f>
        <v/>
      </c>
      <c r="R9" s="2">
        <f>IF(I9="",H9,H9&amp;", set "&amp;J9&amp;", "&amp;N9&amp;": "&amp;O9&amp;", "&amp;P9&amp;", "&amp;Q9&amp;IF(S9="after Monday","; reserves after Monday's allocation","; reserves "&amp;S9&amp;", "&amp;T9&amp;", "&amp;U9))</f>
        <v/>
      </c>
      <c r="S9" s="2">
        <f>IF(I9="","",INDEX(Seats!$Q$2:$Q$36,MATCH(G9,Seats!$H$2:$H$36,0)))</f>
        <v/>
      </c>
      <c r="T9" s="2">
        <f>IF(I9="","",INDEX(Seats!$R$2:$R$36,MATCH(G9,Seats!$H$2:$H$36,0)))</f>
        <v/>
      </c>
      <c r="U9" s="2">
        <f>IF(I9="","",INDEX(Seats!$S$2:$S$36,MATCH(G9,Seats!$H$2:$H$36,0)))</f>
        <v/>
      </c>
    </row>
    <row r="10">
      <c r="A10" s="2" t="n">
        <v>3</v>
      </c>
      <c r="B10" s="2" t="inlineStr">
        <is>
          <t>Principal Advisor</t>
        </is>
      </c>
      <c r="C10" s="2" t="inlineStr">
        <is>
          <t>online</t>
        </is>
      </c>
      <c r="D10" s="2">
        <f>IF(A10&lt;=Settings!$B$9,1,IF(A10&lt;=Settings!$B$11,2,"none"))</f>
        <v/>
      </c>
      <c r="E10" s="2">
        <f>IF(D10=1,Settings!$B$6+(A10-1)*Settings!$B$8,IF(D10=2,(A10-Settings!$B$9-1)*Settings!$B$8,""))</f>
        <v/>
      </c>
      <c r="F10" s="2">
        <f>IF(E10="","",E10+Settings!$B$3)</f>
        <v/>
      </c>
      <c r="G10" s="2">
        <f>(A10-1)*Settings!$B$12+3</f>
        <v/>
      </c>
      <c r="H10" s="2">
        <f>IF(D10="none","outside the day",IF(ISNUMBER(MATCH(G10,Seats!$H$2:$H$36,0)),INDEX(Seats!$D$2:$D$36,MATCH(G10,Seats!$H$2:$H$36,0)),"spare"))</f>
        <v/>
      </c>
      <c r="I10" s="2">
        <f>IF(LEFT(H10,1)="G",INDEX(Seats!$B$2:$B$36,MATCH(G10,Seats!$H$2:$H$36,0)),"")</f>
        <v/>
      </c>
      <c r="J10" s="2">
        <f>IF(I10="","",INDEX(Seats!$E$2:$E$36,MATCH(G10,Seats!$H$2:$H$36,0)))</f>
        <v/>
      </c>
      <c r="K10" s="2">
        <f>IF(I10="","",INDEX(Seats!$F$2:$F$36,MATCH(G10,Seats!$H$2:$H$36,0)))</f>
        <v/>
      </c>
      <c r="L10" s="2">
        <f>IF(I10="","",IF(COUNTIFS($A$2:$A$43,A10,$I$2:$I$43,I10)&gt;1,"yes","no"))</f>
        <v/>
      </c>
      <c r="M10" s="2">
        <f>IF(D10=1,F10,IF(D10=2,Settings!$B$5+F10,""))</f>
        <v/>
      </c>
      <c r="N10" s="2">
        <f>IF(I10="","",INDEX(Seats!$I$2:$I$36,MATCH(G10,Seats!$H$2:$H$36,0)))</f>
        <v/>
      </c>
      <c r="O10" s="2">
        <f>IF(I10="","",INDEX(Seats!$J$2:$J$36,MATCH(G10,Seats!$H$2:$H$36,0)))</f>
        <v/>
      </c>
      <c r="P10" s="2">
        <f>IF(I10="","",INDEX(Seats!$K$2:$K$36,MATCH(G10,Seats!$H$2:$H$36,0)))</f>
        <v/>
      </c>
      <c r="Q10" s="2">
        <f>IF(I10="","",INDEX(Seats!$L$2:$L$36,MATCH(G10,Seats!$H$2:$H$36,0)))</f>
        <v/>
      </c>
      <c r="R10" s="2">
        <f>IF(I10="",H10,H10&amp;", set "&amp;J10&amp;", "&amp;N10&amp;": "&amp;O10&amp;", "&amp;P10&amp;", "&amp;Q10&amp;IF(S10="after Monday","; reserves after Monday's allocation","; reserves "&amp;S10&amp;", "&amp;T10&amp;", "&amp;U10))</f>
        <v/>
      </c>
      <c r="S10" s="2">
        <f>IF(I10="","",INDEX(Seats!$Q$2:$Q$36,MATCH(G10,Seats!$H$2:$H$36,0)))</f>
        <v/>
      </c>
      <c r="T10" s="2">
        <f>IF(I10="","",INDEX(Seats!$R$2:$R$36,MATCH(G10,Seats!$H$2:$H$36,0)))</f>
        <v/>
      </c>
      <c r="U10" s="2">
        <f>IF(I10="","",INDEX(Seats!$S$2:$S$36,MATCH(G10,Seats!$H$2:$H$36,0)))</f>
        <v/>
      </c>
    </row>
    <row r="11">
      <c r="A11" s="2" t="n">
        <v>4</v>
      </c>
      <c r="B11" s="2" t="inlineStr">
        <is>
          <t>Programme Head</t>
        </is>
      </c>
      <c r="C11" s="2" t="inlineStr">
        <is>
          <t>in person</t>
        </is>
      </c>
      <c r="D11" s="2">
        <f>IF(A11&lt;=Settings!$B$9,1,IF(A11&lt;=Settings!$B$11,2,"none"))</f>
        <v/>
      </c>
      <c r="E11" s="2">
        <f>IF(D11=1,Settings!$B$6+(A11-1)*Settings!$B$8,IF(D11=2,(A11-Settings!$B$9-1)*Settings!$B$8,""))</f>
        <v/>
      </c>
      <c r="F11" s="2">
        <f>IF(E11="","",E11+Settings!$B$3)</f>
        <v/>
      </c>
      <c r="G11" s="2">
        <f>(A11-1)*Settings!$B$12+1</f>
        <v/>
      </c>
      <c r="H11" s="2">
        <f>IF(D11="none","outside the day",IF(ISNUMBER(MATCH(G11,Seats!$H$2:$H$36,0)),INDEX(Seats!$D$2:$D$36,MATCH(G11,Seats!$H$2:$H$36,0)),"spare"))</f>
        <v/>
      </c>
      <c r="I11" s="2">
        <f>IF(LEFT(H11,1)="G",INDEX(Seats!$B$2:$B$36,MATCH(G11,Seats!$H$2:$H$36,0)),"")</f>
        <v/>
      </c>
      <c r="J11" s="2">
        <f>IF(I11="","",INDEX(Seats!$E$2:$E$36,MATCH(G11,Seats!$H$2:$H$36,0)))</f>
        <v/>
      </c>
      <c r="K11" s="2">
        <f>IF(I11="","",INDEX(Seats!$F$2:$F$36,MATCH(G11,Seats!$H$2:$H$36,0)))</f>
        <v/>
      </c>
      <c r="L11" s="2">
        <f>IF(I11="","",IF(COUNTIFS($A$2:$A$43,A11,$I$2:$I$43,I11)&gt;1,"yes","no"))</f>
        <v/>
      </c>
      <c r="M11" s="2">
        <f>IF(D11=1,F11,IF(D11=2,Settings!$B$5+F11,""))</f>
        <v/>
      </c>
      <c r="N11" s="2">
        <f>IF(I11="","",INDEX(Seats!$I$2:$I$36,MATCH(G11,Seats!$H$2:$H$36,0)))</f>
        <v/>
      </c>
      <c r="O11" s="2">
        <f>IF(I11="","",INDEX(Seats!$J$2:$J$36,MATCH(G11,Seats!$H$2:$H$36,0)))</f>
        <v/>
      </c>
      <c r="P11" s="2">
        <f>IF(I11="","",INDEX(Seats!$K$2:$K$36,MATCH(G11,Seats!$H$2:$H$36,0)))</f>
        <v/>
      </c>
      <c r="Q11" s="2">
        <f>IF(I11="","",INDEX(Seats!$L$2:$L$36,MATCH(G11,Seats!$H$2:$H$36,0)))</f>
        <v/>
      </c>
      <c r="R11" s="2">
        <f>IF(I11="",H11,H11&amp;", set "&amp;J11&amp;", "&amp;N11&amp;": "&amp;O11&amp;", "&amp;P11&amp;", "&amp;Q11&amp;IF(S11="after Monday","; reserves after Monday's allocation","; reserves "&amp;S11&amp;", "&amp;T11&amp;", "&amp;U11))</f>
        <v/>
      </c>
      <c r="S11" s="2">
        <f>IF(I11="","",INDEX(Seats!$Q$2:$Q$36,MATCH(G11,Seats!$H$2:$H$36,0)))</f>
        <v/>
      </c>
      <c r="T11" s="2">
        <f>IF(I11="","",INDEX(Seats!$R$2:$R$36,MATCH(G11,Seats!$H$2:$H$36,0)))</f>
        <v/>
      </c>
      <c r="U11" s="2">
        <f>IF(I11="","",INDEX(Seats!$S$2:$S$36,MATCH(G11,Seats!$H$2:$H$36,0)))</f>
        <v/>
      </c>
    </row>
    <row r="12">
      <c r="A12" s="2" t="n">
        <v>4</v>
      </c>
      <c r="B12" s="2" t="inlineStr">
        <is>
          <t>Academic TA</t>
        </is>
      </c>
      <c r="C12" s="2" t="inlineStr">
        <is>
          <t>in person</t>
        </is>
      </c>
      <c r="D12" s="2">
        <f>IF(A12&lt;=Settings!$B$9,1,IF(A12&lt;=Settings!$B$11,2,"none"))</f>
        <v/>
      </c>
      <c r="E12" s="2">
        <f>IF(D12=1,Settings!$B$6+(A12-1)*Settings!$B$8,IF(D12=2,(A12-Settings!$B$9-1)*Settings!$B$8,""))</f>
        <v/>
      </c>
      <c r="F12" s="2">
        <f>IF(E12="","",E12+Settings!$B$3)</f>
        <v/>
      </c>
      <c r="G12" s="2">
        <f>(A12-1)*Settings!$B$12+2</f>
        <v/>
      </c>
      <c r="H12" s="2">
        <f>IF(D12="none","outside the day",IF(ISNUMBER(MATCH(G12,Seats!$H$2:$H$36,0)),INDEX(Seats!$D$2:$D$36,MATCH(G12,Seats!$H$2:$H$36,0)),"spare"))</f>
        <v/>
      </c>
      <c r="I12" s="2">
        <f>IF(LEFT(H12,1)="G",INDEX(Seats!$B$2:$B$36,MATCH(G12,Seats!$H$2:$H$36,0)),"")</f>
        <v/>
      </c>
      <c r="J12" s="2">
        <f>IF(I12="","",INDEX(Seats!$E$2:$E$36,MATCH(G12,Seats!$H$2:$H$36,0)))</f>
        <v/>
      </c>
      <c r="K12" s="2">
        <f>IF(I12="","",INDEX(Seats!$F$2:$F$36,MATCH(G12,Seats!$H$2:$H$36,0)))</f>
        <v/>
      </c>
      <c r="L12" s="2">
        <f>IF(I12="","",IF(COUNTIFS($A$2:$A$43,A12,$I$2:$I$43,I12)&gt;1,"yes","no"))</f>
        <v/>
      </c>
      <c r="M12" s="2">
        <f>IF(D12=1,F12,IF(D12=2,Settings!$B$5+F12,""))</f>
        <v/>
      </c>
      <c r="N12" s="2">
        <f>IF(I12="","",INDEX(Seats!$I$2:$I$36,MATCH(G12,Seats!$H$2:$H$36,0)))</f>
        <v/>
      </c>
      <c r="O12" s="2">
        <f>IF(I12="","",INDEX(Seats!$J$2:$J$36,MATCH(G12,Seats!$H$2:$H$36,0)))</f>
        <v/>
      </c>
      <c r="P12" s="2">
        <f>IF(I12="","",INDEX(Seats!$K$2:$K$36,MATCH(G12,Seats!$H$2:$H$36,0)))</f>
        <v/>
      </c>
      <c r="Q12" s="2">
        <f>IF(I12="","",INDEX(Seats!$L$2:$L$36,MATCH(G12,Seats!$H$2:$H$36,0)))</f>
        <v/>
      </c>
      <c r="R12" s="2">
        <f>IF(I12="",H12,H12&amp;", set "&amp;J12&amp;", "&amp;N12&amp;": "&amp;O12&amp;", "&amp;P12&amp;", "&amp;Q12&amp;IF(S12="after Monday","; reserves after Monday's allocation","; reserves "&amp;S12&amp;", "&amp;T12&amp;", "&amp;U12))</f>
        <v/>
      </c>
      <c r="S12" s="2">
        <f>IF(I12="","",INDEX(Seats!$Q$2:$Q$36,MATCH(G12,Seats!$H$2:$H$36,0)))</f>
        <v/>
      </c>
      <c r="T12" s="2">
        <f>IF(I12="","",INDEX(Seats!$R$2:$R$36,MATCH(G12,Seats!$H$2:$H$36,0)))</f>
        <v/>
      </c>
      <c r="U12" s="2">
        <f>IF(I12="","",INDEX(Seats!$S$2:$S$36,MATCH(G12,Seats!$H$2:$H$36,0)))</f>
        <v/>
      </c>
    </row>
    <row r="13">
      <c r="A13" s="2" t="n">
        <v>4</v>
      </c>
      <c r="B13" s="2" t="inlineStr">
        <is>
          <t>Principal Advisor</t>
        </is>
      </c>
      <c r="C13" s="2" t="inlineStr">
        <is>
          <t>online</t>
        </is>
      </c>
      <c r="D13" s="2">
        <f>IF(A13&lt;=Settings!$B$9,1,IF(A13&lt;=Settings!$B$11,2,"none"))</f>
        <v/>
      </c>
      <c r="E13" s="2">
        <f>IF(D13=1,Settings!$B$6+(A13-1)*Settings!$B$8,IF(D13=2,(A13-Settings!$B$9-1)*Settings!$B$8,""))</f>
        <v/>
      </c>
      <c r="F13" s="2">
        <f>IF(E13="","",E13+Settings!$B$3)</f>
        <v/>
      </c>
      <c r="G13" s="2">
        <f>(A13-1)*Settings!$B$12+3</f>
        <v/>
      </c>
      <c r="H13" s="2">
        <f>IF(D13="none","outside the day",IF(ISNUMBER(MATCH(G13,Seats!$H$2:$H$36,0)),INDEX(Seats!$D$2:$D$36,MATCH(G13,Seats!$H$2:$H$36,0)),"spare"))</f>
        <v/>
      </c>
      <c r="I13" s="2">
        <f>IF(LEFT(H13,1)="G",INDEX(Seats!$B$2:$B$36,MATCH(G13,Seats!$H$2:$H$36,0)),"")</f>
        <v/>
      </c>
      <c r="J13" s="2">
        <f>IF(I13="","",INDEX(Seats!$E$2:$E$36,MATCH(G13,Seats!$H$2:$H$36,0)))</f>
        <v/>
      </c>
      <c r="K13" s="2">
        <f>IF(I13="","",INDEX(Seats!$F$2:$F$36,MATCH(G13,Seats!$H$2:$H$36,0)))</f>
        <v/>
      </c>
      <c r="L13" s="2">
        <f>IF(I13="","",IF(COUNTIFS($A$2:$A$43,A13,$I$2:$I$43,I13)&gt;1,"yes","no"))</f>
        <v/>
      </c>
      <c r="M13" s="2">
        <f>IF(D13=1,F13,IF(D13=2,Settings!$B$5+F13,""))</f>
        <v/>
      </c>
      <c r="N13" s="2">
        <f>IF(I13="","",INDEX(Seats!$I$2:$I$36,MATCH(G13,Seats!$H$2:$H$36,0)))</f>
        <v/>
      </c>
      <c r="O13" s="2">
        <f>IF(I13="","",INDEX(Seats!$J$2:$J$36,MATCH(G13,Seats!$H$2:$H$36,0)))</f>
        <v/>
      </c>
      <c r="P13" s="2">
        <f>IF(I13="","",INDEX(Seats!$K$2:$K$36,MATCH(G13,Seats!$H$2:$H$36,0)))</f>
        <v/>
      </c>
      <c r="Q13" s="2">
        <f>IF(I13="","",INDEX(Seats!$L$2:$L$36,MATCH(G13,Seats!$H$2:$H$36,0)))</f>
        <v/>
      </c>
      <c r="R13" s="2">
        <f>IF(I13="",H13,H13&amp;", set "&amp;J13&amp;", "&amp;N13&amp;": "&amp;O13&amp;", "&amp;P13&amp;", "&amp;Q13&amp;IF(S13="after Monday","; reserves after Monday's allocation","; reserves "&amp;S13&amp;", "&amp;T13&amp;", "&amp;U13))</f>
        <v/>
      </c>
      <c r="S13" s="2">
        <f>IF(I13="","",INDEX(Seats!$Q$2:$Q$36,MATCH(G13,Seats!$H$2:$H$36,0)))</f>
        <v/>
      </c>
      <c r="T13" s="2">
        <f>IF(I13="","",INDEX(Seats!$R$2:$R$36,MATCH(G13,Seats!$H$2:$H$36,0)))</f>
        <v/>
      </c>
      <c r="U13" s="2">
        <f>IF(I13="","",INDEX(Seats!$S$2:$S$36,MATCH(G13,Seats!$H$2:$H$36,0)))</f>
        <v/>
      </c>
    </row>
    <row r="14">
      <c r="A14" s="2" t="n">
        <v>5</v>
      </c>
      <c r="B14" s="2" t="inlineStr">
        <is>
          <t>Programme Head</t>
        </is>
      </c>
      <c r="C14" s="2" t="inlineStr">
        <is>
          <t>in person</t>
        </is>
      </c>
      <c r="D14" s="2">
        <f>IF(A14&lt;=Settings!$B$9,1,IF(A14&lt;=Settings!$B$11,2,"none"))</f>
        <v/>
      </c>
      <c r="E14" s="2">
        <f>IF(D14=1,Settings!$B$6+(A14-1)*Settings!$B$8,IF(D14=2,(A14-Settings!$B$9-1)*Settings!$B$8,""))</f>
        <v/>
      </c>
      <c r="F14" s="2">
        <f>IF(E14="","",E14+Settings!$B$3)</f>
        <v/>
      </c>
      <c r="G14" s="2">
        <f>(A14-1)*Settings!$B$12+1</f>
        <v/>
      </c>
      <c r="H14" s="2">
        <f>IF(D14="none","outside the day",IF(ISNUMBER(MATCH(G14,Seats!$H$2:$H$36,0)),INDEX(Seats!$D$2:$D$36,MATCH(G14,Seats!$H$2:$H$36,0)),"spare"))</f>
        <v/>
      </c>
      <c r="I14" s="2">
        <f>IF(LEFT(H14,1)="G",INDEX(Seats!$B$2:$B$36,MATCH(G14,Seats!$H$2:$H$36,0)),"")</f>
        <v/>
      </c>
      <c r="J14" s="2">
        <f>IF(I14="","",INDEX(Seats!$E$2:$E$36,MATCH(G14,Seats!$H$2:$H$36,0)))</f>
        <v/>
      </c>
      <c r="K14" s="2">
        <f>IF(I14="","",INDEX(Seats!$F$2:$F$36,MATCH(G14,Seats!$H$2:$H$36,0)))</f>
        <v/>
      </c>
      <c r="L14" s="2">
        <f>IF(I14="","",IF(COUNTIFS($A$2:$A$43,A14,$I$2:$I$43,I14)&gt;1,"yes","no"))</f>
        <v/>
      </c>
      <c r="M14" s="2">
        <f>IF(D14=1,F14,IF(D14=2,Settings!$B$5+F14,""))</f>
        <v/>
      </c>
      <c r="N14" s="2">
        <f>IF(I14="","",INDEX(Seats!$I$2:$I$36,MATCH(G14,Seats!$H$2:$H$36,0)))</f>
        <v/>
      </c>
      <c r="O14" s="2">
        <f>IF(I14="","",INDEX(Seats!$J$2:$J$36,MATCH(G14,Seats!$H$2:$H$36,0)))</f>
        <v/>
      </c>
      <c r="P14" s="2">
        <f>IF(I14="","",INDEX(Seats!$K$2:$K$36,MATCH(G14,Seats!$H$2:$H$36,0)))</f>
        <v/>
      </c>
      <c r="Q14" s="2">
        <f>IF(I14="","",INDEX(Seats!$L$2:$L$36,MATCH(G14,Seats!$H$2:$H$36,0)))</f>
        <v/>
      </c>
      <c r="R14" s="2">
        <f>IF(I14="",H14,H14&amp;", set "&amp;J14&amp;", "&amp;N14&amp;": "&amp;O14&amp;", "&amp;P14&amp;", "&amp;Q14&amp;IF(S14="after Monday","; reserves after Monday's allocation","; reserves "&amp;S14&amp;", "&amp;T14&amp;", "&amp;U14))</f>
        <v/>
      </c>
      <c r="S14" s="2">
        <f>IF(I14="","",INDEX(Seats!$Q$2:$Q$36,MATCH(G14,Seats!$H$2:$H$36,0)))</f>
        <v/>
      </c>
      <c r="T14" s="2">
        <f>IF(I14="","",INDEX(Seats!$R$2:$R$36,MATCH(G14,Seats!$H$2:$H$36,0)))</f>
        <v/>
      </c>
      <c r="U14" s="2">
        <f>IF(I14="","",INDEX(Seats!$S$2:$S$36,MATCH(G14,Seats!$H$2:$H$36,0)))</f>
        <v/>
      </c>
    </row>
    <row r="15">
      <c r="A15" s="2" t="n">
        <v>5</v>
      </c>
      <c r="B15" s="2" t="inlineStr">
        <is>
          <t>Academic TA</t>
        </is>
      </c>
      <c r="C15" s="2" t="inlineStr">
        <is>
          <t>in person</t>
        </is>
      </c>
      <c r="D15" s="2">
        <f>IF(A15&lt;=Settings!$B$9,1,IF(A15&lt;=Settings!$B$11,2,"none"))</f>
        <v/>
      </c>
      <c r="E15" s="2">
        <f>IF(D15=1,Settings!$B$6+(A15-1)*Settings!$B$8,IF(D15=2,(A15-Settings!$B$9-1)*Settings!$B$8,""))</f>
        <v/>
      </c>
      <c r="F15" s="2">
        <f>IF(E15="","",E15+Settings!$B$3)</f>
        <v/>
      </c>
      <c r="G15" s="2">
        <f>(A15-1)*Settings!$B$12+2</f>
        <v/>
      </c>
      <c r="H15" s="2">
        <f>IF(D15="none","outside the day",IF(ISNUMBER(MATCH(G15,Seats!$H$2:$H$36,0)),INDEX(Seats!$D$2:$D$36,MATCH(G15,Seats!$H$2:$H$36,0)),"spare"))</f>
        <v/>
      </c>
      <c r="I15" s="2">
        <f>IF(LEFT(H15,1)="G",INDEX(Seats!$B$2:$B$36,MATCH(G15,Seats!$H$2:$H$36,0)),"")</f>
        <v/>
      </c>
      <c r="J15" s="2">
        <f>IF(I15="","",INDEX(Seats!$E$2:$E$36,MATCH(G15,Seats!$H$2:$H$36,0)))</f>
        <v/>
      </c>
      <c r="K15" s="2">
        <f>IF(I15="","",INDEX(Seats!$F$2:$F$36,MATCH(G15,Seats!$H$2:$H$36,0)))</f>
        <v/>
      </c>
      <c r="L15" s="2">
        <f>IF(I15="","",IF(COUNTIFS($A$2:$A$43,A15,$I$2:$I$43,I15)&gt;1,"yes","no"))</f>
        <v/>
      </c>
      <c r="M15" s="2">
        <f>IF(D15=1,F15,IF(D15=2,Settings!$B$5+F15,""))</f>
        <v/>
      </c>
      <c r="N15" s="2">
        <f>IF(I15="","",INDEX(Seats!$I$2:$I$36,MATCH(G15,Seats!$H$2:$H$36,0)))</f>
        <v/>
      </c>
      <c r="O15" s="2">
        <f>IF(I15="","",INDEX(Seats!$J$2:$J$36,MATCH(G15,Seats!$H$2:$H$36,0)))</f>
        <v/>
      </c>
      <c r="P15" s="2">
        <f>IF(I15="","",INDEX(Seats!$K$2:$K$36,MATCH(G15,Seats!$H$2:$H$36,0)))</f>
        <v/>
      </c>
      <c r="Q15" s="2">
        <f>IF(I15="","",INDEX(Seats!$L$2:$L$36,MATCH(G15,Seats!$H$2:$H$36,0)))</f>
        <v/>
      </c>
      <c r="R15" s="2">
        <f>IF(I15="",H15,H15&amp;", set "&amp;J15&amp;", "&amp;N15&amp;": "&amp;O15&amp;", "&amp;P15&amp;", "&amp;Q15&amp;IF(S15="after Monday","; reserves after Monday's allocation","; reserves "&amp;S15&amp;", "&amp;T15&amp;", "&amp;U15))</f>
        <v/>
      </c>
      <c r="S15" s="2">
        <f>IF(I15="","",INDEX(Seats!$Q$2:$Q$36,MATCH(G15,Seats!$H$2:$H$36,0)))</f>
        <v/>
      </c>
      <c r="T15" s="2">
        <f>IF(I15="","",INDEX(Seats!$R$2:$R$36,MATCH(G15,Seats!$H$2:$H$36,0)))</f>
        <v/>
      </c>
      <c r="U15" s="2">
        <f>IF(I15="","",INDEX(Seats!$S$2:$S$36,MATCH(G15,Seats!$H$2:$H$36,0)))</f>
        <v/>
      </c>
    </row>
    <row r="16">
      <c r="A16" s="2" t="n">
        <v>5</v>
      </c>
      <c r="B16" s="2" t="inlineStr">
        <is>
          <t>Principal Advisor</t>
        </is>
      </c>
      <c r="C16" s="2" t="inlineStr">
        <is>
          <t>online</t>
        </is>
      </c>
      <c r="D16" s="2">
        <f>IF(A16&lt;=Settings!$B$9,1,IF(A16&lt;=Settings!$B$11,2,"none"))</f>
        <v/>
      </c>
      <c r="E16" s="2">
        <f>IF(D16=1,Settings!$B$6+(A16-1)*Settings!$B$8,IF(D16=2,(A16-Settings!$B$9-1)*Settings!$B$8,""))</f>
        <v/>
      </c>
      <c r="F16" s="2">
        <f>IF(E16="","",E16+Settings!$B$3)</f>
        <v/>
      </c>
      <c r="G16" s="2">
        <f>(A16-1)*Settings!$B$12+3</f>
        <v/>
      </c>
      <c r="H16" s="2">
        <f>IF(D16="none","outside the day",IF(ISNUMBER(MATCH(G16,Seats!$H$2:$H$36,0)),INDEX(Seats!$D$2:$D$36,MATCH(G16,Seats!$H$2:$H$36,0)),"spare"))</f>
        <v/>
      </c>
      <c r="I16" s="2">
        <f>IF(LEFT(H16,1)="G",INDEX(Seats!$B$2:$B$36,MATCH(G16,Seats!$H$2:$H$36,0)),"")</f>
        <v/>
      </c>
      <c r="J16" s="2">
        <f>IF(I16="","",INDEX(Seats!$E$2:$E$36,MATCH(G16,Seats!$H$2:$H$36,0)))</f>
        <v/>
      </c>
      <c r="K16" s="2">
        <f>IF(I16="","",INDEX(Seats!$F$2:$F$36,MATCH(G16,Seats!$H$2:$H$36,0)))</f>
        <v/>
      </c>
      <c r="L16" s="2">
        <f>IF(I16="","",IF(COUNTIFS($A$2:$A$43,A16,$I$2:$I$43,I16)&gt;1,"yes","no"))</f>
        <v/>
      </c>
      <c r="M16" s="2">
        <f>IF(D16=1,F16,IF(D16=2,Settings!$B$5+F16,""))</f>
        <v/>
      </c>
      <c r="N16" s="2">
        <f>IF(I16="","",INDEX(Seats!$I$2:$I$36,MATCH(G16,Seats!$H$2:$H$36,0)))</f>
        <v/>
      </c>
      <c r="O16" s="2">
        <f>IF(I16="","",INDEX(Seats!$J$2:$J$36,MATCH(G16,Seats!$H$2:$H$36,0)))</f>
        <v/>
      </c>
      <c r="P16" s="2">
        <f>IF(I16="","",INDEX(Seats!$K$2:$K$36,MATCH(G16,Seats!$H$2:$H$36,0)))</f>
        <v/>
      </c>
      <c r="Q16" s="2">
        <f>IF(I16="","",INDEX(Seats!$L$2:$L$36,MATCH(G16,Seats!$H$2:$H$36,0)))</f>
        <v/>
      </c>
      <c r="R16" s="2">
        <f>IF(I16="",H16,H16&amp;", set "&amp;J16&amp;", "&amp;N16&amp;": "&amp;O16&amp;", "&amp;P16&amp;", "&amp;Q16&amp;IF(S16="after Monday","; reserves after Monday's allocation","; reserves "&amp;S16&amp;", "&amp;T16&amp;", "&amp;U16))</f>
        <v/>
      </c>
      <c r="S16" s="2">
        <f>IF(I16="","",INDEX(Seats!$Q$2:$Q$36,MATCH(G16,Seats!$H$2:$H$36,0)))</f>
        <v/>
      </c>
      <c r="T16" s="2">
        <f>IF(I16="","",INDEX(Seats!$R$2:$R$36,MATCH(G16,Seats!$H$2:$H$36,0)))</f>
        <v/>
      </c>
      <c r="U16" s="2">
        <f>IF(I16="","",INDEX(Seats!$S$2:$S$36,MATCH(G16,Seats!$H$2:$H$36,0)))</f>
        <v/>
      </c>
    </row>
    <row r="17">
      <c r="A17" s="2" t="n">
        <v>6</v>
      </c>
      <c r="B17" s="2" t="inlineStr">
        <is>
          <t>Programme Head</t>
        </is>
      </c>
      <c r="C17" s="2" t="inlineStr">
        <is>
          <t>in person</t>
        </is>
      </c>
      <c r="D17" s="2">
        <f>IF(A17&lt;=Settings!$B$9,1,IF(A17&lt;=Settings!$B$11,2,"none"))</f>
        <v/>
      </c>
      <c r="E17" s="2">
        <f>IF(D17=1,Settings!$B$6+(A17-1)*Settings!$B$8,IF(D17=2,(A17-Settings!$B$9-1)*Settings!$B$8,""))</f>
        <v/>
      </c>
      <c r="F17" s="2">
        <f>IF(E17="","",E17+Settings!$B$3)</f>
        <v/>
      </c>
      <c r="G17" s="2">
        <f>(A17-1)*Settings!$B$12+1</f>
        <v/>
      </c>
      <c r="H17" s="2">
        <f>IF(D17="none","outside the day",IF(ISNUMBER(MATCH(G17,Seats!$H$2:$H$36,0)),INDEX(Seats!$D$2:$D$36,MATCH(G17,Seats!$H$2:$H$36,0)),"spare"))</f>
        <v/>
      </c>
      <c r="I17" s="2">
        <f>IF(LEFT(H17,1)="G",INDEX(Seats!$B$2:$B$36,MATCH(G17,Seats!$H$2:$H$36,0)),"")</f>
        <v/>
      </c>
      <c r="J17" s="2">
        <f>IF(I17="","",INDEX(Seats!$E$2:$E$36,MATCH(G17,Seats!$H$2:$H$36,0)))</f>
        <v/>
      </c>
      <c r="K17" s="2">
        <f>IF(I17="","",INDEX(Seats!$F$2:$F$36,MATCH(G17,Seats!$H$2:$H$36,0)))</f>
        <v/>
      </c>
      <c r="L17" s="2">
        <f>IF(I17="","",IF(COUNTIFS($A$2:$A$43,A17,$I$2:$I$43,I17)&gt;1,"yes","no"))</f>
        <v/>
      </c>
      <c r="M17" s="2">
        <f>IF(D17=1,F17,IF(D17=2,Settings!$B$5+F17,""))</f>
        <v/>
      </c>
      <c r="N17" s="2">
        <f>IF(I17="","",INDEX(Seats!$I$2:$I$36,MATCH(G17,Seats!$H$2:$H$36,0)))</f>
        <v/>
      </c>
      <c r="O17" s="2">
        <f>IF(I17="","",INDEX(Seats!$J$2:$J$36,MATCH(G17,Seats!$H$2:$H$36,0)))</f>
        <v/>
      </c>
      <c r="P17" s="2">
        <f>IF(I17="","",INDEX(Seats!$K$2:$K$36,MATCH(G17,Seats!$H$2:$H$36,0)))</f>
        <v/>
      </c>
      <c r="Q17" s="2">
        <f>IF(I17="","",INDEX(Seats!$L$2:$L$36,MATCH(G17,Seats!$H$2:$H$36,0)))</f>
        <v/>
      </c>
      <c r="R17" s="2">
        <f>IF(I17="",H17,H17&amp;", set "&amp;J17&amp;", "&amp;N17&amp;": "&amp;O17&amp;", "&amp;P17&amp;", "&amp;Q17&amp;IF(S17="after Monday","; reserves after Monday's allocation","; reserves "&amp;S17&amp;", "&amp;T17&amp;", "&amp;U17))</f>
        <v/>
      </c>
      <c r="S17" s="2">
        <f>IF(I17="","",INDEX(Seats!$Q$2:$Q$36,MATCH(G17,Seats!$H$2:$H$36,0)))</f>
        <v/>
      </c>
      <c r="T17" s="2">
        <f>IF(I17="","",INDEX(Seats!$R$2:$R$36,MATCH(G17,Seats!$H$2:$H$36,0)))</f>
        <v/>
      </c>
      <c r="U17" s="2">
        <f>IF(I17="","",INDEX(Seats!$S$2:$S$36,MATCH(G17,Seats!$H$2:$H$36,0)))</f>
        <v/>
      </c>
    </row>
    <row r="18">
      <c r="A18" s="2" t="n">
        <v>6</v>
      </c>
      <c r="B18" s="2" t="inlineStr">
        <is>
          <t>Academic TA</t>
        </is>
      </c>
      <c r="C18" s="2" t="inlineStr">
        <is>
          <t>in person</t>
        </is>
      </c>
      <c r="D18" s="2">
        <f>IF(A18&lt;=Settings!$B$9,1,IF(A18&lt;=Settings!$B$11,2,"none"))</f>
        <v/>
      </c>
      <c r="E18" s="2">
        <f>IF(D18=1,Settings!$B$6+(A18-1)*Settings!$B$8,IF(D18=2,(A18-Settings!$B$9-1)*Settings!$B$8,""))</f>
        <v/>
      </c>
      <c r="F18" s="2">
        <f>IF(E18="","",E18+Settings!$B$3)</f>
        <v/>
      </c>
      <c r="G18" s="2">
        <f>(A18-1)*Settings!$B$12+2</f>
        <v/>
      </c>
      <c r="H18" s="2">
        <f>IF(D18="none","outside the day",IF(ISNUMBER(MATCH(G18,Seats!$H$2:$H$36,0)),INDEX(Seats!$D$2:$D$36,MATCH(G18,Seats!$H$2:$H$36,0)),"spare"))</f>
        <v/>
      </c>
      <c r="I18" s="2">
        <f>IF(LEFT(H18,1)="G",INDEX(Seats!$B$2:$B$36,MATCH(G18,Seats!$H$2:$H$36,0)),"")</f>
        <v/>
      </c>
      <c r="J18" s="2">
        <f>IF(I18="","",INDEX(Seats!$E$2:$E$36,MATCH(G18,Seats!$H$2:$H$36,0)))</f>
        <v/>
      </c>
      <c r="K18" s="2">
        <f>IF(I18="","",INDEX(Seats!$F$2:$F$36,MATCH(G18,Seats!$H$2:$H$36,0)))</f>
        <v/>
      </c>
      <c r="L18" s="2">
        <f>IF(I18="","",IF(COUNTIFS($A$2:$A$43,A18,$I$2:$I$43,I18)&gt;1,"yes","no"))</f>
        <v/>
      </c>
      <c r="M18" s="2">
        <f>IF(D18=1,F18,IF(D18=2,Settings!$B$5+F18,""))</f>
        <v/>
      </c>
      <c r="N18" s="2">
        <f>IF(I18="","",INDEX(Seats!$I$2:$I$36,MATCH(G18,Seats!$H$2:$H$36,0)))</f>
        <v/>
      </c>
      <c r="O18" s="2">
        <f>IF(I18="","",INDEX(Seats!$J$2:$J$36,MATCH(G18,Seats!$H$2:$H$36,0)))</f>
        <v/>
      </c>
      <c r="P18" s="2">
        <f>IF(I18="","",INDEX(Seats!$K$2:$K$36,MATCH(G18,Seats!$H$2:$H$36,0)))</f>
        <v/>
      </c>
      <c r="Q18" s="2">
        <f>IF(I18="","",INDEX(Seats!$L$2:$L$36,MATCH(G18,Seats!$H$2:$H$36,0)))</f>
        <v/>
      </c>
      <c r="R18" s="2">
        <f>IF(I18="",H18,H18&amp;", set "&amp;J18&amp;", "&amp;N18&amp;": "&amp;O18&amp;", "&amp;P18&amp;", "&amp;Q18&amp;IF(S18="after Monday","; reserves after Monday's allocation","; reserves "&amp;S18&amp;", "&amp;T18&amp;", "&amp;U18))</f>
        <v/>
      </c>
      <c r="S18" s="2">
        <f>IF(I18="","",INDEX(Seats!$Q$2:$Q$36,MATCH(G18,Seats!$H$2:$H$36,0)))</f>
        <v/>
      </c>
      <c r="T18" s="2">
        <f>IF(I18="","",INDEX(Seats!$R$2:$R$36,MATCH(G18,Seats!$H$2:$H$36,0)))</f>
        <v/>
      </c>
      <c r="U18" s="2">
        <f>IF(I18="","",INDEX(Seats!$S$2:$S$36,MATCH(G18,Seats!$H$2:$H$36,0)))</f>
        <v/>
      </c>
    </row>
    <row r="19">
      <c r="A19" s="2" t="n">
        <v>6</v>
      </c>
      <c r="B19" s="2" t="inlineStr">
        <is>
          <t>Principal Advisor</t>
        </is>
      </c>
      <c r="C19" s="2" t="inlineStr">
        <is>
          <t>online</t>
        </is>
      </c>
      <c r="D19" s="2">
        <f>IF(A19&lt;=Settings!$B$9,1,IF(A19&lt;=Settings!$B$11,2,"none"))</f>
        <v/>
      </c>
      <c r="E19" s="2">
        <f>IF(D19=1,Settings!$B$6+(A19-1)*Settings!$B$8,IF(D19=2,(A19-Settings!$B$9-1)*Settings!$B$8,""))</f>
        <v/>
      </c>
      <c r="F19" s="2">
        <f>IF(E19="","",E19+Settings!$B$3)</f>
        <v/>
      </c>
      <c r="G19" s="2">
        <f>(A19-1)*Settings!$B$12+3</f>
        <v/>
      </c>
      <c r="H19" s="2">
        <f>IF(D19="none","outside the day",IF(ISNUMBER(MATCH(G19,Seats!$H$2:$H$36,0)),INDEX(Seats!$D$2:$D$36,MATCH(G19,Seats!$H$2:$H$36,0)),"spare"))</f>
        <v/>
      </c>
      <c r="I19" s="2">
        <f>IF(LEFT(H19,1)="G",INDEX(Seats!$B$2:$B$36,MATCH(G19,Seats!$H$2:$H$36,0)),"")</f>
        <v/>
      </c>
      <c r="J19" s="2">
        <f>IF(I19="","",INDEX(Seats!$E$2:$E$36,MATCH(G19,Seats!$H$2:$H$36,0)))</f>
        <v/>
      </c>
      <c r="K19" s="2">
        <f>IF(I19="","",INDEX(Seats!$F$2:$F$36,MATCH(G19,Seats!$H$2:$H$36,0)))</f>
        <v/>
      </c>
      <c r="L19" s="2">
        <f>IF(I19="","",IF(COUNTIFS($A$2:$A$43,A19,$I$2:$I$43,I19)&gt;1,"yes","no"))</f>
        <v/>
      </c>
      <c r="M19" s="2">
        <f>IF(D19=1,F19,IF(D19=2,Settings!$B$5+F19,""))</f>
        <v/>
      </c>
      <c r="N19" s="2">
        <f>IF(I19="","",INDEX(Seats!$I$2:$I$36,MATCH(G19,Seats!$H$2:$H$36,0)))</f>
        <v/>
      </c>
      <c r="O19" s="2">
        <f>IF(I19="","",INDEX(Seats!$J$2:$J$36,MATCH(G19,Seats!$H$2:$H$36,0)))</f>
        <v/>
      </c>
      <c r="P19" s="2">
        <f>IF(I19="","",INDEX(Seats!$K$2:$K$36,MATCH(G19,Seats!$H$2:$H$36,0)))</f>
        <v/>
      </c>
      <c r="Q19" s="2">
        <f>IF(I19="","",INDEX(Seats!$L$2:$L$36,MATCH(G19,Seats!$H$2:$H$36,0)))</f>
        <v/>
      </c>
      <c r="R19" s="2">
        <f>IF(I19="",H19,H19&amp;", set "&amp;J19&amp;", "&amp;N19&amp;": "&amp;O19&amp;", "&amp;P19&amp;", "&amp;Q19&amp;IF(S19="after Monday","; reserves after Monday's allocation","; reserves "&amp;S19&amp;", "&amp;T19&amp;", "&amp;U19))</f>
        <v/>
      </c>
      <c r="S19" s="2">
        <f>IF(I19="","",INDEX(Seats!$Q$2:$Q$36,MATCH(G19,Seats!$H$2:$H$36,0)))</f>
        <v/>
      </c>
      <c r="T19" s="2">
        <f>IF(I19="","",INDEX(Seats!$R$2:$R$36,MATCH(G19,Seats!$H$2:$H$36,0)))</f>
        <v/>
      </c>
      <c r="U19" s="2">
        <f>IF(I19="","",INDEX(Seats!$S$2:$S$36,MATCH(G19,Seats!$H$2:$H$36,0)))</f>
        <v/>
      </c>
    </row>
    <row r="20">
      <c r="A20" s="2" t="n">
        <v>7</v>
      </c>
      <c r="B20" s="2" t="inlineStr">
        <is>
          <t>Programme Head</t>
        </is>
      </c>
      <c r="C20" s="2" t="inlineStr">
        <is>
          <t>in person</t>
        </is>
      </c>
      <c r="D20" s="2">
        <f>IF(A20&lt;=Settings!$B$9,1,IF(A20&lt;=Settings!$B$11,2,"none"))</f>
        <v/>
      </c>
      <c r="E20" s="2">
        <f>IF(D20=1,Settings!$B$6+(A20-1)*Settings!$B$8,IF(D20=2,(A20-Settings!$B$9-1)*Settings!$B$8,""))</f>
        <v/>
      </c>
      <c r="F20" s="2">
        <f>IF(E20="","",E20+Settings!$B$3)</f>
        <v/>
      </c>
      <c r="G20" s="2">
        <f>(A20-1)*Settings!$B$12+1</f>
        <v/>
      </c>
      <c r="H20" s="2">
        <f>IF(D20="none","outside the day",IF(ISNUMBER(MATCH(G20,Seats!$H$2:$H$36,0)),INDEX(Seats!$D$2:$D$36,MATCH(G20,Seats!$H$2:$H$36,0)),"spare"))</f>
        <v/>
      </c>
      <c r="I20" s="2">
        <f>IF(LEFT(H20,1)="G",INDEX(Seats!$B$2:$B$36,MATCH(G20,Seats!$H$2:$H$36,0)),"")</f>
        <v/>
      </c>
      <c r="J20" s="2">
        <f>IF(I20="","",INDEX(Seats!$E$2:$E$36,MATCH(G20,Seats!$H$2:$H$36,0)))</f>
        <v/>
      </c>
      <c r="K20" s="2">
        <f>IF(I20="","",INDEX(Seats!$F$2:$F$36,MATCH(G20,Seats!$H$2:$H$36,0)))</f>
        <v/>
      </c>
      <c r="L20" s="2">
        <f>IF(I20="","",IF(COUNTIFS($A$2:$A$43,A20,$I$2:$I$43,I20)&gt;1,"yes","no"))</f>
        <v/>
      </c>
      <c r="M20" s="2">
        <f>IF(D20=1,F20,IF(D20=2,Settings!$B$5+F20,""))</f>
        <v/>
      </c>
      <c r="N20" s="2">
        <f>IF(I20="","",INDEX(Seats!$I$2:$I$36,MATCH(G20,Seats!$H$2:$H$36,0)))</f>
        <v/>
      </c>
      <c r="O20" s="2">
        <f>IF(I20="","",INDEX(Seats!$J$2:$J$36,MATCH(G20,Seats!$H$2:$H$36,0)))</f>
        <v/>
      </c>
      <c r="P20" s="2">
        <f>IF(I20="","",INDEX(Seats!$K$2:$K$36,MATCH(G20,Seats!$H$2:$H$36,0)))</f>
        <v/>
      </c>
      <c r="Q20" s="2">
        <f>IF(I20="","",INDEX(Seats!$L$2:$L$36,MATCH(G20,Seats!$H$2:$H$36,0)))</f>
        <v/>
      </c>
      <c r="R20" s="2">
        <f>IF(I20="",H20,H20&amp;", set "&amp;J20&amp;", "&amp;N20&amp;": "&amp;O20&amp;", "&amp;P20&amp;", "&amp;Q20&amp;IF(S20="after Monday","; reserves after Monday's allocation","; reserves "&amp;S20&amp;", "&amp;T20&amp;", "&amp;U20))</f>
        <v/>
      </c>
      <c r="S20" s="2">
        <f>IF(I20="","",INDEX(Seats!$Q$2:$Q$36,MATCH(G20,Seats!$H$2:$H$36,0)))</f>
        <v/>
      </c>
      <c r="T20" s="2">
        <f>IF(I20="","",INDEX(Seats!$R$2:$R$36,MATCH(G20,Seats!$H$2:$H$36,0)))</f>
        <v/>
      </c>
      <c r="U20" s="2">
        <f>IF(I20="","",INDEX(Seats!$S$2:$S$36,MATCH(G20,Seats!$H$2:$H$36,0)))</f>
        <v/>
      </c>
    </row>
    <row r="21">
      <c r="A21" s="2" t="n">
        <v>7</v>
      </c>
      <c r="B21" s="2" t="inlineStr">
        <is>
          <t>Academic TA</t>
        </is>
      </c>
      <c r="C21" s="2" t="inlineStr">
        <is>
          <t>in person</t>
        </is>
      </c>
      <c r="D21" s="2">
        <f>IF(A21&lt;=Settings!$B$9,1,IF(A21&lt;=Settings!$B$11,2,"none"))</f>
        <v/>
      </c>
      <c r="E21" s="2">
        <f>IF(D21=1,Settings!$B$6+(A21-1)*Settings!$B$8,IF(D21=2,(A21-Settings!$B$9-1)*Settings!$B$8,""))</f>
        <v/>
      </c>
      <c r="F21" s="2">
        <f>IF(E21="","",E21+Settings!$B$3)</f>
        <v/>
      </c>
      <c r="G21" s="2">
        <f>(A21-1)*Settings!$B$12+2</f>
        <v/>
      </c>
      <c r="H21" s="2">
        <f>IF(D21="none","outside the day",IF(ISNUMBER(MATCH(G21,Seats!$H$2:$H$36,0)),INDEX(Seats!$D$2:$D$36,MATCH(G21,Seats!$H$2:$H$36,0)),"spare"))</f>
        <v/>
      </c>
      <c r="I21" s="2">
        <f>IF(LEFT(H21,1)="G",INDEX(Seats!$B$2:$B$36,MATCH(G21,Seats!$H$2:$H$36,0)),"")</f>
        <v/>
      </c>
      <c r="J21" s="2">
        <f>IF(I21="","",INDEX(Seats!$E$2:$E$36,MATCH(G21,Seats!$H$2:$H$36,0)))</f>
        <v/>
      </c>
      <c r="K21" s="2">
        <f>IF(I21="","",INDEX(Seats!$F$2:$F$36,MATCH(G21,Seats!$H$2:$H$36,0)))</f>
        <v/>
      </c>
      <c r="L21" s="2">
        <f>IF(I21="","",IF(COUNTIFS($A$2:$A$43,A21,$I$2:$I$43,I21)&gt;1,"yes","no"))</f>
        <v/>
      </c>
      <c r="M21" s="2">
        <f>IF(D21=1,F21,IF(D21=2,Settings!$B$5+F21,""))</f>
        <v/>
      </c>
      <c r="N21" s="2">
        <f>IF(I21="","",INDEX(Seats!$I$2:$I$36,MATCH(G21,Seats!$H$2:$H$36,0)))</f>
        <v/>
      </c>
      <c r="O21" s="2">
        <f>IF(I21="","",INDEX(Seats!$J$2:$J$36,MATCH(G21,Seats!$H$2:$H$36,0)))</f>
        <v/>
      </c>
      <c r="P21" s="2">
        <f>IF(I21="","",INDEX(Seats!$K$2:$K$36,MATCH(G21,Seats!$H$2:$H$36,0)))</f>
        <v/>
      </c>
      <c r="Q21" s="2">
        <f>IF(I21="","",INDEX(Seats!$L$2:$L$36,MATCH(G21,Seats!$H$2:$H$36,0)))</f>
        <v/>
      </c>
      <c r="R21" s="2">
        <f>IF(I21="",H21,H21&amp;", set "&amp;J21&amp;", "&amp;N21&amp;": "&amp;O21&amp;", "&amp;P21&amp;", "&amp;Q21&amp;IF(S21="after Monday","; reserves after Monday's allocation","; reserves "&amp;S21&amp;", "&amp;T21&amp;", "&amp;U21))</f>
        <v/>
      </c>
      <c r="S21" s="2">
        <f>IF(I21="","",INDEX(Seats!$Q$2:$Q$36,MATCH(G21,Seats!$H$2:$H$36,0)))</f>
        <v/>
      </c>
      <c r="T21" s="2">
        <f>IF(I21="","",INDEX(Seats!$R$2:$R$36,MATCH(G21,Seats!$H$2:$H$36,0)))</f>
        <v/>
      </c>
      <c r="U21" s="2">
        <f>IF(I21="","",INDEX(Seats!$S$2:$S$36,MATCH(G21,Seats!$H$2:$H$36,0)))</f>
        <v/>
      </c>
    </row>
    <row r="22">
      <c r="A22" s="2" t="n">
        <v>7</v>
      </c>
      <c r="B22" s="2" t="inlineStr">
        <is>
          <t>Principal Advisor</t>
        </is>
      </c>
      <c r="C22" s="2" t="inlineStr">
        <is>
          <t>online</t>
        </is>
      </c>
      <c r="D22" s="2">
        <f>IF(A22&lt;=Settings!$B$9,1,IF(A22&lt;=Settings!$B$11,2,"none"))</f>
        <v/>
      </c>
      <c r="E22" s="2">
        <f>IF(D22=1,Settings!$B$6+(A22-1)*Settings!$B$8,IF(D22=2,(A22-Settings!$B$9-1)*Settings!$B$8,""))</f>
        <v/>
      </c>
      <c r="F22" s="2">
        <f>IF(E22="","",E22+Settings!$B$3)</f>
        <v/>
      </c>
      <c r="G22" s="2">
        <f>(A22-1)*Settings!$B$12+3</f>
        <v/>
      </c>
      <c r="H22" s="2">
        <f>IF(D22="none","outside the day",IF(ISNUMBER(MATCH(G22,Seats!$H$2:$H$36,0)),INDEX(Seats!$D$2:$D$36,MATCH(G22,Seats!$H$2:$H$36,0)),"spare"))</f>
        <v/>
      </c>
      <c r="I22" s="2">
        <f>IF(LEFT(H22,1)="G",INDEX(Seats!$B$2:$B$36,MATCH(G22,Seats!$H$2:$H$36,0)),"")</f>
        <v/>
      </c>
      <c r="J22" s="2">
        <f>IF(I22="","",INDEX(Seats!$E$2:$E$36,MATCH(G22,Seats!$H$2:$H$36,0)))</f>
        <v/>
      </c>
      <c r="K22" s="2">
        <f>IF(I22="","",INDEX(Seats!$F$2:$F$36,MATCH(G22,Seats!$H$2:$H$36,0)))</f>
        <v/>
      </c>
      <c r="L22" s="2">
        <f>IF(I22="","",IF(COUNTIFS($A$2:$A$43,A22,$I$2:$I$43,I22)&gt;1,"yes","no"))</f>
        <v/>
      </c>
      <c r="M22" s="2">
        <f>IF(D22=1,F22,IF(D22=2,Settings!$B$5+F22,""))</f>
        <v/>
      </c>
      <c r="N22" s="2">
        <f>IF(I22="","",INDEX(Seats!$I$2:$I$36,MATCH(G22,Seats!$H$2:$H$36,0)))</f>
        <v/>
      </c>
      <c r="O22" s="2">
        <f>IF(I22="","",INDEX(Seats!$J$2:$J$36,MATCH(G22,Seats!$H$2:$H$36,0)))</f>
        <v/>
      </c>
      <c r="P22" s="2">
        <f>IF(I22="","",INDEX(Seats!$K$2:$K$36,MATCH(G22,Seats!$H$2:$H$36,0)))</f>
        <v/>
      </c>
      <c r="Q22" s="2">
        <f>IF(I22="","",INDEX(Seats!$L$2:$L$36,MATCH(G22,Seats!$H$2:$H$36,0)))</f>
        <v/>
      </c>
      <c r="R22" s="2">
        <f>IF(I22="",H22,H22&amp;", set "&amp;J22&amp;", "&amp;N22&amp;": "&amp;O22&amp;", "&amp;P22&amp;", "&amp;Q22&amp;IF(S22="after Monday","; reserves after Monday's allocation","; reserves "&amp;S22&amp;", "&amp;T22&amp;", "&amp;U22))</f>
        <v/>
      </c>
      <c r="S22" s="2">
        <f>IF(I22="","",INDEX(Seats!$Q$2:$Q$36,MATCH(G22,Seats!$H$2:$H$36,0)))</f>
        <v/>
      </c>
      <c r="T22" s="2">
        <f>IF(I22="","",INDEX(Seats!$R$2:$R$36,MATCH(G22,Seats!$H$2:$H$36,0)))</f>
        <v/>
      </c>
      <c r="U22" s="2">
        <f>IF(I22="","",INDEX(Seats!$S$2:$S$36,MATCH(G22,Seats!$H$2:$H$36,0)))</f>
        <v/>
      </c>
    </row>
    <row r="23">
      <c r="A23" s="2" t="n">
        <v>8</v>
      </c>
      <c r="B23" s="2" t="inlineStr">
        <is>
          <t>Programme Head</t>
        </is>
      </c>
      <c r="C23" s="2" t="inlineStr">
        <is>
          <t>in person</t>
        </is>
      </c>
      <c r="D23" s="2">
        <f>IF(A23&lt;=Settings!$B$9,1,IF(A23&lt;=Settings!$B$11,2,"none"))</f>
        <v/>
      </c>
      <c r="E23" s="2">
        <f>IF(D23=1,Settings!$B$6+(A23-1)*Settings!$B$8,IF(D23=2,(A23-Settings!$B$9-1)*Settings!$B$8,""))</f>
        <v/>
      </c>
      <c r="F23" s="2">
        <f>IF(E23="","",E23+Settings!$B$3)</f>
        <v/>
      </c>
      <c r="G23" s="2">
        <f>(A23-1)*Settings!$B$12+1</f>
        <v/>
      </c>
      <c r="H23" s="2">
        <f>IF(D23="none","outside the day",IF(ISNUMBER(MATCH(G23,Seats!$H$2:$H$36,0)),INDEX(Seats!$D$2:$D$36,MATCH(G23,Seats!$H$2:$H$36,0)),"spare"))</f>
        <v/>
      </c>
      <c r="I23" s="2">
        <f>IF(LEFT(H23,1)="G",INDEX(Seats!$B$2:$B$36,MATCH(G23,Seats!$H$2:$H$36,0)),"")</f>
        <v/>
      </c>
      <c r="J23" s="2">
        <f>IF(I23="","",INDEX(Seats!$E$2:$E$36,MATCH(G23,Seats!$H$2:$H$36,0)))</f>
        <v/>
      </c>
      <c r="K23" s="2">
        <f>IF(I23="","",INDEX(Seats!$F$2:$F$36,MATCH(G23,Seats!$H$2:$H$36,0)))</f>
        <v/>
      </c>
      <c r="L23" s="2">
        <f>IF(I23="","",IF(COUNTIFS($A$2:$A$43,A23,$I$2:$I$43,I23)&gt;1,"yes","no"))</f>
        <v/>
      </c>
      <c r="M23" s="2">
        <f>IF(D23=1,F23,IF(D23=2,Settings!$B$5+F23,""))</f>
        <v/>
      </c>
      <c r="N23" s="2">
        <f>IF(I23="","",INDEX(Seats!$I$2:$I$36,MATCH(G23,Seats!$H$2:$H$36,0)))</f>
        <v/>
      </c>
      <c r="O23" s="2">
        <f>IF(I23="","",INDEX(Seats!$J$2:$J$36,MATCH(G23,Seats!$H$2:$H$36,0)))</f>
        <v/>
      </c>
      <c r="P23" s="2">
        <f>IF(I23="","",INDEX(Seats!$K$2:$K$36,MATCH(G23,Seats!$H$2:$H$36,0)))</f>
        <v/>
      </c>
      <c r="Q23" s="2">
        <f>IF(I23="","",INDEX(Seats!$L$2:$L$36,MATCH(G23,Seats!$H$2:$H$36,0)))</f>
        <v/>
      </c>
      <c r="R23" s="2">
        <f>IF(I23="",H23,H23&amp;", set "&amp;J23&amp;", "&amp;N23&amp;": "&amp;O23&amp;", "&amp;P23&amp;", "&amp;Q23&amp;IF(S23="after Monday","; reserves after Monday's allocation","; reserves "&amp;S23&amp;", "&amp;T23&amp;", "&amp;U23))</f>
        <v/>
      </c>
      <c r="S23" s="2">
        <f>IF(I23="","",INDEX(Seats!$Q$2:$Q$36,MATCH(G23,Seats!$H$2:$H$36,0)))</f>
        <v/>
      </c>
      <c r="T23" s="2">
        <f>IF(I23="","",INDEX(Seats!$R$2:$R$36,MATCH(G23,Seats!$H$2:$H$36,0)))</f>
        <v/>
      </c>
      <c r="U23" s="2">
        <f>IF(I23="","",INDEX(Seats!$S$2:$S$36,MATCH(G23,Seats!$H$2:$H$36,0)))</f>
        <v/>
      </c>
    </row>
    <row r="24">
      <c r="A24" s="2" t="n">
        <v>8</v>
      </c>
      <c r="B24" s="2" t="inlineStr">
        <is>
          <t>Academic TA</t>
        </is>
      </c>
      <c r="C24" s="2" t="inlineStr">
        <is>
          <t>in person</t>
        </is>
      </c>
      <c r="D24" s="2">
        <f>IF(A24&lt;=Settings!$B$9,1,IF(A24&lt;=Settings!$B$11,2,"none"))</f>
        <v/>
      </c>
      <c r="E24" s="2">
        <f>IF(D24=1,Settings!$B$6+(A24-1)*Settings!$B$8,IF(D24=2,(A24-Settings!$B$9-1)*Settings!$B$8,""))</f>
        <v/>
      </c>
      <c r="F24" s="2">
        <f>IF(E24="","",E24+Settings!$B$3)</f>
        <v/>
      </c>
      <c r="G24" s="2">
        <f>(A24-1)*Settings!$B$12+2</f>
        <v/>
      </c>
      <c r="H24" s="2">
        <f>IF(D24="none","outside the day",IF(ISNUMBER(MATCH(G24,Seats!$H$2:$H$36,0)),INDEX(Seats!$D$2:$D$36,MATCH(G24,Seats!$H$2:$H$36,0)),"spare"))</f>
        <v/>
      </c>
      <c r="I24" s="2">
        <f>IF(LEFT(H24,1)="G",INDEX(Seats!$B$2:$B$36,MATCH(G24,Seats!$H$2:$H$36,0)),"")</f>
        <v/>
      </c>
      <c r="J24" s="2">
        <f>IF(I24="","",INDEX(Seats!$E$2:$E$36,MATCH(G24,Seats!$H$2:$H$36,0)))</f>
        <v/>
      </c>
      <c r="K24" s="2">
        <f>IF(I24="","",INDEX(Seats!$F$2:$F$36,MATCH(G24,Seats!$H$2:$H$36,0)))</f>
        <v/>
      </c>
      <c r="L24" s="2">
        <f>IF(I24="","",IF(COUNTIFS($A$2:$A$43,A24,$I$2:$I$43,I24)&gt;1,"yes","no"))</f>
        <v/>
      </c>
      <c r="M24" s="2">
        <f>IF(D24=1,F24,IF(D24=2,Settings!$B$5+F24,""))</f>
        <v/>
      </c>
      <c r="N24" s="2">
        <f>IF(I24="","",INDEX(Seats!$I$2:$I$36,MATCH(G24,Seats!$H$2:$H$36,0)))</f>
        <v/>
      </c>
      <c r="O24" s="2">
        <f>IF(I24="","",INDEX(Seats!$J$2:$J$36,MATCH(G24,Seats!$H$2:$H$36,0)))</f>
        <v/>
      </c>
      <c r="P24" s="2">
        <f>IF(I24="","",INDEX(Seats!$K$2:$K$36,MATCH(G24,Seats!$H$2:$H$36,0)))</f>
        <v/>
      </c>
      <c r="Q24" s="2">
        <f>IF(I24="","",INDEX(Seats!$L$2:$L$36,MATCH(G24,Seats!$H$2:$H$36,0)))</f>
        <v/>
      </c>
      <c r="R24" s="2">
        <f>IF(I24="",H24,H24&amp;", set "&amp;J24&amp;", "&amp;N24&amp;": "&amp;O24&amp;", "&amp;P24&amp;", "&amp;Q24&amp;IF(S24="after Monday","; reserves after Monday's allocation","; reserves "&amp;S24&amp;", "&amp;T24&amp;", "&amp;U24))</f>
        <v/>
      </c>
      <c r="S24" s="2">
        <f>IF(I24="","",INDEX(Seats!$Q$2:$Q$36,MATCH(G24,Seats!$H$2:$H$36,0)))</f>
        <v/>
      </c>
      <c r="T24" s="2">
        <f>IF(I24="","",INDEX(Seats!$R$2:$R$36,MATCH(G24,Seats!$H$2:$H$36,0)))</f>
        <v/>
      </c>
      <c r="U24" s="2">
        <f>IF(I24="","",INDEX(Seats!$S$2:$S$36,MATCH(G24,Seats!$H$2:$H$36,0)))</f>
        <v/>
      </c>
    </row>
    <row r="25">
      <c r="A25" s="2" t="n">
        <v>8</v>
      </c>
      <c r="B25" s="2" t="inlineStr">
        <is>
          <t>Principal Advisor</t>
        </is>
      </c>
      <c r="C25" s="2" t="inlineStr">
        <is>
          <t>online</t>
        </is>
      </c>
      <c r="D25" s="2">
        <f>IF(A25&lt;=Settings!$B$9,1,IF(A25&lt;=Settings!$B$11,2,"none"))</f>
        <v/>
      </c>
      <c r="E25" s="2">
        <f>IF(D25=1,Settings!$B$6+(A25-1)*Settings!$B$8,IF(D25=2,(A25-Settings!$B$9-1)*Settings!$B$8,""))</f>
        <v/>
      </c>
      <c r="F25" s="2">
        <f>IF(E25="","",E25+Settings!$B$3)</f>
        <v/>
      </c>
      <c r="G25" s="2">
        <f>(A25-1)*Settings!$B$12+3</f>
        <v/>
      </c>
      <c r="H25" s="2">
        <f>IF(D25="none","outside the day",IF(ISNUMBER(MATCH(G25,Seats!$H$2:$H$36,0)),INDEX(Seats!$D$2:$D$36,MATCH(G25,Seats!$H$2:$H$36,0)),"spare"))</f>
        <v/>
      </c>
      <c r="I25" s="2">
        <f>IF(LEFT(H25,1)="G",INDEX(Seats!$B$2:$B$36,MATCH(G25,Seats!$H$2:$H$36,0)),"")</f>
        <v/>
      </c>
      <c r="J25" s="2">
        <f>IF(I25="","",INDEX(Seats!$E$2:$E$36,MATCH(G25,Seats!$H$2:$H$36,0)))</f>
        <v/>
      </c>
      <c r="K25" s="2">
        <f>IF(I25="","",INDEX(Seats!$F$2:$F$36,MATCH(G25,Seats!$H$2:$H$36,0)))</f>
        <v/>
      </c>
      <c r="L25" s="2">
        <f>IF(I25="","",IF(COUNTIFS($A$2:$A$43,A25,$I$2:$I$43,I25)&gt;1,"yes","no"))</f>
        <v/>
      </c>
      <c r="M25" s="2">
        <f>IF(D25=1,F25,IF(D25=2,Settings!$B$5+F25,""))</f>
        <v/>
      </c>
      <c r="N25" s="2">
        <f>IF(I25="","",INDEX(Seats!$I$2:$I$36,MATCH(G25,Seats!$H$2:$H$36,0)))</f>
        <v/>
      </c>
      <c r="O25" s="2">
        <f>IF(I25="","",INDEX(Seats!$J$2:$J$36,MATCH(G25,Seats!$H$2:$H$36,0)))</f>
        <v/>
      </c>
      <c r="P25" s="2">
        <f>IF(I25="","",INDEX(Seats!$K$2:$K$36,MATCH(G25,Seats!$H$2:$H$36,0)))</f>
        <v/>
      </c>
      <c r="Q25" s="2">
        <f>IF(I25="","",INDEX(Seats!$L$2:$L$36,MATCH(G25,Seats!$H$2:$H$36,0)))</f>
        <v/>
      </c>
      <c r="R25" s="2">
        <f>IF(I25="",H25,H25&amp;", set "&amp;J25&amp;", "&amp;N25&amp;": "&amp;O25&amp;", "&amp;P25&amp;", "&amp;Q25&amp;IF(S25="after Monday","; reserves after Monday's allocation","; reserves "&amp;S25&amp;", "&amp;T25&amp;", "&amp;U25))</f>
        <v/>
      </c>
      <c r="S25" s="2">
        <f>IF(I25="","",INDEX(Seats!$Q$2:$Q$36,MATCH(G25,Seats!$H$2:$H$36,0)))</f>
        <v/>
      </c>
      <c r="T25" s="2">
        <f>IF(I25="","",INDEX(Seats!$R$2:$R$36,MATCH(G25,Seats!$H$2:$H$36,0)))</f>
        <v/>
      </c>
      <c r="U25" s="2">
        <f>IF(I25="","",INDEX(Seats!$S$2:$S$36,MATCH(G25,Seats!$H$2:$H$36,0)))</f>
        <v/>
      </c>
    </row>
    <row r="26">
      <c r="A26" s="2" t="n">
        <v>9</v>
      </c>
      <c r="B26" s="2" t="inlineStr">
        <is>
          <t>Programme Head</t>
        </is>
      </c>
      <c r="C26" s="2" t="inlineStr">
        <is>
          <t>in person</t>
        </is>
      </c>
      <c r="D26" s="2">
        <f>IF(A26&lt;=Settings!$B$9,1,IF(A26&lt;=Settings!$B$11,2,"none"))</f>
        <v/>
      </c>
      <c r="E26" s="2">
        <f>IF(D26=1,Settings!$B$6+(A26-1)*Settings!$B$8,IF(D26=2,(A26-Settings!$B$9-1)*Settings!$B$8,""))</f>
        <v/>
      </c>
      <c r="F26" s="2">
        <f>IF(E26="","",E26+Settings!$B$3)</f>
        <v/>
      </c>
      <c r="G26" s="2">
        <f>(A26-1)*Settings!$B$12+1</f>
        <v/>
      </c>
      <c r="H26" s="2">
        <f>IF(D26="none","outside the day",IF(ISNUMBER(MATCH(G26,Seats!$H$2:$H$36,0)),INDEX(Seats!$D$2:$D$36,MATCH(G26,Seats!$H$2:$H$36,0)),"spare"))</f>
        <v/>
      </c>
      <c r="I26" s="2">
        <f>IF(LEFT(H26,1)="G",INDEX(Seats!$B$2:$B$36,MATCH(G26,Seats!$H$2:$H$36,0)),"")</f>
        <v/>
      </c>
      <c r="J26" s="2">
        <f>IF(I26="","",INDEX(Seats!$E$2:$E$36,MATCH(G26,Seats!$H$2:$H$36,0)))</f>
        <v/>
      </c>
      <c r="K26" s="2">
        <f>IF(I26="","",INDEX(Seats!$F$2:$F$36,MATCH(G26,Seats!$H$2:$H$36,0)))</f>
        <v/>
      </c>
      <c r="L26" s="2">
        <f>IF(I26="","",IF(COUNTIFS($A$2:$A$43,A26,$I$2:$I$43,I26)&gt;1,"yes","no"))</f>
        <v/>
      </c>
      <c r="M26" s="2">
        <f>IF(D26=1,F26,IF(D26=2,Settings!$B$5+F26,""))</f>
        <v/>
      </c>
      <c r="N26" s="2">
        <f>IF(I26="","",INDEX(Seats!$I$2:$I$36,MATCH(G26,Seats!$H$2:$H$36,0)))</f>
        <v/>
      </c>
      <c r="O26" s="2">
        <f>IF(I26="","",INDEX(Seats!$J$2:$J$36,MATCH(G26,Seats!$H$2:$H$36,0)))</f>
        <v/>
      </c>
      <c r="P26" s="2">
        <f>IF(I26="","",INDEX(Seats!$K$2:$K$36,MATCH(G26,Seats!$H$2:$H$36,0)))</f>
        <v/>
      </c>
      <c r="Q26" s="2">
        <f>IF(I26="","",INDEX(Seats!$L$2:$L$36,MATCH(G26,Seats!$H$2:$H$36,0)))</f>
        <v/>
      </c>
      <c r="R26" s="2">
        <f>IF(I26="",H26,H26&amp;", set "&amp;J26&amp;", "&amp;N26&amp;": "&amp;O26&amp;", "&amp;P26&amp;", "&amp;Q26&amp;IF(S26="after Monday","; reserves after Monday's allocation","; reserves "&amp;S26&amp;", "&amp;T26&amp;", "&amp;U26))</f>
        <v/>
      </c>
      <c r="S26" s="2">
        <f>IF(I26="","",INDEX(Seats!$Q$2:$Q$36,MATCH(G26,Seats!$H$2:$H$36,0)))</f>
        <v/>
      </c>
      <c r="T26" s="2">
        <f>IF(I26="","",INDEX(Seats!$R$2:$R$36,MATCH(G26,Seats!$H$2:$H$36,0)))</f>
        <v/>
      </c>
      <c r="U26" s="2">
        <f>IF(I26="","",INDEX(Seats!$S$2:$S$36,MATCH(G26,Seats!$H$2:$H$36,0)))</f>
        <v/>
      </c>
    </row>
    <row r="27">
      <c r="A27" s="2" t="n">
        <v>9</v>
      </c>
      <c r="B27" s="2" t="inlineStr">
        <is>
          <t>Academic TA</t>
        </is>
      </c>
      <c r="C27" s="2" t="inlineStr">
        <is>
          <t>in person</t>
        </is>
      </c>
      <c r="D27" s="2">
        <f>IF(A27&lt;=Settings!$B$9,1,IF(A27&lt;=Settings!$B$11,2,"none"))</f>
        <v/>
      </c>
      <c r="E27" s="2">
        <f>IF(D27=1,Settings!$B$6+(A27-1)*Settings!$B$8,IF(D27=2,(A27-Settings!$B$9-1)*Settings!$B$8,""))</f>
        <v/>
      </c>
      <c r="F27" s="2">
        <f>IF(E27="","",E27+Settings!$B$3)</f>
        <v/>
      </c>
      <c r="G27" s="2">
        <f>(A27-1)*Settings!$B$12+2</f>
        <v/>
      </c>
      <c r="H27" s="2">
        <f>IF(D27="none","outside the day",IF(ISNUMBER(MATCH(G27,Seats!$H$2:$H$36,0)),INDEX(Seats!$D$2:$D$36,MATCH(G27,Seats!$H$2:$H$36,0)),"spare"))</f>
        <v/>
      </c>
      <c r="I27" s="2">
        <f>IF(LEFT(H27,1)="G",INDEX(Seats!$B$2:$B$36,MATCH(G27,Seats!$H$2:$H$36,0)),"")</f>
        <v/>
      </c>
      <c r="J27" s="2">
        <f>IF(I27="","",INDEX(Seats!$E$2:$E$36,MATCH(G27,Seats!$H$2:$H$36,0)))</f>
        <v/>
      </c>
      <c r="K27" s="2">
        <f>IF(I27="","",INDEX(Seats!$F$2:$F$36,MATCH(G27,Seats!$H$2:$H$36,0)))</f>
        <v/>
      </c>
      <c r="L27" s="2">
        <f>IF(I27="","",IF(COUNTIFS($A$2:$A$43,A27,$I$2:$I$43,I27)&gt;1,"yes","no"))</f>
        <v/>
      </c>
      <c r="M27" s="2">
        <f>IF(D27=1,F27,IF(D27=2,Settings!$B$5+F27,""))</f>
        <v/>
      </c>
      <c r="N27" s="2">
        <f>IF(I27="","",INDEX(Seats!$I$2:$I$36,MATCH(G27,Seats!$H$2:$H$36,0)))</f>
        <v/>
      </c>
      <c r="O27" s="2">
        <f>IF(I27="","",INDEX(Seats!$J$2:$J$36,MATCH(G27,Seats!$H$2:$H$36,0)))</f>
        <v/>
      </c>
      <c r="P27" s="2">
        <f>IF(I27="","",INDEX(Seats!$K$2:$K$36,MATCH(G27,Seats!$H$2:$H$36,0)))</f>
        <v/>
      </c>
      <c r="Q27" s="2">
        <f>IF(I27="","",INDEX(Seats!$L$2:$L$36,MATCH(G27,Seats!$H$2:$H$36,0)))</f>
        <v/>
      </c>
      <c r="R27" s="2">
        <f>IF(I27="",H27,H27&amp;", set "&amp;J27&amp;", "&amp;N27&amp;": "&amp;O27&amp;", "&amp;P27&amp;", "&amp;Q27&amp;IF(S27="after Monday","; reserves after Monday's allocation","; reserves "&amp;S27&amp;", "&amp;T27&amp;", "&amp;U27))</f>
        <v/>
      </c>
      <c r="S27" s="2">
        <f>IF(I27="","",INDEX(Seats!$Q$2:$Q$36,MATCH(G27,Seats!$H$2:$H$36,0)))</f>
        <v/>
      </c>
      <c r="T27" s="2">
        <f>IF(I27="","",INDEX(Seats!$R$2:$R$36,MATCH(G27,Seats!$H$2:$H$36,0)))</f>
        <v/>
      </c>
      <c r="U27" s="2">
        <f>IF(I27="","",INDEX(Seats!$S$2:$S$36,MATCH(G27,Seats!$H$2:$H$36,0)))</f>
        <v/>
      </c>
    </row>
    <row r="28">
      <c r="A28" s="2" t="n">
        <v>9</v>
      </c>
      <c r="B28" s="2" t="inlineStr">
        <is>
          <t>Principal Advisor</t>
        </is>
      </c>
      <c r="C28" s="2" t="inlineStr">
        <is>
          <t>online</t>
        </is>
      </c>
      <c r="D28" s="2">
        <f>IF(A28&lt;=Settings!$B$9,1,IF(A28&lt;=Settings!$B$11,2,"none"))</f>
        <v/>
      </c>
      <c r="E28" s="2">
        <f>IF(D28=1,Settings!$B$6+(A28-1)*Settings!$B$8,IF(D28=2,(A28-Settings!$B$9-1)*Settings!$B$8,""))</f>
        <v/>
      </c>
      <c r="F28" s="2">
        <f>IF(E28="","",E28+Settings!$B$3)</f>
        <v/>
      </c>
      <c r="G28" s="2">
        <f>(A28-1)*Settings!$B$12+3</f>
        <v/>
      </c>
      <c r="H28" s="2">
        <f>IF(D28="none","outside the day",IF(ISNUMBER(MATCH(G28,Seats!$H$2:$H$36,0)),INDEX(Seats!$D$2:$D$36,MATCH(G28,Seats!$H$2:$H$36,0)),"spare"))</f>
        <v/>
      </c>
      <c r="I28" s="2">
        <f>IF(LEFT(H28,1)="G",INDEX(Seats!$B$2:$B$36,MATCH(G28,Seats!$H$2:$H$36,0)),"")</f>
        <v/>
      </c>
      <c r="J28" s="2">
        <f>IF(I28="","",INDEX(Seats!$E$2:$E$36,MATCH(G28,Seats!$H$2:$H$36,0)))</f>
        <v/>
      </c>
      <c r="K28" s="2">
        <f>IF(I28="","",INDEX(Seats!$F$2:$F$36,MATCH(G28,Seats!$H$2:$H$36,0)))</f>
        <v/>
      </c>
      <c r="L28" s="2">
        <f>IF(I28="","",IF(COUNTIFS($A$2:$A$43,A28,$I$2:$I$43,I28)&gt;1,"yes","no"))</f>
        <v/>
      </c>
      <c r="M28" s="2">
        <f>IF(D28=1,F28,IF(D28=2,Settings!$B$5+F28,""))</f>
        <v/>
      </c>
      <c r="N28" s="2">
        <f>IF(I28="","",INDEX(Seats!$I$2:$I$36,MATCH(G28,Seats!$H$2:$H$36,0)))</f>
        <v/>
      </c>
      <c r="O28" s="2">
        <f>IF(I28="","",INDEX(Seats!$J$2:$J$36,MATCH(G28,Seats!$H$2:$H$36,0)))</f>
        <v/>
      </c>
      <c r="P28" s="2">
        <f>IF(I28="","",INDEX(Seats!$K$2:$K$36,MATCH(G28,Seats!$H$2:$H$36,0)))</f>
        <v/>
      </c>
      <c r="Q28" s="2">
        <f>IF(I28="","",INDEX(Seats!$L$2:$L$36,MATCH(G28,Seats!$H$2:$H$36,0)))</f>
        <v/>
      </c>
      <c r="R28" s="2">
        <f>IF(I28="",H28,H28&amp;", set "&amp;J28&amp;", "&amp;N28&amp;": "&amp;O28&amp;", "&amp;P28&amp;", "&amp;Q28&amp;IF(S28="after Monday","; reserves after Monday's allocation","; reserves "&amp;S28&amp;", "&amp;T28&amp;", "&amp;U28))</f>
        <v/>
      </c>
      <c r="S28" s="2">
        <f>IF(I28="","",INDEX(Seats!$Q$2:$Q$36,MATCH(G28,Seats!$H$2:$H$36,0)))</f>
        <v/>
      </c>
      <c r="T28" s="2">
        <f>IF(I28="","",INDEX(Seats!$R$2:$R$36,MATCH(G28,Seats!$H$2:$H$36,0)))</f>
        <v/>
      </c>
      <c r="U28" s="2">
        <f>IF(I28="","",INDEX(Seats!$S$2:$S$36,MATCH(G28,Seats!$H$2:$H$36,0)))</f>
        <v/>
      </c>
    </row>
    <row r="29">
      <c r="A29" s="2" t="n">
        <v>10</v>
      </c>
      <c r="B29" s="2" t="inlineStr">
        <is>
          <t>Programme Head</t>
        </is>
      </c>
      <c r="C29" s="2" t="inlineStr">
        <is>
          <t>in person</t>
        </is>
      </c>
      <c r="D29" s="2">
        <f>IF(A29&lt;=Settings!$B$9,1,IF(A29&lt;=Settings!$B$11,2,"none"))</f>
        <v/>
      </c>
      <c r="E29" s="2">
        <f>IF(D29=1,Settings!$B$6+(A29-1)*Settings!$B$8,IF(D29=2,(A29-Settings!$B$9-1)*Settings!$B$8,""))</f>
        <v/>
      </c>
      <c r="F29" s="2">
        <f>IF(E29="","",E29+Settings!$B$3)</f>
        <v/>
      </c>
      <c r="G29" s="2">
        <f>(A29-1)*Settings!$B$12+1</f>
        <v/>
      </c>
      <c r="H29" s="2">
        <f>IF(D29="none","outside the day",IF(ISNUMBER(MATCH(G29,Seats!$H$2:$H$36,0)),INDEX(Seats!$D$2:$D$36,MATCH(G29,Seats!$H$2:$H$36,0)),"spare"))</f>
        <v/>
      </c>
      <c r="I29" s="2">
        <f>IF(LEFT(H29,1)="G",INDEX(Seats!$B$2:$B$36,MATCH(G29,Seats!$H$2:$H$36,0)),"")</f>
        <v/>
      </c>
      <c r="J29" s="2">
        <f>IF(I29="","",INDEX(Seats!$E$2:$E$36,MATCH(G29,Seats!$H$2:$H$36,0)))</f>
        <v/>
      </c>
      <c r="K29" s="2">
        <f>IF(I29="","",INDEX(Seats!$F$2:$F$36,MATCH(G29,Seats!$H$2:$H$36,0)))</f>
        <v/>
      </c>
      <c r="L29" s="2">
        <f>IF(I29="","",IF(COUNTIFS($A$2:$A$43,A29,$I$2:$I$43,I29)&gt;1,"yes","no"))</f>
        <v/>
      </c>
      <c r="M29" s="2">
        <f>IF(D29=1,F29,IF(D29=2,Settings!$B$5+F29,""))</f>
        <v/>
      </c>
      <c r="N29" s="2">
        <f>IF(I29="","",INDEX(Seats!$I$2:$I$36,MATCH(G29,Seats!$H$2:$H$36,0)))</f>
        <v/>
      </c>
      <c r="O29" s="2">
        <f>IF(I29="","",INDEX(Seats!$J$2:$J$36,MATCH(G29,Seats!$H$2:$H$36,0)))</f>
        <v/>
      </c>
      <c r="P29" s="2">
        <f>IF(I29="","",INDEX(Seats!$K$2:$K$36,MATCH(G29,Seats!$H$2:$H$36,0)))</f>
        <v/>
      </c>
      <c r="Q29" s="2">
        <f>IF(I29="","",INDEX(Seats!$L$2:$L$36,MATCH(G29,Seats!$H$2:$H$36,0)))</f>
        <v/>
      </c>
      <c r="R29" s="2">
        <f>IF(I29="",H29,H29&amp;", set "&amp;J29&amp;", "&amp;N29&amp;": "&amp;O29&amp;", "&amp;P29&amp;", "&amp;Q29&amp;IF(S29="after Monday","; reserves after Monday's allocation","; reserves "&amp;S29&amp;", "&amp;T29&amp;", "&amp;U29))</f>
        <v/>
      </c>
      <c r="S29" s="2">
        <f>IF(I29="","",INDEX(Seats!$Q$2:$Q$36,MATCH(G29,Seats!$H$2:$H$36,0)))</f>
        <v/>
      </c>
      <c r="T29" s="2">
        <f>IF(I29="","",INDEX(Seats!$R$2:$R$36,MATCH(G29,Seats!$H$2:$H$36,0)))</f>
        <v/>
      </c>
      <c r="U29" s="2">
        <f>IF(I29="","",INDEX(Seats!$S$2:$S$36,MATCH(G29,Seats!$H$2:$H$36,0)))</f>
        <v/>
      </c>
    </row>
    <row r="30">
      <c r="A30" s="2" t="n">
        <v>10</v>
      </c>
      <c r="B30" s="2" t="inlineStr">
        <is>
          <t>Academic TA</t>
        </is>
      </c>
      <c r="C30" s="2" t="inlineStr">
        <is>
          <t>in person</t>
        </is>
      </c>
      <c r="D30" s="2">
        <f>IF(A30&lt;=Settings!$B$9,1,IF(A30&lt;=Settings!$B$11,2,"none"))</f>
        <v/>
      </c>
      <c r="E30" s="2">
        <f>IF(D30=1,Settings!$B$6+(A30-1)*Settings!$B$8,IF(D30=2,(A30-Settings!$B$9-1)*Settings!$B$8,""))</f>
        <v/>
      </c>
      <c r="F30" s="2">
        <f>IF(E30="","",E30+Settings!$B$3)</f>
        <v/>
      </c>
      <c r="G30" s="2">
        <f>(A30-1)*Settings!$B$12+2</f>
        <v/>
      </c>
      <c r="H30" s="2">
        <f>IF(D30="none","outside the day",IF(ISNUMBER(MATCH(G30,Seats!$H$2:$H$36,0)),INDEX(Seats!$D$2:$D$36,MATCH(G30,Seats!$H$2:$H$36,0)),"spare"))</f>
        <v/>
      </c>
      <c r="I30" s="2">
        <f>IF(LEFT(H30,1)="G",INDEX(Seats!$B$2:$B$36,MATCH(G30,Seats!$H$2:$H$36,0)),"")</f>
        <v/>
      </c>
      <c r="J30" s="2">
        <f>IF(I30="","",INDEX(Seats!$E$2:$E$36,MATCH(G30,Seats!$H$2:$H$36,0)))</f>
        <v/>
      </c>
      <c r="K30" s="2">
        <f>IF(I30="","",INDEX(Seats!$F$2:$F$36,MATCH(G30,Seats!$H$2:$H$36,0)))</f>
        <v/>
      </c>
      <c r="L30" s="2">
        <f>IF(I30="","",IF(COUNTIFS($A$2:$A$43,A30,$I$2:$I$43,I30)&gt;1,"yes","no"))</f>
        <v/>
      </c>
      <c r="M30" s="2">
        <f>IF(D30=1,F30,IF(D30=2,Settings!$B$5+F30,""))</f>
        <v/>
      </c>
      <c r="N30" s="2">
        <f>IF(I30="","",INDEX(Seats!$I$2:$I$36,MATCH(G30,Seats!$H$2:$H$36,0)))</f>
        <v/>
      </c>
      <c r="O30" s="2">
        <f>IF(I30="","",INDEX(Seats!$J$2:$J$36,MATCH(G30,Seats!$H$2:$H$36,0)))</f>
        <v/>
      </c>
      <c r="P30" s="2">
        <f>IF(I30="","",INDEX(Seats!$K$2:$K$36,MATCH(G30,Seats!$H$2:$H$36,0)))</f>
        <v/>
      </c>
      <c r="Q30" s="2">
        <f>IF(I30="","",INDEX(Seats!$L$2:$L$36,MATCH(G30,Seats!$H$2:$H$36,0)))</f>
        <v/>
      </c>
      <c r="R30" s="2">
        <f>IF(I30="",H30,H30&amp;", set "&amp;J30&amp;", "&amp;N30&amp;": "&amp;O30&amp;", "&amp;P30&amp;", "&amp;Q30&amp;IF(S30="after Monday","; reserves after Monday's allocation","; reserves "&amp;S30&amp;", "&amp;T30&amp;", "&amp;U30))</f>
        <v/>
      </c>
      <c r="S30" s="2">
        <f>IF(I30="","",INDEX(Seats!$Q$2:$Q$36,MATCH(G30,Seats!$H$2:$H$36,0)))</f>
        <v/>
      </c>
      <c r="T30" s="2">
        <f>IF(I30="","",INDEX(Seats!$R$2:$R$36,MATCH(G30,Seats!$H$2:$H$36,0)))</f>
        <v/>
      </c>
      <c r="U30" s="2">
        <f>IF(I30="","",INDEX(Seats!$S$2:$S$36,MATCH(G30,Seats!$H$2:$H$36,0)))</f>
        <v/>
      </c>
    </row>
    <row r="31">
      <c r="A31" s="2" t="n">
        <v>10</v>
      </c>
      <c r="B31" s="2" t="inlineStr">
        <is>
          <t>Principal Advisor</t>
        </is>
      </c>
      <c r="C31" s="2" t="inlineStr">
        <is>
          <t>online</t>
        </is>
      </c>
      <c r="D31" s="2">
        <f>IF(A31&lt;=Settings!$B$9,1,IF(A31&lt;=Settings!$B$11,2,"none"))</f>
        <v/>
      </c>
      <c r="E31" s="2">
        <f>IF(D31=1,Settings!$B$6+(A31-1)*Settings!$B$8,IF(D31=2,(A31-Settings!$B$9-1)*Settings!$B$8,""))</f>
        <v/>
      </c>
      <c r="F31" s="2">
        <f>IF(E31="","",E31+Settings!$B$3)</f>
        <v/>
      </c>
      <c r="G31" s="2">
        <f>(A31-1)*Settings!$B$12+3</f>
        <v/>
      </c>
      <c r="H31" s="2">
        <f>IF(D31="none","outside the day",IF(ISNUMBER(MATCH(G31,Seats!$H$2:$H$36,0)),INDEX(Seats!$D$2:$D$36,MATCH(G31,Seats!$H$2:$H$36,0)),"spare"))</f>
        <v/>
      </c>
      <c r="I31" s="2">
        <f>IF(LEFT(H31,1)="G",INDEX(Seats!$B$2:$B$36,MATCH(G31,Seats!$H$2:$H$36,0)),"")</f>
        <v/>
      </c>
      <c r="J31" s="2">
        <f>IF(I31="","",INDEX(Seats!$E$2:$E$36,MATCH(G31,Seats!$H$2:$H$36,0)))</f>
        <v/>
      </c>
      <c r="K31" s="2">
        <f>IF(I31="","",INDEX(Seats!$F$2:$F$36,MATCH(G31,Seats!$H$2:$H$36,0)))</f>
        <v/>
      </c>
      <c r="L31" s="2">
        <f>IF(I31="","",IF(COUNTIFS($A$2:$A$43,A31,$I$2:$I$43,I31)&gt;1,"yes","no"))</f>
        <v/>
      </c>
      <c r="M31" s="2">
        <f>IF(D31=1,F31,IF(D31=2,Settings!$B$5+F31,""))</f>
        <v/>
      </c>
      <c r="N31" s="2">
        <f>IF(I31="","",INDEX(Seats!$I$2:$I$36,MATCH(G31,Seats!$H$2:$H$36,0)))</f>
        <v/>
      </c>
      <c r="O31" s="2">
        <f>IF(I31="","",INDEX(Seats!$J$2:$J$36,MATCH(G31,Seats!$H$2:$H$36,0)))</f>
        <v/>
      </c>
      <c r="P31" s="2">
        <f>IF(I31="","",INDEX(Seats!$K$2:$K$36,MATCH(G31,Seats!$H$2:$H$36,0)))</f>
        <v/>
      </c>
      <c r="Q31" s="2">
        <f>IF(I31="","",INDEX(Seats!$L$2:$L$36,MATCH(G31,Seats!$H$2:$H$36,0)))</f>
        <v/>
      </c>
      <c r="R31" s="2">
        <f>IF(I31="",H31,H31&amp;", set "&amp;J31&amp;", "&amp;N31&amp;": "&amp;O31&amp;", "&amp;P31&amp;", "&amp;Q31&amp;IF(S31="after Monday","; reserves after Monday's allocation","; reserves "&amp;S31&amp;", "&amp;T31&amp;", "&amp;U31))</f>
        <v/>
      </c>
      <c r="S31" s="2">
        <f>IF(I31="","",INDEX(Seats!$Q$2:$Q$36,MATCH(G31,Seats!$H$2:$H$36,0)))</f>
        <v/>
      </c>
      <c r="T31" s="2">
        <f>IF(I31="","",INDEX(Seats!$R$2:$R$36,MATCH(G31,Seats!$H$2:$H$36,0)))</f>
        <v/>
      </c>
      <c r="U31" s="2">
        <f>IF(I31="","",INDEX(Seats!$S$2:$S$36,MATCH(G31,Seats!$H$2:$H$36,0)))</f>
        <v/>
      </c>
    </row>
    <row r="32">
      <c r="A32" s="2" t="n">
        <v>11</v>
      </c>
      <c r="B32" s="2" t="inlineStr">
        <is>
          <t>Programme Head</t>
        </is>
      </c>
      <c r="C32" s="2" t="inlineStr">
        <is>
          <t>in person</t>
        </is>
      </c>
      <c r="D32" s="2">
        <f>IF(A32&lt;=Settings!$B$9,1,IF(A32&lt;=Settings!$B$11,2,"none"))</f>
        <v/>
      </c>
      <c r="E32" s="2">
        <f>IF(D32=1,Settings!$B$6+(A32-1)*Settings!$B$8,IF(D32=2,(A32-Settings!$B$9-1)*Settings!$B$8,""))</f>
        <v/>
      </c>
      <c r="F32" s="2">
        <f>IF(E32="","",E32+Settings!$B$3)</f>
        <v/>
      </c>
      <c r="G32" s="2">
        <f>(A32-1)*Settings!$B$12+1</f>
        <v/>
      </c>
      <c r="H32" s="2">
        <f>IF(D32="none","outside the day",IF(ISNUMBER(MATCH(G32,Seats!$H$2:$H$36,0)),INDEX(Seats!$D$2:$D$36,MATCH(G32,Seats!$H$2:$H$36,0)),"spare"))</f>
        <v/>
      </c>
      <c r="I32" s="2">
        <f>IF(LEFT(H32,1)="G",INDEX(Seats!$B$2:$B$36,MATCH(G32,Seats!$H$2:$H$36,0)),"")</f>
        <v/>
      </c>
      <c r="J32" s="2">
        <f>IF(I32="","",INDEX(Seats!$E$2:$E$36,MATCH(G32,Seats!$H$2:$H$36,0)))</f>
        <v/>
      </c>
      <c r="K32" s="2">
        <f>IF(I32="","",INDEX(Seats!$F$2:$F$36,MATCH(G32,Seats!$H$2:$H$36,0)))</f>
        <v/>
      </c>
      <c r="L32" s="2">
        <f>IF(I32="","",IF(COUNTIFS($A$2:$A$43,A32,$I$2:$I$43,I32)&gt;1,"yes","no"))</f>
        <v/>
      </c>
      <c r="M32" s="2">
        <f>IF(D32=1,F32,IF(D32=2,Settings!$B$5+F32,""))</f>
        <v/>
      </c>
      <c r="N32" s="2">
        <f>IF(I32="","",INDEX(Seats!$I$2:$I$36,MATCH(G32,Seats!$H$2:$H$36,0)))</f>
        <v/>
      </c>
      <c r="O32" s="2">
        <f>IF(I32="","",INDEX(Seats!$J$2:$J$36,MATCH(G32,Seats!$H$2:$H$36,0)))</f>
        <v/>
      </c>
      <c r="P32" s="2">
        <f>IF(I32="","",INDEX(Seats!$K$2:$K$36,MATCH(G32,Seats!$H$2:$H$36,0)))</f>
        <v/>
      </c>
      <c r="Q32" s="2">
        <f>IF(I32="","",INDEX(Seats!$L$2:$L$36,MATCH(G32,Seats!$H$2:$H$36,0)))</f>
        <v/>
      </c>
      <c r="R32" s="2">
        <f>IF(I32="",H32,H32&amp;", set "&amp;J32&amp;", "&amp;N32&amp;": "&amp;O32&amp;", "&amp;P32&amp;", "&amp;Q32&amp;IF(S32="after Monday","; reserves after Monday's allocation","; reserves "&amp;S32&amp;", "&amp;T32&amp;", "&amp;U32))</f>
        <v/>
      </c>
      <c r="S32" s="2">
        <f>IF(I32="","",INDEX(Seats!$Q$2:$Q$36,MATCH(G32,Seats!$H$2:$H$36,0)))</f>
        <v/>
      </c>
      <c r="T32" s="2">
        <f>IF(I32="","",INDEX(Seats!$R$2:$R$36,MATCH(G32,Seats!$H$2:$H$36,0)))</f>
        <v/>
      </c>
      <c r="U32" s="2">
        <f>IF(I32="","",INDEX(Seats!$S$2:$S$36,MATCH(G32,Seats!$H$2:$H$36,0)))</f>
        <v/>
      </c>
    </row>
    <row r="33">
      <c r="A33" s="2" t="n">
        <v>11</v>
      </c>
      <c r="B33" s="2" t="inlineStr">
        <is>
          <t>Academic TA</t>
        </is>
      </c>
      <c r="C33" s="2" t="inlineStr">
        <is>
          <t>in person</t>
        </is>
      </c>
      <c r="D33" s="2">
        <f>IF(A33&lt;=Settings!$B$9,1,IF(A33&lt;=Settings!$B$11,2,"none"))</f>
        <v/>
      </c>
      <c r="E33" s="2">
        <f>IF(D33=1,Settings!$B$6+(A33-1)*Settings!$B$8,IF(D33=2,(A33-Settings!$B$9-1)*Settings!$B$8,""))</f>
        <v/>
      </c>
      <c r="F33" s="2">
        <f>IF(E33="","",E33+Settings!$B$3)</f>
        <v/>
      </c>
      <c r="G33" s="2">
        <f>(A33-1)*Settings!$B$12+2</f>
        <v/>
      </c>
      <c r="H33" s="2">
        <f>IF(D33="none","outside the day",IF(ISNUMBER(MATCH(G33,Seats!$H$2:$H$36,0)),INDEX(Seats!$D$2:$D$36,MATCH(G33,Seats!$H$2:$H$36,0)),"spare"))</f>
        <v/>
      </c>
      <c r="I33" s="2">
        <f>IF(LEFT(H33,1)="G",INDEX(Seats!$B$2:$B$36,MATCH(G33,Seats!$H$2:$H$36,0)),"")</f>
        <v/>
      </c>
      <c r="J33" s="2">
        <f>IF(I33="","",INDEX(Seats!$E$2:$E$36,MATCH(G33,Seats!$H$2:$H$36,0)))</f>
        <v/>
      </c>
      <c r="K33" s="2">
        <f>IF(I33="","",INDEX(Seats!$F$2:$F$36,MATCH(G33,Seats!$H$2:$H$36,0)))</f>
        <v/>
      </c>
      <c r="L33" s="2">
        <f>IF(I33="","",IF(COUNTIFS($A$2:$A$43,A33,$I$2:$I$43,I33)&gt;1,"yes","no"))</f>
        <v/>
      </c>
      <c r="M33" s="2">
        <f>IF(D33=1,F33,IF(D33=2,Settings!$B$5+F33,""))</f>
        <v/>
      </c>
      <c r="N33" s="2">
        <f>IF(I33="","",INDEX(Seats!$I$2:$I$36,MATCH(G33,Seats!$H$2:$H$36,0)))</f>
        <v/>
      </c>
      <c r="O33" s="2">
        <f>IF(I33="","",INDEX(Seats!$J$2:$J$36,MATCH(G33,Seats!$H$2:$H$36,0)))</f>
        <v/>
      </c>
      <c r="P33" s="2">
        <f>IF(I33="","",INDEX(Seats!$K$2:$K$36,MATCH(G33,Seats!$H$2:$H$36,0)))</f>
        <v/>
      </c>
      <c r="Q33" s="2">
        <f>IF(I33="","",INDEX(Seats!$L$2:$L$36,MATCH(G33,Seats!$H$2:$H$36,0)))</f>
        <v/>
      </c>
      <c r="R33" s="2">
        <f>IF(I33="",H33,H33&amp;", set "&amp;J33&amp;", "&amp;N33&amp;": "&amp;O33&amp;", "&amp;P33&amp;", "&amp;Q33&amp;IF(S33="after Monday","; reserves after Monday's allocation","; reserves "&amp;S33&amp;", "&amp;T33&amp;", "&amp;U33))</f>
        <v/>
      </c>
      <c r="S33" s="2">
        <f>IF(I33="","",INDEX(Seats!$Q$2:$Q$36,MATCH(G33,Seats!$H$2:$H$36,0)))</f>
        <v/>
      </c>
      <c r="T33" s="2">
        <f>IF(I33="","",INDEX(Seats!$R$2:$R$36,MATCH(G33,Seats!$H$2:$H$36,0)))</f>
        <v/>
      </c>
      <c r="U33" s="2">
        <f>IF(I33="","",INDEX(Seats!$S$2:$S$36,MATCH(G33,Seats!$H$2:$H$36,0)))</f>
        <v/>
      </c>
    </row>
    <row r="34">
      <c r="A34" s="2" t="n">
        <v>11</v>
      </c>
      <c r="B34" s="2" t="inlineStr">
        <is>
          <t>Principal Advisor</t>
        </is>
      </c>
      <c r="C34" s="2" t="inlineStr">
        <is>
          <t>online</t>
        </is>
      </c>
      <c r="D34" s="2">
        <f>IF(A34&lt;=Settings!$B$9,1,IF(A34&lt;=Settings!$B$11,2,"none"))</f>
        <v/>
      </c>
      <c r="E34" s="2">
        <f>IF(D34=1,Settings!$B$6+(A34-1)*Settings!$B$8,IF(D34=2,(A34-Settings!$B$9-1)*Settings!$B$8,""))</f>
        <v/>
      </c>
      <c r="F34" s="2">
        <f>IF(E34="","",E34+Settings!$B$3)</f>
        <v/>
      </c>
      <c r="G34" s="2">
        <f>(A34-1)*Settings!$B$12+3</f>
        <v/>
      </c>
      <c r="H34" s="2">
        <f>IF(D34="none","outside the day",IF(ISNUMBER(MATCH(G34,Seats!$H$2:$H$36,0)),INDEX(Seats!$D$2:$D$36,MATCH(G34,Seats!$H$2:$H$36,0)),"spare"))</f>
        <v/>
      </c>
      <c r="I34" s="2">
        <f>IF(LEFT(H34,1)="G",INDEX(Seats!$B$2:$B$36,MATCH(G34,Seats!$H$2:$H$36,0)),"")</f>
        <v/>
      </c>
      <c r="J34" s="2">
        <f>IF(I34="","",INDEX(Seats!$E$2:$E$36,MATCH(G34,Seats!$H$2:$H$36,0)))</f>
        <v/>
      </c>
      <c r="K34" s="2">
        <f>IF(I34="","",INDEX(Seats!$F$2:$F$36,MATCH(G34,Seats!$H$2:$H$36,0)))</f>
        <v/>
      </c>
      <c r="L34" s="2">
        <f>IF(I34="","",IF(COUNTIFS($A$2:$A$43,A34,$I$2:$I$43,I34)&gt;1,"yes","no"))</f>
        <v/>
      </c>
      <c r="M34" s="2">
        <f>IF(D34=1,F34,IF(D34=2,Settings!$B$5+F34,""))</f>
        <v/>
      </c>
      <c r="N34" s="2">
        <f>IF(I34="","",INDEX(Seats!$I$2:$I$36,MATCH(G34,Seats!$H$2:$H$36,0)))</f>
        <v/>
      </c>
      <c r="O34" s="2">
        <f>IF(I34="","",INDEX(Seats!$J$2:$J$36,MATCH(G34,Seats!$H$2:$H$36,0)))</f>
        <v/>
      </c>
      <c r="P34" s="2">
        <f>IF(I34="","",INDEX(Seats!$K$2:$K$36,MATCH(G34,Seats!$H$2:$H$36,0)))</f>
        <v/>
      </c>
      <c r="Q34" s="2">
        <f>IF(I34="","",INDEX(Seats!$L$2:$L$36,MATCH(G34,Seats!$H$2:$H$36,0)))</f>
        <v/>
      </c>
      <c r="R34" s="2">
        <f>IF(I34="",H34,H34&amp;", set "&amp;J34&amp;", "&amp;N34&amp;": "&amp;O34&amp;", "&amp;P34&amp;", "&amp;Q34&amp;IF(S34="after Monday","; reserves after Monday's allocation","; reserves "&amp;S34&amp;", "&amp;T34&amp;", "&amp;U34))</f>
        <v/>
      </c>
      <c r="S34" s="2">
        <f>IF(I34="","",INDEX(Seats!$Q$2:$Q$36,MATCH(G34,Seats!$H$2:$H$36,0)))</f>
        <v/>
      </c>
      <c r="T34" s="2">
        <f>IF(I34="","",INDEX(Seats!$R$2:$R$36,MATCH(G34,Seats!$H$2:$H$36,0)))</f>
        <v/>
      </c>
      <c r="U34" s="2">
        <f>IF(I34="","",INDEX(Seats!$S$2:$S$36,MATCH(G34,Seats!$H$2:$H$36,0)))</f>
        <v/>
      </c>
    </row>
    <row r="35">
      <c r="A35" s="2" t="n">
        <v>12</v>
      </c>
      <c r="B35" s="2" t="inlineStr">
        <is>
          <t>Programme Head</t>
        </is>
      </c>
      <c r="C35" s="2" t="inlineStr">
        <is>
          <t>in person</t>
        </is>
      </c>
      <c r="D35" s="2">
        <f>IF(A35&lt;=Settings!$B$9,1,IF(A35&lt;=Settings!$B$11,2,"none"))</f>
        <v/>
      </c>
      <c r="E35" s="2">
        <f>IF(D35=1,Settings!$B$6+(A35-1)*Settings!$B$8,IF(D35=2,(A35-Settings!$B$9-1)*Settings!$B$8,""))</f>
        <v/>
      </c>
      <c r="F35" s="2">
        <f>IF(E35="","",E35+Settings!$B$3)</f>
        <v/>
      </c>
      <c r="G35" s="2">
        <f>(A35-1)*Settings!$B$12+1</f>
        <v/>
      </c>
      <c r="H35" s="2">
        <f>IF(D35="none","outside the day",IF(ISNUMBER(MATCH(G35,Seats!$H$2:$H$36,0)),INDEX(Seats!$D$2:$D$36,MATCH(G35,Seats!$H$2:$H$36,0)),"spare"))</f>
        <v/>
      </c>
      <c r="I35" s="2">
        <f>IF(LEFT(H35,1)="G",INDEX(Seats!$B$2:$B$36,MATCH(G35,Seats!$H$2:$H$36,0)),"")</f>
        <v/>
      </c>
      <c r="J35" s="2">
        <f>IF(I35="","",INDEX(Seats!$E$2:$E$36,MATCH(G35,Seats!$H$2:$H$36,0)))</f>
        <v/>
      </c>
      <c r="K35" s="2">
        <f>IF(I35="","",INDEX(Seats!$F$2:$F$36,MATCH(G35,Seats!$H$2:$H$36,0)))</f>
        <v/>
      </c>
      <c r="L35" s="2">
        <f>IF(I35="","",IF(COUNTIFS($A$2:$A$43,A35,$I$2:$I$43,I35)&gt;1,"yes","no"))</f>
        <v/>
      </c>
      <c r="M35" s="2">
        <f>IF(D35=1,F35,IF(D35=2,Settings!$B$5+F35,""))</f>
        <v/>
      </c>
      <c r="N35" s="2">
        <f>IF(I35="","",INDEX(Seats!$I$2:$I$36,MATCH(G35,Seats!$H$2:$H$36,0)))</f>
        <v/>
      </c>
      <c r="O35" s="2">
        <f>IF(I35="","",INDEX(Seats!$J$2:$J$36,MATCH(G35,Seats!$H$2:$H$36,0)))</f>
        <v/>
      </c>
      <c r="P35" s="2">
        <f>IF(I35="","",INDEX(Seats!$K$2:$K$36,MATCH(G35,Seats!$H$2:$H$36,0)))</f>
        <v/>
      </c>
      <c r="Q35" s="2">
        <f>IF(I35="","",INDEX(Seats!$L$2:$L$36,MATCH(G35,Seats!$H$2:$H$36,0)))</f>
        <v/>
      </c>
      <c r="R35" s="2">
        <f>IF(I35="",H35,H35&amp;", set "&amp;J35&amp;", "&amp;N35&amp;": "&amp;O35&amp;", "&amp;P35&amp;", "&amp;Q35&amp;IF(S35="after Monday","; reserves after Monday's allocation","; reserves "&amp;S35&amp;", "&amp;T35&amp;", "&amp;U35))</f>
        <v/>
      </c>
      <c r="S35" s="2">
        <f>IF(I35="","",INDEX(Seats!$Q$2:$Q$36,MATCH(G35,Seats!$H$2:$H$36,0)))</f>
        <v/>
      </c>
      <c r="T35" s="2">
        <f>IF(I35="","",INDEX(Seats!$R$2:$R$36,MATCH(G35,Seats!$H$2:$H$36,0)))</f>
        <v/>
      </c>
      <c r="U35" s="2">
        <f>IF(I35="","",INDEX(Seats!$S$2:$S$36,MATCH(G35,Seats!$H$2:$H$36,0)))</f>
        <v/>
      </c>
    </row>
    <row r="36">
      <c r="A36" s="2" t="n">
        <v>12</v>
      </c>
      <c r="B36" s="2" t="inlineStr">
        <is>
          <t>Academic TA</t>
        </is>
      </c>
      <c r="C36" s="2" t="inlineStr">
        <is>
          <t>in person</t>
        </is>
      </c>
      <c r="D36" s="2">
        <f>IF(A36&lt;=Settings!$B$9,1,IF(A36&lt;=Settings!$B$11,2,"none"))</f>
        <v/>
      </c>
      <c r="E36" s="2">
        <f>IF(D36=1,Settings!$B$6+(A36-1)*Settings!$B$8,IF(D36=2,(A36-Settings!$B$9-1)*Settings!$B$8,""))</f>
        <v/>
      </c>
      <c r="F36" s="2">
        <f>IF(E36="","",E36+Settings!$B$3)</f>
        <v/>
      </c>
      <c r="G36" s="2">
        <f>(A36-1)*Settings!$B$12+2</f>
        <v/>
      </c>
      <c r="H36" s="2">
        <f>IF(D36="none","outside the day",IF(ISNUMBER(MATCH(G36,Seats!$H$2:$H$36,0)),INDEX(Seats!$D$2:$D$36,MATCH(G36,Seats!$H$2:$H$36,0)),"spare"))</f>
        <v/>
      </c>
      <c r="I36" s="2">
        <f>IF(LEFT(H36,1)="G",INDEX(Seats!$B$2:$B$36,MATCH(G36,Seats!$H$2:$H$36,0)),"")</f>
        <v/>
      </c>
      <c r="J36" s="2">
        <f>IF(I36="","",INDEX(Seats!$E$2:$E$36,MATCH(G36,Seats!$H$2:$H$36,0)))</f>
        <v/>
      </c>
      <c r="K36" s="2">
        <f>IF(I36="","",INDEX(Seats!$F$2:$F$36,MATCH(G36,Seats!$H$2:$H$36,0)))</f>
        <v/>
      </c>
      <c r="L36" s="2">
        <f>IF(I36="","",IF(COUNTIFS($A$2:$A$43,A36,$I$2:$I$43,I36)&gt;1,"yes","no"))</f>
        <v/>
      </c>
      <c r="M36" s="2">
        <f>IF(D36=1,F36,IF(D36=2,Settings!$B$5+F36,""))</f>
        <v/>
      </c>
      <c r="N36" s="2">
        <f>IF(I36="","",INDEX(Seats!$I$2:$I$36,MATCH(G36,Seats!$H$2:$H$36,0)))</f>
        <v/>
      </c>
      <c r="O36" s="2">
        <f>IF(I36="","",INDEX(Seats!$J$2:$J$36,MATCH(G36,Seats!$H$2:$H$36,0)))</f>
        <v/>
      </c>
      <c r="P36" s="2">
        <f>IF(I36="","",INDEX(Seats!$K$2:$K$36,MATCH(G36,Seats!$H$2:$H$36,0)))</f>
        <v/>
      </c>
      <c r="Q36" s="2">
        <f>IF(I36="","",INDEX(Seats!$L$2:$L$36,MATCH(G36,Seats!$H$2:$H$36,0)))</f>
        <v/>
      </c>
      <c r="R36" s="2">
        <f>IF(I36="",H36,H36&amp;", set "&amp;J36&amp;", "&amp;N36&amp;": "&amp;O36&amp;", "&amp;P36&amp;", "&amp;Q36&amp;IF(S36="after Monday","; reserves after Monday's allocation","; reserves "&amp;S36&amp;", "&amp;T36&amp;", "&amp;U36))</f>
        <v/>
      </c>
      <c r="S36" s="2">
        <f>IF(I36="","",INDEX(Seats!$Q$2:$Q$36,MATCH(G36,Seats!$H$2:$H$36,0)))</f>
        <v/>
      </c>
      <c r="T36" s="2">
        <f>IF(I36="","",INDEX(Seats!$R$2:$R$36,MATCH(G36,Seats!$H$2:$H$36,0)))</f>
        <v/>
      </c>
      <c r="U36" s="2">
        <f>IF(I36="","",INDEX(Seats!$S$2:$S$36,MATCH(G36,Seats!$H$2:$H$36,0)))</f>
        <v/>
      </c>
    </row>
    <row r="37">
      <c r="A37" s="2" t="n">
        <v>12</v>
      </c>
      <c r="B37" s="2" t="inlineStr">
        <is>
          <t>Principal Advisor</t>
        </is>
      </c>
      <c r="C37" s="2" t="inlineStr">
        <is>
          <t>online</t>
        </is>
      </c>
      <c r="D37" s="2">
        <f>IF(A37&lt;=Settings!$B$9,1,IF(A37&lt;=Settings!$B$11,2,"none"))</f>
        <v/>
      </c>
      <c r="E37" s="2">
        <f>IF(D37=1,Settings!$B$6+(A37-1)*Settings!$B$8,IF(D37=2,(A37-Settings!$B$9-1)*Settings!$B$8,""))</f>
        <v/>
      </c>
      <c r="F37" s="2">
        <f>IF(E37="","",E37+Settings!$B$3)</f>
        <v/>
      </c>
      <c r="G37" s="2">
        <f>(A37-1)*Settings!$B$12+3</f>
        <v/>
      </c>
      <c r="H37" s="2">
        <f>IF(D37="none","outside the day",IF(ISNUMBER(MATCH(G37,Seats!$H$2:$H$36,0)),INDEX(Seats!$D$2:$D$36,MATCH(G37,Seats!$H$2:$H$36,0)),"spare"))</f>
        <v/>
      </c>
      <c r="I37" s="2">
        <f>IF(LEFT(H37,1)="G",INDEX(Seats!$B$2:$B$36,MATCH(G37,Seats!$H$2:$H$36,0)),"")</f>
        <v/>
      </c>
      <c r="J37" s="2">
        <f>IF(I37="","",INDEX(Seats!$E$2:$E$36,MATCH(G37,Seats!$H$2:$H$36,0)))</f>
        <v/>
      </c>
      <c r="K37" s="2">
        <f>IF(I37="","",INDEX(Seats!$F$2:$F$36,MATCH(G37,Seats!$H$2:$H$36,0)))</f>
        <v/>
      </c>
      <c r="L37" s="2">
        <f>IF(I37="","",IF(COUNTIFS($A$2:$A$43,A37,$I$2:$I$43,I37)&gt;1,"yes","no"))</f>
        <v/>
      </c>
      <c r="M37" s="2">
        <f>IF(D37=1,F37,IF(D37=2,Settings!$B$5+F37,""))</f>
        <v/>
      </c>
      <c r="N37" s="2">
        <f>IF(I37="","",INDEX(Seats!$I$2:$I$36,MATCH(G37,Seats!$H$2:$H$36,0)))</f>
        <v/>
      </c>
      <c r="O37" s="2">
        <f>IF(I37="","",INDEX(Seats!$J$2:$J$36,MATCH(G37,Seats!$H$2:$H$36,0)))</f>
        <v/>
      </c>
      <c r="P37" s="2">
        <f>IF(I37="","",INDEX(Seats!$K$2:$K$36,MATCH(G37,Seats!$H$2:$H$36,0)))</f>
        <v/>
      </c>
      <c r="Q37" s="2">
        <f>IF(I37="","",INDEX(Seats!$L$2:$L$36,MATCH(G37,Seats!$H$2:$H$36,0)))</f>
        <v/>
      </c>
      <c r="R37" s="2">
        <f>IF(I37="",H37,H37&amp;", set "&amp;J37&amp;", "&amp;N37&amp;": "&amp;O37&amp;", "&amp;P37&amp;", "&amp;Q37&amp;IF(S37="after Monday","; reserves after Monday's allocation","; reserves "&amp;S37&amp;", "&amp;T37&amp;", "&amp;U37))</f>
        <v/>
      </c>
      <c r="S37" s="2">
        <f>IF(I37="","",INDEX(Seats!$Q$2:$Q$36,MATCH(G37,Seats!$H$2:$H$36,0)))</f>
        <v/>
      </c>
      <c r="T37" s="2">
        <f>IF(I37="","",INDEX(Seats!$R$2:$R$36,MATCH(G37,Seats!$H$2:$H$36,0)))</f>
        <v/>
      </c>
      <c r="U37" s="2">
        <f>IF(I37="","",INDEX(Seats!$S$2:$S$36,MATCH(G37,Seats!$H$2:$H$36,0)))</f>
        <v/>
      </c>
    </row>
    <row r="38">
      <c r="A38" s="2" t="n">
        <v>13</v>
      </c>
      <c r="B38" s="2" t="inlineStr">
        <is>
          <t>Programme Head</t>
        </is>
      </c>
      <c r="C38" s="2" t="inlineStr">
        <is>
          <t>in person</t>
        </is>
      </c>
      <c r="D38" s="2">
        <f>IF(A38&lt;=Settings!$B$9,1,IF(A38&lt;=Settings!$B$11,2,"none"))</f>
        <v/>
      </c>
      <c r="E38" s="2">
        <f>IF(D38=1,Settings!$B$6+(A38-1)*Settings!$B$8,IF(D38=2,(A38-Settings!$B$9-1)*Settings!$B$8,""))</f>
        <v/>
      </c>
      <c r="F38" s="2">
        <f>IF(E38="","",E38+Settings!$B$3)</f>
        <v/>
      </c>
      <c r="G38" s="2">
        <f>(A38-1)*Settings!$B$12+1</f>
        <v/>
      </c>
      <c r="H38" s="2">
        <f>IF(D38="none","outside the day",IF(ISNUMBER(MATCH(G38,Seats!$H$2:$H$36,0)),INDEX(Seats!$D$2:$D$36,MATCH(G38,Seats!$H$2:$H$36,0)),"spare"))</f>
        <v/>
      </c>
      <c r="I38" s="2">
        <f>IF(LEFT(H38,1)="G",INDEX(Seats!$B$2:$B$36,MATCH(G38,Seats!$H$2:$H$36,0)),"")</f>
        <v/>
      </c>
      <c r="J38" s="2">
        <f>IF(I38="","",INDEX(Seats!$E$2:$E$36,MATCH(G38,Seats!$H$2:$H$36,0)))</f>
        <v/>
      </c>
      <c r="K38" s="2">
        <f>IF(I38="","",INDEX(Seats!$F$2:$F$36,MATCH(G38,Seats!$H$2:$H$36,0)))</f>
        <v/>
      </c>
      <c r="L38" s="2">
        <f>IF(I38="","",IF(COUNTIFS($A$2:$A$43,A38,$I$2:$I$43,I38)&gt;1,"yes","no"))</f>
        <v/>
      </c>
      <c r="M38" s="2">
        <f>IF(D38=1,F38,IF(D38=2,Settings!$B$5+F38,""))</f>
        <v/>
      </c>
      <c r="N38" s="2">
        <f>IF(I38="","",INDEX(Seats!$I$2:$I$36,MATCH(G38,Seats!$H$2:$H$36,0)))</f>
        <v/>
      </c>
      <c r="O38" s="2">
        <f>IF(I38="","",INDEX(Seats!$J$2:$J$36,MATCH(G38,Seats!$H$2:$H$36,0)))</f>
        <v/>
      </c>
      <c r="P38" s="2">
        <f>IF(I38="","",INDEX(Seats!$K$2:$K$36,MATCH(G38,Seats!$H$2:$H$36,0)))</f>
        <v/>
      </c>
      <c r="Q38" s="2">
        <f>IF(I38="","",INDEX(Seats!$L$2:$L$36,MATCH(G38,Seats!$H$2:$H$36,0)))</f>
        <v/>
      </c>
      <c r="R38" s="2">
        <f>IF(I38="",H38,H38&amp;", set "&amp;J38&amp;", "&amp;N38&amp;": "&amp;O38&amp;", "&amp;P38&amp;", "&amp;Q38&amp;IF(S38="after Monday","; reserves after Monday's allocation","; reserves "&amp;S38&amp;", "&amp;T38&amp;", "&amp;U38))</f>
        <v/>
      </c>
      <c r="S38" s="2">
        <f>IF(I38="","",INDEX(Seats!$Q$2:$Q$36,MATCH(G38,Seats!$H$2:$H$36,0)))</f>
        <v/>
      </c>
      <c r="T38" s="2">
        <f>IF(I38="","",INDEX(Seats!$R$2:$R$36,MATCH(G38,Seats!$H$2:$H$36,0)))</f>
        <v/>
      </c>
      <c r="U38" s="2">
        <f>IF(I38="","",INDEX(Seats!$S$2:$S$36,MATCH(G38,Seats!$H$2:$H$36,0)))</f>
        <v/>
      </c>
    </row>
    <row r="39">
      <c r="A39" s="2" t="n">
        <v>13</v>
      </c>
      <c r="B39" s="2" t="inlineStr">
        <is>
          <t>Academic TA</t>
        </is>
      </c>
      <c r="C39" s="2" t="inlineStr">
        <is>
          <t>in person</t>
        </is>
      </c>
      <c r="D39" s="2">
        <f>IF(A39&lt;=Settings!$B$9,1,IF(A39&lt;=Settings!$B$11,2,"none"))</f>
        <v/>
      </c>
      <c r="E39" s="2">
        <f>IF(D39=1,Settings!$B$6+(A39-1)*Settings!$B$8,IF(D39=2,(A39-Settings!$B$9-1)*Settings!$B$8,""))</f>
        <v/>
      </c>
      <c r="F39" s="2">
        <f>IF(E39="","",E39+Settings!$B$3)</f>
        <v/>
      </c>
      <c r="G39" s="2">
        <f>(A39-1)*Settings!$B$12+2</f>
        <v/>
      </c>
      <c r="H39" s="2">
        <f>IF(D39="none","outside the day",IF(ISNUMBER(MATCH(G39,Seats!$H$2:$H$36,0)),INDEX(Seats!$D$2:$D$36,MATCH(G39,Seats!$H$2:$H$36,0)),"spare"))</f>
        <v/>
      </c>
      <c r="I39" s="2">
        <f>IF(LEFT(H39,1)="G",INDEX(Seats!$B$2:$B$36,MATCH(G39,Seats!$H$2:$H$36,0)),"")</f>
        <v/>
      </c>
      <c r="J39" s="2">
        <f>IF(I39="","",INDEX(Seats!$E$2:$E$36,MATCH(G39,Seats!$H$2:$H$36,0)))</f>
        <v/>
      </c>
      <c r="K39" s="2">
        <f>IF(I39="","",INDEX(Seats!$F$2:$F$36,MATCH(G39,Seats!$H$2:$H$36,0)))</f>
        <v/>
      </c>
      <c r="L39" s="2">
        <f>IF(I39="","",IF(COUNTIFS($A$2:$A$43,A39,$I$2:$I$43,I39)&gt;1,"yes","no"))</f>
        <v/>
      </c>
      <c r="M39" s="2">
        <f>IF(D39=1,F39,IF(D39=2,Settings!$B$5+F39,""))</f>
        <v/>
      </c>
      <c r="N39" s="2">
        <f>IF(I39="","",INDEX(Seats!$I$2:$I$36,MATCH(G39,Seats!$H$2:$H$36,0)))</f>
        <v/>
      </c>
      <c r="O39" s="2">
        <f>IF(I39="","",INDEX(Seats!$J$2:$J$36,MATCH(G39,Seats!$H$2:$H$36,0)))</f>
        <v/>
      </c>
      <c r="P39" s="2">
        <f>IF(I39="","",INDEX(Seats!$K$2:$K$36,MATCH(G39,Seats!$H$2:$H$36,0)))</f>
        <v/>
      </c>
      <c r="Q39" s="2">
        <f>IF(I39="","",INDEX(Seats!$L$2:$L$36,MATCH(G39,Seats!$H$2:$H$36,0)))</f>
        <v/>
      </c>
      <c r="R39" s="2">
        <f>IF(I39="",H39,H39&amp;", set "&amp;J39&amp;", "&amp;N39&amp;": "&amp;O39&amp;", "&amp;P39&amp;", "&amp;Q39&amp;IF(S39="after Monday","; reserves after Monday's allocation","; reserves "&amp;S39&amp;", "&amp;T39&amp;", "&amp;U39))</f>
        <v/>
      </c>
      <c r="S39" s="2">
        <f>IF(I39="","",INDEX(Seats!$Q$2:$Q$36,MATCH(G39,Seats!$H$2:$H$36,0)))</f>
        <v/>
      </c>
      <c r="T39" s="2">
        <f>IF(I39="","",INDEX(Seats!$R$2:$R$36,MATCH(G39,Seats!$H$2:$H$36,0)))</f>
        <v/>
      </c>
      <c r="U39" s="2">
        <f>IF(I39="","",INDEX(Seats!$S$2:$S$36,MATCH(G39,Seats!$H$2:$H$36,0)))</f>
        <v/>
      </c>
    </row>
    <row r="40">
      <c r="A40" s="2" t="n">
        <v>13</v>
      </c>
      <c r="B40" s="2" t="inlineStr">
        <is>
          <t>Principal Advisor</t>
        </is>
      </c>
      <c r="C40" s="2" t="inlineStr">
        <is>
          <t>online</t>
        </is>
      </c>
      <c r="D40" s="2">
        <f>IF(A40&lt;=Settings!$B$9,1,IF(A40&lt;=Settings!$B$11,2,"none"))</f>
        <v/>
      </c>
      <c r="E40" s="2">
        <f>IF(D40=1,Settings!$B$6+(A40-1)*Settings!$B$8,IF(D40=2,(A40-Settings!$B$9-1)*Settings!$B$8,""))</f>
        <v/>
      </c>
      <c r="F40" s="2">
        <f>IF(E40="","",E40+Settings!$B$3)</f>
        <v/>
      </c>
      <c r="G40" s="2">
        <f>(A40-1)*Settings!$B$12+3</f>
        <v/>
      </c>
      <c r="H40" s="2">
        <f>IF(D40="none","outside the day",IF(ISNUMBER(MATCH(G40,Seats!$H$2:$H$36,0)),INDEX(Seats!$D$2:$D$36,MATCH(G40,Seats!$H$2:$H$36,0)),"spare"))</f>
        <v/>
      </c>
      <c r="I40" s="2">
        <f>IF(LEFT(H40,1)="G",INDEX(Seats!$B$2:$B$36,MATCH(G40,Seats!$H$2:$H$36,0)),"")</f>
        <v/>
      </c>
      <c r="J40" s="2">
        <f>IF(I40="","",INDEX(Seats!$E$2:$E$36,MATCH(G40,Seats!$H$2:$H$36,0)))</f>
        <v/>
      </c>
      <c r="K40" s="2">
        <f>IF(I40="","",INDEX(Seats!$F$2:$F$36,MATCH(G40,Seats!$H$2:$H$36,0)))</f>
        <v/>
      </c>
      <c r="L40" s="2">
        <f>IF(I40="","",IF(COUNTIFS($A$2:$A$43,A40,$I$2:$I$43,I40)&gt;1,"yes","no"))</f>
        <v/>
      </c>
      <c r="M40" s="2">
        <f>IF(D40=1,F40,IF(D40=2,Settings!$B$5+F40,""))</f>
        <v/>
      </c>
      <c r="N40" s="2">
        <f>IF(I40="","",INDEX(Seats!$I$2:$I$36,MATCH(G40,Seats!$H$2:$H$36,0)))</f>
        <v/>
      </c>
      <c r="O40" s="2">
        <f>IF(I40="","",INDEX(Seats!$J$2:$J$36,MATCH(G40,Seats!$H$2:$H$36,0)))</f>
        <v/>
      </c>
      <c r="P40" s="2">
        <f>IF(I40="","",INDEX(Seats!$K$2:$K$36,MATCH(G40,Seats!$H$2:$H$36,0)))</f>
        <v/>
      </c>
      <c r="Q40" s="2">
        <f>IF(I40="","",INDEX(Seats!$L$2:$L$36,MATCH(G40,Seats!$H$2:$H$36,0)))</f>
        <v/>
      </c>
      <c r="R40" s="2">
        <f>IF(I40="",H40,H40&amp;", set "&amp;J40&amp;", "&amp;N40&amp;": "&amp;O40&amp;", "&amp;P40&amp;", "&amp;Q40&amp;IF(S40="after Monday","; reserves after Monday's allocation","; reserves "&amp;S40&amp;", "&amp;T40&amp;", "&amp;U40))</f>
        <v/>
      </c>
      <c r="S40" s="2">
        <f>IF(I40="","",INDEX(Seats!$Q$2:$Q$36,MATCH(G40,Seats!$H$2:$H$36,0)))</f>
        <v/>
      </c>
      <c r="T40" s="2">
        <f>IF(I40="","",INDEX(Seats!$R$2:$R$36,MATCH(G40,Seats!$H$2:$H$36,0)))</f>
        <v/>
      </c>
      <c r="U40" s="2">
        <f>IF(I40="","",INDEX(Seats!$S$2:$S$36,MATCH(G40,Seats!$H$2:$H$36,0)))</f>
        <v/>
      </c>
    </row>
    <row r="41">
      <c r="A41" s="2" t="n">
        <v>14</v>
      </c>
      <c r="B41" s="2" t="inlineStr">
        <is>
          <t>Programme Head</t>
        </is>
      </c>
      <c r="C41" s="2" t="inlineStr">
        <is>
          <t>in person</t>
        </is>
      </c>
      <c r="D41" s="2">
        <f>IF(A41&lt;=Settings!$B$9,1,IF(A41&lt;=Settings!$B$11,2,"none"))</f>
        <v/>
      </c>
      <c r="E41" s="2">
        <f>IF(D41=1,Settings!$B$6+(A41-1)*Settings!$B$8,IF(D41=2,(A41-Settings!$B$9-1)*Settings!$B$8,""))</f>
        <v/>
      </c>
      <c r="F41" s="2">
        <f>IF(E41="","",E41+Settings!$B$3)</f>
        <v/>
      </c>
      <c r="G41" s="2">
        <f>(A41-1)*Settings!$B$12+1</f>
        <v/>
      </c>
      <c r="H41" s="2">
        <f>IF(D41="none","outside the day",IF(ISNUMBER(MATCH(G41,Seats!$H$2:$H$36,0)),INDEX(Seats!$D$2:$D$36,MATCH(G41,Seats!$H$2:$H$36,0)),"spare"))</f>
        <v/>
      </c>
      <c r="I41" s="2">
        <f>IF(LEFT(H41,1)="G",INDEX(Seats!$B$2:$B$36,MATCH(G41,Seats!$H$2:$H$36,0)),"")</f>
        <v/>
      </c>
      <c r="J41" s="2">
        <f>IF(I41="","",INDEX(Seats!$E$2:$E$36,MATCH(G41,Seats!$H$2:$H$36,0)))</f>
        <v/>
      </c>
      <c r="K41" s="2">
        <f>IF(I41="","",INDEX(Seats!$F$2:$F$36,MATCH(G41,Seats!$H$2:$H$36,0)))</f>
        <v/>
      </c>
      <c r="L41" s="2">
        <f>IF(I41="","",IF(COUNTIFS($A$2:$A$43,A41,$I$2:$I$43,I41)&gt;1,"yes","no"))</f>
        <v/>
      </c>
      <c r="M41" s="2">
        <f>IF(D41=1,F41,IF(D41=2,Settings!$B$5+F41,""))</f>
        <v/>
      </c>
      <c r="N41" s="2">
        <f>IF(I41="","",INDEX(Seats!$I$2:$I$36,MATCH(G41,Seats!$H$2:$H$36,0)))</f>
        <v/>
      </c>
      <c r="O41" s="2">
        <f>IF(I41="","",INDEX(Seats!$J$2:$J$36,MATCH(G41,Seats!$H$2:$H$36,0)))</f>
        <v/>
      </c>
      <c r="P41" s="2">
        <f>IF(I41="","",INDEX(Seats!$K$2:$K$36,MATCH(G41,Seats!$H$2:$H$36,0)))</f>
        <v/>
      </c>
      <c r="Q41" s="2">
        <f>IF(I41="","",INDEX(Seats!$L$2:$L$36,MATCH(G41,Seats!$H$2:$H$36,0)))</f>
        <v/>
      </c>
      <c r="R41" s="2">
        <f>IF(I41="",H41,H41&amp;", set "&amp;J41&amp;", "&amp;N41&amp;": "&amp;O41&amp;", "&amp;P41&amp;", "&amp;Q41&amp;IF(S41="after Monday","; reserves after Monday's allocation","; reserves "&amp;S41&amp;", "&amp;T41&amp;", "&amp;U41))</f>
        <v/>
      </c>
      <c r="S41" s="2">
        <f>IF(I41="","",INDEX(Seats!$Q$2:$Q$36,MATCH(G41,Seats!$H$2:$H$36,0)))</f>
        <v/>
      </c>
      <c r="T41" s="2">
        <f>IF(I41="","",INDEX(Seats!$R$2:$R$36,MATCH(G41,Seats!$H$2:$H$36,0)))</f>
        <v/>
      </c>
      <c r="U41" s="2">
        <f>IF(I41="","",INDEX(Seats!$S$2:$S$36,MATCH(G41,Seats!$H$2:$H$36,0)))</f>
        <v/>
      </c>
    </row>
    <row r="42">
      <c r="A42" s="2" t="n">
        <v>14</v>
      </c>
      <c r="B42" s="2" t="inlineStr">
        <is>
          <t>Academic TA</t>
        </is>
      </c>
      <c r="C42" s="2" t="inlineStr">
        <is>
          <t>in person</t>
        </is>
      </c>
      <c r="D42" s="2">
        <f>IF(A42&lt;=Settings!$B$9,1,IF(A42&lt;=Settings!$B$11,2,"none"))</f>
        <v/>
      </c>
      <c r="E42" s="2">
        <f>IF(D42=1,Settings!$B$6+(A42-1)*Settings!$B$8,IF(D42=2,(A42-Settings!$B$9-1)*Settings!$B$8,""))</f>
        <v/>
      </c>
      <c r="F42" s="2">
        <f>IF(E42="","",E42+Settings!$B$3)</f>
        <v/>
      </c>
      <c r="G42" s="2">
        <f>(A42-1)*Settings!$B$12+2</f>
        <v/>
      </c>
      <c r="H42" s="2">
        <f>IF(D42="none","outside the day",IF(ISNUMBER(MATCH(G42,Seats!$H$2:$H$36,0)),INDEX(Seats!$D$2:$D$36,MATCH(G42,Seats!$H$2:$H$36,0)),"spare"))</f>
        <v/>
      </c>
      <c r="I42" s="2">
        <f>IF(LEFT(H42,1)="G",INDEX(Seats!$B$2:$B$36,MATCH(G42,Seats!$H$2:$H$36,0)),"")</f>
        <v/>
      </c>
      <c r="J42" s="2">
        <f>IF(I42="","",INDEX(Seats!$E$2:$E$36,MATCH(G42,Seats!$H$2:$H$36,0)))</f>
        <v/>
      </c>
      <c r="K42" s="2">
        <f>IF(I42="","",INDEX(Seats!$F$2:$F$36,MATCH(G42,Seats!$H$2:$H$36,0)))</f>
        <v/>
      </c>
      <c r="L42" s="2">
        <f>IF(I42="","",IF(COUNTIFS($A$2:$A$43,A42,$I$2:$I$43,I42)&gt;1,"yes","no"))</f>
        <v/>
      </c>
      <c r="M42" s="2">
        <f>IF(D42=1,F42,IF(D42=2,Settings!$B$5+F42,""))</f>
        <v/>
      </c>
      <c r="N42" s="2">
        <f>IF(I42="","",INDEX(Seats!$I$2:$I$36,MATCH(G42,Seats!$H$2:$H$36,0)))</f>
        <v/>
      </c>
      <c r="O42" s="2">
        <f>IF(I42="","",INDEX(Seats!$J$2:$J$36,MATCH(G42,Seats!$H$2:$H$36,0)))</f>
        <v/>
      </c>
      <c r="P42" s="2">
        <f>IF(I42="","",INDEX(Seats!$K$2:$K$36,MATCH(G42,Seats!$H$2:$H$36,0)))</f>
        <v/>
      </c>
      <c r="Q42" s="2">
        <f>IF(I42="","",INDEX(Seats!$L$2:$L$36,MATCH(G42,Seats!$H$2:$H$36,0)))</f>
        <v/>
      </c>
      <c r="R42" s="2">
        <f>IF(I42="",H42,H42&amp;", set "&amp;J42&amp;", "&amp;N42&amp;": "&amp;O42&amp;", "&amp;P42&amp;", "&amp;Q42&amp;IF(S42="after Monday","; reserves after Monday's allocation","; reserves "&amp;S42&amp;", "&amp;T42&amp;", "&amp;U42))</f>
        <v/>
      </c>
      <c r="S42" s="2">
        <f>IF(I42="","",INDEX(Seats!$Q$2:$Q$36,MATCH(G42,Seats!$H$2:$H$36,0)))</f>
        <v/>
      </c>
      <c r="T42" s="2">
        <f>IF(I42="","",INDEX(Seats!$R$2:$R$36,MATCH(G42,Seats!$H$2:$H$36,0)))</f>
        <v/>
      </c>
      <c r="U42" s="2">
        <f>IF(I42="","",INDEX(Seats!$S$2:$S$36,MATCH(G42,Seats!$H$2:$H$36,0)))</f>
        <v/>
      </c>
    </row>
    <row r="43">
      <c r="A43" s="2" t="n">
        <v>14</v>
      </c>
      <c r="B43" s="2" t="inlineStr">
        <is>
          <t>Principal Advisor</t>
        </is>
      </c>
      <c r="C43" s="2" t="inlineStr">
        <is>
          <t>online</t>
        </is>
      </c>
      <c r="D43" s="2">
        <f>IF(A43&lt;=Settings!$B$9,1,IF(A43&lt;=Settings!$B$11,2,"none"))</f>
        <v/>
      </c>
      <c r="E43" s="2">
        <f>IF(D43=1,Settings!$B$6+(A43-1)*Settings!$B$8,IF(D43=2,(A43-Settings!$B$9-1)*Settings!$B$8,""))</f>
        <v/>
      </c>
      <c r="F43" s="2">
        <f>IF(E43="","",E43+Settings!$B$3)</f>
        <v/>
      </c>
      <c r="G43" s="2">
        <f>(A43-1)*Settings!$B$12+3</f>
        <v/>
      </c>
      <c r="H43" s="2">
        <f>IF(D43="none","outside the day",IF(ISNUMBER(MATCH(G43,Seats!$H$2:$H$36,0)),INDEX(Seats!$D$2:$D$36,MATCH(G43,Seats!$H$2:$H$36,0)),"spare"))</f>
        <v/>
      </c>
      <c r="I43" s="2">
        <f>IF(LEFT(H43,1)="G",INDEX(Seats!$B$2:$B$36,MATCH(G43,Seats!$H$2:$H$36,0)),"")</f>
        <v/>
      </c>
      <c r="J43" s="2">
        <f>IF(I43="","",INDEX(Seats!$E$2:$E$36,MATCH(G43,Seats!$H$2:$H$36,0)))</f>
        <v/>
      </c>
      <c r="K43" s="2">
        <f>IF(I43="","",INDEX(Seats!$F$2:$F$36,MATCH(G43,Seats!$H$2:$H$36,0)))</f>
        <v/>
      </c>
      <c r="L43" s="2">
        <f>IF(I43="","",IF(COUNTIFS($A$2:$A$43,A43,$I$2:$I$43,I43)&gt;1,"yes","no"))</f>
        <v/>
      </c>
      <c r="M43" s="2">
        <f>IF(D43=1,F43,IF(D43=2,Settings!$B$5+F43,""))</f>
        <v/>
      </c>
      <c r="N43" s="2">
        <f>IF(I43="","",INDEX(Seats!$I$2:$I$36,MATCH(G43,Seats!$H$2:$H$36,0)))</f>
        <v/>
      </c>
      <c r="O43" s="2">
        <f>IF(I43="","",INDEX(Seats!$J$2:$J$36,MATCH(G43,Seats!$H$2:$H$36,0)))</f>
        <v/>
      </c>
      <c r="P43" s="2">
        <f>IF(I43="","",INDEX(Seats!$K$2:$K$36,MATCH(G43,Seats!$H$2:$H$36,0)))</f>
        <v/>
      </c>
      <c r="Q43" s="2">
        <f>IF(I43="","",INDEX(Seats!$L$2:$L$36,MATCH(G43,Seats!$H$2:$H$36,0)))</f>
        <v/>
      </c>
      <c r="R43" s="2">
        <f>IF(I43="",H43,H43&amp;", set "&amp;J43&amp;", "&amp;N43&amp;": "&amp;O43&amp;", "&amp;P43&amp;", "&amp;Q43&amp;IF(S43="after Monday","; reserves after Monday's allocation","; reserves "&amp;S43&amp;", "&amp;T43&amp;", "&amp;U43))</f>
        <v/>
      </c>
      <c r="S43" s="2">
        <f>IF(I43="","",INDEX(Seats!$Q$2:$Q$36,MATCH(G43,Seats!$H$2:$H$36,0)))</f>
        <v/>
      </c>
      <c r="T43" s="2">
        <f>IF(I43="","",INDEX(Seats!$R$2:$R$36,MATCH(G43,Seats!$H$2:$H$36,0)))</f>
        <v/>
      </c>
      <c r="U43" s="2">
        <f>IF(I43="","",INDEX(Seats!$S$2:$S$36,MATCH(G43,Seats!$H$2:$H$36,0)))</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5"/>
  <sheetViews>
    <sheetView workbookViewId="0">
      <selection activeCell="A1" sqref="A1"/>
    </sheetView>
  </sheetViews>
  <sheetFormatPr baseColWidth="8" defaultRowHeight="15"/>
  <cols>
    <col width="6" customWidth="1" min="1" max="1"/>
    <col width="7" customWidth="1" min="2" max="2"/>
    <col width="8" customWidth="1" min="3" max="3"/>
    <col width="8" customWidth="1" min="4" max="4"/>
    <col width="52" customWidth="1" min="5" max="5"/>
    <col width="52" customWidth="1" min="6" max="6"/>
    <col width="52" customWidth="1" min="7" max="7"/>
  </cols>
  <sheetData>
    <row r="1">
      <c r="A1" s="4" t="inlineStr">
        <is>
          <t>Slot</t>
        </is>
      </c>
      <c r="B1" s="4" t="inlineStr">
        <is>
          <t>Block</t>
        </is>
      </c>
      <c r="C1" s="4" t="inlineStr">
        <is>
          <t>Starts</t>
        </is>
      </c>
      <c r="D1" s="4" t="inlineStr">
        <is>
          <t>Ends</t>
        </is>
      </c>
      <c r="E1" s="4" t="inlineStr">
        <is>
          <t>Programme Head, in person</t>
        </is>
      </c>
      <c r="F1" s="4" t="inlineStr">
        <is>
          <t>Academic TA, in person</t>
        </is>
      </c>
      <c r="G1" s="4" t="inlineStr">
        <is>
          <t>Principal Advisor, online</t>
        </is>
      </c>
    </row>
    <row r="2">
      <c r="A2" s="2" t="n">
        <v>1</v>
      </c>
      <c r="B2" s="2">
        <f>Roster!D2</f>
        <v/>
      </c>
      <c r="C2" s="2">
        <f>Roster!E2</f>
        <v/>
      </c>
      <c r="D2" s="2">
        <f>Roster!F2</f>
        <v/>
      </c>
      <c r="E2" s="2">
        <f>Roster!R2</f>
        <v/>
      </c>
      <c r="F2" s="2">
        <f>Roster!R3</f>
        <v/>
      </c>
      <c r="G2" s="2">
        <f>Roster!R4</f>
        <v/>
      </c>
    </row>
    <row r="3">
      <c r="A3" s="2" t="n">
        <v>2</v>
      </c>
      <c r="B3" s="2">
        <f>Roster!D5</f>
        <v/>
      </c>
      <c r="C3" s="2">
        <f>Roster!E5</f>
        <v/>
      </c>
      <c r="D3" s="2">
        <f>Roster!F5</f>
        <v/>
      </c>
      <c r="E3" s="2">
        <f>Roster!R5</f>
        <v/>
      </c>
      <c r="F3" s="2">
        <f>Roster!R6</f>
        <v/>
      </c>
      <c r="G3" s="2">
        <f>Roster!R7</f>
        <v/>
      </c>
    </row>
    <row r="4">
      <c r="A4" s="2" t="n">
        <v>3</v>
      </c>
      <c r="B4" s="2">
        <f>Roster!D8</f>
        <v/>
      </c>
      <c r="C4" s="2">
        <f>Roster!E8</f>
        <v/>
      </c>
      <c r="D4" s="2">
        <f>Roster!F8</f>
        <v/>
      </c>
      <c r="E4" s="2">
        <f>Roster!R8</f>
        <v/>
      </c>
      <c r="F4" s="2">
        <f>Roster!R9</f>
        <v/>
      </c>
      <c r="G4" s="2">
        <f>Roster!R10</f>
        <v/>
      </c>
    </row>
    <row r="5">
      <c r="A5" s="2" t="n">
        <v>4</v>
      </c>
      <c r="B5" s="2">
        <f>Roster!D11</f>
        <v/>
      </c>
      <c r="C5" s="2">
        <f>Roster!E11</f>
        <v/>
      </c>
      <c r="D5" s="2">
        <f>Roster!F11</f>
        <v/>
      </c>
      <c r="E5" s="2">
        <f>Roster!R11</f>
        <v/>
      </c>
      <c r="F5" s="2">
        <f>Roster!R12</f>
        <v/>
      </c>
      <c r="G5" s="2">
        <f>Roster!R13</f>
        <v/>
      </c>
    </row>
    <row r="6">
      <c r="A6" s="2" t="n">
        <v>5</v>
      </c>
      <c r="B6" s="2">
        <f>Roster!D14</f>
        <v/>
      </c>
      <c r="C6" s="2">
        <f>Roster!E14</f>
        <v/>
      </c>
      <c r="D6" s="2">
        <f>Roster!F14</f>
        <v/>
      </c>
      <c r="E6" s="2">
        <f>Roster!R14</f>
        <v/>
      </c>
      <c r="F6" s="2">
        <f>Roster!R15</f>
        <v/>
      </c>
      <c r="G6" s="2">
        <f>Roster!R16</f>
        <v/>
      </c>
    </row>
    <row r="7">
      <c r="A7" s="2" t="n">
        <v>6</v>
      </c>
      <c r="B7" s="2">
        <f>Roster!D17</f>
        <v/>
      </c>
      <c r="C7" s="2">
        <f>Roster!E17</f>
        <v/>
      </c>
      <c r="D7" s="2">
        <f>Roster!F17</f>
        <v/>
      </c>
      <c r="E7" s="2">
        <f>Roster!R17</f>
        <v/>
      </c>
      <c r="F7" s="2">
        <f>Roster!R18</f>
        <v/>
      </c>
      <c r="G7" s="2">
        <f>Roster!R19</f>
        <v/>
      </c>
    </row>
    <row r="8">
      <c r="A8" s="2" t="n">
        <v>7</v>
      </c>
      <c r="B8" s="2">
        <f>Roster!D20</f>
        <v/>
      </c>
      <c r="C8" s="2">
        <f>Roster!E20</f>
        <v/>
      </c>
      <c r="D8" s="2">
        <f>Roster!F20</f>
        <v/>
      </c>
      <c r="E8" s="2">
        <f>Roster!R20</f>
        <v/>
      </c>
      <c r="F8" s="2">
        <f>Roster!R21</f>
        <v/>
      </c>
      <c r="G8" s="2">
        <f>Roster!R22</f>
        <v/>
      </c>
    </row>
    <row r="9">
      <c r="A9" s="2" t="n">
        <v>8</v>
      </c>
      <c r="B9" s="2">
        <f>Roster!D23</f>
        <v/>
      </c>
      <c r="C9" s="2">
        <f>Roster!E23</f>
        <v/>
      </c>
      <c r="D9" s="2">
        <f>Roster!F23</f>
        <v/>
      </c>
      <c r="E9" s="2">
        <f>Roster!R23</f>
        <v/>
      </c>
      <c r="F9" s="2">
        <f>Roster!R24</f>
        <v/>
      </c>
      <c r="G9" s="2">
        <f>Roster!R25</f>
        <v/>
      </c>
    </row>
    <row r="10">
      <c r="A10" s="2" t="n">
        <v>9</v>
      </c>
      <c r="B10" s="2">
        <f>Roster!D26</f>
        <v/>
      </c>
      <c r="C10" s="2">
        <f>Roster!E26</f>
        <v/>
      </c>
      <c r="D10" s="2">
        <f>Roster!F26</f>
        <v/>
      </c>
      <c r="E10" s="2">
        <f>Roster!R26</f>
        <v/>
      </c>
      <c r="F10" s="2">
        <f>Roster!R27</f>
        <v/>
      </c>
      <c r="G10" s="2">
        <f>Roster!R28</f>
        <v/>
      </c>
    </row>
    <row r="11">
      <c r="A11" s="2" t="n">
        <v>10</v>
      </c>
      <c r="B11" s="2">
        <f>Roster!D29</f>
        <v/>
      </c>
      <c r="C11" s="2">
        <f>Roster!E29</f>
        <v/>
      </c>
      <c r="D11" s="2">
        <f>Roster!F29</f>
        <v/>
      </c>
      <c r="E11" s="2">
        <f>Roster!R29</f>
        <v/>
      </c>
      <c r="F11" s="2">
        <f>Roster!R30</f>
        <v/>
      </c>
      <c r="G11" s="2">
        <f>Roster!R31</f>
        <v/>
      </c>
    </row>
    <row r="12">
      <c r="A12" s="2" t="n">
        <v>11</v>
      </c>
      <c r="B12" s="2">
        <f>Roster!D32</f>
        <v/>
      </c>
      <c r="C12" s="2">
        <f>Roster!E32</f>
        <v/>
      </c>
      <c r="D12" s="2">
        <f>Roster!F32</f>
        <v/>
      </c>
      <c r="E12" s="2">
        <f>Roster!R32</f>
        <v/>
      </c>
      <c r="F12" s="2">
        <f>Roster!R33</f>
        <v/>
      </c>
      <c r="G12" s="2">
        <f>Roster!R34</f>
        <v/>
      </c>
    </row>
    <row r="13">
      <c r="A13" s="2" t="n">
        <v>12</v>
      </c>
      <c r="B13" s="2">
        <f>Roster!D35</f>
        <v/>
      </c>
      <c r="C13" s="2">
        <f>Roster!E35</f>
        <v/>
      </c>
      <c r="D13" s="2">
        <f>Roster!F35</f>
        <v/>
      </c>
      <c r="E13" s="2">
        <f>Roster!R35</f>
        <v/>
      </c>
      <c r="F13" s="2">
        <f>Roster!R36</f>
        <v/>
      </c>
      <c r="G13" s="2">
        <f>Roster!R37</f>
        <v/>
      </c>
    </row>
    <row r="14">
      <c r="A14" s="2" t="n">
        <v>13</v>
      </c>
      <c r="B14" s="2">
        <f>Roster!D38</f>
        <v/>
      </c>
      <c r="C14" s="2">
        <f>Roster!E38</f>
        <v/>
      </c>
      <c r="D14" s="2">
        <f>Roster!F38</f>
        <v/>
      </c>
      <c r="E14" s="2">
        <f>Roster!R38</f>
        <v/>
      </c>
      <c r="F14" s="2">
        <f>Roster!R39</f>
        <v/>
      </c>
      <c r="G14" s="2">
        <f>Roster!R40</f>
        <v/>
      </c>
    </row>
    <row r="15">
      <c r="A15" s="2" t="n">
        <v>14</v>
      </c>
      <c r="B15" s="2">
        <f>Roster!D41</f>
        <v/>
      </c>
      <c r="C15" s="2">
        <f>Roster!E41</f>
        <v/>
      </c>
      <c r="D15" s="2">
        <f>Roster!F41</f>
        <v/>
      </c>
      <c r="E15" s="2">
        <f>Roster!R41</f>
        <v/>
      </c>
      <c r="F15" s="2">
        <f>Roster!R42</f>
        <v/>
      </c>
      <c r="G15" s="2">
        <f>Roster!R43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8" customWidth="1" min="1" max="1"/>
    <col width="26" customWidth="1" min="2" max="2"/>
    <col width="7" customWidth="1" min="3" max="3"/>
    <col width="12" customWidth="1" min="4" max="4"/>
    <col width="12" customWidth="1" min="5" max="5"/>
    <col width="20" customWidth="1" min="6" max="6"/>
    <col width="46" customWidth="1" min="7" max="7"/>
  </cols>
  <sheetData>
    <row r="1">
      <c r="A1" s="4" t="inlineStr">
        <is>
          <t>Seat</t>
        </is>
      </c>
      <c r="B1" s="4" t="inlineStr">
        <is>
          <t>Slot</t>
        </is>
      </c>
      <c r="C1" s="4" t="inlineStr">
        <is>
          <t>Block</t>
        </is>
      </c>
      <c r="D1" s="4" t="inlineStr">
        <is>
          <t>Starts, minute of block</t>
        </is>
      </c>
      <c r="E1" s="4" t="inlineStr">
        <is>
          <t>Ends, minute of block</t>
        </is>
      </c>
      <c r="F1" s="4" t="inlineStr">
        <is>
          <t>Assessor</t>
        </is>
      </c>
      <c r="G1" s="4" t="inlineStr">
        <is>
          <t>Where</t>
        </is>
      </c>
    </row>
    <row r="2">
      <c r="A2" s="2" t="inlineStr">
        <is>
          <t>G1-S1</t>
        </is>
      </c>
      <c r="B2" s="2">
        <f>IFERROR(INDEX(Roster!$A$2:$A$43,MATCH(A2,Roster!$H$2:$H$43,0)),"not placed: see the trainer")</f>
        <v/>
      </c>
      <c r="C2" s="2">
        <f>IFERROR(INDEX(Roster!$D$2:$D$43,MATCH(A2,Roster!$H$2:$H$43,0)),"")</f>
        <v/>
      </c>
      <c r="D2" s="2">
        <f>IFERROR(INDEX(Roster!$E$2:$E$43,MATCH(A2,Roster!$H$2:$H$43,0)),"")</f>
        <v/>
      </c>
      <c r="E2" s="2">
        <f>IFERROR(INDEX(Roster!$F$2:$F$43,MATCH(A2,Roster!$H$2:$H$43,0)),"")</f>
        <v/>
      </c>
      <c r="F2" s="2">
        <f>IFERROR(INDEX(Roster!$B$2:$B$43,MATCH(A2,Roster!$H$2:$H$43,0)),"")</f>
        <v/>
      </c>
      <c r="G2" s="2">
        <f>IFERROR(IF(INDEX(Roster!$C$2:$C$43,MATCH(A2,Roster!$H$2:$H$43,0))="online","online, from your own laptop in the quiet room","in person"),"")</f>
        <v/>
      </c>
    </row>
    <row r="3">
      <c r="A3" s="2" t="inlineStr">
        <is>
          <t>G1-S2</t>
        </is>
      </c>
      <c r="B3" s="2">
        <f>IFERROR(INDEX(Roster!$A$2:$A$43,MATCH(A3,Roster!$H$2:$H$43,0)),"not placed: see the trainer")</f>
        <v/>
      </c>
      <c r="C3" s="2">
        <f>IFERROR(INDEX(Roster!$D$2:$D$43,MATCH(A3,Roster!$H$2:$H$43,0)),"")</f>
        <v/>
      </c>
      <c r="D3" s="2">
        <f>IFERROR(INDEX(Roster!$E$2:$E$43,MATCH(A3,Roster!$H$2:$H$43,0)),"")</f>
        <v/>
      </c>
      <c r="E3" s="2">
        <f>IFERROR(INDEX(Roster!$F$2:$F$43,MATCH(A3,Roster!$H$2:$H$43,0)),"")</f>
        <v/>
      </c>
      <c r="F3" s="2">
        <f>IFERROR(INDEX(Roster!$B$2:$B$43,MATCH(A3,Roster!$H$2:$H$43,0)),"")</f>
        <v/>
      </c>
      <c r="G3" s="2">
        <f>IFERROR(IF(INDEX(Roster!$C$2:$C$43,MATCH(A3,Roster!$H$2:$H$43,0))="online","online, from your own laptop in the quiet room","in person"),"")</f>
        <v/>
      </c>
    </row>
    <row r="4">
      <c r="A4" s="2" t="inlineStr">
        <is>
          <t>G1-S3</t>
        </is>
      </c>
      <c r="B4" s="2">
        <f>IFERROR(INDEX(Roster!$A$2:$A$43,MATCH(A4,Roster!$H$2:$H$43,0)),"not placed: see the trainer")</f>
        <v/>
      </c>
      <c r="C4" s="2">
        <f>IFERROR(INDEX(Roster!$D$2:$D$43,MATCH(A4,Roster!$H$2:$H$43,0)),"")</f>
        <v/>
      </c>
      <c r="D4" s="2">
        <f>IFERROR(INDEX(Roster!$E$2:$E$43,MATCH(A4,Roster!$H$2:$H$43,0)),"")</f>
        <v/>
      </c>
      <c r="E4" s="2">
        <f>IFERROR(INDEX(Roster!$F$2:$F$43,MATCH(A4,Roster!$H$2:$H$43,0)),"")</f>
        <v/>
      </c>
      <c r="F4" s="2">
        <f>IFERROR(INDEX(Roster!$B$2:$B$43,MATCH(A4,Roster!$H$2:$H$43,0)),"")</f>
        <v/>
      </c>
      <c r="G4" s="2">
        <f>IFERROR(IF(INDEX(Roster!$C$2:$C$43,MATCH(A4,Roster!$H$2:$H$43,0))="online","online, from your own laptop in the quiet room","in person"),"")</f>
        <v/>
      </c>
    </row>
    <row r="5">
      <c r="A5" s="2" t="inlineStr">
        <is>
          <t>G1-S4</t>
        </is>
      </c>
      <c r="B5" s="2">
        <f>IFERROR(INDEX(Roster!$A$2:$A$43,MATCH(A5,Roster!$H$2:$H$43,0)),"not placed: see the trainer")</f>
        <v/>
      </c>
      <c r="C5" s="2">
        <f>IFERROR(INDEX(Roster!$D$2:$D$43,MATCH(A5,Roster!$H$2:$H$43,0)),"")</f>
        <v/>
      </c>
      <c r="D5" s="2">
        <f>IFERROR(INDEX(Roster!$E$2:$E$43,MATCH(A5,Roster!$H$2:$H$43,0)),"")</f>
        <v/>
      </c>
      <c r="E5" s="2">
        <f>IFERROR(INDEX(Roster!$F$2:$F$43,MATCH(A5,Roster!$H$2:$H$43,0)),"")</f>
        <v/>
      </c>
      <c r="F5" s="2">
        <f>IFERROR(INDEX(Roster!$B$2:$B$43,MATCH(A5,Roster!$H$2:$H$43,0)),"")</f>
        <v/>
      </c>
      <c r="G5" s="2">
        <f>IFERROR(IF(INDEX(Roster!$C$2:$C$43,MATCH(A5,Roster!$H$2:$H$43,0))="online","online, from your own laptop in the quiet room","in person"),"")</f>
        <v/>
      </c>
    </row>
    <row r="6">
      <c r="A6" s="2" t="inlineStr">
        <is>
          <t>G2-S1</t>
        </is>
      </c>
      <c r="B6" s="2">
        <f>IFERROR(INDEX(Roster!$A$2:$A$43,MATCH(A6,Roster!$H$2:$H$43,0)),"not placed: see the trainer")</f>
        <v/>
      </c>
      <c r="C6" s="2">
        <f>IFERROR(INDEX(Roster!$D$2:$D$43,MATCH(A6,Roster!$H$2:$H$43,0)),"")</f>
        <v/>
      </c>
      <c r="D6" s="2">
        <f>IFERROR(INDEX(Roster!$E$2:$E$43,MATCH(A6,Roster!$H$2:$H$43,0)),"")</f>
        <v/>
      </c>
      <c r="E6" s="2">
        <f>IFERROR(INDEX(Roster!$F$2:$F$43,MATCH(A6,Roster!$H$2:$H$43,0)),"")</f>
        <v/>
      </c>
      <c r="F6" s="2">
        <f>IFERROR(INDEX(Roster!$B$2:$B$43,MATCH(A6,Roster!$H$2:$H$43,0)),"")</f>
        <v/>
      </c>
      <c r="G6" s="2">
        <f>IFERROR(IF(INDEX(Roster!$C$2:$C$43,MATCH(A6,Roster!$H$2:$H$43,0))="online","online, from your own laptop in the quiet room","in person"),"")</f>
        <v/>
      </c>
    </row>
    <row r="7">
      <c r="A7" s="2" t="inlineStr">
        <is>
          <t>G2-S2</t>
        </is>
      </c>
      <c r="B7" s="2">
        <f>IFERROR(INDEX(Roster!$A$2:$A$43,MATCH(A7,Roster!$H$2:$H$43,0)),"not placed: see the trainer")</f>
        <v/>
      </c>
      <c r="C7" s="2">
        <f>IFERROR(INDEX(Roster!$D$2:$D$43,MATCH(A7,Roster!$H$2:$H$43,0)),"")</f>
        <v/>
      </c>
      <c r="D7" s="2">
        <f>IFERROR(INDEX(Roster!$E$2:$E$43,MATCH(A7,Roster!$H$2:$H$43,0)),"")</f>
        <v/>
      </c>
      <c r="E7" s="2">
        <f>IFERROR(INDEX(Roster!$F$2:$F$43,MATCH(A7,Roster!$H$2:$H$43,0)),"")</f>
        <v/>
      </c>
      <c r="F7" s="2">
        <f>IFERROR(INDEX(Roster!$B$2:$B$43,MATCH(A7,Roster!$H$2:$H$43,0)),"")</f>
        <v/>
      </c>
      <c r="G7" s="2">
        <f>IFERROR(IF(INDEX(Roster!$C$2:$C$43,MATCH(A7,Roster!$H$2:$H$43,0))="online","online, from your own laptop in the quiet room","in person"),"")</f>
        <v/>
      </c>
    </row>
    <row r="8">
      <c r="A8" s="2" t="inlineStr">
        <is>
          <t>G2-S3</t>
        </is>
      </c>
      <c r="B8" s="2">
        <f>IFERROR(INDEX(Roster!$A$2:$A$43,MATCH(A8,Roster!$H$2:$H$43,0)),"not placed: see the trainer")</f>
        <v/>
      </c>
      <c r="C8" s="2">
        <f>IFERROR(INDEX(Roster!$D$2:$D$43,MATCH(A8,Roster!$H$2:$H$43,0)),"")</f>
        <v/>
      </c>
      <c r="D8" s="2">
        <f>IFERROR(INDEX(Roster!$E$2:$E$43,MATCH(A8,Roster!$H$2:$H$43,0)),"")</f>
        <v/>
      </c>
      <c r="E8" s="2">
        <f>IFERROR(INDEX(Roster!$F$2:$F$43,MATCH(A8,Roster!$H$2:$H$43,0)),"")</f>
        <v/>
      </c>
      <c r="F8" s="2">
        <f>IFERROR(INDEX(Roster!$B$2:$B$43,MATCH(A8,Roster!$H$2:$H$43,0)),"")</f>
        <v/>
      </c>
      <c r="G8" s="2">
        <f>IFERROR(IF(INDEX(Roster!$C$2:$C$43,MATCH(A8,Roster!$H$2:$H$43,0))="online","online, from your own laptop in the quiet room","in person"),"")</f>
        <v/>
      </c>
    </row>
    <row r="9">
      <c r="A9" s="2" t="inlineStr">
        <is>
          <t>G2-S4</t>
        </is>
      </c>
      <c r="B9" s="2">
        <f>IFERROR(INDEX(Roster!$A$2:$A$43,MATCH(A9,Roster!$H$2:$H$43,0)),"not placed: see the trainer")</f>
        <v/>
      </c>
      <c r="C9" s="2">
        <f>IFERROR(INDEX(Roster!$D$2:$D$43,MATCH(A9,Roster!$H$2:$H$43,0)),"")</f>
        <v/>
      </c>
      <c r="D9" s="2">
        <f>IFERROR(INDEX(Roster!$E$2:$E$43,MATCH(A9,Roster!$H$2:$H$43,0)),"")</f>
        <v/>
      </c>
      <c r="E9" s="2">
        <f>IFERROR(INDEX(Roster!$F$2:$F$43,MATCH(A9,Roster!$H$2:$H$43,0)),"")</f>
        <v/>
      </c>
      <c r="F9" s="2">
        <f>IFERROR(INDEX(Roster!$B$2:$B$43,MATCH(A9,Roster!$H$2:$H$43,0)),"")</f>
        <v/>
      </c>
      <c r="G9" s="2">
        <f>IFERROR(IF(INDEX(Roster!$C$2:$C$43,MATCH(A9,Roster!$H$2:$H$43,0))="online","online, from your own laptop in the quiet room","in person"),"")</f>
        <v/>
      </c>
    </row>
    <row r="10">
      <c r="A10" s="2" t="inlineStr">
        <is>
          <t>G3-S1</t>
        </is>
      </c>
      <c r="B10" s="2">
        <f>IFERROR(INDEX(Roster!$A$2:$A$43,MATCH(A10,Roster!$H$2:$H$43,0)),"not placed: see the trainer")</f>
        <v/>
      </c>
      <c r="C10" s="2">
        <f>IFERROR(INDEX(Roster!$D$2:$D$43,MATCH(A10,Roster!$H$2:$H$43,0)),"")</f>
        <v/>
      </c>
      <c r="D10" s="2">
        <f>IFERROR(INDEX(Roster!$E$2:$E$43,MATCH(A10,Roster!$H$2:$H$43,0)),"")</f>
        <v/>
      </c>
      <c r="E10" s="2">
        <f>IFERROR(INDEX(Roster!$F$2:$F$43,MATCH(A10,Roster!$H$2:$H$43,0)),"")</f>
        <v/>
      </c>
      <c r="F10" s="2">
        <f>IFERROR(INDEX(Roster!$B$2:$B$43,MATCH(A10,Roster!$H$2:$H$43,0)),"")</f>
        <v/>
      </c>
      <c r="G10" s="2">
        <f>IFERROR(IF(INDEX(Roster!$C$2:$C$43,MATCH(A10,Roster!$H$2:$H$43,0))="online","online, from your own laptop in the quiet room","in person"),"")</f>
        <v/>
      </c>
    </row>
    <row r="11">
      <c r="A11" s="2" t="inlineStr">
        <is>
          <t>G3-S2</t>
        </is>
      </c>
      <c r="B11" s="2">
        <f>IFERROR(INDEX(Roster!$A$2:$A$43,MATCH(A11,Roster!$H$2:$H$43,0)),"not placed: see the trainer")</f>
        <v/>
      </c>
      <c r="C11" s="2">
        <f>IFERROR(INDEX(Roster!$D$2:$D$43,MATCH(A11,Roster!$H$2:$H$43,0)),"")</f>
        <v/>
      </c>
      <c r="D11" s="2">
        <f>IFERROR(INDEX(Roster!$E$2:$E$43,MATCH(A11,Roster!$H$2:$H$43,0)),"")</f>
        <v/>
      </c>
      <c r="E11" s="2">
        <f>IFERROR(INDEX(Roster!$F$2:$F$43,MATCH(A11,Roster!$H$2:$H$43,0)),"")</f>
        <v/>
      </c>
      <c r="F11" s="2">
        <f>IFERROR(INDEX(Roster!$B$2:$B$43,MATCH(A11,Roster!$H$2:$H$43,0)),"")</f>
        <v/>
      </c>
      <c r="G11" s="2">
        <f>IFERROR(IF(INDEX(Roster!$C$2:$C$43,MATCH(A11,Roster!$H$2:$H$43,0))="online","online, from your own laptop in the quiet room","in person"),"")</f>
        <v/>
      </c>
    </row>
    <row r="12">
      <c r="A12" s="2" t="inlineStr">
        <is>
          <t>G3-S3</t>
        </is>
      </c>
      <c r="B12" s="2">
        <f>IFERROR(INDEX(Roster!$A$2:$A$43,MATCH(A12,Roster!$H$2:$H$43,0)),"not placed: see the trainer")</f>
        <v/>
      </c>
      <c r="C12" s="2">
        <f>IFERROR(INDEX(Roster!$D$2:$D$43,MATCH(A12,Roster!$H$2:$H$43,0)),"")</f>
        <v/>
      </c>
      <c r="D12" s="2">
        <f>IFERROR(INDEX(Roster!$E$2:$E$43,MATCH(A12,Roster!$H$2:$H$43,0)),"")</f>
        <v/>
      </c>
      <c r="E12" s="2">
        <f>IFERROR(INDEX(Roster!$F$2:$F$43,MATCH(A12,Roster!$H$2:$H$43,0)),"")</f>
        <v/>
      </c>
      <c r="F12" s="2">
        <f>IFERROR(INDEX(Roster!$B$2:$B$43,MATCH(A12,Roster!$H$2:$H$43,0)),"")</f>
        <v/>
      </c>
      <c r="G12" s="2">
        <f>IFERROR(IF(INDEX(Roster!$C$2:$C$43,MATCH(A12,Roster!$H$2:$H$43,0))="online","online, from your own laptop in the quiet room","in person"),"")</f>
        <v/>
      </c>
    </row>
    <row r="13">
      <c r="A13" s="2" t="inlineStr">
        <is>
          <t>G3-S4</t>
        </is>
      </c>
      <c r="B13" s="2">
        <f>IFERROR(INDEX(Roster!$A$2:$A$43,MATCH(A13,Roster!$H$2:$H$43,0)),"not placed: see the trainer")</f>
        <v/>
      </c>
      <c r="C13" s="2">
        <f>IFERROR(INDEX(Roster!$D$2:$D$43,MATCH(A13,Roster!$H$2:$H$43,0)),"")</f>
        <v/>
      </c>
      <c r="D13" s="2">
        <f>IFERROR(INDEX(Roster!$E$2:$E$43,MATCH(A13,Roster!$H$2:$H$43,0)),"")</f>
        <v/>
      </c>
      <c r="E13" s="2">
        <f>IFERROR(INDEX(Roster!$F$2:$F$43,MATCH(A13,Roster!$H$2:$H$43,0)),"")</f>
        <v/>
      </c>
      <c r="F13" s="2">
        <f>IFERROR(INDEX(Roster!$B$2:$B$43,MATCH(A13,Roster!$H$2:$H$43,0)),"")</f>
        <v/>
      </c>
      <c r="G13" s="2">
        <f>IFERROR(IF(INDEX(Roster!$C$2:$C$43,MATCH(A13,Roster!$H$2:$H$43,0))="online","online, from your own laptop in the quiet room","in person"),"")</f>
        <v/>
      </c>
    </row>
    <row r="14">
      <c r="A14" s="2" t="inlineStr">
        <is>
          <t>G4-S1</t>
        </is>
      </c>
      <c r="B14" s="2">
        <f>IFERROR(INDEX(Roster!$A$2:$A$43,MATCH(A14,Roster!$H$2:$H$43,0)),"not placed: see the trainer")</f>
        <v/>
      </c>
      <c r="C14" s="2">
        <f>IFERROR(INDEX(Roster!$D$2:$D$43,MATCH(A14,Roster!$H$2:$H$43,0)),"")</f>
        <v/>
      </c>
      <c r="D14" s="2">
        <f>IFERROR(INDEX(Roster!$E$2:$E$43,MATCH(A14,Roster!$H$2:$H$43,0)),"")</f>
        <v/>
      </c>
      <c r="E14" s="2">
        <f>IFERROR(INDEX(Roster!$F$2:$F$43,MATCH(A14,Roster!$H$2:$H$43,0)),"")</f>
        <v/>
      </c>
      <c r="F14" s="2">
        <f>IFERROR(INDEX(Roster!$B$2:$B$43,MATCH(A14,Roster!$H$2:$H$43,0)),"")</f>
        <v/>
      </c>
      <c r="G14" s="2">
        <f>IFERROR(IF(INDEX(Roster!$C$2:$C$43,MATCH(A14,Roster!$H$2:$H$43,0))="online","online, from your own laptop in the quiet room","in person"),"")</f>
        <v/>
      </c>
    </row>
    <row r="15">
      <c r="A15" s="2" t="inlineStr">
        <is>
          <t>G4-S2</t>
        </is>
      </c>
      <c r="B15" s="2">
        <f>IFERROR(INDEX(Roster!$A$2:$A$43,MATCH(A15,Roster!$H$2:$H$43,0)),"not placed: see the trainer")</f>
        <v/>
      </c>
      <c r="C15" s="2">
        <f>IFERROR(INDEX(Roster!$D$2:$D$43,MATCH(A15,Roster!$H$2:$H$43,0)),"")</f>
        <v/>
      </c>
      <c r="D15" s="2">
        <f>IFERROR(INDEX(Roster!$E$2:$E$43,MATCH(A15,Roster!$H$2:$H$43,0)),"")</f>
        <v/>
      </c>
      <c r="E15" s="2">
        <f>IFERROR(INDEX(Roster!$F$2:$F$43,MATCH(A15,Roster!$H$2:$H$43,0)),"")</f>
        <v/>
      </c>
      <c r="F15" s="2">
        <f>IFERROR(INDEX(Roster!$B$2:$B$43,MATCH(A15,Roster!$H$2:$H$43,0)),"")</f>
        <v/>
      </c>
      <c r="G15" s="2">
        <f>IFERROR(IF(INDEX(Roster!$C$2:$C$43,MATCH(A15,Roster!$H$2:$H$43,0))="online","online, from your own laptop in the quiet room","in person"),"")</f>
        <v/>
      </c>
    </row>
    <row r="16">
      <c r="A16" s="2" t="inlineStr">
        <is>
          <t>G4-S3</t>
        </is>
      </c>
      <c r="B16" s="2">
        <f>IFERROR(INDEX(Roster!$A$2:$A$43,MATCH(A16,Roster!$H$2:$H$43,0)),"not placed: see the trainer")</f>
        <v/>
      </c>
      <c r="C16" s="2">
        <f>IFERROR(INDEX(Roster!$D$2:$D$43,MATCH(A16,Roster!$H$2:$H$43,0)),"")</f>
        <v/>
      </c>
      <c r="D16" s="2">
        <f>IFERROR(INDEX(Roster!$E$2:$E$43,MATCH(A16,Roster!$H$2:$H$43,0)),"")</f>
        <v/>
      </c>
      <c r="E16" s="2">
        <f>IFERROR(INDEX(Roster!$F$2:$F$43,MATCH(A16,Roster!$H$2:$H$43,0)),"")</f>
        <v/>
      </c>
      <c r="F16" s="2">
        <f>IFERROR(INDEX(Roster!$B$2:$B$43,MATCH(A16,Roster!$H$2:$H$43,0)),"")</f>
        <v/>
      </c>
      <c r="G16" s="2">
        <f>IFERROR(IF(INDEX(Roster!$C$2:$C$43,MATCH(A16,Roster!$H$2:$H$43,0))="online","online, from your own laptop in the quiet room","in person"),"")</f>
        <v/>
      </c>
    </row>
    <row r="17">
      <c r="A17" s="2" t="inlineStr">
        <is>
          <t>G4-S4</t>
        </is>
      </c>
      <c r="B17" s="2">
        <f>IFERROR(INDEX(Roster!$A$2:$A$43,MATCH(A17,Roster!$H$2:$H$43,0)),"not placed: see the trainer")</f>
        <v/>
      </c>
      <c r="C17" s="2">
        <f>IFERROR(INDEX(Roster!$D$2:$D$43,MATCH(A17,Roster!$H$2:$H$43,0)),"")</f>
        <v/>
      </c>
      <c r="D17" s="2">
        <f>IFERROR(INDEX(Roster!$E$2:$E$43,MATCH(A17,Roster!$H$2:$H$43,0)),"")</f>
        <v/>
      </c>
      <c r="E17" s="2">
        <f>IFERROR(INDEX(Roster!$F$2:$F$43,MATCH(A17,Roster!$H$2:$H$43,0)),"")</f>
        <v/>
      </c>
      <c r="F17" s="2">
        <f>IFERROR(INDEX(Roster!$B$2:$B$43,MATCH(A17,Roster!$H$2:$H$43,0)),"")</f>
        <v/>
      </c>
      <c r="G17" s="2">
        <f>IFERROR(IF(INDEX(Roster!$C$2:$C$43,MATCH(A17,Roster!$H$2:$H$43,0))="online","online, from your own laptop in the quiet room","in person"),"")</f>
        <v/>
      </c>
    </row>
    <row r="18">
      <c r="A18" s="2" t="inlineStr">
        <is>
          <t>G5-S1</t>
        </is>
      </c>
      <c r="B18" s="2">
        <f>IFERROR(INDEX(Roster!$A$2:$A$43,MATCH(A18,Roster!$H$2:$H$43,0)),"not placed: see the trainer")</f>
        <v/>
      </c>
      <c r="C18" s="2">
        <f>IFERROR(INDEX(Roster!$D$2:$D$43,MATCH(A18,Roster!$H$2:$H$43,0)),"")</f>
        <v/>
      </c>
      <c r="D18" s="2">
        <f>IFERROR(INDEX(Roster!$E$2:$E$43,MATCH(A18,Roster!$H$2:$H$43,0)),"")</f>
        <v/>
      </c>
      <c r="E18" s="2">
        <f>IFERROR(INDEX(Roster!$F$2:$F$43,MATCH(A18,Roster!$H$2:$H$43,0)),"")</f>
        <v/>
      </c>
      <c r="F18" s="2">
        <f>IFERROR(INDEX(Roster!$B$2:$B$43,MATCH(A18,Roster!$H$2:$H$43,0)),"")</f>
        <v/>
      </c>
      <c r="G18" s="2">
        <f>IFERROR(IF(INDEX(Roster!$C$2:$C$43,MATCH(A18,Roster!$H$2:$H$43,0))="online","online, from your own laptop in the quiet room","in person"),"")</f>
        <v/>
      </c>
    </row>
    <row r="19">
      <c r="A19" s="2" t="inlineStr">
        <is>
          <t>G5-S2</t>
        </is>
      </c>
      <c r="B19" s="2">
        <f>IFERROR(INDEX(Roster!$A$2:$A$43,MATCH(A19,Roster!$H$2:$H$43,0)),"not placed: see the trainer")</f>
        <v/>
      </c>
      <c r="C19" s="2">
        <f>IFERROR(INDEX(Roster!$D$2:$D$43,MATCH(A19,Roster!$H$2:$H$43,0)),"")</f>
        <v/>
      </c>
      <c r="D19" s="2">
        <f>IFERROR(INDEX(Roster!$E$2:$E$43,MATCH(A19,Roster!$H$2:$H$43,0)),"")</f>
        <v/>
      </c>
      <c r="E19" s="2">
        <f>IFERROR(INDEX(Roster!$F$2:$F$43,MATCH(A19,Roster!$H$2:$H$43,0)),"")</f>
        <v/>
      </c>
      <c r="F19" s="2">
        <f>IFERROR(INDEX(Roster!$B$2:$B$43,MATCH(A19,Roster!$H$2:$H$43,0)),"")</f>
        <v/>
      </c>
      <c r="G19" s="2">
        <f>IFERROR(IF(INDEX(Roster!$C$2:$C$43,MATCH(A19,Roster!$H$2:$H$43,0))="online","online, from your own laptop in the quiet room","in person"),"")</f>
        <v/>
      </c>
    </row>
    <row r="20">
      <c r="A20" s="2" t="inlineStr">
        <is>
          <t>G5-S3</t>
        </is>
      </c>
      <c r="B20" s="2">
        <f>IFERROR(INDEX(Roster!$A$2:$A$43,MATCH(A20,Roster!$H$2:$H$43,0)),"not placed: see the trainer")</f>
        <v/>
      </c>
      <c r="C20" s="2">
        <f>IFERROR(INDEX(Roster!$D$2:$D$43,MATCH(A20,Roster!$H$2:$H$43,0)),"")</f>
        <v/>
      </c>
      <c r="D20" s="2">
        <f>IFERROR(INDEX(Roster!$E$2:$E$43,MATCH(A20,Roster!$H$2:$H$43,0)),"")</f>
        <v/>
      </c>
      <c r="E20" s="2">
        <f>IFERROR(INDEX(Roster!$F$2:$F$43,MATCH(A20,Roster!$H$2:$H$43,0)),"")</f>
        <v/>
      </c>
      <c r="F20" s="2">
        <f>IFERROR(INDEX(Roster!$B$2:$B$43,MATCH(A20,Roster!$H$2:$H$43,0)),"")</f>
        <v/>
      </c>
      <c r="G20" s="2">
        <f>IFERROR(IF(INDEX(Roster!$C$2:$C$43,MATCH(A20,Roster!$H$2:$H$43,0))="online","online, from your own laptop in the quiet room","in person"),"")</f>
        <v/>
      </c>
    </row>
    <row r="21">
      <c r="A21" s="2" t="inlineStr">
        <is>
          <t>G5-S4</t>
        </is>
      </c>
      <c r="B21" s="2">
        <f>IFERROR(INDEX(Roster!$A$2:$A$43,MATCH(A21,Roster!$H$2:$H$43,0)),"not placed: see the trainer")</f>
        <v/>
      </c>
      <c r="C21" s="2">
        <f>IFERROR(INDEX(Roster!$D$2:$D$43,MATCH(A21,Roster!$H$2:$H$43,0)),"")</f>
        <v/>
      </c>
      <c r="D21" s="2">
        <f>IFERROR(INDEX(Roster!$E$2:$E$43,MATCH(A21,Roster!$H$2:$H$43,0)),"")</f>
        <v/>
      </c>
      <c r="E21" s="2">
        <f>IFERROR(INDEX(Roster!$F$2:$F$43,MATCH(A21,Roster!$H$2:$H$43,0)),"")</f>
        <v/>
      </c>
      <c r="F21" s="2">
        <f>IFERROR(INDEX(Roster!$B$2:$B$43,MATCH(A21,Roster!$H$2:$H$43,0)),"")</f>
        <v/>
      </c>
      <c r="G21" s="2">
        <f>IFERROR(IF(INDEX(Roster!$C$2:$C$43,MATCH(A21,Roster!$H$2:$H$43,0))="online","online, from your own laptop in the quiet room","in person"),"")</f>
        <v/>
      </c>
    </row>
    <row r="22">
      <c r="A22" s="2" t="inlineStr">
        <is>
          <t>G6-S1</t>
        </is>
      </c>
      <c r="B22" s="2">
        <f>IFERROR(INDEX(Roster!$A$2:$A$43,MATCH(A22,Roster!$H$2:$H$43,0)),"not placed: see the trainer")</f>
        <v/>
      </c>
      <c r="C22" s="2">
        <f>IFERROR(INDEX(Roster!$D$2:$D$43,MATCH(A22,Roster!$H$2:$H$43,0)),"")</f>
        <v/>
      </c>
      <c r="D22" s="2">
        <f>IFERROR(INDEX(Roster!$E$2:$E$43,MATCH(A22,Roster!$H$2:$H$43,0)),"")</f>
        <v/>
      </c>
      <c r="E22" s="2">
        <f>IFERROR(INDEX(Roster!$F$2:$F$43,MATCH(A22,Roster!$H$2:$H$43,0)),"")</f>
        <v/>
      </c>
      <c r="F22" s="2">
        <f>IFERROR(INDEX(Roster!$B$2:$B$43,MATCH(A22,Roster!$H$2:$H$43,0)),"")</f>
        <v/>
      </c>
      <c r="G22" s="2">
        <f>IFERROR(IF(INDEX(Roster!$C$2:$C$43,MATCH(A22,Roster!$H$2:$H$43,0))="online","online, from your own laptop in the quiet room","in person"),"")</f>
        <v/>
      </c>
    </row>
    <row r="23">
      <c r="A23" s="2" t="inlineStr">
        <is>
          <t>G6-S2</t>
        </is>
      </c>
      <c r="B23" s="2">
        <f>IFERROR(INDEX(Roster!$A$2:$A$43,MATCH(A23,Roster!$H$2:$H$43,0)),"not placed: see the trainer")</f>
        <v/>
      </c>
      <c r="C23" s="2">
        <f>IFERROR(INDEX(Roster!$D$2:$D$43,MATCH(A23,Roster!$H$2:$H$43,0)),"")</f>
        <v/>
      </c>
      <c r="D23" s="2">
        <f>IFERROR(INDEX(Roster!$E$2:$E$43,MATCH(A23,Roster!$H$2:$H$43,0)),"")</f>
        <v/>
      </c>
      <c r="E23" s="2">
        <f>IFERROR(INDEX(Roster!$F$2:$F$43,MATCH(A23,Roster!$H$2:$H$43,0)),"")</f>
        <v/>
      </c>
      <c r="F23" s="2">
        <f>IFERROR(INDEX(Roster!$B$2:$B$43,MATCH(A23,Roster!$H$2:$H$43,0)),"")</f>
        <v/>
      </c>
      <c r="G23" s="2">
        <f>IFERROR(IF(INDEX(Roster!$C$2:$C$43,MATCH(A23,Roster!$H$2:$H$43,0))="online","online, from your own laptop in the quiet room","in person"),"")</f>
        <v/>
      </c>
    </row>
    <row r="24">
      <c r="A24" s="2" t="inlineStr">
        <is>
          <t>G6-S3</t>
        </is>
      </c>
      <c r="B24" s="2">
        <f>IFERROR(INDEX(Roster!$A$2:$A$43,MATCH(A24,Roster!$H$2:$H$43,0)),"not placed: see the trainer")</f>
        <v/>
      </c>
      <c r="C24" s="2">
        <f>IFERROR(INDEX(Roster!$D$2:$D$43,MATCH(A24,Roster!$H$2:$H$43,0)),"")</f>
        <v/>
      </c>
      <c r="D24" s="2">
        <f>IFERROR(INDEX(Roster!$E$2:$E$43,MATCH(A24,Roster!$H$2:$H$43,0)),"")</f>
        <v/>
      </c>
      <c r="E24" s="2">
        <f>IFERROR(INDEX(Roster!$F$2:$F$43,MATCH(A24,Roster!$H$2:$H$43,0)),"")</f>
        <v/>
      </c>
      <c r="F24" s="2">
        <f>IFERROR(INDEX(Roster!$B$2:$B$43,MATCH(A24,Roster!$H$2:$H$43,0)),"")</f>
        <v/>
      </c>
      <c r="G24" s="2">
        <f>IFERROR(IF(INDEX(Roster!$C$2:$C$43,MATCH(A24,Roster!$H$2:$H$43,0))="online","online, from your own laptop in the quiet room","in person"),"")</f>
        <v/>
      </c>
    </row>
    <row r="25">
      <c r="A25" s="2" t="inlineStr">
        <is>
          <t>G6-S4</t>
        </is>
      </c>
      <c r="B25" s="2">
        <f>IFERROR(INDEX(Roster!$A$2:$A$43,MATCH(A25,Roster!$H$2:$H$43,0)),"not placed: see the trainer")</f>
        <v/>
      </c>
      <c r="C25" s="2">
        <f>IFERROR(INDEX(Roster!$D$2:$D$43,MATCH(A25,Roster!$H$2:$H$43,0)),"")</f>
        <v/>
      </c>
      <c r="D25" s="2">
        <f>IFERROR(INDEX(Roster!$E$2:$E$43,MATCH(A25,Roster!$H$2:$H$43,0)),"")</f>
        <v/>
      </c>
      <c r="E25" s="2">
        <f>IFERROR(INDEX(Roster!$F$2:$F$43,MATCH(A25,Roster!$H$2:$H$43,0)),"")</f>
        <v/>
      </c>
      <c r="F25" s="2">
        <f>IFERROR(INDEX(Roster!$B$2:$B$43,MATCH(A25,Roster!$H$2:$H$43,0)),"")</f>
        <v/>
      </c>
      <c r="G25" s="2">
        <f>IFERROR(IF(INDEX(Roster!$C$2:$C$43,MATCH(A25,Roster!$H$2:$H$43,0))="online","online, from your own laptop in the quiet room","in person"),"")</f>
        <v/>
      </c>
    </row>
    <row r="26">
      <c r="A26" s="2" t="inlineStr">
        <is>
          <t>G7-S1</t>
        </is>
      </c>
      <c r="B26" s="2">
        <f>IFERROR(INDEX(Roster!$A$2:$A$43,MATCH(A26,Roster!$H$2:$H$43,0)),"not placed: see the trainer")</f>
        <v/>
      </c>
      <c r="C26" s="2">
        <f>IFERROR(INDEX(Roster!$D$2:$D$43,MATCH(A26,Roster!$H$2:$H$43,0)),"")</f>
        <v/>
      </c>
      <c r="D26" s="2">
        <f>IFERROR(INDEX(Roster!$E$2:$E$43,MATCH(A26,Roster!$H$2:$H$43,0)),"")</f>
        <v/>
      </c>
      <c r="E26" s="2">
        <f>IFERROR(INDEX(Roster!$F$2:$F$43,MATCH(A26,Roster!$H$2:$H$43,0)),"")</f>
        <v/>
      </c>
      <c r="F26" s="2">
        <f>IFERROR(INDEX(Roster!$B$2:$B$43,MATCH(A26,Roster!$H$2:$H$43,0)),"")</f>
        <v/>
      </c>
      <c r="G26" s="2">
        <f>IFERROR(IF(INDEX(Roster!$C$2:$C$43,MATCH(A26,Roster!$H$2:$H$43,0))="online","online, from your own laptop in the quiet room","in person"),"")</f>
        <v/>
      </c>
    </row>
    <row r="27">
      <c r="A27" s="2" t="inlineStr">
        <is>
          <t>G7-S2</t>
        </is>
      </c>
      <c r="B27" s="2">
        <f>IFERROR(INDEX(Roster!$A$2:$A$43,MATCH(A27,Roster!$H$2:$H$43,0)),"not placed: see the trainer")</f>
        <v/>
      </c>
      <c r="C27" s="2">
        <f>IFERROR(INDEX(Roster!$D$2:$D$43,MATCH(A27,Roster!$H$2:$H$43,0)),"")</f>
        <v/>
      </c>
      <c r="D27" s="2">
        <f>IFERROR(INDEX(Roster!$E$2:$E$43,MATCH(A27,Roster!$H$2:$H$43,0)),"")</f>
        <v/>
      </c>
      <c r="E27" s="2">
        <f>IFERROR(INDEX(Roster!$F$2:$F$43,MATCH(A27,Roster!$H$2:$H$43,0)),"")</f>
        <v/>
      </c>
      <c r="F27" s="2">
        <f>IFERROR(INDEX(Roster!$B$2:$B$43,MATCH(A27,Roster!$H$2:$H$43,0)),"")</f>
        <v/>
      </c>
      <c r="G27" s="2">
        <f>IFERROR(IF(INDEX(Roster!$C$2:$C$43,MATCH(A27,Roster!$H$2:$H$43,0))="online","online, from your own laptop in the quiet room","in person"),"")</f>
        <v/>
      </c>
    </row>
    <row r="28">
      <c r="A28" s="2" t="inlineStr">
        <is>
          <t>G7-S3</t>
        </is>
      </c>
      <c r="B28" s="2">
        <f>IFERROR(INDEX(Roster!$A$2:$A$43,MATCH(A28,Roster!$H$2:$H$43,0)),"not placed: see the trainer")</f>
        <v/>
      </c>
      <c r="C28" s="2">
        <f>IFERROR(INDEX(Roster!$D$2:$D$43,MATCH(A28,Roster!$H$2:$H$43,0)),"")</f>
        <v/>
      </c>
      <c r="D28" s="2">
        <f>IFERROR(INDEX(Roster!$E$2:$E$43,MATCH(A28,Roster!$H$2:$H$43,0)),"")</f>
        <v/>
      </c>
      <c r="E28" s="2">
        <f>IFERROR(INDEX(Roster!$F$2:$F$43,MATCH(A28,Roster!$H$2:$H$43,0)),"")</f>
        <v/>
      </c>
      <c r="F28" s="2">
        <f>IFERROR(INDEX(Roster!$B$2:$B$43,MATCH(A28,Roster!$H$2:$H$43,0)),"")</f>
        <v/>
      </c>
      <c r="G28" s="2">
        <f>IFERROR(IF(INDEX(Roster!$C$2:$C$43,MATCH(A28,Roster!$H$2:$H$43,0))="online","online, from your own laptop in the quiet room","in person"),"")</f>
        <v/>
      </c>
    </row>
    <row r="29">
      <c r="A29" s="2" t="inlineStr">
        <is>
          <t>G7-S4</t>
        </is>
      </c>
      <c r="B29" s="2">
        <f>IFERROR(INDEX(Roster!$A$2:$A$43,MATCH(A29,Roster!$H$2:$H$43,0)),"not placed: see the trainer")</f>
        <v/>
      </c>
      <c r="C29" s="2">
        <f>IFERROR(INDEX(Roster!$D$2:$D$43,MATCH(A29,Roster!$H$2:$H$43,0)),"")</f>
        <v/>
      </c>
      <c r="D29" s="2">
        <f>IFERROR(INDEX(Roster!$E$2:$E$43,MATCH(A29,Roster!$H$2:$H$43,0)),"")</f>
        <v/>
      </c>
      <c r="E29" s="2">
        <f>IFERROR(INDEX(Roster!$F$2:$F$43,MATCH(A29,Roster!$H$2:$H$43,0)),"")</f>
        <v/>
      </c>
      <c r="F29" s="2">
        <f>IFERROR(INDEX(Roster!$B$2:$B$43,MATCH(A29,Roster!$H$2:$H$43,0)),"")</f>
        <v/>
      </c>
      <c r="G29" s="2">
        <f>IFERROR(IF(INDEX(Roster!$C$2:$C$43,MATCH(A29,Roster!$H$2:$H$43,0))="online","online, from your own laptop in the quiet room","in person"),"")</f>
        <v/>
      </c>
    </row>
    <row r="30">
      <c r="A30" s="2" t="inlineStr">
        <is>
          <t>G8-S1</t>
        </is>
      </c>
      <c r="B30" s="2">
        <f>IFERROR(INDEX(Roster!$A$2:$A$43,MATCH(A30,Roster!$H$2:$H$43,0)),"not placed: see the trainer")</f>
        <v/>
      </c>
      <c r="C30" s="2">
        <f>IFERROR(INDEX(Roster!$D$2:$D$43,MATCH(A30,Roster!$H$2:$H$43,0)),"")</f>
        <v/>
      </c>
      <c r="D30" s="2">
        <f>IFERROR(INDEX(Roster!$E$2:$E$43,MATCH(A30,Roster!$H$2:$H$43,0)),"")</f>
        <v/>
      </c>
      <c r="E30" s="2">
        <f>IFERROR(INDEX(Roster!$F$2:$F$43,MATCH(A30,Roster!$H$2:$H$43,0)),"")</f>
        <v/>
      </c>
      <c r="F30" s="2">
        <f>IFERROR(INDEX(Roster!$B$2:$B$43,MATCH(A30,Roster!$H$2:$H$43,0)),"")</f>
        <v/>
      </c>
      <c r="G30" s="2">
        <f>IFERROR(IF(INDEX(Roster!$C$2:$C$43,MATCH(A30,Roster!$H$2:$H$43,0))="online","online, from your own laptop in the quiet room","in person"),"")</f>
        <v/>
      </c>
    </row>
    <row r="31">
      <c r="A31" s="2" t="inlineStr">
        <is>
          <t>G8-S2</t>
        </is>
      </c>
      <c r="B31" s="2">
        <f>IFERROR(INDEX(Roster!$A$2:$A$43,MATCH(A31,Roster!$H$2:$H$43,0)),"not placed: see the trainer")</f>
        <v/>
      </c>
      <c r="C31" s="2">
        <f>IFERROR(INDEX(Roster!$D$2:$D$43,MATCH(A31,Roster!$H$2:$H$43,0)),"")</f>
        <v/>
      </c>
      <c r="D31" s="2">
        <f>IFERROR(INDEX(Roster!$E$2:$E$43,MATCH(A31,Roster!$H$2:$H$43,0)),"")</f>
        <v/>
      </c>
      <c r="E31" s="2">
        <f>IFERROR(INDEX(Roster!$F$2:$F$43,MATCH(A31,Roster!$H$2:$H$43,0)),"")</f>
        <v/>
      </c>
      <c r="F31" s="2">
        <f>IFERROR(INDEX(Roster!$B$2:$B$43,MATCH(A31,Roster!$H$2:$H$43,0)),"")</f>
        <v/>
      </c>
      <c r="G31" s="2">
        <f>IFERROR(IF(INDEX(Roster!$C$2:$C$43,MATCH(A31,Roster!$H$2:$H$43,0))="online","online, from your own laptop in the quiet room","in person"),"")</f>
        <v/>
      </c>
    </row>
    <row r="32">
      <c r="A32" s="2" t="inlineStr">
        <is>
          <t>G8-S3</t>
        </is>
      </c>
      <c r="B32" s="2">
        <f>IFERROR(INDEX(Roster!$A$2:$A$43,MATCH(A32,Roster!$H$2:$H$43,0)),"not placed: see the trainer")</f>
        <v/>
      </c>
      <c r="C32" s="2">
        <f>IFERROR(INDEX(Roster!$D$2:$D$43,MATCH(A32,Roster!$H$2:$H$43,0)),"")</f>
        <v/>
      </c>
      <c r="D32" s="2">
        <f>IFERROR(INDEX(Roster!$E$2:$E$43,MATCH(A32,Roster!$H$2:$H$43,0)),"")</f>
        <v/>
      </c>
      <c r="E32" s="2">
        <f>IFERROR(INDEX(Roster!$F$2:$F$43,MATCH(A32,Roster!$H$2:$H$43,0)),"")</f>
        <v/>
      </c>
      <c r="F32" s="2">
        <f>IFERROR(INDEX(Roster!$B$2:$B$43,MATCH(A32,Roster!$H$2:$H$43,0)),"")</f>
        <v/>
      </c>
      <c r="G32" s="2">
        <f>IFERROR(IF(INDEX(Roster!$C$2:$C$43,MATCH(A32,Roster!$H$2:$H$43,0))="online","online, from your own laptop in the quiet room","in person"),"")</f>
        <v/>
      </c>
    </row>
    <row r="33">
      <c r="A33" s="2" t="inlineStr">
        <is>
          <t>G8-S4</t>
        </is>
      </c>
      <c r="B33" s="2">
        <f>IFERROR(INDEX(Roster!$A$2:$A$43,MATCH(A33,Roster!$H$2:$H$43,0)),"not placed: see the trainer")</f>
        <v/>
      </c>
      <c r="C33" s="2">
        <f>IFERROR(INDEX(Roster!$D$2:$D$43,MATCH(A33,Roster!$H$2:$H$43,0)),"")</f>
        <v/>
      </c>
      <c r="D33" s="2">
        <f>IFERROR(INDEX(Roster!$E$2:$E$43,MATCH(A33,Roster!$H$2:$H$43,0)),"")</f>
        <v/>
      </c>
      <c r="E33" s="2">
        <f>IFERROR(INDEX(Roster!$F$2:$F$43,MATCH(A33,Roster!$H$2:$H$43,0)),"")</f>
        <v/>
      </c>
      <c r="F33" s="2">
        <f>IFERROR(INDEX(Roster!$B$2:$B$43,MATCH(A33,Roster!$H$2:$H$43,0)),"")</f>
        <v/>
      </c>
      <c r="G33" s="2">
        <f>IFERROR(IF(INDEX(Roster!$C$2:$C$43,MATCH(A33,Roster!$H$2:$H$43,0))="online","online, from your own laptop in the quiet room","in person"),"")</f>
        <v/>
      </c>
    </row>
    <row r="34">
      <c r="A34" s="2" t="inlineStr">
        <is>
          <t>G9-S1</t>
        </is>
      </c>
      <c r="B34" s="2">
        <f>IFERROR(INDEX(Roster!$A$2:$A$43,MATCH(A34,Roster!$H$2:$H$43,0)),"not placed: see the trainer")</f>
        <v/>
      </c>
      <c r="C34" s="2">
        <f>IFERROR(INDEX(Roster!$D$2:$D$43,MATCH(A34,Roster!$H$2:$H$43,0)),"")</f>
        <v/>
      </c>
      <c r="D34" s="2">
        <f>IFERROR(INDEX(Roster!$E$2:$E$43,MATCH(A34,Roster!$H$2:$H$43,0)),"")</f>
        <v/>
      </c>
      <c r="E34" s="2">
        <f>IFERROR(INDEX(Roster!$F$2:$F$43,MATCH(A34,Roster!$H$2:$H$43,0)),"")</f>
        <v/>
      </c>
      <c r="F34" s="2">
        <f>IFERROR(INDEX(Roster!$B$2:$B$43,MATCH(A34,Roster!$H$2:$H$43,0)),"")</f>
        <v/>
      </c>
      <c r="G34" s="2">
        <f>IFERROR(IF(INDEX(Roster!$C$2:$C$43,MATCH(A34,Roster!$H$2:$H$43,0))="online","online, from your own laptop in the quiet room","in person"),"")</f>
        <v/>
      </c>
    </row>
    <row r="35">
      <c r="A35" s="2" t="inlineStr">
        <is>
          <t>G9-S2</t>
        </is>
      </c>
      <c r="B35" s="2">
        <f>IFERROR(INDEX(Roster!$A$2:$A$43,MATCH(A35,Roster!$H$2:$H$43,0)),"not placed: see the trainer")</f>
        <v/>
      </c>
      <c r="C35" s="2">
        <f>IFERROR(INDEX(Roster!$D$2:$D$43,MATCH(A35,Roster!$H$2:$H$43,0)),"")</f>
        <v/>
      </c>
      <c r="D35" s="2">
        <f>IFERROR(INDEX(Roster!$E$2:$E$43,MATCH(A35,Roster!$H$2:$H$43,0)),"")</f>
        <v/>
      </c>
      <c r="E35" s="2">
        <f>IFERROR(INDEX(Roster!$F$2:$F$43,MATCH(A35,Roster!$H$2:$H$43,0)),"")</f>
        <v/>
      </c>
      <c r="F35" s="2">
        <f>IFERROR(INDEX(Roster!$B$2:$B$43,MATCH(A35,Roster!$H$2:$H$43,0)),"")</f>
        <v/>
      </c>
      <c r="G35" s="2">
        <f>IFERROR(IF(INDEX(Roster!$C$2:$C$43,MATCH(A35,Roster!$H$2:$H$43,0))="online","online, from your own laptop in the quiet room","in person"),"")</f>
        <v/>
      </c>
    </row>
    <row r="36">
      <c r="A36" s="2" t="inlineStr">
        <is>
          <t>G9-S3</t>
        </is>
      </c>
      <c r="B36" s="2">
        <f>IFERROR(INDEX(Roster!$A$2:$A$43,MATCH(A36,Roster!$H$2:$H$43,0)),"not placed: see the trainer")</f>
        <v/>
      </c>
      <c r="C36" s="2">
        <f>IFERROR(INDEX(Roster!$D$2:$D$43,MATCH(A36,Roster!$H$2:$H$43,0)),"")</f>
        <v/>
      </c>
      <c r="D36" s="2">
        <f>IFERROR(INDEX(Roster!$E$2:$E$43,MATCH(A36,Roster!$H$2:$H$43,0)),"")</f>
        <v/>
      </c>
      <c r="E36" s="2">
        <f>IFERROR(INDEX(Roster!$F$2:$F$43,MATCH(A36,Roster!$H$2:$H$43,0)),"")</f>
        <v/>
      </c>
      <c r="F36" s="2">
        <f>IFERROR(INDEX(Roster!$B$2:$B$43,MATCH(A36,Roster!$H$2:$H$43,0)),"")</f>
        <v/>
      </c>
      <c r="G36" s="2">
        <f>IFERROR(IF(INDEX(Roster!$C$2:$C$43,MATCH(A36,Roster!$H$2:$H$43,0))="online","online, from your own laptop in the quiet room","in person"),"")</f>
        <v/>
      </c>
    </row>
    <row r="38">
      <c r="A38" s="2" t="inlineStr">
        <is>
          <t>The trainer calls each learner five minutes before their slot. Every time is a minute inside one of the day's two 180-minute blocks.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2026-10-04T18:51:52Z</dcterms:created>
  <dcterms:modified xmlns:dcterms="http://purl.org/dc/terms/" xmlns:xsi="http://www.w3.org/2001/XMLSchema-instance" xsi:type="dcterms:W3CDTF">2026-10-04T18:51:53Z</dcterms:modified>
</cp:coreProperties>
</file>