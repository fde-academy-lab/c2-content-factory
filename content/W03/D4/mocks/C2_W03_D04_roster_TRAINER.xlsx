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ettings" sheetId="2" state="visible" r:id="rId4"/>
    <sheet name="Groups" sheetId="3" state="visible" r:id="rId5"/>
    <sheet name="Seats" sheetId="4" state="visible" r:id="rId6"/>
    <sheet name="Roster"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<sst xmlns="http://schemas.openxmlformats.org/spreadsheetml/2006/main" count="244" uniqueCount="80">
  <si>
    <t xml:space="preserve">Mock R1 roster, Build 1</t>
  </si>
  <si>
    <t xml:space="preserve">TRAINER ONLY. Seats and groups, never names. Durations only: every time is a minute inside a 180-minute block.</t>
  </si>
  <si>
    <t xml:space="preserve">Which cells to edit</t>
  </si>
  <si>
    <t xml:space="preserve">Yellow cells with blue text are the inputs: the slot, changeover, huddle and close minutes on Settings; each group's sub-problem on Groups, filled after Monday's allocation; and each seat's present flag on Seats. Every other cell is a formula.</t>
  </si>
  <si>
    <t xml:space="preserve">How the default works</t>
  </si>
  <si>
    <t xml:space="preserve">35 seats in nine groups: eight groups of four and one of three, as the handover plans the cohort. The Programme Head changes the group sizes on Seats if Monday's allocation differs.</t>
  </si>
  <si>
    <t xml:space="preserve">The call order on Seats takes seat 1 of every group, then seat 2 of every group, and so on, and each slot fills the three assessors in call order. Three learners out at once therefore come from three different groups, so every group keeps building with at least two members while one is out.</t>
  </si>
  <si>
    <t xml:space="preserve">The default split is even: the Programme Head and the Academic TA take 12 learners each in person, and the Principal Advisor takes 11 online. The Principal Advisor holds the one spare slot, at the end of the day.</t>
  </si>
  <si>
    <t xml:space="preserve">Each assessor therefore meets every member of the same three groups: the Programme Head G1, G4 and G7, the Academic TA G2, G5 and G8, and the Principal Advisor G3, G6 and G9. That is deliberate. One assessor hears all of a group's members, so work carried for a group-mate shows against the others' answers. The huddle and the close keep the three assessors calibrated across groups.</t>
  </si>
  <si>
    <t xml:space="preserve">The question set on Seats gives consecutive letters to the seats of one group, so no two group-mates meet the same technical set.</t>
  </si>
  <si>
    <t xml:space="preserve">What moves when a learner is absent</t>
  </si>
  <si>
    <t xml:space="preserve">Known before the day: set that seat's present flag to no. The queue closes up, everyone after the seat moves one position earlier, and the day ends one slot sooner for one assessor. Then read the clash count on Settings: if it is above zero, two group-mates now share a slot, so swap two rows' call order on Seats until it reads zero.</t>
  </si>
  <si>
    <t xml:space="preserve">Found on the day: do not edit the workbook. The absent learner's slot becomes a free slot for that assessor, used to write up notes or to take a learner who is running late. A learner who arrives later takes the spare slot or the first free slot. A learner absent all day is listed for a make-up, which the Programme Head schedules.</t>
  </si>
  <si>
    <t xml:space="preserve">What moves when an assessor is out</t>
  </si>
  <si>
    <t xml:space="preserve">The grid assumes three assessors. If one is out for part of the day, their learners move to the free and spare slots of the other two first, and then to the time after the second block, which is open build time. The day sheet carries this plan.</t>
  </si>
  <si>
    <t xml:space="preserve">Settings and the day's verdict</t>
  </si>
  <si>
    <t xml:space="preserve">Mock slot, minutes</t>
  </si>
  <si>
    <t xml:space="preserve">The row: roughly 20 minutes each.</t>
  </si>
  <si>
    <t xml:space="preserve">Changeover, minutes</t>
  </si>
  <si>
    <t xml:space="preserve">The assessor finishes the evidence note and the next learner sits down.</t>
  </si>
  <si>
    <t xml:space="preserve">Block length, minutes</t>
  </si>
  <si>
    <t xml:space="preserve">data/programme/facts.yaml: two blocks of 180 minutes.</t>
  </si>
  <si>
    <t xml:space="preserve">Assessors' huddle at the start of block 1, minutes</t>
  </si>
  <si>
    <t xml:space="preserve">Calibration on the viva file before the first mock.</t>
  </si>
  <si>
    <t xml:space="preserve">Close at the end of block 2, minutes</t>
  </si>
  <si>
    <t xml:space="preserve">The row: the close-out, 15 minutes.</t>
  </si>
  <si>
    <t xml:space="preserve">One slot and its changeover, minutes</t>
  </si>
  <si>
    <t xml:space="preserve">Slots per assessor in block 1</t>
  </si>
  <si>
    <t xml:space="preserve">Slots per assessor in block 2</t>
  </si>
  <si>
    <t xml:space="preserve">Slots per assessor in the day</t>
  </si>
  <si>
    <t xml:space="preserve">Assessors</t>
  </si>
  <si>
    <t xml:space="preserve">Programme Head and Academic TA in person, Principal Advisor online.</t>
  </si>
  <si>
    <t xml:space="preserve">Mock slots in the day</t>
  </si>
  <si>
    <t xml:space="preserve">Learners present</t>
  </si>
  <si>
    <t xml:space="preserve">Spare slots</t>
  </si>
  <si>
    <t xml:space="preserve">Verdict</t>
  </si>
  <si>
    <t xml:space="preserve">Last mock of the day ends at</t>
  </si>
  <si>
    <t xml:space="preserve">Close starts at</t>
  </si>
  <si>
    <t xml:space="preserve">Slots where two group-mates are out at once</t>
  </si>
  <si>
    <t xml:space="preserve">Zero by default. Above zero after an absence: swap call orders on Seats.</t>
  </si>
  <si>
    <t xml:space="preserve">Assessor minutes in mocks</t>
  </si>
  <si>
    <t xml:space="preserve">Load per assessor</t>
  </si>
  <si>
    <t xml:space="preserve">Assessor</t>
  </si>
  <si>
    <t xml:space="preserve">Mode</t>
  </si>
  <si>
    <t xml:space="preserve">Learners</t>
  </si>
  <si>
    <t xml:space="preserve">Minutes in mocks</t>
  </si>
  <si>
    <t xml:space="preserve">Last mock ends at</t>
  </si>
  <si>
    <t xml:space="preserve">Programme Head</t>
  </si>
  <si>
    <t xml:space="preserve">in person</t>
  </si>
  <si>
    <t xml:space="preserve">Academic TA</t>
  </si>
  <si>
    <t xml:space="preserve">Principal Advisor</t>
  </si>
  <si>
    <t xml:space="preserve">online</t>
  </si>
  <si>
    <t xml:space="preserve">Total</t>
  </si>
  <si>
    <t xml:space="preserve">Group</t>
  </si>
  <si>
    <t xml:space="preserve">Sub-problem (fill after Monday)</t>
  </si>
  <si>
    <t xml:space="preserve">Seats</t>
  </si>
  <si>
    <t xml:space="preserve">Present</t>
  </si>
  <si>
    <t xml:space="preserve">Mocks placed</t>
  </si>
  <si>
    <t xml:space="preserve">G1</t>
  </si>
  <si>
    <t xml:space="preserve">G2</t>
  </si>
  <si>
    <t xml:space="preserve">G3</t>
  </si>
  <si>
    <t xml:space="preserve">G4</t>
  </si>
  <si>
    <t xml:space="preserve">G5</t>
  </si>
  <si>
    <t xml:space="preserve">G6</t>
  </si>
  <si>
    <t xml:space="preserve">G7</t>
  </si>
  <si>
    <t xml:space="preserve">G8</t>
  </si>
  <si>
    <t xml:space="preserve">G9</t>
  </si>
  <si>
    <t xml:space="preserve">Call order</t>
  </si>
  <si>
    <t xml:space="preserve">Seat</t>
  </si>
  <si>
    <t xml:space="preserve">Seat label</t>
  </si>
  <si>
    <t xml:space="preserve">Question set</t>
  </si>
  <si>
    <t xml:space="preserve">Sub-problem</t>
  </si>
  <si>
    <t xml:space="preserve">Queue position</t>
  </si>
  <si>
    <t xml:space="preserve">yes</t>
  </si>
  <si>
    <t xml:space="preserve">Slot</t>
  </si>
  <si>
    <t xml:space="preserve">Block</t>
  </si>
  <si>
    <t xml:space="preserve">Starts, minute of block</t>
  </si>
  <si>
    <t xml:space="preserve">Ends, minute of block</t>
  </si>
  <si>
    <t xml:space="preserve">Group-mate in same slot</t>
  </si>
  <si>
    <t xml:space="preserve">Ends, minute of day</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</si>
</sst>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sz val="10"/>
      <name val="Arial"/>
      <family val="0"/>
      <charset val="1"/>
    </font>
    <font>
      <b val="true"/>
      <sz val="10"/>
      <name val="Arial"/>
      <family val="0"/>
      <charset val="1"/>
    </font>
    <font>
      <sz val="10"/>
      <color rgb="FF0000FF"/>
      <name val="Arial"/>
      <family val="0"/>
      <charset val="1"/>
    </font>
  </fonts>
  <fills count="4">
    <fill>
      <patternFill patternType="none"/>
    </fill>
    <fill>
      <patternFill patternType="gray125"/>
    </fill>
    <fill>
      <patternFill patternType="solid">
        <fgColor rgb="FFFFFF99"/>
        <bgColor rgb="FFFFFFCC"/>
      </patternFill>
    </fill>
    <fill>
      <patternFill patternType="solid">
        <fgColor rgb="FFDDE3F0"/>
        <bgColor rgb="FFCC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E3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0"/>
  </cols>
  <sheetData>
    <row r="1" customFormat="false" ht="1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23.85" hidden="false" customHeight="false" outlineLevel="0" collapsed="false">
      <c r="A5" s="2" t="s">
        <v>3</v>
      </c>
    </row>
    <row r="6" customFormat="false" ht="15" hidden="false" customHeight="false" outlineLevel="0" collapsed="false">
      <c r="A6" s="2"/>
    </row>
    <row r="7" customFormat="false" ht="15" hidden="false" customHeight="false" outlineLevel="0" collapsed="false">
      <c r="A7" s="3" t="s">
        <v>4</v>
      </c>
    </row>
    <row r="8" customFormat="false" ht="23.85" hidden="false" customHeight="false" outlineLevel="0" collapsed="false">
      <c r="A8" s="2" t="s">
        <v>5</v>
      </c>
    </row>
    <row r="9" customFormat="false" ht="23.85" hidden="false" customHeight="false" outlineLevel="0" collapsed="false">
      <c r="A9" s="2" t="s">
        <v>6</v>
      </c>
    </row>
    <row r="10" customFormat="false" ht="23.85" hidden="false" customHeight="false" outlineLevel="0" collapsed="false">
      <c r="A10" s="2" t="s">
        <v>7</v>
      </c>
    </row>
    <row r="11" customFormat="false" ht="35.0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row>
    <row r="14" customFormat="false" ht="15" hidden="false" customHeight="false" outlineLevel="0" collapsed="false">
      <c r="A14" s="3" t="s">
        <v>10</v>
      </c>
    </row>
    <row r="15" customFormat="false" ht="23.85" hidden="false" customHeight="false" outlineLevel="0" collapsed="false">
      <c r="A15" s="2" t="s">
        <v>11</v>
      </c>
    </row>
    <row r="16" customFormat="false" ht="23.85" hidden="false" customHeight="false" outlineLevel="0" collapsed="false">
      <c r="A16" s="2" t="s">
        <v>12</v>
      </c>
    </row>
    <row r="17" customFormat="false" ht="15" hidden="false" customHeight="false" outlineLevel="0" collapsed="false">
      <c r="A17" s="2"/>
    </row>
    <row r="18" customFormat="false" ht="15" hidden="false" customHeight="false" outlineLevel="0" collapsed="false">
      <c r="A18" s="3" t="s">
        <v>13</v>
      </c>
    </row>
    <row r="19" customFormat="false" ht="23.85" hidden="false" customHeight="false" outlineLevel="0" collapsed="false">
      <c r="A19" s="2"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34"/>
    <col collapsed="false" customWidth="true" hidden="false" outlineLevel="0" max="3" min="3" style="0" width="62"/>
    <col collapsed="false" customWidth="true" hidden="false" outlineLevel="0" max="4" min="4" style="0" width="16"/>
    <col collapsed="false" customWidth="true" hidden="false" outlineLevel="0" max="5" min="5" style="0" width="22"/>
  </cols>
  <sheetData>
    <row r="1" customFormat="false" ht="15" hidden="false" customHeight="false" outlineLevel="0" collapsed="false">
      <c r="A1" s="4" t="s">
        <v>15</v>
      </c>
    </row>
    <row r="3" customFormat="false" ht="15" hidden="false" customHeight="false" outlineLevel="0" collapsed="false">
      <c r="A3" s="5" t="s">
        <v>16</v>
      </c>
      <c r="B3" s="6" t="n">
        <v>20</v>
      </c>
      <c r="C3" s="5" t="s">
        <v>17</v>
      </c>
    </row>
    <row r="4" customFormat="false" ht="15" hidden="false" customHeight="false" outlineLevel="0" collapsed="false">
      <c r="A4" s="5" t="s">
        <v>18</v>
      </c>
      <c r="B4" s="6" t="n">
        <v>5</v>
      </c>
      <c r="C4" s="5" t="s">
        <v>19</v>
      </c>
    </row>
    <row r="5" customFormat="false" ht="15" hidden="false" customHeight="false" outlineLevel="0" collapsed="false">
      <c r="A5" s="5" t="s">
        <v>20</v>
      </c>
      <c r="B5" s="6" t="n">
        <v>180</v>
      </c>
      <c r="C5" s="5" t="s">
        <v>21</v>
      </c>
    </row>
    <row r="6" customFormat="false" ht="15" hidden="false" customHeight="false" outlineLevel="0" collapsed="false">
      <c r="A6" s="5" t="s">
        <v>22</v>
      </c>
      <c r="B6" s="6" t="n">
        <v>10</v>
      </c>
      <c r="C6" s="5" t="s">
        <v>23</v>
      </c>
    </row>
    <row r="7" customFormat="false" ht="15" hidden="false" customHeight="false" outlineLevel="0" collapsed="false">
      <c r="A7" s="5" t="s">
        <v>24</v>
      </c>
      <c r="B7" s="6" t="n">
        <v>15</v>
      </c>
      <c r="C7" s="5" t="s">
        <v>25</v>
      </c>
    </row>
    <row r="8" customFormat="false" ht="15" hidden="false" customHeight="false" outlineLevel="0" collapsed="false">
      <c r="A8" s="5" t="s">
        <v>26</v>
      </c>
      <c r="B8" s="5" t="n">
        <f aca="false">B3+B4</f>
        <v>25</v>
      </c>
      <c r="C8" s="5"/>
    </row>
    <row r="9" customFormat="false" ht="15" hidden="false" customHeight="false" outlineLevel="0" collapsed="false">
      <c r="A9" s="5" t="s">
        <v>27</v>
      </c>
      <c r="B9" s="5" t="n">
        <f aca="false">INT((B5-B6)/B8)</f>
        <v>6</v>
      </c>
      <c r="C9" s="5"/>
    </row>
    <row r="10" customFormat="false" ht="15" hidden="false" customHeight="false" outlineLevel="0" collapsed="false">
      <c r="A10" s="5" t="s">
        <v>28</v>
      </c>
      <c r="B10" s="5" t="n">
        <f aca="false">INT((B5-B7)/B8)</f>
        <v>6</v>
      </c>
      <c r="C10" s="5"/>
    </row>
    <row r="11" customFormat="false" ht="15" hidden="false" customHeight="false" outlineLevel="0" collapsed="false">
      <c r="A11" s="5" t="s">
        <v>29</v>
      </c>
      <c r="B11" s="5" t="n">
        <f aca="false">B9+B10</f>
        <v>12</v>
      </c>
      <c r="C11" s="5"/>
    </row>
    <row r="12" customFormat="false" ht="15" hidden="false" customHeight="false" outlineLevel="0" collapsed="false">
      <c r="A12" s="5" t="s">
        <v>30</v>
      </c>
      <c r="B12" s="5" t="n">
        <v>3</v>
      </c>
      <c r="C12" s="5" t="s">
        <v>31</v>
      </c>
    </row>
    <row r="13" customFormat="false" ht="15" hidden="false" customHeight="false" outlineLevel="0" collapsed="false">
      <c r="A13" s="5" t="s">
        <v>32</v>
      </c>
      <c r="B13" s="5" t="n">
        <f aca="false">B11*B12</f>
        <v>36</v>
      </c>
      <c r="C13" s="5"/>
    </row>
    <row r="14" customFormat="false" ht="15" hidden="false" customHeight="false" outlineLevel="0" collapsed="false">
      <c r="A14" s="5" t="s">
        <v>33</v>
      </c>
      <c r="B14" s="5" t="n">
        <f aca="false">COUNTIF(Seats!G2:G36,"yes")</f>
        <v>35</v>
      </c>
      <c r="C14" s="5"/>
    </row>
    <row r="15" customFormat="false" ht="15" hidden="false" customHeight="false" outlineLevel="0" collapsed="false">
      <c r="A15" s="5" t="s">
        <v>34</v>
      </c>
      <c r="B15" s="5" t="n">
        <f aca="false">B13-B14</f>
        <v>1</v>
      </c>
      <c r="C15" s="5"/>
    </row>
    <row r="16" customFormat="false" ht="15" hidden="false" customHeight="false" outlineLevel="0" collapsed="false">
      <c r="A16" s="7" t="s">
        <v>35</v>
      </c>
      <c r="B16" s="7" t="str">
        <f aca="false">IF(B14&lt;=B13,"fits: "&amp;B13&amp;" slots for "&amp;B14&amp;" learners","does not fit: "&amp;(B14-B13)&amp;" learners without a slot")</f>
        <v>fits: 36 slots for 35 learners</v>
      </c>
      <c r="C16" s="5"/>
    </row>
    <row r="17" customFormat="false" ht="15" hidden="false" customHeight="false" outlineLevel="0" collapsed="false">
      <c r="A17" s="5" t="s">
        <v>36</v>
      </c>
      <c r="B17" s="5" t="str">
        <f aca="false">IF(B14&gt;B13,"after the day",IF(ROUNDUP(B14/B12,0)&lt;=B9,"block 1, minute "&amp;(B6+ROUNDUP(B14/B12,0)*B8-B4),"block 2, minute "&amp;((ROUNDUP(B14/B12,0)-B9)*B8-B4)))</f>
        <v>block 2, minute 145</v>
      </c>
      <c r="C17" s="5"/>
    </row>
    <row r="18" customFormat="false" ht="15" hidden="false" customHeight="false" outlineLevel="0" collapsed="false">
      <c r="A18" s="5" t="s">
        <v>37</v>
      </c>
      <c r="B18" s="5" t="str">
        <f aca="false">"block 2, minute "&amp;(B5-B7)</f>
        <v>block 2, minute 165</v>
      </c>
      <c r="C18" s="5"/>
    </row>
    <row r="19" customFormat="false" ht="15" hidden="false" customHeight="false" outlineLevel="0" collapsed="false">
      <c r="A19" s="5" t="s">
        <v>38</v>
      </c>
      <c r="B19" s="5" t="n">
        <f aca="false">COUNTIF(Roster!L2:L43,"yes")</f>
        <v>0</v>
      </c>
      <c r="C19" s="5" t="s">
        <v>39</v>
      </c>
    </row>
    <row r="20" customFormat="false" ht="15" hidden="false" customHeight="false" outlineLevel="0" collapsed="false">
      <c r="A20" s="5" t="s">
        <v>40</v>
      </c>
      <c r="B20" s="5" t="n">
        <f aca="false">B14*B3</f>
        <v>700</v>
      </c>
      <c r="C20" s="5"/>
    </row>
    <row r="22" customFormat="false" ht="15" hidden="false" customHeight="false" outlineLevel="0" collapsed="false">
      <c r="A22" s="7" t="s">
        <v>41</v>
      </c>
    </row>
    <row r="23" customFormat="false" ht="15" hidden="false" customHeight="false" outlineLevel="0" collapsed="false">
      <c r="A23" s="8" t="s">
        <v>42</v>
      </c>
      <c r="B23" s="8" t="s">
        <v>43</v>
      </c>
      <c r="C23" s="8" t="s">
        <v>44</v>
      </c>
      <c r="D23" s="8" t="s">
        <v>45</v>
      </c>
      <c r="E23" s="8" t="s">
        <v>46</v>
      </c>
    </row>
    <row r="24" customFormat="false" ht="15" hidden="false" customHeight="false" outlineLevel="0" collapsed="false">
      <c r="A24" s="5" t="s">
        <v>47</v>
      </c>
      <c r="B24" s="5" t="s">
        <v>48</v>
      </c>
      <c r="C24" s="5" t="n">
        <f aca="false">COUNTIFS(Roster!B2:B43,A24,Roster!H2:H43,"G*")</f>
        <v>12</v>
      </c>
      <c r="D24" s="5" t="n">
        <f aca="false">C24*$B$3</f>
        <v>240</v>
      </c>
      <c r="E24" s="5" t="str">
        <f aca="false">IF(C24=0,"no mocks",IF(_xlfn.MAXIFS(Roster!M2:M43,Roster!B2:B43,A24,Roster!H2:H43,"G*")&gt;$B$5,"block 2, minute "&amp;(_xlfn.MAXIFS(Roster!M2:M43,Roster!B2:B43,A24,Roster!H2:H43,"G*")-$B$5),"block 1, minute "&amp;_xlfn.MAXIFS(Roster!M2:M43,Roster!B2:B43,A24,Roster!H2:H43,"G*")))</f>
        <v>block 2, minute 145</v>
      </c>
    </row>
    <row r="25" customFormat="false" ht="15" hidden="false" customHeight="false" outlineLevel="0" collapsed="false">
      <c r="A25" s="5" t="s">
        <v>49</v>
      </c>
      <c r="B25" s="5" t="s">
        <v>48</v>
      </c>
      <c r="C25" s="5" t="n">
        <f aca="false">COUNTIFS(Roster!B2:B43,A25,Roster!H2:H43,"G*")</f>
        <v>12</v>
      </c>
      <c r="D25" s="5" t="n">
        <f aca="false">C25*$B$3</f>
        <v>240</v>
      </c>
      <c r="E25" s="5" t="str">
        <f aca="false">IF(C25=0,"no mocks",IF(_xlfn.MAXIFS(Roster!M2:M43,Roster!B2:B43,A25,Roster!H2:H43,"G*")&gt;$B$5,"block 2, minute "&amp;(_xlfn.MAXIFS(Roster!M2:M43,Roster!B2:B43,A25,Roster!H2:H43,"G*")-$B$5),"block 1, minute "&amp;_xlfn.MAXIFS(Roster!M2:M43,Roster!B2:B43,A25,Roster!H2:H43,"G*")))</f>
        <v>block 2, minute 145</v>
      </c>
    </row>
    <row r="26" customFormat="false" ht="15" hidden="false" customHeight="false" outlineLevel="0" collapsed="false">
      <c r="A26" s="5" t="s">
        <v>50</v>
      </c>
      <c r="B26" s="5" t="s">
        <v>51</v>
      </c>
      <c r="C26" s="5" t="n">
        <f aca="false">COUNTIFS(Roster!B2:B43,A26,Roster!H2:H43,"G*")</f>
        <v>11</v>
      </c>
      <c r="D26" s="5" t="n">
        <f aca="false">C26*$B$3</f>
        <v>220</v>
      </c>
      <c r="E26" s="5" t="str">
        <f aca="false">IF(C26=0,"no mocks",IF(_xlfn.MAXIFS(Roster!M2:M43,Roster!B2:B43,A26,Roster!H2:H43,"G*")&gt;$B$5,"block 2, minute "&amp;(_xlfn.MAXIFS(Roster!M2:M43,Roster!B2:B43,A26,Roster!H2:H43,"G*")-$B$5),"block 1, minute "&amp;_xlfn.MAXIFS(Roster!M2:M43,Roster!B2:B43,A26,Roster!H2:H43,"G*")))</f>
        <v>block 2, minute 120</v>
      </c>
    </row>
    <row r="27" customFormat="false" ht="15" hidden="false" customHeight="false" outlineLevel="0" collapsed="false">
      <c r="A27" s="7" t="s">
        <v>52</v>
      </c>
      <c r="C27" s="7" t="n">
        <f aca="false">SUM(C24:C26)</f>
        <v>35</v>
      </c>
      <c r="D27" s="7" t="n">
        <f aca="false">SUM(D24:D26)</f>
        <v>700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34"/>
    <col collapsed="false" customWidth="true" hidden="false" outlineLevel="0" max="5" min="3" style="0" width="14"/>
  </cols>
  <sheetData>
    <row r="1" customFormat="false" ht="15" hidden="false" customHeight="false" outlineLevel="0" collapsed="false">
      <c r="A1" s="8" t="s">
        <v>53</v>
      </c>
      <c r="B1" s="8" t="s">
        <v>54</v>
      </c>
      <c r="C1" s="8" t="s">
        <v>55</v>
      </c>
      <c r="D1" s="8" t="s">
        <v>56</v>
      </c>
      <c r="E1" s="8" t="s">
        <v>57</v>
      </c>
    </row>
    <row r="2" customFormat="false" ht="15" hidden="false" customHeight="false" outlineLevel="0" collapsed="false">
      <c r="A2" s="5" t="s">
        <v>58</v>
      </c>
      <c r="B2" s="6"/>
      <c r="C2" s="5" t="n">
        <f aca="false">COUNTIF(Seats!B$2:B$36,A2)</f>
        <v>4</v>
      </c>
      <c r="D2" s="5" t="n">
        <f aca="false">COUNTIFS(Seats!B$2:B$36,A2,Seats!G$2:G$36,"yes")</f>
        <v>4</v>
      </c>
      <c r="E2" s="5" t="n">
        <f aca="false">COUNTIF(Roster!I$2:I$43,A2)</f>
        <v>4</v>
      </c>
    </row>
    <row r="3" customFormat="false" ht="15" hidden="false" customHeight="false" outlineLevel="0" collapsed="false">
      <c r="A3" s="5" t="s">
        <v>59</v>
      </c>
      <c r="B3" s="6"/>
      <c r="C3" s="5" t="n">
        <f aca="false">COUNTIF(Seats!B$2:B$36,A3)</f>
        <v>4</v>
      </c>
      <c r="D3" s="5" t="n">
        <f aca="false">COUNTIFS(Seats!B$2:B$36,A3,Seats!G$2:G$36,"yes")</f>
        <v>4</v>
      </c>
      <c r="E3" s="5" t="n">
        <f aca="false">COUNTIF(Roster!I$2:I$43,A3)</f>
        <v>4</v>
      </c>
    </row>
    <row r="4" customFormat="false" ht="15" hidden="false" customHeight="false" outlineLevel="0" collapsed="false">
      <c r="A4" s="5" t="s">
        <v>60</v>
      </c>
      <c r="B4" s="6"/>
      <c r="C4" s="5" t="n">
        <f aca="false">COUNTIF(Seats!B$2:B$36,A4)</f>
        <v>4</v>
      </c>
      <c r="D4" s="5" t="n">
        <f aca="false">COUNTIFS(Seats!B$2:B$36,A4,Seats!G$2:G$36,"yes")</f>
        <v>4</v>
      </c>
      <c r="E4" s="5" t="n">
        <f aca="false">COUNTIF(Roster!I$2:I$43,A4)</f>
        <v>4</v>
      </c>
    </row>
    <row r="5" customFormat="false" ht="15" hidden="false" customHeight="false" outlineLevel="0" collapsed="false">
      <c r="A5" s="5" t="s">
        <v>61</v>
      </c>
      <c r="B5" s="6"/>
      <c r="C5" s="5" t="n">
        <f aca="false">COUNTIF(Seats!B$2:B$36,A5)</f>
        <v>4</v>
      </c>
      <c r="D5" s="5" t="n">
        <f aca="false">COUNTIFS(Seats!B$2:B$36,A5,Seats!G$2:G$36,"yes")</f>
        <v>4</v>
      </c>
      <c r="E5" s="5" t="n">
        <f aca="false">COUNTIF(Roster!I$2:I$43,A5)</f>
        <v>4</v>
      </c>
    </row>
    <row r="6" customFormat="false" ht="15" hidden="false" customHeight="false" outlineLevel="0" collapsed="false">
      <c r="A6" s="5" t="s">
        <v>62</v>
      </c>
      <c r="B6" s="6"/>
      <c r="C6" s="5" t="n">
        <f aca="false">COUNTIF(Seats!B$2:B$36,A6)</f>
        <v>4</v>
      </c>
      <c r="D6" s="5" t="n">
        <f aca="false">COUNTIFS(Seats!B$2:B$36,A6,Seats!G$2:G$36,"yes")</f>
        <v>4</v>
      </c>
      <c r="E6" s="5" t="n">
        <f aca="false">COUNTIF(Roster!I$2:I$43,A6)</f>
        <v>4</v>
      </c>
    </row>
    <row r="7" customFormat="false" ht="15" hidden="false" customHeight="false" outlineLevel="0" collapsed="false">
      <c r="A7" s="5" t="s">
        <v>63</v>
      </c>
      <c r="B7" s="6"/>
      <c r="C7" s="5" t="n">
        <f aca="false">COUNTIF(Seats!B$2:B$36,A7)</f>
        <v>4</v>
      </c>
      <c r="D7" s="5" t="n">
        <f aca="false">COUNTIFS(Seats!B$2:B$36,A7,Seats!G$2:G$36,"yes")</f>
        <v>4</v>
      </c>
      <c r="E7" s="5" t="n">
        <f aca="false">COUNTIF(Roster!I$2:I$43,A7)</f>
        <v>4</v>
      </c>
    </row>
    <row r="8" customFormat="false" ht="15" hidden="false" customHeight="false" outlineLevel="0" collapsed="false">
      <c r="A8" s="5" t="s">
        <v>64</v>
      </c>
      <c r="B8" s="6"/>
      <c r="C8" s="5" t="n">
        <f aca="false">COUNTIF(Seats!B$2:B$36,A8)</f>
        <v>4</v>
      </c>
      <c r="D8" s="5" t="n">
        <f aca="false">COUNTIFS(Seats!B$2:B$36,A8,Seats!G$2:G$36,"yes")</f>
        <v>4</v>
      </c>
      <c r="E8" s="5" t="n">
        <f aca="false">COUNTIF(Roster!I$2:I$43,A8)</f>
        <v>4</v>
      </c>
    </row>
    <row r="9" customFormat="false" ht="15" hidden="false" customHeight="false" outlineLevel="0" collapsed="false">
      <c r="A9" s="5" t="s">
        <v>65</v>
      </c>
      <c r="B9" s="6"/>
      <c r="C9" s="5" t="n">
        <f aca="false">COUNTIF(Seats!B$2:B$36,A9)</f>
        <v>4</v>
      </c>
      <c r="D9" s="5" t="n">
        <f aca="false">COUNTIFS(Seats!B$2:B$36,A9,Seats!G$2:G$36,"yes")</f>
        <v>4</v>
      </c>
      <c r="E9" s="5" t="n">
        <f aca="false">COUNTIF(Roster!I$2:I$43,A9)</f>
        <v>4</v>
      </c>
    </row>
    <row r="10" customFormat="false" ht="15" hidden="false" customHeight="false" outlineLevel="0" collapsed="false">
      <c r="A10" s="5" t="s">
        <v>66</v>
      </c>
      <c r="B10" s="6"/>
      <c r="C10" s="5" t="n">
        <f aca="false">COUNTIF(Seats!B$2:B$36,A10)</f>
        <v>3</v>
      </c>
      <c r="D10" s="5" t="n">
        <f aca="false">COUNTIFS(Seats!B$2:B$36,A10,Seats!G$2:G$36,"yes")</f>
        <v>3</v>
      </c>
      <c r="E10" s="5" t="n">
        <f aca="false">COUNTIF(Roster!I$2:I$43,A10)</f>
        <v>3</v>
      </c>
    </row>
    <row r="11" customFormat="false" ht="15" hidden="false" customHeight="false" outlineLevel="0" collapsed="false">
      <c r="A11" s="7" t="s">
        <v>52</v>
      </c>
      <c r="C11" s="7" t="n">
        <f aca="false">SUM(C2:C10)</f>
        <v>35</v>
      </c>
      <c r="D11" s="7" t="n">
        <f aca="false">SUM(D2:D10)</f>
        <v>35</v>
      </c>
      <c r="E11" s="7" t="n">
        <f aca="false">SUM(E2:E10)</f>
        <v>35</v>
      </c>
    </row>
  </sheetData>
  <dataValidations count="1">
    <dataValidation allowBlank="true" errorStyle="stop" operator="between" showDropDown="false" showErrorMessage="false" showInputMessage="false" sqref="B2:B10" type="list">
      <formula1>"1 revenue,2 bookings,3 billing,4 no-shows,5 campaign"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8"/>
    <col collapsed="false" customWidth="true" hidden="false" outlineLevel="0" max="3" min="3" style="0" width="6"/>
    <col collapsed="false" customWidth="true" hidden="false" outlineLevel="0" max="4" min="4" style="0" width="11"/>
    <col collapsed="false" customWidth="true" hidden="false" outlineLevel="0" max="5" min="5" style="0" width="13"/>
    <col collapsed="false" customWidth="true" hidden="false" outlineLevel="0" max="6" min="6" style="0" width="20"/>
    <col collapsed="false" customWidth="true" hidden="false" outlineLevel="0" max="7" min="7" style="0" width="9"/>
    <col collapsed="false" customWidth="true" hidden="false" outlineLevel="0" max="8" min="8" style="0" width="15"/>
  </cols>
  <sheetData>
    <row r="1" customFormat="false" ht="15" hidden="false" customHeight="false" outlineLevel="0" collapsed="false">
      <c r="A1" s="8" t="s">
        <v>67</v>
      </c>
      <c r="B1" s="8" t="s">
        <v>53</v>
      </c>
      <c r="C1" s="8" t="s">
        <v>68</v>
      </c>
      <c r="D1" s="8" t="s">
        <v>69</v>
      </c>
      <c r="E1" s="8" t="s">
        <v>70</v>
      </c>
      <c r="F1" s="8" t="s">
        <v>71</v>
      </c>
      <c r="G1" s="8" t="s">
        <v>56</v>
      </c>
      <c r="H1" s="8" t="s">
        <v>72</v>
      </c>
    </row>
    <row r="2" customFormat="false" ht="15" hidden="false" customHeight="false" outlineLevel="0" collapsed="false">
      <c r="A2" s="6" t="n">
        <v>1</v>
      </c>
      <c r="B2" s="5" t="s">
        <v>58</v>
      </c>
      <c r="C2" s="5" t="n">
        <v>1</v>
      </c>
      <c r="D2" s="5" t="str">
        <f aca="false">B2&amp;"-S"&amp;C2</f>
        <v>G1-S1</v>
      </c>
      <c r="E2" s="5" t="str">
        <f aca="false">MID("ABCDEFGH",MOD(VALUE(MID(B2,2,2))+C2-2,8)+1,1)</f>
        <v>A</v>
      </c>
      <c r="F2" s="5" t="str">
        <f aca="false">IF(INDEX(Groups!B$2:B$10,VALUE(MID(B2,2,2)))="","allocate on Monday",INDEX(Groups!B$2:B$10,VALUE(MID(B2,2,2))))</f>
        <v>allocate on Monday</v>
      </c>
      <c r="G2" s="6" t="s">
        <v>73</v>
      </c>
      <c r="H2" s="5" t="n">
        <f aca="false">IF(G2="yes",COUNTIFS(G$2:G$36,"yes",A$2:A$36,"&lt;="&amp;A2),"")</f>
        <v>1</v>
      </c>
    </row>
    <row r="3" customFormat="false" ht="15" hidden="false" customHeight="false" outlineLevel="0" collapsed="false">
      <c r="A3" s="6" t="n">
        <v>2</v>
      </c>
      <c r="B3" s="5" t="s">
        <v>59</v>
      </c>
      <c r="C3" s="5" t="n">
        <v>1</v>
      </c>
      <c r="D3" s="5" t="str">
        <f aca="false">B3&amp;"-S"&amp;C3</f>
        <v>G2-S1</v>
      </c>
      <c r="E3" s="5" t="str">
        <f aca="false">MID("ABCDEFGH",MOD(VALUE(MID(B3,2,2))+C3-2,8)+1,1)</f>
        <v>B</v>
      </c>
      <c r="F3" s="5" t="str">
        <f aca="false">IF(INDEX(Groups!B$2:B$10,VALUE(MID(B3,2,2)))="","allocate on Monday",INDEX(Groups!B$2:B$10,VALUE(MID(B3,2,2))))</f>
        <v>allocate on Monday</v>
      </c>
      <c r="G3" s="6" t="s">
        <v>73</v>
      </c>
      <c r="H3" s="5" t="n">
        <f aca="false">IF(G3="yes",COUNTIFS(G$2:G$36,"yes",A$2:A$36,"&lt;="&amp;A3),"")</f>
        <v>2</v>
      </c>
    </row>
    <row r="4" customFormat="false" ht="15" hidden="false" customHeight="false" outlineLevel="0" collapsed="false">
      <c r="A4" s="6" t="n">
        <v>3</v>
      </c>
      <c r="B4" s="5" t="s">
        <v>60</v>
      </c>
      <c r="C4" s="5" t="n">
        <v>1</v>
      </c>
      <c r="D4" s="5" t="str">
        <f aca="false">B4&amp;"-S"&amp;C4</f>
        <v>G3-S1</v>
      </c>
      <c r="E4" s="5" t="str">
        <f aca="false">MID("ABCDEFGH",MOD(VALUE(MID(B4,2,2))+C4-2,8)+1,1)</f>
        <v>C</v>
      </c>
      <c r="F4" s="5" t="str">
        <f aca="false">IF(INDEX(Groups!B$2:B$10,VALUE(MID(B4,2,2)))="","allocate on Monday",INDEX(Groups!B$2:B$10,VALUE(MID(B4,2,2))))</f>
        <v>allocate on Monday</v>
      </c>
      <c r="G4" s="6" t="s">
        <v>73</v>
      </c>
      <c r="H4" s="5" t="n">
        <f aca="false">IF(G4="yes",COUNTIFS(G$2:G$36,"yes",A$2:A$36,"&lt;="&amp;A4),"")</f>
        <v>3</v>
      </c>
    </row>
    <row r="5" customFormat="false" ht="15" hidden="false" customHeight="false" outlineLevel="0" collapsed="false">
      <c r="A5" s="6" t="n">
        <v>4</v>
      </c>
      <c r="B5" s="5" t="s">
        <v>61</v>
      </c>
      <c r="C5" s="5" t="n">
        <v>1</v>
      </c>
      <c r="D5" s="5" t="str">
        <f aca="false">B5&amp;"-S"&amp;C5</f>
        <v>G4-S1</v>
      </c>
      <c r="E5" s="5" t="str">
        <f aca="false">MID("ABCDEFGH",MOD(VALUE(MID(B5,2,2))+C5-2,8)+1,1)</f>
        <v>D</v>
      </c>
      <c r="F5" s="5" t="str">
        <f aca="false">IF(INDEX(Groups!B$2:B$10,VALUE(MID(B5,2,2)))="","allocate on Monday",INDEX(Groups!B$2:B$10,VALUE(MID(B5,2,2))))</f>
        <v>allocate on Monday</v>
      </c>
      <c r="G5" s="6" t="s">
        <v>73</v>
      </c>
      <c r="H5" s="5" t="n">
        <f aca="false">IF(G5="yes",COUNTIFS(G$2:G$36,"yes",A$2:A$36,"&lt;="&amp;A5),"")</f>
        <v>4</v>
      </c>
    </row>
    <row r="6" customFormat="false" ht="15" hidden="false" customHeight="false" outlineLevel="0" collapsed="false">
      <c r="A6" s="6" t="n">
        <v>5</v>
      </c>
      <c r="B6" s="5" t="s">
        <v>62</v>
      </c>
      <c r="C6" s="5" t="n">
        <v>1</v>
      </c>
      <c r="D6" s="5" t="str">
        <f aca="false">B6&amp;"-S"&amp;C6</f>
        <v>G5-S1</v>
      </c>
      <c r="E6" s="5" t="str">
        <f aca="false">MID("ABCDEFGH",MOD(VALUE(MID(B6,2,2))+C6-2,8)+1,1)</f>
        <v>E</v>
      </c>
      <c r="F6" s="5" t="str">
        <f aca="false">IF(INDEX(Groups!B$2:B$10,VALUE(MID(B6,2,2)))="","allocate on Monday",INDEX(Groups!B$2:B$10,VALUE(MID(B6,2,2))))</f>
        <v>allocate on Monday</v>
      </c>
      <c r="G6" s="6" t="s">
        <v>73</v>
      </c>
      <c r="H6" s="5" t="n">
        <f aca="false">IF(G6="yes",COUNTIFS(G$2:G$36,"yes",A$2:A$36,"&lt;="&amp;A6),"")</f>
        <v>5</v>
      </c>
    </row>
    <row r="7" customFormat="false" ht="15" hidden="false" customHeight="false" outlineLevel="0" collapsed="false">
      <c r="A7" s="6" t="n">
        <v>6</v>
      </c>
      <c r="B7" s="5" t="s">
        <v>63</v>
      </c>
      <c r="C7" s="5" t="n">
        <v>1</v>
      </c>
      <c r="D7" s="5" t="str">
        <f aca="false">B7&amp;"-S"&amp;C7</f>
        <v>G6-S1</v>
      </c>
      <c r="E7" s="5" t="str">
        <f aca="false">MID("ABCDEFGH",MOD(VALUE(MID(B7,2,2))+C7-2,8)+1,1)</f>
        <v>F</v>
      </c>
      <c r="F7" s="5" t="str">
        <f aca="false">IF(INDEX(Groups!B$2:B$10,VALUE(MID(B7,2,2)))="","allocate on Monday",INDEX(Groups!B$2:B$10,VALUE(MID(B7,2,2))))</f>
        <v>allocate on Monday</v>
      </c>
      <c r="G7" s="6" t="s">
        <v>73</v>
      </c>
      <c r="H7" s="5" t="n">
        <f aca="false">IF(G7="yes",COUNTIFS(G$2:G$36,"yes",A$2:A$36,"&lt;="&amp;A7),"")</f>
        <v>6</v>
      </c>
    </row>
    <row r="8" customFormat="false" ht="15" hidden="false" customHeight="false" outlineLevel="0" collapsed="false">
      <c r="A8" s="6" t="n">
        <v>7</v>
      </c>
      <c r="B8" s="5" t="s">
        <v>64</v>
      </c>
      <c r="C8" s="5" t="n">
        <v>1</v>
      </c>
      <c r="D8" s="5" t="str">
        <f aca="false">B8&amp;"-S"&amp;C8</f>
        <v>G7-S1</v>
      </c>
      <c r="E8" s="5" t="str">
        <f aca="false">MID("ABCDEFGH",MOD(VALUE(MID(B8,2,2))+C8-2,8)+1,1)</f>
        <v>G</v>
      </c>
      <c r="F8" s="5" t="str">
        <f aca="false">IF(INDEX(Groups!B$2:B$10,VALUE(MID(B8,2,2)))="","allocate on Monday",INDEX(Groups!B$2:B$10,VALUE(MID(B8,2,2))))</f>
        <v>allocate on Monday</v>
      </c>
      <c r="G8" s="6" t="s">
        <v>73</v>
      </c>
      <c r="H8" s="5" t="n">
        <f aca="false">IF(G8="yes",COUNTIFS(G$2:G$36,"yes",A$2:A$36,"&lt;="&amp;A8),"")</f>
        <v>7</v>
      </c>
    </row>
    <row r="9" customFormat="false" ht="15" hidden="false" customHeight="false" outlineLevel="0" collapsed="false">
      <c r="A9" s="6" t="n">
        <v>8</v>
      </c>
      <c r="B9" s="5" t="s">
        <v>65</v>
      </c>
      <c r="C9" s="5" t="n">
        <v>1</v>
      </c>
      <c r="D9" s="5" t="str">
        <f aca="false">B9&amp;"-S"&amp;C9</f>
        <v>G8-S1</v>
      </c>
      <c r="E9" s="5" t="str">
        <f aca="false">MID("ABCDEFGH",MOD(VALUE(MID(B9,2,2))+C9-2,8)+1,1)</f>
        <v>H</v>
      </c>
      <c r="F9" s="5" t="str">
        <f aca="false">IF(INDEX(Groups!B$2:B$10,VALUE(MID(B9,2,2)))="","allocate on Monday",INDEX(Groups!B$2:B$10,VALUE(MID(B9,2,2))))</f>
        <v>allocate on Monday</v>
      </c>
      <c r="G9" s="6" t="s">
        <v>73</v>
      </c>
      <c r="H9" s="5" t="n">
        <f aca="false">IF(G9="yes",COUNTIFS(G$2:G$36,"yes",A$2:A$36,"&lt;="&amp;A9),"")</f>
        <v>8</v>
      </c>
    </row>
    <row r="10" customFormat="false" ht="15" hidden="false" customHeight="false" outlineLevel="0" collapsed="false">
      <c r="A10" s="6" t="n">
        <v>9</v>
      </c>
      <c r="B10" s="5" t="s">
        <v>66</v>
      </c>
      <c r="C10" s="5" t="n">
        <v>1</v>
      </c>
      <c r="D10" s="5" t="str">
        <f aca="false">B10&amp;"-S"&amp;C10</f>
        <v>G9-S1</v>
      </c>
      <c r="E10" s="5" t="str">
        <f aca="false">MID("ABCDEFGH",MOD(VALUE(MID(B10,2,2))+C10-2,8)+1,1)</f>
        <v>A</v>
      </c>
      <c r="F10" s="5" t="str">
        <f aca="false">IF(INDEX(Groups!B$2:B$10,VALUE(MID(B10,2,2)))="","allocate on Monday",INDEX(Groups!B$2:B$10,VALUE(MID(B10,2,2))))</f>
        <v>allocate on Monday</v>
      </c>
      <c r="G10" s="6" t="s">
        <v>73</v>
      </c>
      <c r="H10" s="5" t="n">
        <f aca="false">IF(G10="yes",COUNTIFS(G$2:G$36,"yes",A$2:A$36,"&lt;="&amp;A10),"")</f>
        <v>9</v>
      </c>
    </row>
    <row r="11" customFormat="false" ht="15" hidden="false" customHeight="false" outlineLevel="0" collapsed="false">
      <c r="A11" s="6" t="n">
        <v>10</v>
      </c>
      <c r="B11" s="5" t="s">
        <v>58</v>
      </c>
      <c r="C11" s="5" t="n">
        <v>2</v>
      </c>
      <c r="D11" s="5" t="str">
        <f aca="false">B11&amp;"-S"&amp;C11</f>
        <v>G1-S2</v>
      </c>
      <c r="E11" s="5" t="str">
        <f aca="false">MID("ABCDEFGH",MOD(VALUE(MID(B11,2,2))+C11-2,8)+1,1)</f>
        <v>B</v>
      </c>
      <c r="F11" s="5" t="str">
        <f aca="false">IF(INDEX(Groups!B$2:B$10,VALUE(MID(B11,2,2)))="","allocate on Monday",INDEX(Groups!B$2:B$10,VALUE(MID(B11,2,2))))</f>
        <v>allocate on Monday</v>
      </c>
      <c r="G11" s="6" t="s">
        <v>73</v>
      </c>
      <c r="H11" s="5" t="n">
        <f aca="false">IF(G11="yes",COUNTIFS(G$2:G$36,"yes",A$2:A$36,"&lt;="&amp;A11),"")</f>
        <v>10</v>
      </c>
    </row>
    <row r="12" customFormat="false" ht="15" hidden="false" customHeight="false" outlineLevel="0" collapsed="false">
      <c r="A12" s="6" t="n">
        <v>11</v>
      </c>
      <c r="B12" s="5" t="s">
        <v>59</v>
      </c>
      <c r="C12" s="5" t="n">
        <v>2</v>
      </c>
      <c r="D12" s="5" t="str">
        <f aca="false">B12&amp;"-S"&amp;C12</f>
        <v>G2-S2</v>
      </c>
      <c r="E12" s="5" t="str">
        <f aca="false">MID("ABCDEFGH",MOD(VALUE(MID(B12,2,2))+C12-2,8)+1,1)</f>
        <v>C</v>
      </c>
      <c r="F12" s="5" t="str">
        <f aca="false">IF(INDEX(Groups!B$2:B$10,VALUE(MID(B12,2,2)))="","allocate on Monday",INDEX(Groups!B$2:B$10,VALUE(MID(B12,2,2))))</f>
        <v>allocate on Monday</v>
      </c>
      <c r="G12" s="6" t="s">
        <v>73</v>
      </c>
      <c r="H12" s="5" t="n">
        <f aca="false">IF(G12="yes",COUNTIFS(G$2:G$36,"yes",A$2:A$36,"&lt;="&amp;A12),"")</f>
        <v>11</v>
      </c>
    </row>
    <row r="13" customFormat="false" ht="15" hidden="false" customHeight="false" outlineLevel="0" collapsed="false">
      <c r="A13" s="6" t="n">
        <v>12</v>
      </c>
      <c r="B13" s="5" t="s">
        <v>60</v>
      </c>
      <c r="C13" s="5" t="n">
        <v>2</v>
      </c>
      <c r="D13" s="5" t="str">
        <f aca="false">B13&amp;"-S"&amp;C13</f>
        <v>G3-S2</v>
      </c>
      <c r="E13" s="5" t="str">
        <f aca="false">MID("ABCDEFGH",MOD(VALUE(MID(B13,2,2))+C13-2,8)+1,1)</f>
        <v>D</v>
      </c>
      <c r="F13" s="5" t="str">
        <f aca="false">IF(INDEX(Groups!B$2:B$10,VALUE(MID(B13,2,2)))="","allocate on Monday",INDEX(Groups!B$2:B$10,VALUE(MID(B13,2,2))))</f>
        <v>allocate on Monday</v>
      </c>
      <c r="G13" s="6" t="s">
        <v>73</v>
      </c>
      <c r="H13" s="5" t="n">
        <f aca="false">IF(G13="yes",COUNTIFS(G$2:G$36,"yes",A$2:A$36,"&lt;="&amp;A13),"")</f>
        <v>12</v>
      </c>
    </row>
    <row r="14" customFormat="false" ht="15" hidden="false" customHeight="false" outlineLevel="0" collapsed="false">
      <c r="A14" s="6" t="n">
        <v>13</v>
      </c>
      <c r="B14" s="5" t="s">
        <v>61</v>
      </c>
      <c r="C14" s="5" t="n">
        <v>2</v>
      </c>
      <c r="D14" s="5" t="str">
        <f aca="false">B14&amp;"-S"&amp;C14</f>
        <v>G4-S2</v>
      </c>
      <c r="E14" s="5" t="str">
        <f aca="false">MID("ABCDEFGH",MOD(VALUE(MID(B14,2,2))+C14-2,8)+1,1)</f>
        <v>E</v>
      </c>
      <c r="F14" s="5" t="str">
        <f aca="false">IF(INDEX(Groups!B$2:B$10,VALUE(MID(B14,2,2)))="","allocate on Monday",INDEX(Groups!B$2:B$10,VALUE(MID(B14,2,2))))</f>
        <v>allocate on Monday</v>
      </c>
      <c r="G14" s="6" t="s">
        <v>73</v>
      </c>
      <c r="H14" s="5" t="n">
        <f aca="false">IF(G14="yes",COUNTIFS(G$2:G$36,"yes",A$2:A$36,"&lt;="&amp;A14),"")</f>
        <v>13</v>
      </c>
    </row>
    <row r="15" customFormat="false" ht="15" hidden="false" customHeight="false" outlineLevel="0" collapsed="false">
      <c r="A15" s="6" t="n">
        <v>14</v>
      </c>
      <c r="B15" s="5" t="s">
        <v>62</v>
      </c>
      <c r="C15" s="5" t="n">
        <v>2</v>
      </c>
      <c r="D15" s="5" t="str">
        <f aca="false">B15&amp;"-S"&amp;C15</f>
        <v>G5-S2</v>
      </c>
      <c r="E15" s="5" t="str">
        <f aca="false">MID("ABCDEFGH",MOD(VALUE(MID(B15,2,2))+C15-2,8)+1,1)</f>
        <v>F</v>
      </c>
      <c r="F15" s="5" t="str">
        <f aca="false">IF(INDEX(Groups!B$2:B$10,VALUE(MID(B15,2,2)))="","allocate on Monday",INDEX(Groups!B$2:B$10,VALUE(MID(B15,2,2))))</f>
        <v>allocate on Monday</v>
      </c>
      <c r="G15" s="6" t="s">
        <v>73</v>
      </c>
      <c r="H15" s="5" t="n">
        <f aca="false">IF(G15="yes",COUNTIFS(G$2:G$36,"yes",A$2:A$36,"&lt;="&amp;A15),"")</f>
        <v>14</v>
      </c>
    </row>
    <row r="16" customFormat="false" ht="15" hidden="false" customHeight="false" outlineLevel="0" collapsed="false">
      <c r="A16" s="6" t="n">
        <v>15</v>
      </c>
      <c r="B16" s="5" t="s">
        <v>63</v>
      </c>
      <c r="C16" s="5" t="n">
        <v>2</v>
      </c>
      <c r="D16" s="5" t="str">
        <f aca="false">B16&amp;"-S"&amp;C16</f>
        <v>G6-S2</v>
      </c>
      <c r="E16" s="5" t="str">
        <f aca="false">MID("ABCDEFGH",MOD(VALUE(MID(B16,2,2))+C16-2,8)+1,1)</f>
        <v>G</v>
      </c>
      <c r="F16" s="5" t="str">
        <f aca="false">IF(INDEX(Groups!B$2:B$10,VALUE(MID(B16,2,2)))="","allocate on Monday",INDEX(Groups!B$2:B$10,VALUE(MID(B16,2,2))))</f>
        <v>allocate on Monday</v>
      </c>
      <c r="G16" s="6" t="s">
        <v>73</v>
      </c>
      <c r="H16" s="5" t="n">
        <f aca="false">IF(G16="yes",COUNTIFS(G$2:G$36,"yes",A$2:A$36,"&lt;="&amp;A16),"")</f>
        <v>15</v>
      </c>
    </row>
    <row r="17" customFormat="false" ht="15" hidden="false" customHeight="false" outlineLevel="0" collapsed="false">
      <c r="A17" s="6" t="n">
        <v>16</v>
      </c>
      <c r="B17" s="5" t="s">
        <v>64</v>
      </c>
      <c r="C17" s="5" t="n">
        <v>2</v>
      </c>
      <c r="D17" s="5" t="str">
        <f aca="false">B17&amp;"-S"&amp;C17</f>
        <v>G7-S2</v>
      </c>
      <c r="E17" s="5" t="str">
        <f aca="false">MID("ABCDEFGH",MOD(VALUE(MID(B17,2,2))+C17-2,8)+1,1)</f>
        <v>H</v>
      </c>
      <c r="F17" s="5" t="str">
        <f aca="false">IF(INDEX(Groups!B$2:B$10,VALUE(MID(B17,2,2)))="","allocate on Monday",INDEX(Groups!B$2:B$10,VALUE(MID(B17,2,2))))</f>
        <v>allocate on Monday</v>
      </c>
      <c r="G17" s="6" t="s">
        <v>73</v>
      </c>
      <c r="H17" s="5" t="n">
        <f aca="false">IF(G17="yes",COUNTIFS(G$2:G$36,"yes",A$2:A$36,"&lt;="&amp;A17),"")</f>
        <v>16</v>
      </c>
    </row>
    <row r="18" customFormat="false" ht="15" hidden="false" customHeight="false" outlineLevel="0" collapsed="false">
      <c r="A18" s="6" t="n">
        <v>17</v>
      </c>
      <c r="B18" s="5" t="s">
        <v>65</v>
      </c>
      <c r="C18" s="5" t="n">
        <v>2</v>
      </c>
      <c r="D18" s="5" t="str">
        <f aca="false">B18&amp;"-S"&amp;C18</f>
        <v>G8-S2</v>
      </c>
      <c r="E18" s="5" t="str">
        <f aca="false">MID("ABCDEFGH",MOD(VALUE(MID(B18,2,2))+C18-2,8)+1,1)</f>
        <v>A</v>
      </c>
      <c r="F18" s="5" t="str">
        <f aca="false">IF(INDEX(Groups!B$2:B$10,VALUE(MID(B18,2,2)))="","allocate on Monday",INDEX(Groups!B$2:B$10,VALUE(MID(B18,2,2))))</f>
        <v>allocate on Monday</v>
      </c>
      <c r="G18" s="6" t="s">
        <v>73</v>
      </c>
      <c r="H18" s="5" t="n">
        <f aca="false">IF(G18="yes",COUNTIFS(G$2:G$36,"yes",A$2:A$36,"&lt;="&amp;A18),"")</f>
        <v>17</v>
      </c>
    </row>
    <row r="19" customFormat="false" ht="15" hidden="false" customHeight="false" outlineLevel="0" collapsed="false">
      <c r="A19" s="6" t="n">
        <v>18</v>
      </c>
      <c r="B19" s="5" t="s">
        <v>66</v>
      </c>
      <c r="C19" s="5" t="n">
        <v>2</v>
      </c>
      <c r="D19" s="5" t="str">
        <f aca="false">B19&amp;"-S"&amp;C19</f>
        <v>G9-S2</v>
      </c>
      <c r="E19" s="5" t="str">
        <f aca="false">MID("ABCDEFGH",MOD(VALUE(MID(B19,2,2))+C19-2,8)+1,1)</f>
        <v>B</v>
      </c>
      <c r="F19" s="5" t="str">
        <f aca="false">IF(INDEX(Groups!B$2:B$10,VALUE(MID(B19,2,2)))="","allocate on Monday",INDEX(Groups!B$2:B$10,VALUE(MID(B19,2,2))))</f>
        <v>allocate on Monday</v>
      </c>
      <c r="G19" s="6" t="s">
        <v>73</v>
      </c>
      <c r="H19" s="5" t="n">
        <f aca="false">IF(G19="yes",COUNTIFS(G$2:G$36,"yes",A$2:A$36,"&lt;="&amp;A19),"")</f>
        <v>18</v>
      </c>
    </row>
    <row r="20" customFormat="false" ht="15" hidden="false" customHeight="false" outlineLevel="0" collapsed="false">
      <c r="A20" s="6" t="n">
        <v>19</v>
      </c>
      <c r="B20" s="5" t="s">
        <v>58</v>
      </c>
      <c r="C20" s="5" t="n">
        <v>3</v>
      </c>
      <c r="D20" s="5" t="str">
        <f aca="false">B20&amp;"-S"&amp;C20</f>
        <v>G1-S3</v>
      </c>
      <c r="E20" s="5" t="str">
        <f aca="false">MID("ABCDEFGH",MOD(VALUE(MID(B20,2,2))+C20-2,8)+1,1)</f>
        <v>C</v>
      </c>
      <c r="F20" s="5" t="str">
        <f aca="false">IF(INDEX(Groups!B$2:B$10,VALUE(MID(B20,2,2)))="","allocate on Monday",INDEX(Groups!B$2:B$10,VALUE(MID(B20,2,2))))</f>
        <v>allocate on Monday</v>
      </c>
      <c r="G20" s="6" t="s">
        <v>73</v>
      </c>
      <c r="H20" s="5" t="n">
        <f aca="false">IF(G20="yes",COUNTIFS(G$2:G$36,"yes",A$2:A$36,"&lt;="&amp;A20),"")</f>
        <v>19</v>
      </c>
    </row>
    <row r="21" customFormat="false" ht="15" hidden="false" customHeight="false" outlineLevel="0" collapsed="false">
      <c r="A21" s="6" t="n">
        <v>20</v>
      </c>
      <c r="B21" s="5" t="s">
        <v>59</v>
      </c>
      <c r="C21" s="5" t="n">
        <v>3</v>
      </c>
      <c r="D21" s="5" t="str">
        <f aca="false">B21&amp;"-S"&amp;C21</f>
        <v>G2-S3</v>
      </c>
      <c r="E21" s="5" t="str">
        <f aca="false">MID("ABCDEFGH",MOD(VALUE(MID(B21,2,2))+C21-2,8)+1,1)</f>
        <v>D</v>
      </c>
      <c r="F21" s="5" t="str">
        <f aca="false">IF(INDEX(Groups!B$2:B$10,VALUE(MID(B21,2,2)))="","allocate on Monday",INDEX(Groups!B$2:B$10,VALUE(MID(B21,2,2))))</f>
        <v>allocate on Monday</v>
      </c>
      <c r="G21" s="6" t="s">
        <v>73</v>
      </c>
      <c r="H21" s="5" t="n">
        <f aca="false">IF(G21="yes",COUNTIFS(G$2:G$36,"yes",A$2:A$36,"&lt;="&amp;A21),"")</f>
        <v>20</v>
      </c>
    </row>
    <row r="22" customFormat="false" ht="15" hidden="false" customHeight="false" outlineLevel="0" collapsed="false">
      <c r="A22" s="6" t="n">
        <v>21</v>
      </c>
      <c r="B22" s="5" t="s">
        <v>60</v>
      </c>
      <c r="C22" s="5" t="n">
        <v>3</v>
      </c>
      <c r="D22" s="5" t="str">
        <f aca="false">B22&amp;"-S"&amp;C22</f>
        <v>G3-S3</v>
      </c>
      <c r="E22" s="5" t="str">
        <f aca="false">MID("ABCDEFGH",MOD(VALUE(MID(B22,2,2))+C22-2,8)+1,1)</f>
        <v>E</v>
      </c>
      <c r="F22" s="5" t="str">
        <f aca="false">IF(INDEX(Groups!B$2:B$10,VALUE(MID(B22,2,2)))="","allocate on Monday",INDEX(Groups!B$2:B$10,VALUE(MID(B22,2,2))))</f>
        <v>allocate on Monday</v>
      </c>
      <c r="G22" s="6" t="s">
        <v>73</v>
      </c>
      <c r="H22" s="5" t="n">
        <f aca="false">IF(G22="yes",COUNTIFS(G$2:G$36,"yes",A$2:A$36,"&lt;="&amp;A22),"")</f>
        <v>21</v>
      </c>
    </row>
    <row r="23" customFormat="false" ht="15" hidden="false" customHeight="false" outlineLevel="0" collapsed="false">
      <c r="A23" s="6" t="n">
        <v>22</v>
      </c>
      <c r="B23" s="5" t="s">
        <v>61</v>
      </c>
      <c r="C23" s="5" t="n">
        <v>3</v>
      </c>
      <c r="D23" s="5" t="str">
        <f aca="false">B23&amp;"-S"&amp;C23</f>
        <v>G4-S3</v>
      </c>
      <c r="E23" s="5" t="str">
        <f aca="false">MID("ABCDEFGH",MOD(VALUE(MID(B23,2,2))+C23-2,8)+1,1)</f>
        <v>F</v>
      </c>
      <c r="F23" s="5" t="str">
        <f aca="false">IF(INDEX(Groups!B$2:B$10,VALUE(MID(B23,2,2)))="","allocate on Monday",INDEX(Groups!B$2:B$10,VALUE(MID(B23,2,2))))</f>
        <v>allocate on Monday</v>
      </c>
      <c r="G23" s="6" t="s">
        <v>73</v>
      </c>
      <c r="H23" s="5" t="n">
        <f aca="false">IF(G23="yes",COUNTIFS(G$2:G$36,"yes",A$2:A$36,"&lt;="&amp;A23),"")</f>
        <v>22</v>
      </c>
    </row>
    <row r="24" customFormat="false" ht="15" hidden="false" customHeight="false" outlineLevel="0" collapsed="false">
      <c r="A24" s="6" t="n">
        <v>23</v>
      </c>
      <c r="B24" s="5" t="s">
        <v>62</v>
      </c>
      <c r="C24" s="5" t="n">
        <v>3</v>
      </c>
      <c r="D24" s="5" t="str">
        <f aca="false">B24&amp;"-S"&amp;C24</f>
        <v>G5-S3</v>
      </c>
      <c r="E24" s="5" t="str">
        <f aca="false">MID("ABCDEFGH",MOD(VALUE(MID(B24,2,2))+C24-2,8)+1,1)</f>
        <v>G</v>
      </c>
      <c r="F24" s="5" t="str">
        <f aca="false">IF(INDEX(Groups!B$2:B$10,VALUE(MID(B24,2,2)))="","allocate on Monday",INDEX(Groups!B$2:B$10,VALUE(MID(B24,2,2))))</f>
        <v>allocate on Monday</v>
      </c>
      <c r="G24" s="6" t="s">
        <v>73</v>
      </c>
      <c r="H24" s="5" t="n">
        <f aca="false">IF(G24="yes",COUNTIFS(G$2:G$36,"yes",A$2:A$36,"&lt;="&amp;A24),"")</f>
        <v>23</v>
      </c>
    </row>
    <row r="25" customFormat="false" ht="15" hidden="false" customHeight="false" outlineLevel="0" collapsed="false">
      <c r="A25" s="6" t="n">
        <v>24</v>
      </c>
      <c r="B25" s="5" t="s">
        <v>63</v>
      </c>
      <c r="C25" s="5" t="n">
        <v>3</v>
      </c>
      <c r="D25" s="5" t="str">
        <f aca="false">B25&amp;"-S"&amp;C25</f>
        <v>G6-S3</v>
      </c>
      <c r="E25" s="5" t="str">
        <f aca="false">MID("ABCDEFGH",MOD(VALUE(MID(B25,2,2))+C25-2,8)+1,1)</f>
        <v>H</v>
      </c>
      <c r="F25" s="5" t="str">
        <f aca="false">IF(INDEX(Groups!B$2:B$10,VALUE(MID(B25,2,2)))="","allocate on Monday",INDEX(Groups!B$2:B$10,VALUE(MID(B25,2,2))))</f>
        <v>allocate on Monday</v>
      </c>
      <c r="G25" s="6" t="s">
        <v>73</v>
      </c>
      <c r="H25" s="5" t="n">
        <f aca="false">IF(G25="yes",COUNTIFS(G$2:G$36,"yes",A$2:A$36,"&lt;="&amp;A25),"")</f>
        <v>24</v>
      </c>
    </row>
    <row r="26" customFormat="false" ht="15" hidden="false" customHeight="false" outlineLevel="0" collapsed="false">
      <c r="A26" s="6" t="n">
        <v>25</v>
      </c>
      <c r="B26" s="5" t="s">
        <v>64</v>
      </c>
      <c r="C26" s="5" t="n">
        <v>3</v>
      </c>
      <c r="D26" s="5" t="str">
        <f aca="false">B26&amp;"-S"&amp;C26</f>
        <v>G7-S3</v>
      </c>
      <c r="E26" s="5" t="str">
        <f aca="false">MID("ABCDEFGH",MOD(VALUE(MID(B26,2,2))+C26-2,8)+1,1)</f>
        <v>A</v>
      </c>
      <c r="F26" s="5" t="str">
        <f aca="false">IF(INDEX(Groups!B$2:B$10,VALUE(MID(B26,2,2)))="","allocate on Monday",INDEX(Groups!B$2:B$10,VALUE(MID(B26,2,2))))</f>
        <v>allocate on Monday</v>
      </c>
      <c r="G26" s="6" t="s">
        <v>73</v>
      </c>
      <c r="H26" s="5" t="n">
        <f aca="false">IF(G26="yes",COUNTIFS(G$2:G$36,"yes",A$2:A$36,"&lt;="&amp;A26),"")</f>
        <v>25</v>
      </c>
    </row>
    <row r="27" customFormat="false" ht="15" hidden="false" customHeight="false" outlineLevel="0" collapsed="false">
      <c r="A27" s="6" t="n">
        <v>26</v>
      </c>
      <c r="B27" s="5" t="s">
        <v>65</v>
      </c>
      <c r="C27" s="5" t="n">
        <v>3</v>
      </c>
      <c r="D27" s="5" t="str">
        <f aca="false">B27&amp;"-S"&amp;C27</f>
        <v>G8-S3</v>
      </c>
      <c r="E27" s="5" t="str">
        <f aca="false">MID("ABCDEFGH",MOD(VALUE(MID(B27,2,2))+C27-2,8)+1,1)</f>
        <v>B</v>
      </c>
      <c r="F27" s="5" t="str">
        <f aca="false">IF(INDEX(Groups!B$2:B$10,VALUE(MID(B27,2,2)))="","allocate on Monday",INDEX(Groups!B$2:B$10,VALUE(MID(B27,2,2))))</f>
        <v>allocate on Monday</v>
      </c>
      <c r="G27" s="6" t="s">
        <v>73</v>
      </c>
      <c r="H27" s="5" t="n">
        <f aca="false">IF(G27="yes",COUNTIFS(G$2:G$36,"yes",A$2:A$36,"&lt;="&amp;A27),"")</f>
        <v>26</v>
      </c>
    </row>
    <row r="28" customFormat="false" ht="15" hidden="false" customHeight="false" outlineLevel="0" collapsed="false">
      <c r="A28" s="6" t="n">
        <v>27</v>
      </c>
      <c r="B28" s="5" t="s">
        <v>66</v>
      </c>
      <c r="C28" s="5" t="n">
        <v>3</v>
      </c>
      <c r="D28" s="5" t="str">
        <f aca="false">B28&amp;"-S"&amp;C28</f>
        <v>G9-S3</v>
      </c>
      <c r="E28" s="5" t="str">
        <f aca="false">MID("ABCDEFGH",MOD(VALUE(MID(B28,2,2))+C28-2,8)+1,1)</f>
        <v>C</v>
      </c>
      <c r="F28" s="5" t="str">
        <f aca="false">IF(INDEX(Groups!B$2:B$10,VALUE(MID(B28,2,2)))="","allocate on Monday",INDEX(Groups!B$2:B$10,VALUE(MID(B28,2,2))))</f>
        <v>allocate on Monday</v>
      </c>
      <c r="G28" s="6" t="s">
        <v>73</v>
      </c>
      <c r="H28" s="5" t="n">
        <f aca="false">IF(G28="yes",COUNTIFS(G$2:G$36,"yes",A$2:A$36,"&lt;="&amp;A28),"")</f>
        <v>27</v>
      </c>
    </row>
    <row r="29" customFormat="false" ht="15" hidden="false" customHeight="false" outlineLevel="0" collapsed="false">
      <c r="A29" s="6" t="n">
        <v>28</v>
      </c>
      <c r="B29" s="5" t="s">
        <v>58</v>
      </c>
      <c r="C29" s="5" t="n">
        <v>4</v>
      </c>
      <c r="D29" s="5" t="str">
        <f aca="false">B29&amp;"-S"&amp;C29</f>
        <v>G1-S4</v>
      </c>
      <c r="E29" s="5" t="str">
        <f aca="false">MID("ABCDEFGH",MOD(VALUE(MID(B29,2,2))+C29-2,8)+1,1)</f>
        <v>D</v>
      </c>
      <c r="F29" s="5" t="str">
        <f aca="false">IF(INDEX(Groups!B$2:B$10,VALUE(MID(B29,2,2)))="","allocate on Monday",INDEX(Groups!B$2:B$10,VALUE(MID(B29,2,2))))</f>
        <v>allocate on Monday</v>
      </c>
      <c r="G29" s="6" t="s">
        <v>73</v>
      </c>
      <c r="H29" s="5" t="n">
        <f aca="false">IF(G29="yes",COUNTIFS(G$2:G$36,"yes",A$2:A$36,"&lt;="&amp;A29),"")</f>
        <v>28</v>
      </c>
    </row>
    <row r="30" customFormat="false" ht="15" hidden="false" customHeight="false" outlineLevel="0" collapsed="false">
      <c r="A30" s="6" t="n">
        <v>29</v>
      </c>
      <c r="B30" s="5" t="s">
        <v>59</v>
      </c>
      <c r="C30" s="5" t="n">
        <v>4</v>
      </c>
      <c r="D30" s="5" t="str">
        <f aca="false">B30&amp;"-S"&amp;C30</f>
        <v>G2-S4</v>
      </c>
      <c r="E30" s="5" t="str">
        <f aca="false">MID("ABCDEFGH",MOD(VALUE(MID(B30,2,2))+C30-2,8)+1,1)</f>
        <v>E</v>
      </c>
      <c r="F30" s="5" t="str">
        <f aca="false">IF(INDEX(Groups!B$2:B$10,VALUE(MID(B30,2,2)))="","allocate on Monday",INDEX(Groups!B$2:B$10,VALUE(MID(B30,2,2))))</f>
        <v>allocate on Monday</v>
      </c>
      <c r="G30" s="6" t="s">
        <v>73</v>
      </c>
      <c r="H30" s="5" t="n">
        <f aca="false">IF(G30="yes",COUNTIFS(G$2:G$36,"yes",A$2:A$36,"&lt;="&amp;A30),"")</f>
        <v>29</v>
      </c>
    </row>
    <row r="31" customFormat="false" ht="15" hidden="false" customHeight="false" outlineLevel="0" collapsed="false">
      <c r="A31" s="6" t="n">
        <v>30</v>
      </c>
      <c r="B31" s="5" t="s">
        <v>60</v>
      </c>
      <c r="C31" s="5" t="n">
        <v>4</v>
      </c>
      <c r="D31" s="5" t="str">
        <f aca="false">B31&amp;"-S"&amp;C31</f>
        <v>G3-S4</v>
      </c>
      <c r="E31" s="5" t="str">
        <f aca="false">MID("ABCDEFGH",MOD(VALUE(MID(B31,2,2))+C31-2,8)+1,1)</f>
        <v>F</v>
      </c>
      <c r="F31" s="5" t="str">
        <f aca="false">IF(INDEX(Groups!B$2:B$10,VALUE(MID(B31,2,2)))="","allocate on Monday",INDEX(Groups!B$2:B$10,VALUE(MID(B31,2,2))))</f>
        <v>allocate on Monday</v>
      </c>
      <c r="G31" s="6" t="s">
        <v>73</v>
      </c>
      <c r="H31" s="5" t="n">
        <f aca="false">IF(G31="yes",COUNTIFS(G$2:G$36,"yes",A$2:A$36,"&lt;="&amp;A31),"")</f>
        <v>30</v>
      </c>
    </row>
    <row r="32" customFormat="false" ht="15" hidden="false" customHeight="false" outlineLevel="0" collapsed="false">
      <c r="A32" s="6" t="n">
        <v>31</v>
      </c>
      <c r="B32" s="5" t="s">
        <v>61</v>
      </c>
      <c r="C32" s="5" t="n">
        <v>4</v>
      </c>
      <c r="D32" s="5" t="str">
        <f aca="false">B32&amp;"-S"&amp;C32</f>
        <v>G4-S4</v>
      </c>
      <c r="E32" s="5" t="str">
        <f aca="false">MID("ABCDEFGH",MOD(VALUE(MID(B32,2,2))+C32-2,8)+1,1)</f>
        <v>G</v>
      </c>
      <c r="F32" s="5" t="str">
        <f aca="false">IF(INDEX(Groups!B$2:B$10,VALUE(MID(B32,2,2)))="","allocate on Monday",INDEX(Groups!B$2:B$10,VALUE(MID(B32,2,2))))</f>
        <v>allocate on Monday</v>
      </c>
      <c r="G32" s="6" t="s">
        <v>73</v>
      </c>
      <c r="H32" s="5" t="n">
        <f aca="false">IF(G32="yes",COUNTIFS(G$2:G$36,"yes",A$2:A$36,"&lt;="&amp;A32),"")</f>
        <v>31</v>
      </c>
    </row>
    <row r="33" customFormat="false" ht="15" hidden="false" customHeight="false" outlineLevel="0" collapsed="false">
      <c r="A33" s="6" t="n">
        <v>32</v>
      </c>
      <c r="B33" s="5" t="s">
        <v>62</v>
      </c>
      <c r="C33" s="5" t="n">
        <v>4</v>
      </c>
      <c r="D33" s="5" t="str">
        <f aca="false">B33&amp;"-S"&amp;C33</f>
        <v>G5-S4</v>
      </c>
      <c r="E33" s="5" t="str">
        <f aca="false">MID("ABCDEFGH",MOD(VALUE(MID(B33,2,2))+C33-2,8)+1,1)</f>
        <v>H</v>
      </c>
      <c r="F33" s="5" t="str">
        <f aca="false">IF(INDEX(Groups!B$2:B$10,VALUE(MID(B33,2,2)))="","allocate on Monday",INDEX(Groups!B$2:B$10,VALUE(MID(B33,2,2))))</f>
        <v>allocate on Monday</v>
      </c>
      <c r="G33" s="6" t="s">
        <v>73</v>
      </c>
      <c r="H33" s="5" t="n">
        <f aca="false">IF(G33="yes",COUNTIFS(G$2:G$36,"yes",A$2:A$36,"&lt;="&amp;A33),"")</f>
        <v>32</v>
      </c>
    </row>
    <row r="34" customFormat="false" ht="15" hidden="false" customHeight="false" outlineLevel="0" collapsed="false">
      <c r="A34" s="6" t="n">
        <v>33</v>
      </c>
      <c r="B34" s="5" t="s">
        <v>63</v>
      </c>
      <c r="C34" s="5" t="n">
        <v>4</v>
      </c>
      <c r="D34" s="5" t="str">
        <f aca="false">B34&amp;"-S"&amp;C34</f>
        <v>G6-S4</v>
      </c>
      <c r="E34" s="5" t="str">
        <f aca="false">MID("ABCDEFGH",MOD(VALUE(MID(B34,2,2))+C34-2,8)+1,1)</f>
        <v>A</v>
      </c>
      <c r="F34" s="5" t="str">
        <f aca="false">IF(INDEX(Groups!B$2:B$10,VALUE(MID(B34,2,2)))="","allocate on Monday",INDEX(Groups!B$2:B$10,VALUE(MID(B34,2,2))))</f>
        <v>allocate on Monday</v>
      </c>
      <c r="G34" s="6" t="s">
        <v>73</v>
      </c>
      <c r="H34" s="5" t="n">
        <f aca="false">IF(G34="yes",COUNTIFS(G$2:G$36,"yes",A$2:A$36,"&lt;="&amp;A34),"")</f>
        <v>33</v>
      </c>
    </row>
    <row r="35" customFormat="false" ht="15" hidden="false" customHeight="false" outlineLevel="0" collapsed="false">
      <c r="A35" s="6" t="n">
        <v>34</v>
      </c>
      <c r="B35" s="5" t="s">
        <v>64</v>
      </c>
      <c r="C35" s="5" t="n">
        <v>4</v>
      </c>
      <c r="D35" s="5" t="str">
        <f aca="false">B35&amp;"-S"&amp;C35</f>
        <v>G7-S4</v>
      </c>
      <c r="E35" s="5" t="str">
        <f aca="false">MID("ABCDEFGH",MOD(VALUE(MID(B35,2,2))+C35-2,8)+1,1)</f>
        <v>B</v>
      </c>
      <c r="F35" s="5" t="str">
        <f aca="false">IF(INDEX(Groups!B$2:B$10,VALUE(MID(B35,2,2)))="","allocate on Monday",INDEX(Groups!B$2:B$10,VALUE(MID(B35,2,2))))</f>
        <v>allocate on Monday</v>
      </c>
      <c r="G35" s="6" t="s">
        <v>73</v>
      </c>
      <c r="H35" s="5" t="n">
        <f aca="false">IF(G35="yes",COUNTIFS(G$2:G$36,"yes",A$2:A$36,"&lt;="&amp;A35),"")</f>
        <v>34</v>
      </c>
    </row>
    <row r="36" customFormat="false" ht="15" hidden="false" customHeight="false" outlineLevel="0" collapsed="false">
      <c r="A36" s="6" t="n">
        <v>35</v>
      </c>
      <c r="B36" s="5" t="s">
        <v>65</v>
      </c>
      <c r="C36" s="5" t="n">
        <v>4</v>
      </c>
      <c r="D36" s="5" t="str">
        <f aca="false">B36&amp;"-S"&amp;C36</f>
        <v>G8-S4</v>
      </c>
      <c r="E36" s="5" t="str">
        <f aca="false">MID("ABCDEFGH",MOD(VALUE(MID(B36,2,2))+C36-2,8)+1,1)</f>
        <v>C</v>
      </c>
      <c r="F36" s="5" t="str">
        <f aca="false">IF(INDEX(Groups!B$2:B$10,VALUE(MID(B36,2,2)))="","allocate on Monday",INDEX(Groups!B$2:B$10,VALUE(MID(B36,2,2))))</f>
        <v>allocate on Monday</v>
      </c>
      <c r="G36" s="6" t="s">
        <v>73</v>
      </c>
      <c r="H36" s="5" t="n">
        <f aca="false">IF(G36="yes",COUNTIFS(G$2:G$36,"yes",A$2:A$36,"&lt;="&amp;A36),"")</f>
        <v>35</v>
      </c>
    </row>
  </sheetData>
  <dataValidations count="1">
    <dataValidation allowBlank="false" errorStyle="stop" operator="between" showDropDown="false" showErrorMessage="false" showInputMessage="false" sqref="G2:G36"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8"/>
    <col collapsed="false" customWidth="true" hidden="false" outlineLevel="0" max="3" min="3" style="0" width="10"/>
    <col collapsed="false" customWidth="true" hidden="false" outlineLevel="0" max="4" min="4" style="0" width="7"/>
    <col collapsed="false" customWidth="true" hidden="false" outlineLevel="0" max="6" min="5" style="0" width="12"/>
    <col collapsed="false" customWidth="true" hidden="false" outlineLevel="0" max="7" min="7" style="0" width="10"/>
    <col collapsed="false" customWidth="true" hidden="false" outlineLevel="0" max="8" min="8" style="0" width="15"/>
    <col collapsed="false" customWidth="true" hidden="false" outlineLevel="0" max="9" min="9" style="0" width="8"/>
    <col collapsed="false" customWidth="true" hidden="false" outlineLevel="0" max="10" min="10" style="0" width="10"/>
    <col collapsed="false" customWidth="true" hidden="false" outlineLevel="0" max="11" min="11" style="0" width="20"/>
    <col collapsed="false" customWidth="true" hidden="false" outlineLevel="0" max="12" min="12" style="0" width="13"/>
    <col collapsed="false" customWidth="true" hidden="false" outlineLevel="0" max="13" min="13" style="0" width="12"/>
  </cols>
  <sheetData>
    <row r="1" customFormat="false" ht="23.85" hidden="false" customHeight="false" outlineLevel="0" collapsed="false">
      <c r="A1" s="9" t="s">
        <v>74</v>
      </c>
      <c r="B1" s="9" t="s">
        <v>42</v>
      </c>
      <c r="C1" s="9" t="s">
        <v>43</v>
      </c>
      <c r="D1" s="9" t="s">
        <v>75</v>
      </c>
      <c r="E1" s="9" t="s">
        <v>76</v>
      </c>
      <c r="F1" s="9" t="s">
        <v>77</v>
      </c>
      <c r="G1" s="9" t="s">
        <v>72</v>
      </c>
      <c r="H1" s="9" t="s">
        <v>68</v>
      </c>
      <c r="I1" s="9" t="s">
        <v>53</v>
      </c>
      <c r="J1" s="9" t="s">
        <v>70</v>
      </c>
      <c r="K1" s="9" t="s">
        <v>71</v>
      </c>
      <c r="L1" s="9" t="s">
        <v>78</v>
      </c>
      <c r="M1" s="9" t="s">
        <v>79</v>
      </c>
    </row>
    <row r="2" customFormat="false" ht="15" hidden="false" customHeight="false" outlineLevel="0" collapsed="false">
      <c r="A2" s="5" t="n">
        <v>1</v>
      </c>
      <c r="B2" s="5" t="s">
        <v>47</v>
      </c>
      <c r="C2" s="5" t="s">
        <v>48</v>
      </c>
      <c r="D2" s="5" t="n">
        <f aca="false">IF(A2&lt;=Settings!$B$9,1,IF(A2&lt;=Settings!$B$11,2,"none"))</f>
        <v>1</v>
      </c>
      <c r="E2" s="5" t="n">
        <f aca="false">IF(D2=1,Settings!$B$6+(A2-1)*Settings!$B$8,IF(D2=2,(A2-Settings!$B$9-1)*Settings!$B$8,""))</f>
        <v>10</v>
      </c>
      <c r="F2" s="5" t="n">
        <f aca="false">IF(E2="","",E2+Settings!$B$3)</f>
        <v>30</v>
      </c>
      <c r="G2" s="5" t="n">
        <f aca="false">(A2-1)*Settings!$B$12+1</f>
        <v>1</v>
      </c>
      <c r="H2" s="5" t="str">
        <f aca="false">IF(D2="none","outside the day",IF(ISNUMBER(MATCH(G2,Seats!$H$2:$H$36,0)),INDEX(Seats!$D$2:$D$36,MATCH(G2,Seats!$H$2:$H$36,0)),"spare"))</f>
        <v>G1-S1</v>
      </c>
      <c r="I2" s="5" t="str">
        <f aca="false">IF(LEFT(H2,1)="G",INDEX(Seats!$B$2:$B$36,MATCH(G2,Seats!$H$2:$H$36,0)),"")</f>
        <v>G1</v>
      </c>
      <c r="J2" s="5" t="str">
        <f aca="false">IF(I2="","",INDEX(Seats!$E$2:$E$36,MATCH(G2,Seats!$H$2:$H$36,0)))</f>
        <v>A</v>
      </c>
      <c r="K2" s="5" t="str">
        <f aca="false">IF(I2="","",INDEX(Seats!$F$2:$F$36,MATCH(G2,Seats!$H$2:$H$36,0)))</f>
        <v>allocate on Monday</v>
      </c>
      <c r="L2" s="5" t="str">
        <f aca="false">IF(I2="","",IF(COUNTIFS($A$2:$A$43,A2,$I$2:$I$43,I2)&gt;1,"yes","no"))</f>
        <v>no</v>
      </c>
      <c r="M2" s="5" t="n">
        <f aca="false">IF(D2=1,F2,IF(D2=2,Settings!$B$5+F2,""))</f>
        <v>30</v>
      </c>
    </row>
    <row r="3" customFormat="false" ht="15" hidden="false" customHeight="false" outlineLevel="0" collapsed="false">
      <c r="A3" s="5" t="n">
        <v>1</v>
      </c>
      <c r="B3" s="5" t="s">
        <v>49</v>
      </c>
      <c r="C3" s="5" t="s">
        <v>48</v>
      </c>
      <c r="D3" s="5" t="n">
        <f aca="false">IF(A3&lt;=Settings!$B$9,1,IF(A3&lt;=Settings!$B$11,2,"none"))</f>
        <v>1</v>
      </c>
      <c r="E3" s="5" t="n">
        <f aca="false">IF(D3=1,Settings!$B$6+(A3-1)*Settings!$B$8,IF(D3=2,(A3-Settings!$B$9-1)*Settings!$B$8,""))</f>
        <v>10</v>
      </c>
      <c r="F3" s="5" t="n">
        <f aca="false">IF(E3="","",E3+Settings!$B$3)</f>
        <v>30</v>
      </c>
      <c r="G3" s="5" t="n">
        <f aca="false">(A3-1)*Settings!$B$12+2</f>
        <v>2</v>
      </c>
      <c r="H3" s="5" t="str">
        <f aca="false">IF(D3="none","outside the day",IF(ISNUMBER(MATCH(G3,Seats!$H$2:$H$36,0)),INDEX(Seats!$D$2:$D$36,MATCH(G3,Seats!$H$2:$H$36,0)),"spare"))</f>
        <v>G2-S1</v>
      </c>
      <c r="I3" s="5" t="str">
        <f aca="false">IF(LEFT(H3,1)="G",INDEX(Seats!$B$2:$B$36,MATCH(G3,Seats!$H$2:$H$36,0)),"")</f>
        <v>G2</v>
      </c>
      <c r="J3" s="5" t="str">
        <f aca="false">IF(I3="","",INDEX(Seats!$E$2:$E$36,MATCH(G3,Seats!$H$2:$H$36,0)))</f>
        <v>B</v>
      </c>
      <c r="K3" s="5" t="str">
        <f aca="false">IF(I3="","",INDEX(Seats!$F$2:$F$36,MATCH(G3,Seats!$H$2:$H$36,0)))</f>
        <v>allocate on Monday</v>
      </c>
      <c r="L3" s="5" t="str">
        <f aca="false">IF(I3="","",IF(COUNTIFS($A$2:$A$43,A3,$I$2:$I$43,I3)&gt;1,"yes","no"))</f>
        <v>no</v>
      </c>
      <c r="M3" s="5" t="n">
        <f aca="false">IF(D3=1,F3,IF(D3=2,Settings!$B$5+F3,""))</f>
        <v>30</v>
      </c>
    </row>
    <row r="4" customFormat="false" ht="15" hidden="false" customHeight="false" outlineLevel="0" collapsed="false">
      <c r="A4" s="5" t="n">
        <v>1</v>
      </c>
      <c r="B4" s="5" t="s">
        <v>50</v>
      </c>
      <c r="C4" s="5" t="s">
        <v>51</v>
      </c>
      <c r="D4" s="5" t="n">
        <f aca="false">IF(A4&lt;=Settings!$B$9,1,IF(A4&lt;=Settings!$B$11,2,"none"))</f>
        <v>1</v>
      </c>
      <c r="E4" s="5" t="n">
        <f aca="false">IF(D4=1,Settings!$B$6+(A4-1)*Settings!$B$8,IF(D4=2,(A4-Settings!$B$9-1)*Settings!$B$8,""))</f>
        <v>10</v>
      </c>
      <c r="F4" s="5" t="n">
        <f aca="false">IF(E4="","",E4+Settings!$B$3)</f>
        <v>30</v>
      </c>
      <c r="G4" s="5" t="n">
        <f aca="false">(A4-1)*Settings!$B$12+3</f>
        <v>3</v>
      </c>
      <c r="H4" s="5" t="str">
        <f aca="false">IF(D4="none","outside the day",IF(ISNUMBER(MATCH(G4,Seats!$H$2:$H$36,0)),INDEX(Seats!$D$2:$D$36,MATCH(G4,Seats!$H$2:$H$36,0)),"spare"))</f>
        <v>G3-S1</v>
      </c>
      <c r="I4" s="5" t="str">
        <f aca="false">IF(LEFT(H4,1)="G",INDEX(Seats!$B$2:$B$36,MATCH(G4,Seats!$H$2:$H$36,0)),"")</f>
        <v>G3</v>
      </c>
      <c r="J4" s="5" t="str">
        <f aca="false">IF(I4="","",INDEX(Seats!$E$2:$E$36,MATCH(G4,Seats!$H$2:$H$36,0)))</f>
        <v>C</v>
      </c>
      <c r="K4" s="5" t="str">
        <f aca="false">IF(I4="","",INDEX(Seats!$F$2:$F$36,MATCH(G4,Seats!$H$2:$H$36,0)))</f>
        <v>allocate on Monday</v>
      </c>
      <c r="L4" s="5" t="str">
        <f aca="false">IF(I4="","",IF(COUNTIFS($A$2:$A$43,A4,$I$2:$I$43,I4)&gt;1,"yes","no"))</f>
        <v>no</v>
      </c>
      <c r="M4" s="5" t="n">
        <f aca="false">IF(D4=1,F4,IF(D4=2,Settings!$B$5+F4,""))</f>
        <v>30</v>
      </c>
    </row>
    <row r="5" customFormat="false" ht="15" hidden="false" customHeight="false" outlineLevel="0" collapsed="false">
      <c r="A5" s="5" t="n">
        <v>2</v>
      </c>
      <c r="B5" s="5" t="s">
        <v>47</v>
      </c>
      <c r="C5" s="5" t="s">
        <v>48</v>
      </c>
      <c r="D5" s="5" t="n">
        <f aca="false">IF(A5&lt;=Settings!$B$9,1,IF(A5&lt;=Settings!$B$11,2,"none"))</f>
        <v>1</v>
      </c>
      <c r="E5" s="5" t="n">
        <f aca="false">IF(D5=1,Settings!$B$6+(A5-1)*Settings!$B$8,IF(D5=2,(A5-Settings!$B$9-1)*Settings!$B$8,""))</f>
        <v>35</v>
      </c>
      <c r="F5" s="5" t="n">
        <f aca="false">IF(E5="","",E5+Settings!$B$3)</f>
        <v>55</v>
      </c>
      <c r="G5" s="5" t="n">
        <f aca="false">(A5-1)*Settings!$B$12+1</f>
        <v>4</v>
      </c>
      <c r="H5" s="5" t="str">
        <f aca="false">IF(D5="none","outside the day",IF(ISNUMBER(MATCH(G5,Seats!$H$2:$H$36,0)),INDEX(Seats!$D$2:$D$36,MATCH(G5,Seats!$H$2:$H$36,0)),"spare"))</f>
        <v>G4-S1</v>
      </c>
      <c r="I5" s="5" t="str">
        <f aca="false">IF(LEFT(H5,1)="G",INDEX(Seats!$B$2:$B$36,MATCH(G5,Seats!$H$2:$H$36,0)),"")</f>
        <v>G4</v>
      </c>
      <c r="J5" s="5" t="str">
        <f aca="false">IF(I5="","",INDEX(Seats!$E$2:$E$36,MATCH(G5,Seats!$H$2:$H$36,0)))</f>
        <v>D</v>
      </c>
      <c r="K5" s="5" t="str">
        <f aca="false">IF(I5="","",INDEX(Seats!$F$2:$F$36,MATCH(G5,Seats!$H$2:$H$36,0)))</f>
        <v>allocate on Monday</v>
      </c>
      <c r="L5" s="5" t="str">
        <f aca="false">IF(I5="","",IF(COUNTIFS($A$2:$A$43,A5,$I$2:$I$43,I5)&gt;1,"yes","no"))</f>
        <v>no</v>
      </c>
      <c r="M5" s="5" t="n">
        <f aca="false">IF(D5=1,F5,IF(D5=2,Settings!$B$5+F5,""))</f>
        <v>55</v>
      </c>
    </row>
    <row r="6" customFormat="false" ht="15" hidden="false" customHeight="false" outlineLevel="0" collapsed="false">
      <c r="A6" s="5" t="n">
        <v>2</v>
      </c>
      <c r="B6" s="5" t="s">
        <v>49</v>
      </c>
      <c r="C6" s="5" t="s">
        <v>48</v>
      </c>
      <c r="D6" s="5" t="n">
        <f aca="false">IF(A6&lt;=Settings!$B$9,1,IF(A6&lt;=Settings!$B$11,2,"none"))</f>
        <v>1</v>
      </c>
      <c r="E6" s="5" t="n">
        <f aca="false">IF(D6=1,Settings!$B$6+(A6-1)*Settings!$B$8,IF(D6=2,(A6-Settings!$B$9-1)*Settings!$B$8,""))</f>
        <v>35</v>
      </c>
      <c r="F6" s="5" t="n">
        <f aca="false">IF(E6="","",E6+Settings!$B$3)</f>
        <v>55</v>
      </c>
      <c r="G6" s="5" t="n">
        <f aca="false">(A6-1)*Settings!$B$12+2</f>
        <v>5</v>
      </c>
      <c r="H6" s="5" t="str">
        <f aca="false">IF(D6="none","outside the day",IF(ISNUMBER(MATCH(G6,Seats!$H$2:$H$36,0)),INDEX(Seats!$D$2:$D$36,MATCH(G6,Seats!$H$2:$H$36,0)),"spare"))</f>
        <v>G5-S1</v>
      </c>
      <c r="I6" s="5" t="str">
        <f aca="false">IF(LEFT(H6,1)="G",INDEX(Seats!$B$2:$B$36,MATCH(G6,Seats!$H$2:$H$36,0)),"")</f>
        <v>G5</v>
      </c>
      <c r="J6" s="5" t="str">
        <f aca="false">IF(I6="","",INDEX(Seats!$E$2:$E$36,MATCH(G6,Seats!$H$2:$H$36,0)))</f>
        <v>E</v>
      </c>
      <c r="K6" s="5" t="str">
        <f aca="false">IF(I6="","",INDEX(Seats!$F$2:$F$36,MATCH(G6,Seats!$H$2:$H$36,0)))</f>
        <v>allocate on Monday</v>
      </c>
      <c r="L6" s="5" t="str">
        <f aca="false">IF(I6="","",IF(COUNTIFS($A$2:$A$43,A6,$I$2:$I$43,I6)&gt;1,"yes","no"))</f>
        <v>no</v>
      </c>
      <c r="M6" s="5" t="n">
        <f aca="false">IF(D6=1,F6,IF(D6=2,Settings!$B$5+F6,""))</f>
        <v>55</v>
      </c>
    </row>
    <row r="7" customFormat="false" ht="15" hidden="false" customHeight="false" outlineLevel="0" collapsed="false">
      <c r="A7" s="5" t="n">
        <v>2</v>
      </c>
      <c r="B7" s="5" t="s">
        <v>50</v>
      </c>
      <c r="C7" s="5" t="s">
        <v>51</v>
      </c>
      <c r="D7" s="5" t="n">
        <f aca="false">IF(A7&lt;=Settings!$B$9,1,IF(A7&lt;=Settings!$B$11,2,"none"))</f>
        <v>1</v>
      </c>
      <c r="E7" s="5" t="n">
        <f aca="false">IF(D7=1,Settings!$B$6+(A7-1)*Settings!$B$8,IF(D7=2,(A7-Settings!$B$9-1)*Settings!$B$8,""))</f>
        <v>35</v>
      </c>
      <c r="F7" s="5" t="n">
        <f aca="false">IF(E7="","",E7+Settings!$B$3)</f>
        <v>55</v>
      </c>
      <c r="G7" s="5" t="n">
        <f aca="false">(A7-1)*Settings!$B$12+3</f>
        <v>6</v>
      </c>
      <c r="H7" s="5" t="str">
        <f aca="false">IF(D7="none","outside the day",IF(ISNUMBER(MATCH(G7,Seats!$H$2:$H$36,0)),INDEX(Seats!$D$2:$D$36,MATCH(G7,Seats!$H$2:$H$36,0)),"spare"))</f>
        <v>G6-S1</v>
      </c>
      <c r="I7" s="5" t="str">
        <f aca="false">IF(LEFT(H7,1)="G",INDEX(Seats!$B$2:$B$36,MATCH(G7,Seats!$H$2:$H$36,0)),"")</f>
        <v>G6</v>
      </c>
      <c r="J7" s="5" t="str">
        <f aca="false">IF(I7="","",INDEX(Seats!$E$2:$E$36,MATCH(G7,Seats!$H$2:$H$36,0)))</f>
        <v>F</v>
      </c>
      <c r="K7" s="5" t="str">
        <f aca="false">IF(I7="","",INDEX(Seats!$F$2:$F$36,MATCH(G7,Seats!$H$2:$H$36,0)))</f>
        <v>allocate on Monday</v>
      </c>
      <c r="L7" s="5" t="str">
        <f aca="false">IF(I7="","",IF(COUNTIFS($A$2:$A$43,A7,$I$2:$I$43,I7)&gt;1,"yes","no"))</f>
        <v>no</v>
      </c>
      <c r="M7" s="5" t="n">
        <f aca="false">IF(D7=1,F7,IF(D7=2,Settings!$B$5+F7,""))</f>
        <v>55</v>
      </c>
    </row>
    <row r="8" customFormat="false" ht="15" hidden="false" customHeight="false" outlineLevel="0" collapsed="false">
      <c r="A8" s="5" t="n">
        <v>3</v>
      </c>
      <c r="B8" s="5" t="s">
        <v>47</v>
      </c>
      <c r="C8" s="5" t="s">
        <v>48</v>
      </c>
      <c r="D8" s="5" t="n">
        <f aca="false">IF(A8&lt;=Settings!$B$9,1,IF(A8&lt;=Settings!$B$11,2,"none"))</f>
        <v>1</v>
      </c>
      <c r="E8" s="5" t="n">
        <f aca="false">IF(D8=1,Settings!$B$6+(A8-1)*Settings!$B$8,IF(D8=2,(A8-Settings!$B$9-1)*Settings!$B$8,""))</f>
        <v>60</v>
      </c>
      <c r="F8" s="5" t="n">
        <f aca="false">IF(E8="","",E8+Settings!$B$3)</f>
        <v>80</v>
      </c>
      <c r="G8" s="5" t="n">
        <f aca="false">(A8-1)*Settings!$B$12+1</f>
        <v>7</v>
      </c>
      <c r="H8" s="5" t="str">
        <f aca="false">IF(D8="none","outside the day",IF(ISNUMBER(MATCH(G8,Seats!$H$2:$H$36,0)),INDEX(Seats!$D$2:$D$36,MATCH(G8,Seats!$H$2:$H$36,0)),"spare"))</f>
        <v>G7-S1</v>
      </c>
      <c r="I8" s="5" t="str">
        <f aca="false">IF(LEFT(H8,1)="G",INDEX(Seats!$B$2:$B$36,MATCH(G8,Seats!$H$2:$H$36,0)),"")</f>
        <v>G7</v>
      </c>
      <c r="J8" s="5" t="str">
        <f aca="false">IF(I8="","",INDEX(Seats!$E$2:$E$36,MATCH(G8,Seats!$H$2:$H$36,0)))</f>
        <v>G</v>
      </c>
      <c r="K8" s="5" t="str">
        <f aca="false">IF(I8="","",INDEX(Seats!$F$2:$F$36,MATCH(G8,Seats!$H$2:$H$36,0)))</f>
        <v>allocate on Monday</v>
      </c>
      <c r="L8" s="5" t="str">
        <f aca="false">IF(I8="","",IF(COUNTIFS($A$2:$A$43,A8,$I$2:$I$43,I8)&gt;1,"yes","no"))</f>
        <v>no</v>
      </c>
      <c r="M8" s="5" t="n">
        <f aca="false">IF(D8=1,F8,IF(D8=2,Settings!$B$5+F8,""))</f>
        <v>80</v>
      </c>
    </row>
    <row r="9" customFormat="false" ht="15" hidden="false" customHeight="false" outlineLevel="0" collapsed="false">
      <c r="A9" s="5" t="n">
        <v>3</v>
      </c>
      <c r="B9" s="5" t="s">
        <v>49</v>
      </c>
      <c r="C9" s="5" t="s">
        <v>48</v>
      </c>
      <c r="D9" s="5" t="n">
        <f aca="false">IF(A9&lt;=Settings!$B$9,1,IF(A9&lt;=Settings!$B$11,2,"none"))</f>
        <v>1</v>
      </c>
      <c r="E9" s="5" t="n">
        <f aca="false">IF(D9=1,Settings!$B$6+(A9-1)*Settings!$B$8,IF(D9=2,(A9-Settings!$B$9-1)*Settings!$B$8,""))</f>
        <v>60</v>
      </c>
      <c r="F9" s="5" t="n">
        <f aca="false">IF(E9="","",E9+Settings!$B$3)</f>
        <v>80</v>
      </c>
      <c r="G9" s="5" t="n">
        <f aca="false">(A9-1)*Settings!$B$12+2</f>
        <v>8</v>
      </c>
      <c r="H9" s="5" t="str">
        <f aca="false">IF(D9="none","outside the day",IF(ISNUMBER(MATCH(G9,Seats!$H$2:$H$36,0)),INDEX(Seats!$D$2:$D$36,MATCH(G9,Seats!$H$2:$H$36,0)),"spare"))</f>
        <v>G8-S1</v>
      </c>
      <c r="I9" s="5" t="str">
        <f aca="false">IF(LEFT(H9,1)="G",INDEX(Seats!$B$2:$B$36,MATCH(G9,Seats!$H$2:$H$36,0)),"")</f>
        <v>G8</v>
      </c>
      <c r="J9" s="5" t="str">
        <f aca="false">IF(I9="","",INDEX(Seats!$E$2:$E$36,MATCH(G9,Seats!$H$2:$H$36,0)))</f>
        <v>H</v>
      </c>
      <c r="K9" s="5" t="str">
        <f aca="false">IF(I9="","",INDEX(Seats!$F$2:$F$36,MATCH(G9,Seats!$H$2:$H$36,0)))</f>
        <v>allocate on Monday</v>
      </c>
      <c r="L9" s="5" t="str">
        <f aca="false">IF(I9="","",IF(COUNTIFS($A$2:$A$43,A9,$I$2:$I$43,I9)&gt;1,"yes","no"))</f>
        <v>no</v>
      </c>
      <c r="M9" s="5" t="n">
        <f aca="false">IF(D9=1,F9,IF(D9=2,Settings!$B$5+F9,""))</f>
        <v>80</v>
      </c>
    </row>
    <row r="10" customFormat="false" ht="15" hidden="false" customHeight="false" outlineLevel="0" collapsed="false">
      <c r="A10" s="5" t="n">
        <v>3</v>
      </c>
      <c r="B10" s="5" t="s">
        <v>50</v>
      </c>
      <c r="C10" s="5" t="s">
        <v>51</v>
      </c>
      <c r="D10" s="5" t="n">
        <f aca="false">IF(A10&lt;=Settings!$B$9,1,IF(A10&lt;=Settings!$B$11,2,"none"))</f>
        <v>1</v>
      </c>
      <c r="E10" s="5" t="n">
        <f aca="false">IF(D10=1,Settings!$B$6+(A10-1)*Settings!$B$8,IF(D10=2,(A10-Settings!$B$9-1)*Settings!$B$8,""))</f>
        <v>60</v>
      </c>
      <c r="F10" s="5" t="n">
        <f aca="false">IF(E10="","",E10+Settings!$B$3)</f>
        <v>80</v>
      </c>
      <c r="G10" s="5" t="n">
        <f aca="false">(A10-1)*Settings!$B$12+3</f>
        <v>9</v>
      </c>
      <c r="H10" s="5" t="str">
        <f aca="false">IF(D10="none","outside the day",IF(ISNUMBER(MATCH(G10,Seats!$H$2:$H$36,0)),INDEX(Seats!$D$2:$D$36,MATCH(G10,Seats!$H$2:$H$36,0)),"spare"))</f>
        <v>G9-S1</v>
      </c>
      <c r="I10" s="5" t="str">
        <f aca="false">IF(LEFT(H10,1)="G",INDEX(Seats!$B$2:$B$36,MATCH(G10,Seats!$H$2:$H$36,0)),"")</f>
        <v>G9</v>
      </c>
      <c r="J10" s="5" t="str">
        <f aca="false">IF(I10="","",INDEX(Seats!$E$2:$E$36,MATCH(G10,Seats!$H$2:$H$36,0)))</f>
        <v>A</v>
      </c>
      <c r="K10" s="5" t="str">
        <f aca="false">IF(I10="","",INDEX(Seats!$F$2:$F$36,MATCH(G10,Seats!$H$2:$H$36,0)))</f>
        <v>allocate on Monday</v>
      </c>
      <c r="L10" s="5" t="str">
        <f aca="false">IF(I10="","",IF(COUNTIFS($A$2:$A$43,A10,$I$2:$I$43,I10)&gt;1,"yes","no"))</f>
        <v>no</v>
      </c>
      <c r="M10" s="5" t="n">
        <f aca="false">IF(D10=1,F10,IF(D10=2,Settings!$B$5+F10,""))</f>
        <v>80</v>
      </c>
    </row>
    <row r="11" customFormat="false" ht="15" hidden="false" customHeight="false" outlineLevel="0" collapsed="false">
      <c r="A11" s="5" t="n">
        <v>4</v>
      </c>
      <c r="B11" s="5" t="s">
        <v>47</v>
      </c>
      <c r="C11" s="5" t="s">
        <v>48</v>
      </c>
      <c r="D11" s="5" t="n">
        <f aca="false">IF(A11&lt;=Settings!$B$9,1,IF(A11&lt;=Settings!$B$11,2,"none"))</f>
        <v>1</v>
      </c>
      <c r="E11" s="5" t="n">
        <f aca="false">IF(D11=1,Settings!$B$6+(A11-1)*Settings!$B$8,IF(D11=2,(A11-Settings!$B$9-1)*Settings!$B$8,""))</f>
        <v>85</v>
      </c>
      <c r="F11" s="5" t="n">
        <f aca="false">IF(E11="","",E11+Settings!$B$3)</f>
        <v>105</v>
      </c>
      <c r="G11" s="5" t="n">
        <f aca="false">(A11-1)*Settings!$B$12+1</f>
        <v>10</v>
      </c>
      <c r="H11" s="5" t="str">
        <f aca="false">IF(D11="none","outside the day",IF(ISNUMBER(MATCH(G11,Seats!$H$2:$H$36,0)),INDEX(Seats!$D$2:$D$36,MATCH(G11,Seats!$H$2:$H$36,0)),"spare"))</f>
        <v>G1-S2</v>
      </c>
      <c r="I11" s="5" t="str">
        <f aca="false">IF(LEFT(H11,1)="G",INDEX(Seats!$B$2:$B$36,MATCH(G11,Seats!$H$2:$H$36,0)),"")</f>
        <v>G1</v>
      </c>
      <c r="J11" s="5" t="str">
        <f aca="false">IF(I11="","",INDEX(Seats!$E$2:$E$36,MATCH(G11,Seats!$H$2:$H$36,0)))</f>
        <v>B</v>
      </c>
      <c r="K11" s="5" t="str">
        <f aca="false">IF(I11="","",INDEX(Seats!$F$2:$F$36,MATCH(G11,Seats!$H$2:$H$36,0)))</f>
        <v>allocate on Monday</v>
      </c>
      <c r="L11" s="5" t="str">
        <f aca="false">IF(I11="","",IF(COUNTIFS($A$2:$A$43,A11,$I$2:$I$43,I11)&gt;1,"yes","no"))</f>
        <v>no</v>
      </c>
      <c r="M11" s="5" t="n">
        <f aca="false">IF(D11=1,F11,IF(D11=2,Settings!$B$5+F11,""))</f>
        <v>105</v>
      </c>
    </row>
    <row r="12" customFormat="false" ht="15" hidden="false" customHeight="false" outlineLevel="0" collapsed="false">
      <c r="A12" s="5" t="n">
        <v>4</v>
      </c>
      <c r="B12" s="5" t="s">
        <v>49</v>
      </c>
      <c r="C12" s="5" t="s">
        <v>48</v>
      </c>
      <c r="D12" s="5" t="n">
        <f aca="false">IF(A12&lt;=Settings!$B$9,1,IF(A12&lt;=Settings!$B$11,2,"none"))</f>
        <v>1</v>
      </c>
      <c r="E12" s="5" t="n">
        <f aca="false">IF(D12=1,Settings!$B$6+(A12-1)*Settings!$B$8,IF(D12=2,(A12-Settings!$B$9-1)*Settings!$B$8,""))</f>
        <v>85</v>
      </c>
      <c r="F12" s="5" t="n">
        <f aca="false">IF(E12="","",E12+Settings!$B$3)</f>
        <v>105</v>
      </c>
      <c r="G12" s="5" t="n">
        <f aca="false">(A12-1)*Settings!$B$12+2</f>
        <v>11</v>
      </c>
      <c r="H12" s="5" t="str">
        <f aca="false">IF(D12="none","outside the day",IF(ISNUMBER(MATCH(G12,Seats!$H$2:$H$36,0)),INDEX(Seats!$D$2:$D$36,MATCH(G12,Seats!$H$2:$H$36,0)),"spare"))</f>
        <v>G2-S2</v>
      </c>
      <c r="I12" s="5" t="str">
        <f aca="false">IF(LEFT(H12,1)="G",INDEX(Seats!$B$2:$B$36,MATCH(G12,Seats!$H$2:$H$36,0)),"")</f>
        <v>G2</v>
      </c>
      <c r="J12" s="5" t="str">
        <f aca="false">IF(I12="","",INDEX(Seats!$E$2:$E$36,MATCH(G12,Seats!$H$2:$H$36,0)))</f>
        <v>C</v>
      </c>
      <c r="K12" s="5" t="str">
        <f aca="false">IF(I12="","",INDEX(Seats!$F$2:$F$36,MATCH(G12,Seats!$H$2:$H$36,0)))</f>
        <v>allocate on Monday</v>
      </c>
      <c r="L12" s="5" t="str">
        <f aca="false">IF(I12="","",IF(COUNTIFS($A$2:$A$43,A12,$I$2:$I$43,I12)&gt;1,"yes","no"))</f>
        <v>no</v>
      </c>
      <c r="M12" s="5" t="n">
        <f aca="false">IF(D12=1,F12,IF(D12=2,Settings!$B$5+F12,""))</f>
        <v>105</v>
      </c>
    </row>
    <row r="13" customFormat="false" ht="15" hidden="false" customHeight="false" outlineLevel="0" collapsed="false">
      <c r="A13" s="5" t="n">
        <v>4</v>
      </c>
      <c r="B13" s="5" t="s">
        <v>50</v>
      </c>
      <c r="C13" s="5" t="s">
        <v>51</v>
      </c>
      <c r="D13" s="5" t="n">
        <f aca="false">IF(A13&lt;=Settings!$B$9,1,IF(A13&lt;=Settings!$B$11,2,"none"))</f>
        <v>1</v>
      </c>
      <c r="E13" s="5" t="n">
        <f aca="false">IF(D13=1,Settings!$B$6+(A13-1)*Settings!$B$8,IF(D13=2,(A13-Settings!$B$9-1)*Settings!$B$8,""))</f>
        <v>85</v>
      </c>
      <c r="F13" s="5" t="n">
        <f aca="false">IF(E13="","",E13+Settings!$B$3)</f>
        <v>105</v>
      </c>
      <c r="G13" s="5" t="n">
        <f aca="false">(A13-1)*Settings!$B$12+3</f>
        <v>12</v>
      </c>
      <c r="H13" s="5" t="str">
        <f aca="false">IF(D13="none","outside the day",IF(ISNUMBER(MATCH(G13,Seats!$H$2:$H$36,0)),INDEX(Seats!$D$2:$D$36,MATCH(G13,Seats!$H$2:$H$36,0)),"spare"))</f>
        <v>G3-S2</v>
      </c>
      <c r="I13" s="5" t="str">
        <f aca="false">IF(LEFT(H13,1)="G",INDEX(Seats!$B$2:$B$36,MATCH(G13,Seats!$H$2:$H$36,0)),"")</f>
        <v>G3</v>
      </c>
      <c r="J13" s="5" t="str">
        <f aca="false">IF(I13="","",INDEX(Seats!$E$2:$E$36,MATCH(G13,Seats!$H$2:$H$36,0)))</f>
        <v>D</v>
      </c>
      <c r="K13" s="5" t="str">
        <f aca="false">IF(I13="","",INDEX(Seats!$F$2:$F$36,MATCH(G13,Seats!$H$2:$H$36,0)))</f>
        <v>allocate on Monday</v>
      </c>
      <c r="L13" s="5" t="str">
        <f aca="false">IF(I13="","",IF(COUNTIFS($A$2:$A$43,A13,$I$2:$I$43,I13)&gt;1,"yes","no"))</f>
        <v>no</v>
      </c>
      <c r="M13" s="5" t="n">
        <f aca="false">IF(D13=1,F13,IF(D13=2,Settings!$B$5+F13,""))</f>
        <v>105</v>
      </c>
    </row>
    <row r="14" customFormat="false" ht="15" hidden="false" customHeight="false" outlineLevel="0" collapsed="false">
      <c r="A14" s="5" t="n">
        <v>5</v>
      </c>
      <c r="B14" s="5" t="s">
        <v>47</v>
      </c>
      <c r="C14" s="5" t="s">
        <v>48</v>
      </c>
      <c r="D14" s="5" t="n">
        <f aca="false">IF(A14&lt;=Settings!$B$9,1,IF(A14&lt;=Settings!$B$11,2,"none"))</f>
        <v>1</v>
      </c>
      <c r="E14" s="5" t="n">
        <f aca="false">IF(D14=1,Settings!$B$6+(A14-1)*Settings!$B$8,IF(D14=2,(A14-Settings!$B$9-1)*Settings!$B$8,""))</f>
        <v>110</v>
      </c>
      <c r="F14" s="5" t="n">
        <f aca="false">IF(E14="","",E14+Settings!$B$3)</f>
        <v>130</v>
      </c>
      <c r="G14" s="5" t="n">
        <f aca="false">(A14-1)*Settings!$B$12+1</f>
        <v>13</v>
      </c>
      <c r="H14" s="5" t="str">
        <f aca="false">IF(D14="none","outside the day",IF(ISNUMBER(MATCH(G14,Seats!$H$2:$H$36,0)),INDEX(Seats!$D$2:$D$36,MATCH(G14,Seats!$H$2:$H$36,0)),"spare"))</f>
        <v>G4-S2</v>
      </c>
      <c r="I14" s="5" t="str">
        <f aca="false">IF(LEFT(H14,1)="G",INDEX(Seats!$B$2:$B$36,MATCH(G14,Seats!$H$2:$H$36,0)),"")</f>
        <v>G4</v>
      </c>
      <c r="J14" s="5" t="str">
        <f aca="false">IF(I14="","",INDEX(Seats!$E$2:$E$36,MATCH(G14,Seats!$H$2:$H$36,0)))</f>
        <v>E</v>
      </c>
      <c r="K14" s="5" t="str">
        <f aca="false">IF(I14="","",INDEX(Seats!$F$2:$F$36,MATCH(G14,Seats!$H$2:$H$36,0)))</f>
        <v>allocate on Monday</v>
      </c>
      <c r="L14" s="5" t="str">
        <f aca="false">IF(I14="","",IF(COUNTIFS($A$2:$A$43,A14,$I$2:$I$43,I14)&gt;1,"yes","no"))</f>
        <v>no</v>
      </c>
      <c r="M14" s="5" t="n">
        <f aca="false">IF(D14=1,F14,IF(D14=2,Settings!$B$5+F14,""))</f>
        <v>130</v>
      </c>
    </row>
    <row r="15" customFormat="false" ht="15" hidden="false" customHeight="false" outlineLevel="0" collapsed="false">
      <c r="A15" s="5" t="n">
        <v>5</v>
      </c>
      <c r="B15" s="5" t="s">
        <v>49</v>
      </c>
      <c r="C15" s="5" t="s">
        <v>48</v>
      </c>
      <c r="D15" s="5" t="n">
        <f aca="false">IF(A15&lt;=Settings!$B$9,1,IF(A15&lt;=Settings!$B$11,2,"none"))</f>
        <v>1</v>
      </c>
      <c r="E15" s="5" t="n">
        <f aca="false">IF(D15=1,Settings!$B$6+(A15-1)*Settings!$B$8,IF(D15=2,(A15-Settings!$B$9-1)*Settings!$B$8,""))</f>
        <v>110</v>
      </c>
      <c r="F15" s="5" t="n">
        <f aca="false">IF(E15="","",E15+Settings!$B$3)</f>
        <v>130</v>
      </c>
      <c r="G15" s="5" t="n">
        <f aca="false">(A15-1)*Settings!$B$12+2</f>
        <v>14</v>
      </c>
      <c r="H15" s="5" t="str">
        <f aca="false">IF(D15="none","outside the day",IF(ISNUMBER(MATCH(G15,Seats!$H$2:$H$36,0)),INDEX(Seats!$D$2:$D$36,MATCH(G15,Seats!$H$2:$H$36,0)),"spare"))</f>
        <v>G5-S2</v>
      </c>
      <c r="I15" s="5" t="str">
        <f aca="false">IF(LEFT(H15,1)="G",INDEX(Seats!$B$2:$B$36,MATCH(G15,Seats!$H$2:$H$36,0)),"")</f>
        <v>G5</v>
      </c>
      <c r="J15" s="5" t="str">
        <f aca="false">IF(I15="","",INDEX(Seats!$E$2:$E$36,MATCH(G15,Seats!$H$2:$H$36,0)))</f>
        <v>F</v>
      </c>
      <c r="K15" s="5" t="str">
        <f aca="false">IF(I15="","",INDEX(Seats!$F$2:$F$36,MATCH(G15,Seats!$H$2:$H$36,0)))</f>
        <v>allocate on Monday</v>
      </c>
      <c r="L15" s="5" t="str">
        <f aca="false">IF(I15="","",IF(COUNTIFS($A$2:$A$43,A15,$I$2:$I$43,I15)&gt;1,"yes","no"))</f>
        <v>no</v>
      </c>
      <c r="M15" s="5" t="n">
        <f aca="false">IF(D15=1,F15,IF(D15=2,Settings!$B$5+F15,""))</f>
        <v>130</v>
      </c>
    </row>
    <row r="16" customFormat="false" ht="15" hidden="false" customHeight="false" outlineLevel="0" collapsed="false">
      <c r="A16" s="5" t="n">
        <v>5</v>
      </c>
      <c r="B16" s="5" t="s">
        <v>50</v>
      </c>
      <c r="C16" s="5" t="s">
        <v>51</v>
      </c>
      <c r="D16" s="5" t="n">
        <f aca="false">IF(A16&lt;=Settings!$B$9,1,IF(A16&lt;=Settings!$B$11,2,"none"))</f>
        <v>1</v>
      </c>
      <c r="E16" s="5" t="n">
        <f aca="false">IF(D16=1,Settings!$B$6+(A16-1)*Settings!$B$8,IF(D16=2,(A16-Settings!$B$9-1)*Settings!$B$8,""))</f>
        <v>110</v>
      </c>
      <c r="F16" s="5" t="n">
        <f aca="false">IF(E16="","",E16+Settings!$B$3)</f>
        <v>130</v>
      </c>
      <c r="G16" s="5" t="n">
        <f aca="false">(A16-1)*Settings!$B$12+3</f>
        <v>15</v>
      </c>
      <c r="H16" s="5" t="str">
        <f aca="false">IF(D16="none","outside the day",IF(ISNUMBER(MATCH(G16,Seats!$H$2:$H$36,0)),INDEX(Seats!$D$2:$D$36,MATCH(G16,Seats!$H$2:$H$36,0)),"spare"))</f>
        <v>G6-S2</v>
      </c>
      <c r="I16" s="5" t="str">
        <f aca="false">IF(LEFT(H16,1)="G",INDEX(Seats!$B$2:$B$36,MATCH(G16,Seats!$H$2:$H$36,0)),"")</f>
        <v>G6</v>
      </c>
      <c r="J16" s="5" t="str">
        <f aca="false">IF(I16="","",INDEX(Seats!$E$2:$E$36,MATCH(G16,Seats!$H$2:$H$36,0)))</f>
        <v>G</v>
      </c>
      <c r="K16" s="5" t="str">
        <f aca="false">IF(I16="","",INDEX(Seats!$F$2:$F$36,MATCH(G16,Seats!$H$2:$H$36,0)))</f>
        <v>allocate on Monday</v>
      </c>
      <c r="L16" s="5" t="str">
        <f aca="false">IF(I16="","",IF(COUNTIFS($A$2:$A$43,A16,$I$2:$I$43,I16)&gt;1,"yes","no"))</f>
        <v>no</v>
      </c>
      <c r="M16" s="5" t="n">
        <f aca="false">IF(D16=1,F16,IF(D16=2,Settings!$B$5+F16,""))</f>
        <v>130</v>
      </c>
    </row>
    <row r="17" customFormat="false" ht="15" hidden="false" customHeight="false" outlineLevel="0" collapsed="false">
      <c r="A17" s="5" t="n">
        <v>6</v>
      </c>
      <c r="B17" s="5" t="s">
        <v>47</v>
      </c>
      <c r="C17" s="5" t="s">
        <v>48</v>
      </c>
      <c r="D17" s="5" t="n">
        <f aca="false">IF(A17&lt;=Settings!$B$9,1,IF(A17&lt;=Settings!$B$11,2,"none"))</f>
        <v>1</v>
      </c>
      <c r="E17" s="5" t="n">
        <f aca="false">IF(D17=1,Settings!$B$6+(A17-1)*Settings!$B$8,IF(D17=2,(A17-Settings!$B$9-1)*Settings!$B$8,""))</f>
        <v>135</v>
      </c>
      <c r="F17" s="5" t="n">
        <f aca="false">IF(E17="","",E17+Settings!$B$3)</f>
        <v>155</v>
      </c>
      <c r="G17" s="5" t="n">
        <f aca="false">(A17-1)*Settings!$B$12+1</f>
        <v>16</v>
      </c>
      <c r="H17" s="5" t="str">
        <f aca="false">IF(D17="none","outside the day",IF(ISNUMBER(MATCH(G17,Seats!$H$2:$H$36,0)),INDEX(Seats!$D$2:$D$36,MATCH(G17,Seats!$H$2:$H$36,0)),"spare"))</f>
        <v>G7-S2</v>
      </c>
      <c r="I17" s="5" t="str">
        <f aca="false">IF(LEFT(H17,1)="G",INDEX(Seats!$B$2:$B$36,MATCH(G17,Seats!$H$2:$H$36,0)),"")</f>
        <v>G7</v>
      </c>
      <c r="J17" s="5" t="str">
        <f aca="false">IF(I17="","",INDEX(Seats!$E$2:$E$36,MATCH(G17,Seats!$H$2:$H$36,0)))</f>
        <v>H</v>
      </c>
      <c r="K17" s="5" t="str">
        <f aca="false">IF(I17="","",INDEX(Seats!$F$2:$F$36,MATCH(G17,Seats!$H$2:$H$36,0)))</f>
        <v>allocate on Monday</v>
      </c>
      <c r="L17" s="5" t="str">
        <f aca="false">IF(I17="","",IF(COUNTIFS($A$2:$A$43,A17,$I$2:$I$43,I17)&gt;1,"yes","no"))</f>
        <v>no</v>
      </c>
      <c r="M17" s="5" t="n">
        <f aca="false">IF(D17=1,F17,IF(D17=2,Settings!$B$5+F17,""))</f>
        <v>155</v>
      </c>
    </row>
    <row r="18" customFormat="false" ht="15" hidden="false" customHeight="false" outlineLevel="0" collapsed="false">
      <c r="A18" s="5" t="n">
        <v>6</v>
      </c>
      <c r="B18" s="5" t="s">
        <v>49</v>
      </c>
      <c r="C18" s="5" t="s">
        <v>48</v>
      </c>
      <c r="D18" s="5" t="n">
        <f aca="false">IF(A18&lt;=Settings!$B$9,1,IF(A18&lt;=Settings!$B$11,2,"none"))</f>
        <v>1</v>
      </c>
      <c r="E18" s="5" t="n">
        <f aca="false">IF(D18=1,Settings!$B$6+(A18-1)*Settings!$B$8,IF(D18=2,(A18-Settings!$B$9-1)*Settings!$B$8,""))</f>
        <v>135</v>
      </c>
      <c r="F18" s="5" t="n">
        <f aca="false">IF(E18="","",E18+Settings!$B$3)</f>
        <v>155</v>
      </c>
      <c r="G18" s="5" t="n">
        <f aca="false">(A18-1)*Settings!$B$12+2</f>
        <v>17</v>
      </c>
      <c r="H18" s="5" t="str">
        <f aca="false">IF(D18="none","outside the day",IF(ISNUMBER(MATCH(G18,Seats!$H$2:$H$36,0)),INDEX(Seats!$D$2:$D$36,MATCH(G18,Seats!$H$2:$H$36,0)),"spare"))</f>
        <v>G8-S2</v>
      </c>
      <c r="I18" s="5" t="str">
        <f aca="false">IF(LEFT(H18,1)="G",INDEX(Seats!$B$2:$B$36,MATCH(G18,Seats!$H$2:$H$36,0)),"")</f>
        <v>G8</v>
      </c>
      <c r="J18" s="5" t="str">
        <f aca="false">IF(I18="","",INDEX(Seats!$E$2:$E$36,MATCH(G18,Seats!$H$2:$H$36,0)))</f>
        <v>A</v>
      </c>
      <c r="K18" s="5" t="str">
        <f aca="false">IF(I18="","",INDEX(Seats!$F$2:$F$36,MATCH(G18,Seats!$H$2:$H$36,0)))</f>
        <v>allocate on Monday</v>
      </c>
      <c r="L18" s="5" t="str">
        <f aca="false">IF(I18="","",IF(COUNTIFS($A$2:$A$43,A18,$I$2:$I$43,I18)&gt;1,"yes","no"))</f>
        <v>no</v>
      </c>
      <c r="M18" s="5" t="n">
        <f aca="false">IF(D18=1,F18,IF(D18=2,Settings!$B$5+F18,""))</f>
        <v>155</v>
      </c>
    </row>
    <row r="19" customFormat="false" ht="15" hidden="false" customHeight="false" outlineLevel="0" collapsed="false">
      <c r="A19" s="5" t="n">
        <v>6</v>
      </c>
      <c r="B19" s="5" t="s">
        <v>50</v>
      </c>
      <c r="C19" s="5" t="s">
        <v>51</v>
      </c>
      <c r="D19" s="5" t="n">
        <f aca="false">IF(A19&lt;=Settings!$B$9,1,IF(A19&lt;=Settings!$B$11,2,"none"))</f>
        <v>1</v>
      </c>
      <c r="E19" s="5" t="n">
        <f aca="false">IF(D19=1,Settings!$B$6+(A19-1)*Settings!$B$8,IF(D19=2,(A19-Settings!$B$9-1)*Settings!$B$8,""))</f>
        <v>135</v>
      </c>
      <c r="F19" s="5" t="n">
        <f aca="false">IF(E19="","",E19+Settings!$B$3)</f>
        <v>155</v>
      </c>
      <c r="G19" s="5" t="n">
        <f aca="false">(A19-1)*Settings!$B$12+3</f>
        <v>18</v>
      </c>
      <c r="H19" s="5" t="str">
        <f aca="false">IF(D19="none","outside the day",IF(ISNUMBER(MATCH(G19,Seats!$H$2:$H$36,0)),INDEX(Seats!$D$2:$D$36,MATCH(G19,Seats!$H$2:$H$36,0)),"spare"))</f>
        <v>G9-S2</v>
      </c>
      <c r="I19" s="5" t="str">
        <f aca="false">IF(LEFT(H19,1)="G",INDEX(Seats!$B$2:$B$36,MATCH(G19,Seats!$H$2:$H$36,0)),"")</f>
        <v>G9</v>
      </c>
      <c r="J19" s="5" t="str">
        <f aca="false">IF(I19="","",INDEX(Seats!$E$2:$E$36,MATCH(G19,Seats!$H$2:$H$36,0)))</f>
        <v>B</v>
      </c>
      <c r="K19" s="5" t="str">
        <f aca="false">IF(I19="","",INDEX(Seats!$F$2:$F$36,MATCH(G19,Seats!$H$2:$H$36,0)))</f>
        <v>allocate on Monday</v>
      </c>
      <c r="L19" s="5" t="str">
        <f aca="false">IF(I19="","",IF(COUNTIFS($A$2:$A$43,A19,$I$2:$I$43,I19)&gt;1,"yes","no"))</f>
        <v>no</v>
      </c>
      <c r="M19" s="5" t="n">
        <f aca="false">IF(D19=1,F19,IF(D19=2,Settings!$B$5+F19,""))</f>
        <v>155</v>
      </c>
    </row>
    <row r="20" customFormat="false" ht="15" hidden="false" customHeight="false" outlineLevel="0" collapsed="false">
      <c r="A20" s="5" t="n">
        <v>7</v>
      </c>
      <c r="B20" s="5" t="s">
        <v>47</v>
      </c>
      <c r="C20" s="5" t="s">
        <v>48</v>
      </c>
      <c r="D20" s="5" t="n">
        <f aca="false">IF(A20&lt;=Settings!$B$9,1,IF(A20&lt;=Settings!$B$11,2,"none"))</f>
        <v>2</v>
      </c>
      <c r="E20" s="5" t="n">
        <f aca="false">IF(D20=1,Settings!$B$6+(A20-1)*Settings!$B$8,IF(D20=2,(A20-Settings!$B$9-1)*Settings!$B$8,""))</f>
        <v>0</v>
      </c>
      <c r="F20" s="5" t="n">
        <f aca="false">IF(E20="","",E20+Settings!$B$3)</f>
        <v>20</v>
      </c>
      <c r="G20" s="5" t="n">
        <f aca="false">(A20-1)*Settings!$B$12+1</f>
        <v>19</v>
      </c>
      <c r="H20" s="5" t="str">
        <f aca="false">IF(D20="none","outside the day",IF(ISNUMBER(MATCH(G20,Seats!$H$2:$H$36,0)),INDEX(Seats!$D$2:$D$36,MATCH(G20,Seats!$H$2:$H$36,0)),"spare"))</f>
        <v>G1-S3</v>
      </c>
      <c r="I20" s="5" t="str">
        <f aca="false">IF(LEFT(H20,1)="G",INDEX(Seats!$B$2:$B$36,MATCH(G20,Seats!$H$2:$H$36,0)),"")</f>
        <v>G1</v>
      </c>
      <c r="J20" s="5" t="str">
        <f aca="false">IF(I20="","",INDEX(Seats!$E$2:$E$36,MATCH(G20,Seats!$H$2:$H$36,0)))</f>
        <v>C</v>
      </c>
      <c r="K20" s="5" t="str">
        <f aca="false">IF(I20="","",INDEX(Seats!$F$2:$F$36,MATCH(G20,Seats!$H$2:$H$36,0)))</f>
        <v>allocate on Monday</v>
      </c>
      <c r="L20" s="5" t="str">
        <f aca="false">IF(I20="","",IF(COUNTIFS($A$2:$A$43,A20,$I$2:$I$43,I20)&gt;1,"yes","no"))</f>
        <v>no</v>
      </c>
      <c r="M20" s="5" t="n">
        <f aca="false">IF(D20=1,F20,IF(D20=2,Settings!$B$5+F20,""))</f>
        <v>200</v>
      </c>
    </row>
    <row r="21" customFormat="false" ht="15" hidden="false" customHeight="false" outlineLevel="0" collapsed="false">
      <c r="A21" s="5" t="n">
        <v>7</v>
      </c>
      <c r="B21" s="5" t="s">
        <v>49</v>
      </c>
      <c r="C21" s="5" t="s">
        <v>48</v>
      </c>
      <c r="D21" s="5" t="n">
        <f aca="false">IF(A21&lt;=Settings!$B$9,1,IF(A21&lt;=Settings!$B$11,2,"none"))</f>
        <v>2</v>
      </c>
      <c r="E21" s="5" t="n">
        <f aca="false">IF(D21=1,Settings!$B$6+(A21-1)*Settings!$B$8,IF(D21=2,(A21-Settings!$B$9-1)*Settings!$B$8,""))</f>
        <v>0</v>
      </c>
      <c r="F21" s="5" t="n">
        <f aca="false">IF(E21="","",E21+Settings!$B$3)</f>
        <v>20</v>
      </c>
      <c r="G21" s="5" t="n">
        <f aca="false">(A21-1)*Settings!$B$12+2</f>
        <v>20</v>
      </c>
      <c r="H21" s="5" t="str">
        <f aca="false">IF(D21="none","outside the day",IF(ISNUMBER(MATCH(G21,Seats!$H$2:$H$36,0)),INDEX(Seats!$D$2:$D$36,MATCH(G21,Seats!$H$2:$H$36,0)),"spare"))</f>
        <v>G2-S3</v>
      </c>
      <c r="I21" s="5" t="str">
        <f aca="false">IF(LEFT(H21,1)="G",INDEX(Seats!$B$2:$B$36,MATCH(G21,Seats!$H$2:$H$36,0)),"")</f>
        <v>G2</v>
      </c>
      <c r="J21" s="5" t="str">
        <f aca="false">IF(I21="","",INDEX(Seats!$E$2:$E$36,MATCH(G21,Seats!$H$2:$H$36,0)))</f>
        <v>D</v>
      </c>
      <c r="K21" s="5" t="str">
        <f aca="false">IF(I21="","",INDEX(Seats!$F$2:$F$36,MATCH(G21,Seats!$H$2:$H$36,0)))</f>
        <v>allocate on Monday</v>
      </c>
      <c r="L21" s="5" t="str">
        <f aca="false">IF(I21="","",IF(COUNTIFS($A$2:$A$43,A21,$I$2:$I$43,I21)&gt;1,"yes","no"))</f>
        <v>no</v>
      </c>
      <c r="M21" s="5" t="n">
        <f aca="false">IF(D21=1,F21,IF(D21=2,Settings!$B$5+F21,""))</f>
        <v>200</v>
      </c>
    </row>
    <row r="22" customFormat="false" ht="15" hidden="false" customHeight="false" outlineLevel="0" collapsed="false">
      <c r="A22" s="5" t="n">
        <v>7</v>
      </c>
      <c r="B22" s="5" t="s">
        <v>50</v>
      </c>
      <c r="C22" s="5" t="s">
        <v>51</v>
      </c>
      <c r="D22" s="5" t="n">
        <f aca="false">IF(A22&lt;=Settings!$B$9,1,IF(A22&lt;=Settings!$B$11,2,"none"))</f>
        <v>2</v>
      </c>
      <c r="E22" s="5" t="n">
        <f aca="false">IF(D22=1,Settings!$B$6+(A22-1)*Settings!$B$8,IF(D22=2,(A22-Settings!$B$9-1)*Settings!$B$8,""))</f>
        <v>0</v>
      </c>
      <c r="F22" s="5" t="n">
        <f aca="false">IF(E22="","",E22+Settings!$B$3)</f>
        <v>20</v>
      </c>
      <c r="G22" s="5" t="n">
        <f aca="false">(A22-1)*Settings!$B$12+3</f>
        <v>21</v>
      </c>
      <c r="H22" s="5" t="str">
        <f aca="false">IF(D22="none","outside the day",IF(ISNUMBER(MATCH(G22,Seats!$H$2:$H$36,0)),INDEX(Seats!$D$2:$D$36,MATCH(G22,Seats!$H$2:$H$36,0)),"spare"))</f>
        <v>G3-S3</v>
      </c>
      <c r="I22" s="5" t="str">
        <f aca="false">IF(LEFT(H22,1)="G",INDEX(Seats!$B$2:$B$36,MATCH(G22,Seats!$H$2:$H$36,0)),"")</f>
        <v>G3</v>
      </c>
      <c r="J22" s="5" t="str">
        <f aca="false">IF(I22="","",INDEX(Seats!$E$2:$E$36,MATCH(G22,Seats!$H$2:$H$36,0)))</f>
        <v>E</v>
      </c>
      <c r="K22" s="5" t="str">
        <f aca="false">IF(I22="","",INDEX(Seats!$F$2:$F$36,MATCH(G22,Seats!$H$2:$H$36,0)))</f>
        <v>allocate on Monday</v>
      </c>
      <c r="L22" s="5" t="str">
        <f aca="false">IF(I22="","",IF(COUNTIFS($A$2:$A$43,A22,$I$2:$I$43,I22)&gt;1,"yes","no"))</f>
        <v>no</v>
      </c>
      <c r="M22" s="5" t="n">
        <f aca="false">IF(D22=1,F22,IF(D22=2,Settings!$B$5+F22,""))</f>
        <v>200</v>
      </c>
    </row>
    <row r="23" customFormat="false" ht="15" hidden="false" customHeight="false" outlineLevel="0" collapsed="false">
      <c r="A23" s="5" t="n">
        <v>8</v>
      </c>
      <c r="B23" s="5" t="s">
        <v>47</v>
      </c>
      <c r="C23" s="5" t="s">
        <v>48</v>
      </c>
      <c r="D23" s="5" t="n">
        <f aca="false">IF(A23&lt;=Settings!$B$9,1,IF(A23&lt;=Settings!$B$11,2,"none"))</f>
        <v>2</v>
      </c>
      <c r="E23" s="5" t="n">
        <f aca="false">IF(D23=1,Settings!$B$6+(A23-1)*Settings!$B$8,IF(D23=2,(A23-Settings!$B$9-1)*Settings!$B$8,""))</f>
        <v>25</v>
      </c>
      <c r="F23" s="5" t="n">
        <f aca="false">IF(E23="","",E23+Settings!$B$3)</f>
        <v>45</v>
      </c>
      <c r="G23" s="5" t="n">
        <f aca="false">(A23-1)*Settings!$B$12+1</f>
        <v>22</v>
      </c>
      <c r="H23" s="5" t="str">
        <f aca="false">IF(D23="none","outside the day",IF(ISNUMBER(MATCH(G23,Seats!$H$2:$H$36,0)),INDEX(Seats!$D$2:$D$36,MATCH(G23,Seats!$H$2:$H$36,0)),"spare"))</f>
        <v>G4-S3</v>
      </c>
      <c r="I23" s="5" t="str">
        <f aca="false">IF(LEFT(H23,1)="G",INDEX(Seats!$B$2:$B$36,MATCH(G23,Seats!$H$2:$H$36,0)),"")</f>
        <v>G4</v>
      </c>
      <c r="J23" s="5" t="str">
        <f aca="false">IF(I23="","",INDEX(Seats!$E$2:$E$36,MATCH(G23,Seats!$H$2:$H$36,0)))</f>
        <v>F</v>
      </c>
      <c r="K23" s="5" t="str">
        <f aca="false">IF(I23="","",INDEX(Seats!$F$2:$F$36,MATCH(G23,Seats!$H$2:$H$36,0)))</f>
        <v>allocate on Monday</v>
      </c>
      <c r="L23" s="5" t="str">
        <f aca="false">IF(I23="","",IF(COUNTIFS($A$2:$A$43,A23,$I$2:$I$43,I23)&gt;1,"yes","no"))</f>
        <v>no</v>
      </c>
      <c r="M23" s="5" t="n">
        <f aca="false">IF(D23=1,F23,IF(D23=2,Settings!$B$5+F23,""))</f>
        <v>225</v>
      </c>
    </row>
    <row r="24" customFormat="false" ht="15" hidden="false" customHeight="false" outlineLevel="0" collapsed="false">
      <c r="A24" s="5" t="n">
        <v>8</v>
      </c>
      <c r="B24" s="5" t="s">
        <v>49</v>
      </c>
      <c r="C24" s="5" t="s">
        <v>48</v>
      </c>
      <c r="D24" s="5" t="n">
        <f aca="false">IF(A24&lt;=Settings!$B$9,1,IF(A24&lt;=Settings!$B$11,2,"none"))</f>
        <v>2</v>
      </c>
      <c r="E24" s="5" t="n">
        <f aca="false">IF(D24=1,Settings!$B$6+(A24-1)*Settings!$B$8,IF(D24=2,(A24-Settings!$B$9-1)*Settings!$B$8,""))</f>
        <v>25</v>
      </c>
      <c r="F24" s="5" t="n">
        <f aca="false">IF(E24="","",E24+Settings!$B$3)</f>
        <v>45</v>
      </c>
      <c r="G24" s="5" t="n">
        <f aca="false">(A24-1)*Settings!$B$12+2</f>
        <v>23</v>
      </c>
      <c r="H24" s="5" t="str">
        <f aca="false">IF(D24="none","outside the day",IF(ISNUMBER(MATCH(G24,Seats!$H$2:$H$36,0)),INDEX(Seats!$D$2:$D$36,MATCH(G24,Seats!$H$2:$H$36,0)),"spare"))</f>
        <v>G5-S3</v>
      </c>
      <c r="I24" s="5" t="str">
        <f aca="false">IF(LEFT(H24,1)="G",INDEX(Seats!$B$2:$B$36,MATCH(G24,Seats!$H$2:$H$36,0)),"")</f>
        <v>G5</v>
      </c>
      <c r="J24" s="5" t="str">
        <f aca="false">IF(I24="","",INDEX(Seats!$E$2:$E$36,MATCH(G24,Seats!$H$2:$H$36,0)))</f>
        <v>G</v>
      </c>
      <c r="K24" s="5" t="str">
        <f aca="false">IF(I24="","",INDEX(Seats!$F$2:$F$36,MATCH(G24,Seats!$H$2:$H$36,0)))</f>
        <v>allocate on Monday</v>
      </c>
      <c r="L24" s="5" t="str">
        <f aca="false">IF(I24="","",IF(COUNTIFS($A$2:$A$43,A24,$I$2:$I$43,I24)&gt;1,"yes","no"))</f>
        <v>no</v>
      </c>
      <c r="M24" s="5" t="n">
        <f aca="false">IF(D24=1,F24,IF(D24=2,Settings!$B$5+F24,""))</f>
        <v>225</v>
      </c>
    </row>
    <row r="25" customFormat="false" ht="15" hidden="false" customHeight="false" outlineLevel="0" collapsed="false">
      <c r="A25" s="5" t="n">
        <v>8</v>
      </c>
      <c r="B25" s="5" t="s">
        <v>50</v>
      </c>
      <c r="C25" s="5" t="s">
        <v>51</v>
      </c>
      <c r="D25" s="5" t="n">
        <f aca="false">IF(A25&lt;=Settings!$B$9,1,IF(A25&lt;=Settings!$B$11,2,"none"))</f>
        <v>2</v>
      </c>
      <c r="E25" s="5" t="n">
        <f aca="false">IF(D25=1,Settings!$B$6+(A25-1)*Settings!$B$8,IF(D25=2,(A25-Settings!$B$9-1)*Settings!$B$8,""))</f>
        <v>25</v>
      </c>
      <c r="F25" s="5" t="n">
        <f aca="false">IF(E25="","",E25+Settings!$B$3)</f>
        <v>45</v>
      </c>
      <c r="G25" s="5" t="n">
        <f aca="false">(A25-1)*Settings!$B$12+3</f>
        <v>24</v>
      </c>
      <c r="H25" s="5" t="str">
        <f aca="false">IF(D25="none","outside the day",IF(ISNUMBER(MATCH(G25,Seats!$H$2:$H$36,0)),INDEX(Seats!$D$2:$D$36,MATCH(G25,Seats!$H$2:$H$36,0)),"spare"))</f>
        <v>G6-S3</v>
      </c>
      <c r="I25" s="5" t="str">
        <f aca="false">IF(LEFT(H25,1)="G",INDEX(Seats!$B$2:$B$36,MATCH(G25,Seats!$H$2:$H$36,0)),"")</f>
        <v>G6</v>
      </c>
      <c r="J25" s="5" t="str">
        <f aca="false">IF(I25="","",INDEX(Seats!$E$2:$E$36,MATCH(G25,Seats!$H$2:$H$36,0)))</f>
        <v>H</v>
      </c>
      <c r="K25" s="5" t="str">
        <f aca="false">IF(I25="","",INDEX(Seats!$F$2:$F$36,MATCH(G25,Seats!$H$2:$H$36,0)))</f>
        <v>allocate on Monday</v>
      </c>
      <c r="L25" s="5" t="str">
        <f aca="false">IF(I25="","",IF(COUNTIFS($A$2:$A$43,A25,$I$2:$I$43,I25)&gt;1,"yes","no"))</f>
        <v>no</v>
      </c>
      <c r="M25" s="5" t="n">
        <f aca="false">IF(D25=1,F25,IF(D25=2,Settings!$B$5+F25,""))</f>
        <v>225</v>
      </c>
    </row>
    <row r="26" customFormat="false" ht="15" hidden="false" customHeight="false" outlineLevel="0" collapsed="false">
      <c r="A26" s="5" t="n">
        <v>9</v>
      </c>
      <c r="B26" s="5" t="s">
        <v>47</v>
      </c>
      <c r="C26" s="5" t="s">
        <v>48</v>
      </c>
      <c r="D26" s="5" t="n">
        <f aca="false">IF(A26&lt;=Settings!$B$9,1,IF(A26&lt;=Settings!$B$11,2,"none"))</f>
        <v>2</v>
      </c>
      <c r="E26" s="5" t="n">
        <f aca="false">IF(D26=1,Settings!$B$6+(A26-1)*Settings!$B$8,IF(D26=2,(A26-Settings!$B$9-1)*Settings!$B$8,""))</f>
        <v>50</v>
      </c>
      <c r="F26" s="5" t="n">
        <f aca="false">IF(E26="","",E26+Settings!$B$3)</f>
        <v>70</v>
      </c>
      <c r="G26" s="5" t="n">
        <f aca="false">(A26-1)*Settings!$B$12+1</f>
        <v>25</v>
      </c>
      <c r="H26" s="5" t="str">
        <f aca="false">IF(D26="none","outside the day",IF(ISNUMBER(MATCH(G26,Seats!$H$2:$H$36,0)),INDEX(Seats!$D$2:$D$36,MATCH(G26,Seats!$H$2:$H$36,0)),"spare"))</f>
        <v>G7-S3</v>
      </c>
      <c r="I26" s="5" t="str">
        <f aca="false">IF(LEFT(H26,1)="G",INDEX(Seats!$B$2:$B$36,MATCH(G26,Seats!$H$2:$H$36,0)),"")</f>
        <v>G7</v>
      </c>
      <c r="J26" s="5" t="str">
        <f aca="false">IF(I26="","",INDEX(Seats!$E$2:$E$36,MATCH(G26,Seats!$H$2:$H$36,0)))</f>
        <v>A</v>
      </c>
      <c r="K26" s="5" t="str">
        <f aca="false">IF(I26="","",INDEX(Seats!$F$2:$F$36,MATCH(G26,Seats!$H$2:$H$36,0)))</f>
        <v>allocate on Monday</v>
      </c>
      <c r="L26" s="5" t="str">
        <f aca="false">IF(I26="","",IF(COUNTIFS($A$2:$A$43,A26,$I$2:$I$43,I26)&gt;1,"yes","no"))</f>
        <v>no</v>
      </c>
      <c r="M26" s="5" t="n">
        <f aca="false">IF(D26=1,F26,IF(D26=2,Settings!$B$5+F26,""))</f>
        <v>250</v>
      </c>
    </row>
    <row r="27" customFormat="false" ht="15" hidden="false" customHeight="false" outlineLevel="0" collapsed="false">
      <c r="A27" s="5" t="n">
        <v>9</v>
      </c>
      <c r="B27" s="5" t="s">
        <v>49</v>
      </c>
      <c r="C27" s="5" t="s">
        <v>48</v>
      </c>
      <c r="D27" s="5" t="n">
        <f aca="false">IF(A27&lt;=Settings!$B$9,1,IF(A27&lt;=Settings!$B$11,2,"none"))</f>
        <v>2</v>
      </c>
      <c r="E27" s="5" t="n">
        <f aca="false">IF(D27=1,Settings!$B$6+(A27-1)*Settings!$B$8,IF(D27=2,(A27-Settings!$B$9-1)*Settings!$B$8,""))</f>
        <v>50</v>
      </c>
      <c r="F27" s="5" t="n">
        <f aca="false">IF(E27="","",E27+Settings!$B$3)</f>
        <v>70</v>
      </c>
      <c r="G27" s="5" t="n">
        <f aca="false">(A27-1)*Settings!$B$12+2</f>
        <v>26</v>
      </c>
      <c r="H27" s="5" t="str">
        <f aca="false">IF(D27="none","outside the day",IF(ISNUMBER(MATCH(G27,Seats!$H$2:$H$36,0)),INDEX(Seats!$D$2:$D$36,MATCH(G27,Seats!$H$2:$H$36,0)),"spare"))</f>
        <v>G8-S3</v>
      </c>
      <c r="I27" s="5" t="str">
        <f aca="false">IF(LEFT(H27,1)="G",INDEX(Seats!$B$2:$B$36,MATCH(G27,Seats!$H$2:$H$36,0)),"")</f>
        <v>G8</v>
      </c>
      <c r="J27" s="5" t="str">
        <f aca="false">IF(I27="","",INDEX(Seats!$E$2:$E$36,MATCH(G27,Seats!$H$2:$H$36,0)))</f>
        <v>B</v>
      </c>
      <c r="K27" s="5" t="str">
        <f aca="false">IF(I27="","",INDEX(Seats!$F$2:$F$36,MATCH(G27,Seats!$H$2:$H$36,0)))</f>
        <v>allocate on Monday</v>
      </c>
      <c r="L27" s="5" t="str">
        <f aca="false">IF(I27="","",IF(COUNTIFS($A$2:$A$43,A27,$I$2:$I$43,I27)&gt;1,"yes","no"))</f>
        <v>no</v>
      </c>
      <c r="M27" s="5" t="n">
        <f aca="false">IF(D27=1,F27,IF(D27=2,Settings!$B$5+F27,""))</f>
        <v>250</v>
      </c>
    </row>
    <row r="28" customFormat="false" ht="15" hidden="false" customHeight="false" outlineLevel="0" collapsed="false">
      <c r="A28" s="5" t="n">
        <v>9</v>
      </c>
      <c r="B28" s="5" t="s">
        <v>50</v>
      </c>
      <c r="C28" s="5" t="s">
        <v>51</v>
      </c>
      <c r="D28" s="5" t="n">
        <f aca="false">IF(A28&lt;=Settings!$B$9,1,IF(A28&lt;=Settings!$B$11,2,"none"))</f>
        <v>2</v>
      </c>
      <c r="E28" s="5" t="n">
        <f aca="false">IF(D28=1,Settings!$B$6+(A28-1)*Settings!$B$8,IF(D28=2,(A28-Settings!$B$9-1)*Settings!$B$8,""))</f>
        <v>50</v>
      </c>
      <c r="F28" s="5" t="n">
        <f aca="false">IF(E28="","",E28+Settings!$B$3)</f>
        <v>70</v>
      </c>
      <c r="G28" s="5" t="n">
        <f aca="false">(A28-1)*Settings!$B$12+3</f>
        <v>27</v>
      </c>
      <c r="H28" s="5" t="str">
        <f aca="false">IF(D28="none","outside the day",IF(ISNUMBER(MATCH(G28,Seats!$H$2:$H$36,0)),INDEX(Seats!$D$2:$D$36,MATCH(G28,Seats!$H$2:$H$36,0)),"spare"))</f>
        <v>G9-S3</v>
      </c>
      <c r="I28" s="5" t="str">
        <f aca="false">IF(LEFT(H28,1)="G",INDEX(Seats!$B$2:$B$36,MATCH(G28,Seats!$H$2:$H$36,0)),"")</f>
        <v>G9</v>
      </c>
      <c r="J28" s="5" t="str">
        <f aca="false">IF(I28="","",INDEX(Seats!$E$2:$E$36,MATCH(G28,Seats!$H$2:$H$36,0)))</f>
        <v>C</v>
      </c>
      <c r="K28" s="5" t="str">
        <f aca="false">IF(I28="","",INDEX(Seats!$F$2:$F$36,MATCH(G28,Seats!$H$2:$H$36,0)))</f>
        <v>allocate on Monday</v>
      </c>
      <c r="L28" s="5" t="str">
        <f aca="false">IF(I28="","",IF(COUNTIFS($A$2:$A$43,A28,$I$2:$I$43,I28)&gt;1,"yes","no"))</f>
        <v>no</v>
      </c>
      <c r="M28" s="5" t="n">
        <f aca="false">IF(D28=1,F28,IF(D28=2,Settings!$B$5+F28,""))</f>
        <v>250</v>
      </c>
    </row>
    <row r="29" customFormat="false" ht="15" hidden="false" customHeight="false" outlineLevel="0" collapsed="false">
      <c r="A29" s="5" t="n">
        <v>10</v>
      </c>
      <c r="B29" s="5" t="s">
        <v>47</v>
      </c>
      <c r="C29" s="5" t="s">
        <v>48</v>
      </c>
      <c r="D29" s="5" t="n">
        <f aca="false">IF(A29&lt;=Settings!$B$9,1,IF(A29&lt;=Settings!$B$11,2,"none"))</f>
        <v>2</v>
      </c>
      <c r="E29" s="5" t="n">
        <f aca="false">IF(D29=1,Settings!$B$6+(A29-1)*Settings!$B$8,IF(D29=2,(A29-Settings!$B$9-1)*Settings!$B$8,""))</f>
        <v>75</v>
      </c>
      <c r="F29" s="5" t="n">
        <f aca="false">IF(E29="","",E29+Settings!$B$3)</f>
        <v>95</v>
      </c>
      <c r="G29" s="5" t="n">
        <f aca="false">(A29-1)*Settings!$B$12+1</f>
        <v>28</v>
      </c>
      <c r="H29" s="5" t="str">
        <f aca="false">IF(D29="none","outside the day",IF(ISNUMBER(MATCH(G29,Seats!$H$2:$H$36,0)),INDEX(Seats!$D$2:$D$36,MATCH(G29,Seats!$H$2:$H$36,0)),"spare"))</f>
        <v>G1-S4</v>
      </c>
      <c r="I29" s="5" t="str">
        <f aca="false">IF(LEFT(H29,1)="G",INDEX(Seats!$B$2:$B$36,MATCH(G29,Seats!$H$2:$H$36,0)),"")</f>
        <v>G1</v>
      </c>
      <c r="J29" s="5" t="str">
        <f aca="false">IF(I29="","",INDEX(Seats!$E$2:$E$36,MATCH(G29,Seats!$H$2:$H$36,0)))</f>
        <v>D</v>
      </c>
      <c r="K29" s="5" t="str">
        <f aca="false">IF(I29="","",INDEX(Seats!$F$2:$F$36,MATCH(G29,Seats!$H$2:$H$36,0)))</f>
        <v>allocate on Monday</v>
      </c>
      <c r="L29" s="5" t="str">
        <f aca="false">IF(I29="","",IF(COUNTIFS($A$2:$A$43,A29,$I$2:$I$43,I29)&gt;1,"yes","no"))</f>
        <v>no</v>
      </c>
      <c r="M29" s="5" t="n">
        <f aca="false">IF(D29=1,F29,IF(D29=2,Settings!$B$5+F29,""))</f>
        <v>275</v>
      </c>
    </row>
    <row r="30" customFormat="false" ht="15" hidden="false" customHeight="false" outlineLevel="0" collapsed="false">
      <c r="A30" s="5" t="n">
        <v>10</v>
      </c>
      <c r="B30" s="5" t="s">
        <v>49</v>
      </c>
      <c r="C30" s="5" t="s">
        <v>48</v>
      </c>
      <c r="D30" s="5" t="n">
        <f aca="false">IF(A30&lt;=Settings!$B$9,1,IF(A30&lt;=Settings!$B$11,2,"none"))</f>
        <v>2</v>
      </c>
      <c r="E30" s="5" t="n">
        <f aca="false">IF(D30=1,Settings!$B$6+(A30-1)*Settings!$B$8,IF(D30=2,(A30-Settings!$B$9-1)*Settings!$B$8,""))</f>
        <v>75</v>
      </c>
      <c r="F30" s="5" t="n">
        <f aca="false">IF(E30="","",E30+Settings!$B$3)</f>
        <v>95</v>
      </c>
      <c r="G30" s="5" t="n">
        <f aca="false">(A30-1)*Settings!$B$12+2</f>
        <v>29</v>
      </c>
      <c r="H30" s="5" t="str">
        <f aca="false">IF(D30="none","outside the day",IF(ISNUMBER(MATCH(G30,Seats!$H$2:$H$36,0)),INDEX(Seats!$D$2:$D$36,MATCH(G30,Seats!$H$2:$H$36,0)),"spare"))</f>
        <v>G2-S4</v>
      </c>
      <c r="I30" s="5" t="str">
        <f aca="false">IF(LEFT(H30,1)="G",INDEX(Seats!$B$2:$B$36,MATCH(G30,Seats!$H$2:$H$36,0)),"")</f>
        <v>G2</v>
      </c>
      <c r="J30" s="5" t="str">
        <f aca="false">IF(I30="","",INDEX(Seats!$E$2:$E$36,MATCH(G30,Seats!$H$2:$H$36,0)))</f>
        <v>E</v>
      </c>
      <c r="K30" s="5" t="str">
        <f aca="false">IF(I30="","",INDEX(Seats!$F$2:$F$36,MATCH(G30,Seats!$H$2:$H$36,0)))</f>
        <v>allocate on Monday</v>
      </c>
      <c r="L30" s="5" t="str">
        <f aca="false">IF(I30="","",IF(COUNTIFS($A$2:$A$43,A30,$I$2:$I$43,I30)&gt;1,"yes","no"))</f>
        <v>no</v>
      </c>
      <c r="M30" s="5" t="n">
        <f aca="false">IF(D30=1,F30,IF(D30=2,Settings!$B$5+F30,""))</f>
        <v>275</v>
      </c>
    </row>
    <row r="31" customFormat="false" ht="15" hidden="false" customHeight="false" outlineLevel="0" collapsed="false">
      <c r="A31" s="5" t="n">
        <v>10</v>
      </c>
      <c r="B31" s="5" t="s">
        <v>50</v>
      </c>
      <c r="C31" s="5" t="s">
        <v>51</v>
      </c>
      <c r="D31" s="5" t="n">
        <f aca="false">IF(A31&lt;=Settings!$B$9,1,IF(A31&lt;=Settings!$B$11,2,"none"))</f>
        <v>2</v>
      </c>
      <c r="E31" s="5" t="n">
        <f aca="false">IF(D31=1,Settings!$B$6+(A31-1)*Settings!$B$8,IF(D31=2,(A31-Settings!$B$9-1)*Settings!$B$8,""))</f>
        <v>75</v>
      </c>
      <c r="F31" s="5" t="n">
        <f aca="false">IF(E31="","",E31+Settings!$B$3)</f>
        <v>95</v>
      </c>
      <c r="G31" s="5" t="n">
        <f aca="false">(A31-1)*Settings!$B$12+3</f>
        <v>30</v>
      </c>
      <c r="H31" s="5" t="str">
        <f aca="false">IF(D31="none","outside the day",IF(ISNUMBER(MATCH(G31,Seats!$H$2:$H$36,0)),INDEX(Seats!$D$2:$D$36,MATCH(G31,Seats!$H$2:$H$36,0)),"spare"))</f>
        <v>G3-S4</v>
      </c>
      <c r="I31" s="5" t="str">
        <f aca="false">IF(LEFT(H31,1)="G",INDEX(Seats!$B$2:$B$36,MATCH(G31,Seats!$H$2:$H$36,0)),"")</f>
        <v>G3</v>
      </c>
      <c r="J31" s="5" t="str">
        <f aca="false">IF(I31="","",INDEX(Seats!$E$2:$E$36,MATCH(G31,Seats!$H$2:$H$36,0)))</f>
        <v>F</v>
      </c>
      <c r="K31" s="5" t="str">
        <f aca="false">IF(I31="","",INDEX(Seats!$F$2:$F$36,MATCH(G31,Seats!$H$2:$H$36,0)))</f>
        <v>allocate on Monday</v>
      </c>
      <c r="L31" s="5" t="str">
        <f aca="false">IF(I31="","",IF(COUNTIFS($A$2:$A$43,A31,$I$2:$I$43,I31)&gt;1,"yes","no"))</f>
        <v>no</v>
      </c>
      <c r="M31" s="5" t="n">
        <f aca="false">IF(D31=1,F31,IF(D31=2,Settings!$B$5+F31,""))</f>
        <v>275</v>
      </c>
    </row>
    <row r="32" customFormat="false" ht="15" hidden="false" customHeight="false" outlineLevel="0" collapsed="false">
      <c r="A32" s="5" t="n">
        <v>11</v>
      </c>
      <c r="B32" s="5" t="s">
        <v>47</v>
      </c>
      <c r="C32" s="5" t="s">
        <v>48</v>
      </c>
      <c r="D32" s="5" t="n">
        <f aca="false">IF(A32&lt;=Settings!$B$9,1,IF(A32&lt;=Settings!$B$11,2,"none"))</f>
        <v>2</v>
      </c>
      <c r="E32" s="5" t="n">
        <f aca="false">IF(D32=1,Settings!$B$6+(A32-1)*Settings!$B$8,IF(D32=2,(A32-Settings!$B$9-1)*Settings!$B$8,""))</f>
        <v>100</v>
      </c>
      <c r="F32" s="5" t="n">
        <f aca="false">IF(E32="","",E32+Settings!$B$3)</f>
        <v>120</v>
      </c>
      <c r="G32" s="5" t="n">
        <f aca="false">(A32-1)*Settings!$B$12+1</f>
        <v>31</v>
      </c>
      <c r="H32" s="5" t="str">
        <f aca="false">IF(D32="none","outside the day",IF(ISNUMBER(MATCH(G32,Seats!$H$2:$H$36,0)),INDEX(Seats!$D$2:$D$36,MATCH(G32,Seats!$H$2:$H$36,0)),"spare"))</f>
        <v>G4-S4</v>
      </c>
      <c r="I32" s="5" t="str">
        <f aca="false">IF(LEFT(H32,1)="G",INDEX(Seats!$B$2:$B$36,MATCH(G32,Seats!$H$2:$H$36,0)),"")</f>
        <v>G4</v>
      </c>
      <c r="J32" s="5" t="str">
        <f aca="false">IF(I32="","",INDEX(Seats!$E$2:$E$36,MATCH(G32,Seats!$H$2:$H$36,0)))</f>
        <v>G</v>
      </c>
      <c r="K32" s="5" t="str">
        <f aca="false">IF(I32="","",INDEX(Seats!$F$2:$F$36,MATCH(G32,Seats!$H$2:$H$36,0)))</f>
        <v>allocate on Monday</v>
      </c>
      <c r="L32" s="5" t="str">
        <f aca="false">IF(I32="","",IF(COUNTIFS($A$2:$A$43,A32,$I$2:$I$43,I32)&gt;1,"yes","no"))</f>
        <v>no</v>
      </c>
      <c r="M32" s="5" t="n">
        <f aca="false">IF(D32=1,F32,IF(D32=2,Settings!$B$5+F32,""))</f>
        <v>300</v>
      </c>
    </row>
    <row r="33" customFormat="false" ht="15" hidden="false" customHeight="false" outlineLevel="0" collapsed="false">
      <c r="A33" s="5" t="n">
        <v>11</v>
      </c>
      <c r="B33" s="5" t="s">
        <v>49</v>
      </c>
      <c r="C33" s="5" t="s">
        <v>48</v>
      </c>
      <c r="D33" s="5" t="n">
        <f aca="false">IF(A33&lt;=Settings!$B$9,1,IF(A33&lt;=Settings!$B$11,2,"none"))</f>
        <v>2</v>
      </c>
      <c r="E33" s="5" t="n">
        <f aca="false">IF(D33=1,Settings!$B$6+(A33-1)*Settings!$B$8,IF(D33=2,(A33-Settings!$B$9-1)*Settings!$B$8,""))</f>
        <v>100</v>
      </c>
      <c r="F33" s="5" t="n">
        <f aca="false">IF(E33="","",E33+Settings!$B$3)</f>
        <v>120</v>
      </c>
      <c r="G33" s="5" t="n">
        <f aca="false">(A33-1)*Settings!$B$12+2</f>
        <v>32</v>
      </c>
      <c r="H33" s="5" t="str">
        <f aca="false">IF(D33="none","outside the day",IF(ISNUMBER(MATCH(G33,Seats!$H$2:$H$36,0)),INDEX(Seats!$D$2:$D$36,MATCH(G33,Seats!$H$2:$H$36,0)),"spare"))</f>
        <v>G5-S4</v>
      </c>
      <c r="I33" s="5" t="str">
        <f aca="false">IF(LEFT(H33,1)="G",INDEX(Seats!$B$2:$B$36,MATCH(G33,Seats!$H$2:$H$36,0)),"")</f>
        <v>G5</v>
      </c>
      <c r="J33" s="5" t="str">
        <f aca="false">IF(I33="","",INDEX(Seats!$E$2:$E$36,MATCH(G33,Seats!$H$2:$H$36,0)))</f>
        <v>H</v>
      </c>
      <c r="K33" s="5" t="str">
        <f aca="false">IF(I33="","",INDEX(Seats!$F$2:$F$36,MATCH(G33,Seats!$H$2:$H$36,0)))</f>
        <v>allocate on Monday</v>
      </c>
      <c r="L33" s="5" t="str">
        <f aca="false">IF(I33="","",IF(COUNTIFS($A$2:$A$43,A33,$I$2:$I$43,I33)&gt;1,"yes","no"))</f>
        <v>no</v>
      </c>
      <c r="M33" s="5" t="n">
        <f aca="false">IF(D33=1,F33,IF(D33=2,Settings!$B$5+F33,""))</f>
        <v>300</v>
      </c>
    </row>
    <row r="34" customFormat="false" ht="15" hidden="false" customHeight="false" outlineLevel="0" collapsed="false">
      <c r="A34" s="5" t="n">
        <v>11</v>
      </c>
      <c r="B34" s="5" t="s">
        <v>50</v>
      </c>
      <c r="C34" s="5" t="s">
        <v>51</v>
      </c>
      <c r="D34" s="5" t="n">
        <f aca="false">IF(A34&lt;=Settings!$B$9,1,IF(A34&lt;=Settings!$B$11,2,"none"))</f>
        <v>2</v>
      </c>
      <c r="E34" s="5" t="n">
        <f aca="false">IF(D34=1,Settings!$B$6+(A34-1)*Settings!$B$8,IF(D34=2,(A34-Settings!$B$9-1)*Settings!$B$8,""))</f>
        <v>100</v>
      </c>
      <c r="F34" s="5" t="n">
        <f aca="false">IF(E34="","",E34+Settings!$B$3)</f>
        <v>120</v>
      </c>
      <c r="G34" s="5" t="n">
        <f aca="false">(A34-1)*Settings!$B$12+3</f>
        <v>33</v>
      </c>
      <c r="H34" s="5" t="str">
        <f aca="false">IF(D34="none","outside the day",IF(ISNUMBER(MATCH(G34,Seats!$H$2:$H$36,0)),INDEX(Seats!$D$2:$D$36,MATCH(G34,Seats!$H$2:$H$36,0)),"spare"))</f>
        <v>G6-S4</v>
      </c>
      <c r="I34" s="5" t="str">
        <f aca="false">IF(LEFT(H34,1)="G",INDEX(Seats!$B$2:$B$36,MATCH(G34,Seats!$H$2:$H$36,0)),"")</f>
        <v>G6</v>
      </c>
      <c r="J34" s="5" t="str">
        <f aca="false">IF(I34="","",INDEX(Seats!$E$2:$E$36,MATCH(G34,Seats!$H$2:$H$36,0)))</f>
        <v>A</v>
      </c>
      <c r="K34" s="5" t="str">
        <f aca="false">IF(I34="","",INDEX(Seats!$F$2:$F$36,MATCH(G34,Seats!$H$2:$H$36,0)))</f>
        <v>allocate on Monday</v>
      </c>
      <c r="L34" s="5" t="str">
        <f aca="false">IF(I34="","",IF(COUNTIFS($A$2:$A$43,A34,$I$2:$I$43,I34)&gt;1,"yes","no"))</f>
        <v>no</v>
      </c>
      <c r="M34" s="5" t="n">
        <f aca="false">IF(D34=1,F34,IF(D34=2,Settings!$B$5+F34,""))</f>
        <v>300</v>
      </c>
    </row>
    <row r="35" customFormat="false" ht="15" hidden="false" customHeight="false" outlineLevel="0" collapsed="false">
      <c r="A35" s="5" t="n">
        <v>12</v>
      </c>
      <c r="B35" s="5" t="s">
        <v>47</v>
      </c>
      <c r="C35" s="5" t="s">
        <v>48</v>
      </c>
      <c r="D35" s="5" t="n">
        <f aca="false">IF(A35&lt;=Settings!$B$9,1,IF(A35&lt;=Settings!$B$11,2,"none"))</f>
        <v>2</v>
      </c>
      <c r="E35" s="5" t="n">
        <f aca="false">IF(D35=1,Settings!$B$6+(A35-1)*Settings!$B$8,IF(D35=2,(A35-Settings!$B$9-1)*Settings!$B$8,""))</f>
        <v>125</v>
      </c>
      <c r="F35" s="5" t="n">
        <f aca="false">IF(E35="","",E35+Settings!$B$3)</f>
        <v>145</v>
      </c>
      <c r="G35" s="5" t="n">
        <f aca="false">(A35-1)*Settings!$B$12+1</f>
        <v>34</v>
      </c>
      <c r="H35" s="5" t="str">
        <f aca="false">IF(D35="none","outside the day",IF(ISNUMBER(MATCH(G35,Seats!$H$2:$H$36,0)),INDEX(Seats!$D$2:$D$36,MATCH(G35,Seats!$H$2:$H$36,0)),"spare"))</f>
        <v>G7-S4</v>
      </c>
      <c r="I35" s="5" t="str">
        <f aca="false">IF(LEFT(H35,1)="G",INDEX(Seats!$B$2:$B$36,MATCH(G35,Seats!$H$2:$H$36,0)),"")</f>
        <v>G7</v>
      </c>
      <c r="J35" s="5" t="str">
        <f aca="false">IF(I35="","",INDEX(Seats!$E$2:$E$36,MATCH(G35,Seats!$H$2:$H$36,0)))</f>
        <v>B</v>
      </c>
      <c r="K35" s="5" t="str">
        <f aca="false">IF(I35="","",INDEX(Seats!$F$2:$F$36,MATCH(G35,Seats!$H$2:$H$36,0)))</f>
        <v>allocate on Monday</v>
      </c>
      <c r="L35" s="5" t="str">
        <f aca="false">IF(I35="","",IF(COUNTIFS($A$2:$A$43,A35,$I$2:$I$43,I35)&gt;1,"yes","no"))</f>
        <v>no</v>
      </c>
      <c r="M35" s="5" t="n">
        <f aca="false">IF(D35=1,F35,IF(D35=2,Settings!$B$5+F35,""))</f>
        <v>325</v>
      </c>
    </row>
    <row r="36" customFormat="false" ht="15" hidden="false" customHeight="false" outlineLevel="0" collapsed="false">
      <c r="A36" s="5" t="n">
        <v>12</v>
      </c>
      <c r="B36" s="5" t="s">
        <v>49</v>
      </c>
      <c r="C36" s="5" t="s">
        <v>48</v>
      </c>
      <c r="D36" s="5" t="n">
        <f aca="false">IF(A36&lt;=Settings!$B$9,1,IF(A36&lt;=Settings!$B$11,2,"none"))</f>
        <v>2</v>
      </c>
      <c r="E36" s="5" t="n">
        <f aca="false">IF(D36=1,Settings!$B$6+(A36-1)*Settings!$B$8,IF(D36=2,(A36-Settings!$B$9-1)*Settings!$B$8,""))</f>
        <v>125</v>
      </c>
      <c r="F36" s="5" t="n">
        <f aca="false">IF(E36="","",E36+Settings!$B$3)</f>
        <v>145</v>
      </c>
      <c r="G36" s="5" t="n">
        <f aca="false">(A36-1)*Settings!$B$12+2</f>
        <v>35</v>
      </c>
      <c r="H36" s="5" t="str">
        <f aca="false">IF(D36="none","outside the day",IF(ISNUMBER(MATCH(G36,Seats!$H$2:$H$36,0)),INDEX(Seats!$D$2:$D$36,MATCH(G36,Seats!$H$2:$H$36,0)),"spare"))</f>
        <v>G8-S4</v>
      </c>
      <c r="I36" s="5" t="str">
        <f aca="false">IF(LEFT(H36,1)="G",INDEX(Seats!$B$2:$B$36,MATCH(G36,Seats!$H$2:$H$36,0)),"")</f>
        <v>G8</v>
      </c>
      <c r="J36" s="5" t="str">
        <f aca="false">IF(I36="","",INDEX(Seats!$E$2:$E$36,MATCH(G36,Seats!$H$2:$H$36,0)))</f>
        <v>C</v>
      </c>
      <c r="K36" s="5" t="str">
        <f aca="false">IF(I36="","",INDEX(Seats!$F$2:$F$36,MATCH(G36,Seats!$H$2:$H$36,0)))</f>
        <v>allocate on Monday</v>
      </c>
      <c r="L36" s="5" t="str">
        <f aca="false">IF(I36="","",IF(COUNTIFS($A$2:$A$43,A36,$I$2:$I$43,I36)&gt;1,"yes","no"))</f>
        <v>no</v>
      </c>
      <c r="M36" s="5" t="n">
        <f aca="false">IF(D36=1,F36,IF(D36=2,Settings!$B$5+F36,""))</f>
        <v>325</v>
      </c>
    </row>
    <row r="37" customFormat="false" ht="15" hidden="false" customHeight="false" outlineLevel="0" collapsed="false">
      <c r="A37" s="5" t="n">
        <v>12</v>
      </c>
      <c r="B37" s="5" t="s">
        <v>50</v>
      </c>
      <c r="C37" s="5" t="s">
        <v>51</v>
      </c>
      <c r="D37" s="5" t="n">
        <f aca="false">IF(A37&lt;=Settings!$B$9,1,IF(A37&lt;=Settings!$B$11,2,"none"))</f>
        <v>2</v>
      </c>
      <c r="E37" s="5" t="n">
        <f aca="false">IF(D37=1,Settings!$B$6+(A37-1)*Settings!$B$8,IF(D37=2,(A37-Settings!$B$9-1)*Settings!$B$8,""))</f>
        <v>125</v>
      </c>
      <c r="F37" s="5" t="n">
        <f aca="false">IF(E37="","",E37+Settings!$B$3)</f>
        <v>145</v>
      </c>
      <c r="G37" s="5" t="n">
        <f aca="false">(A37-1)*Settings!$B$12+3</f>
        <v>36</v>
      </c>
      <c r="H37" s="5" t="str">
        <f aca="false">IF(D37="none","outside the day",IF(ISNUMBER(MATCH(G37,Seats!$H$2:$H$36,0)),INDEX(Seats!$D$2:$D$36,MATCH(G37,Seats!$H$2:$H$36,0)),"spare"))</f>
        <v>spare</v>
      </c>
      <c r="I37" s="5" t="str">
        <f aca="false">IF(LEFT(H37,1)="G",INDEX(Seats!$B$2:$B$36,MATCH(G37,Seats!$H$2:$H$36,0)),"")</f>
        <v/>
      </c>
      <c r="J37" s="5" t="str">
        <f aca="false">IF(I37="","",INDEX(Seats!$E$2:$E$36,MATCH(G37,Seats!$H$2:$H$36,0)))</f>
        <v/>
      </c>
      <c r="K37" s="5" t="str">
        <f aca="false">IF(I37="","",INDEX(Seats!$F$2:$F$36,MATCH(G37,Seats!$H$2:$H$36,0)))</f>
        <v/>
      </c>
      <c r="L37" s="5" t="str">
        <f aca="false">IF(I37="","",IF(COUNTIFS($A$2:$A$43,A37,$I$2:$I$43,I37)&gt;1,"yes","no"))</f>
        <v/>
      </c>
      <c r="M37" s="5" t="n">
        <f aca="false">IF(D37=1,F37,IF(D37=2,Settings!$B$5+F37,""))</f>
        <v>325</v>
      </c>
    </row>
    <row r="38" customFormat="false" ht="15" hidden="false" customHeight="false" outlineLevel="0" collapsed="false">
      <c r="A38" s="5" t="n">
        <v>13</v>
      </c>
      <c r="B38" s="5" t="s">
        <v>47</v>
      </c>
      <c r="C38" s="5" t="s">
        <v>48</v>
      </c>
      <c r="D38" s="5" t="str">
        <f aca="false">IF(A38&lt;=Settings!$B$9,1,IF(A38&lt;=Settings!$B$11,2,"none"))</f>
        <v>none</v>
      </c>
      <c r="E38" s="5" t="str">
        <f aca="false">IF(D38=1,Settings!$B$6+(A38-1)*Settings!$B$8,IF(D38=2,(A38-Settings!$B$9-1)*Settings!$B$8,""))</f>
        <v/>
      </c>
      <c r="F38" s="5" t="str">
        <f aca="false">IF(E38="","",E38+Settings!$B$3)</f>
        <v/>
      </c>
      <c r="G38" s="5" t="n">
        <f aca="false">(A38-1)*Settings!$B$12+1</f>
        <v>37</v>
      </c>
      <c r="H38" s="5" t="str">
        <f aca="false">IF(D38="none","outside the day",IF(ISNUMBER(MATCH(G38,Seats!$H$2:$H$36,0)),INDEX(Seats!$D$2:$D$36,MATCH(G38,Seats!$H$2:$H$36,0)),"spare"))</f>
        <v>outside the day</v>
      </c>
      <c r="I38" s="5" t="str">
        <f aca="false">IF(LEFT(H38,1)="G",INDEX(Seats!$B$2:$B$36,MATCH(G38,Seats!$H$2:$H$36,0)),"")</f>
        <v/>
      </c>
      <c r="J38" s="5" t="str">
        <f aca="false">IF(I38="","",INDEX(Seats!$E$2:$E$36,MATCH(G38,Seats!$H$2:$H$36,0)))</f>
        <v/>
      </c>
      <c r="K38" s="5" t="str">
        <f aca="false">IF(I38="","",INDEX(Seats!$F$2:$F$36,MATCH(G38,Seats!$H$2:$H$36,0)))</f>
        <v/>
      </c>
      <c r="L38" s="5" t="str">
        <f aca="false">IF(I38="","",IF(COUNTIFS($A$2:$A$43,A38,$I$2:$I$43,I38)&gt;1,"yes","no"))</f>
        <v/>
      </c>
      <c r="M38" s="5" t="str">
        <f aca="false">IF(D38=1,F38,IF(D38=2,Settings!$B$5+F38,""))</f>
        <v/>
      </c>
    </row>
    <row r="39" customFormat="false" ht="15" hidden="false" customHeight="false" outlineLevel="0" collapsed="false">
      <c r="A39" s="5" t="n">
        <v>13</v>
      </c>
      <c r="B39" s="5" t="s">
        <v>49</v>
      </c>
      <c r="C39" s="5" t="s">
        <v>48</v>
      </c>
      <c r="D39" s="5" t="str">
        <f aca="false">IF(A39&lt;=Settings!$B$9,1,IF(A39&lt;=Settings!$B$11,2,"none"))</f>
        <v>none</v>
      </c>
      <c r="E39" s="5" t="str">
        <f aca="false">IF(D39=1,Settings!$B$6+(A39-1)*Settings!$B$8,IF(D39=2,(A39-Settings!$B$9-1)*Settings!$B$8,""))</f>
        <v/>
      </c>
      <c r="F39" s="5" t="str">
        <f aca="false">IF(E39="","",E39+Settings!$B$3)</f>
        <v/>
      </c>
      <c r="G39" s="5" t="n">
        <f aca="false">(A39-1)*Settings!$B$12+2</f>
        <v>38</v>
      </c>
      <c r="H39" s="5" t="str">
        <f aca="false">IF(D39="none","outside the day",IF(ISNUMBER(MATCH(G39,Seats!$H$2:$H$36,0)),INDEX(Seats!$D$2:$D$36,MATCH(G39,Seats!$H$2:$H$36,0)),"spare"))</f>
        <v>outside the day</v>
      </c>
      <c r="I39" s="5" t="str">
        <f aca="false">IF(LEFT(H39,1)="G",INDEX(Seats!$B$2:$B$36,MATCH(G39,Seats!$H$2:$H$36,0)),"")</f>
        <v/>
      </c>
      <c r="J39" s="5" t="str">
        <f aca="false">IF(I39="","",INDEX(Seats!$E$2:$E$36,MATCH(G39,Seats!$H$2:$H$36,0)))</f>
        <v/>
      </c>
      <c r="K39" s="5" t="str">
        <f aca="false">IF(I39="","",INDEX(Seats!$F$2:$F$36,MATCH(G39,Seats!$H$2:$H$36,0)))</f>
        <v/>
      </c>
      <c r="L39" s="5" t="str">
        <f aca="false">IF(I39="","",IF(COUNTIFS($A$2:$A$43,A39,$I$2:$I$43,I39)&gt;1,"yes","no"))</f>
        <v/>
      </c>
      <c r="M39" s="5" t="str">
        <f aca="false">IF(D39=1,F39,IF(D39=2,Settings!$B$5+F39,""))</f>
        <v/>
      </c>
    </row>
    <row r="40" customFormat="false" ht="15" hidden="false" customHeight="false" outlineLevel="0" collapsed="false">
      <c r="A40" s="5" t="n">
        <v>13</v>
      </c>
      <c r="B40" s="5" t="s">
        <v>50</v>
      </c>
      <c r="C40" s="5" t="s">
        <v>51</v>
      </c>
      <c r="D40" s="5" t="str">
        <f aca="false">IF(A40&lt;=Settings!$B$9,1,IF(A40&lt;=Settings!$B$11,2,"none"))</f>
        <v>none</v>
      </c>
      <c r="E40" s="5" t="str">
        <f aca="false">IF(D40=1,Settings!$B$6+(A40-1)*Settings!$B$8,IF(D40=2,(A40-Settings!$B$9-1)*Settings!$B$8,""))</f>
        <v/>
      </c>
      <c r="F40" s="5" t="str">
        <f aca="false">IF(E40="","",E40+Settings!$B$3)</f>
        <v/>
      </c>
      <c r="G40" s="5" t="n">
        <f aca="false">(A40-1)*Settings!$B$12+3</f>
        <v>39</v>
      </c>
      <c r="H40" s="5" t="str">
        <f aca="false">IF(D40="none","outside the day",IF(ISNUMBER(MATCH(G40,Seats!$H$2:$H$36,0)),INDEX(Seats!$D$2:$D$36,MATCH(G40,Seats!$H$2:$H$36,0)),"spare"))</f>
        <v>outside the day</v>
      </c>
      <c r="I40" s="5" t="str">
        <f aca="false">IF(LEFT(H40,1)="G",INDEX(Seats!$B$2:$B$36,MATCH(G40,Seats!$H$2:$H$36,0)),"")</f>
        <v/>
      </c>
      <c r="J40" s="5" t="str">
        <f aca="false">IF(I40="","",INDEX(Seats!$E$2:$E$36,MATCH(G40,Seats!$H$2:$H$36,0)))</f>
        <v/>
      </c>
      <c r="K40" s="5" t="str">
        <f aca="false">IF(I40="","",INDEX(Seats!$F$2:$F$36,MATCH(G40,Seats!$H$2:$H$36,0)))</f>
        <v/>
      </c>
      <c r="L40" s="5" t="str">
        <f aca="false">IF(I40="","",IF(COUNTIFS($A$2:$A$43,A40,$I$2:$I$43,I40)&gt;1,"yes","no"))</f>
        <v/>
      </c>
      <c r="M40" s="5" t="str">
        <f aca="false">IF(D40=1,F40,IF(D40=2,Settings!$B$5+F40,""))</f>
        <v/>
      </c>
    </row>
    <row r="41" customFormat="false" ht="15" hidden="false" customHeight="false" outlineLevel="0" collapsed="false">
      <c r="A41" s="5" t="n">
        <v>14</v>
      </c>
      <c r="B41" s="5" t="s">
        <v>47</v>
      </c>
      <c r="C41" s="5" t="s">
        <v>48</v>
      </c>
      <c r="D41" s="5" t="str">
        <f aca="false">IF(A41&lt;=Settings!$B$9,1,IF(A41&lt;=Settings!$B$11,2,"none"))</f>
        <v>none</v>
      </c>
      <c r="E41" s="5" t="str">
        <f aca="false">IF(D41=1,Settings!$B$6+(A41-1)*Settings!$B$8,IF(D41=2,(A41-Settings!$B$9-1)*Settings!$B$8,""))</f>
        <v/>
      </c>
      <c r="F41" s="5" t="str">
        <f aca="false">IF(E41="","",E41+Settings!$B$3)</f>
        <v/>
      </c>
      <c r="G41" s="5" t="n">
        <f aca="false">(A41-1)*Settings!$B$12+1</f>
        <v>40</v>
      </c>
      <c r="H41" s="5" t="str">
        <f aca="false">IF(D41="none","outside the day",IF(ISNUMBER(MATCH(G41,Seats!$H$2:$H$36,0)),INDEX(Seats!$D$2:$D$36,MATCH(G41,Seats!$H$2:$H$36,0)),"spare"))</f>
        <v>outside the day</v>
      </c>
      <c r="I41" s="5" t="str">
        <f aca="false">IF(LEFT(H41,1)="G",INDEX(Seats!$B$2:$B$36,MATCH(G41,Seats!$H$2:$H$36,0)),"")</f>
        <v/>
      </c>
      <c r="J41" s="5" t="str">
        <f aca="false">IF(I41="","",INDEX(Seats!$E$2:$E$36,MATCH(G41,Seats!$H$2:$H$36,0)))</f>
        <v/>
      </c>
      <c r="K41" s="5" t="str">
        <f aca="false">IF(I41="","",INDEX(Seats!$F$2:$F$36,MATCH(G41,Seats!$H$2:$H$36,0)))</f>
        <v/>
      </c>
      <c r="L41" s="5" t="str">
        <f aca="false">IF(I41="","",IF(COUNTIFS($A$2:$A$43,A41,$I$2:$I$43,I41)&gt;1,"yes","no"))</f>
        <v/>
      </c>
      <c r="M41" s="5" t="str">
        <f aca="false">IF(D41=1,F41,IF(D41=2,Settings!$B$5+F41,""))</f>
        <v/>
      </c>
    </row>
    <row r="42" customFormat="false" ht="15" hidden="false" customHeight="false" outlineLevel="0" collapsed="false">
      <c r="A42" s="5" t="n">
        <v>14</v>
      </c>
      <c r="B42" s="5" t="s">
        <v>49</v>
      </c>
      <c r="C42" s="5" t="s">
        <v>48</v>
      </c>
      <c r="D42" s="5" t="str">
        <f aca="false">IF(A42&lt;=Settings!$B$9,1,IF(A42&lt;=Settings!$B$11,2,"none"))</f>
        <v>none</v>
      </c>
      <c r="E42" s="5" t="str">
        <f aca="false">IF(D42=1,Settings!$B$6+(A42-1)*Settings!$B$8,IF(D42=2,(A42-Settings!$B$9-1)*Settings!$B$8,""))</f>
        <v/>
      </c>
      <c r="F42" s="5" t="str">
        <f aca="false">IF(E42="","",E42+Settings!$B$3)</f>
        <v/>
      </c>
      <c r="G42" s="5" t="n">
        <f aca="false">(A42-1)*Settings!$B$12+2</f>
        <v>41</v>
      </c>
      <c r="H42" s="5" t="str">
        <f aca="false">IF(D42="none","outside the day",IF(ISNUMBER(MATCH(G42,Seats!$H$2:$H$36,0)),INDEX(Seats!$D$2:$D$36,MATCH(G42,Seats!$H$2:$H$36,0)),"spare"))</f>
        <v>outside the day</v>
      </c>
      <c r="I42" s="5" t="str">
        <f aca="false">IF(LEFT(H42,1)="G",INDEX(Seats!$B$2:$B$36,MATCH(G42,Seats!$H$2:$H$36,0)),"")</f>
        <v/>
      </c>
      <c r="J42" s="5" t="str">
        <f aca="false">IF(I42="","",INDEX(Seats!$E$2:$E$36,MATCH(G42,Seats!$H$2:$H$36,0)))</f>
        <v/>
      </c>
      <c r="K42" s="5" t="str">
        <f aca="false">IF(I42="","",INDEX(Seats!$F$2:$F$36,MATCH(G42,Seats!$H$2:$H$36,0)))</f>
        <v/>
      </c>
      <c r="L42" s="5" t="str">
        <f aca="false">IF(I42="","",IF(COUNTIFS($A$2:$A$43,A42,$I$2:$I$43,I42)&gt;1,"yes","no"))</f>
        <v/>
      </c>
      <c r="M42" s="5" t="str">
        <f aca="false">IF(D42=1,F42,IF(D42=2,Settings!$B$5+F42,""))</f>
        <v/>
      </c>
    </row>
    <row r="43" customFormat="false" ht="15" hidden="false" customHeight="false" outlineLevel="0" collapsed="false">
      <c r="A43" s="5" t="n">
        <v>14</v>
      </c>
      <c r="B43" s="5" t="s">
        <v>50</v>
      </c>
      <c r="C43" s="5" t="s">
        <v>51</v>
      </c>
      <c r="D43" s="5" t="str">
        <f aca="false">IF(A43&lt;=Settings!$B$9,1,IF(A43&lt;=Settings!$B$11,2,"none"))</f>
        <v>none</v>
      </c>
      <c r="E43" s="5" t="str">
        <f aca="false">IF(D43=1,Settings!$B$6+(A43-1)*Settings!$B$8,IF(D43=2,(A43-Settings!$B$9-1)*Settings!$B$8,""))</f>
        <v/>
      </c>
      <c r="F43" s="5" t="str">
        <f aca="false">IF(E43="","",E43+Settings!$B$3)</f>
        <v/>
      </c>
      <c r="G43" s="5" t="n">
        <f aca="false">(A43-1)*Settings!$B$12+3</f>
        <v>42</v>
      </c>
      <c r="H43" s="5" t="str">
        <f aca="false">IF(D43="none","outside the day",IF(ISNUMBER(MATCH(G43,Seats!$H$2:$H$36,0)),INDEX(Seats!$D$2:$D$36,MATCH(G43,Seats!$H$2:$H$36,0)),"spare"))</f>
        <v>outside the day</v>
      </c>
      <c r="I43" s="5" t="str">
        <f aca="false">IF(LEFT(H43,1)="G",INDEX(Seats!$B$2:$B$36,MATCH(G43,Seats!$H$2:$H$36,0)),"")</f>
        <v/>
      </c>
      <c r="J43" s="5" t="str">
        <f aca="false">IF(I43="","",INDEX(Seats!$E$2:$E$36,MATCH(G43,Seats!$H$2:$H$36,0)))</f>
        <v/>
      </c>
      <c r="K43" s="5" t="str">
        <f aca="false">IF(I43="","",INDEX(Seats!$F$2:$F$36,MATCH(G43,Seats!$H$2:$H$36,0)))</f>
        <v/>
      </c>
      <c r="L43" s="5" t="str">
        <f aca="false">IF(I43="","",IF(COUNTIFS($A$2:$A$43,A43,$I$2:$I$43,I43)&gt;1,"yes","no"))</f>
        <v/>
      </c>
      <c r="M43" s="5" t="str">
        <f aca="false">IF(D43=1,F43,IF(D43=2,Settings!$B$5+F43,""))</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2026-09-29T17:34:47Z</dcterms:created>
  <dc:creator>openpyxl</dc:creator>
  <dc:description/>
  <dc:language>en-US</dc:language>
  <cp:lastModifiedBy/>
  <dcterms:modified xsi:type="dcterms:W3CDTF">2026-09-29T17:34:47Z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