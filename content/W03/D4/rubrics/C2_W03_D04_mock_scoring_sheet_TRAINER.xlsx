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riteria" sheetId="2" state="visible" r:id="rId4"/>
    <sheet name="Scores" sheetId="3" state="visible" r:id="rId5"/>
    <sheet name="Assessors" sheetId="4" state="visible" r:id="rId6"/>
    <sheet name="Groups" sheetId="5" state="visible" r:id="rId7"/>
    <sheet name="Examp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<sst xmlns="http://schemas.openxmlformats.org/spreadsheetml/2006/main" count="200" uniqueCount="105">
  <si>
    <t xml:space="preserve">Mock R1 scoring sheet, Build 1</t>
  </si>
  <si>
    <t xml:space="preserve">TRAINER ONLY. Seats and groups, never names. One shared copy; each assessor scores only their own rows.</t>
  </si>
  <si>
    <t xml:space="preserve">Which cells to edit</t>
  </si>
  <si>
    <t xml:space="preserve">On Scores, the six yellow mark cells of a learner's row, entered in the changeover straight after the mock, from the evidence note. The assessor column is prefilled from the roster's default split and changes only if a learner was moved to another assessor. Every other cell is a formula.</t>
  </si>
  <si>
    <t xml:space="preserve">Where the criteria come from</t>
  </si>
  <si>
    <t xml:space="preserve">The Criteria sheet copies the mock rubric approved by the requester on 29 September 2026, held in data/programme/facts.yaml: 15 marks on the technical half and 15 on the project viva, 30 in all. If facts.yaml changes, rebuild this sheet rather than editing the Criteria sheet by hand.</t>
  </si>
  <si>
    <t xml:space="preserve">What the status column says</t>
  </si>
  <si>
    <t xml:space="preserve">not scored: no mark entered yet. incomplete: some marks entered, some missing. scored: all six entered and each within its maximum. check: a mark is above its maximum: fix it before anything else is read from the sheet.</t>
  </si>
  <si>
    <t xml:space="preserve">The two checks at the close</t>
  </si>
  <si>
    <t xml:space="preserve">The Assessors sheet shows each assessor's average per half. A gap of more than about two marks between assessors on one half is discussed at the close, one sentence each, before any score moves; a score changes only against its evidence note. The Groups sheet shows each group's average, which the close reads for patterns and never announces.</t>
  </si>
  <si>
    <t xml:space="preserve">A worked row</t>
  </si>
  <si>
    <t xml:space="preserve">The Example sheet carries one learner's marks with the same formulas, so the format is visible before the first mock. It is not part of any total.</t>
  </si>
  <si>
    <t xml:space="preserve">Code</t>
  </si>
  <si>
    <t xml:space="preserve">Half</t>
  </si>
  <si>
    <t xml:space="preserve">Criterion</t>
  </si>
  <si>
    <t xml:space="preserve">Maximum</t>
  </si>
  <si>
    <t xml:space="preserve">C1</t>
  </si>
  <si>
    <t xml:space="preserve">Technical</t>
  </si>
  <si>
    <t xml:space="preserve">Correctness</t>
  </si>
  <si>
    <t xml:space="preserve">C2</t>
  </si>
  <si>
    <t xml:space="preserve">Reasoning aloud with numbers</t>
  </si>
  <si>
    <t xml:space="preserve">C3</t>
  </si>
  <si>
    <t xml:space="preserve">Handling a follow-up</t>
  </si>
  <si>
    <t xml:space="preserve">C4</t>
  </si>
  <si>
    <t xml:space="preserve">Project viva</t>
  </si>
  <si>
    <t xml:space="preserve">The translation, with one decision defended by evidence</t>
  </si>
  <si>
    <t xml:space="preserve">C5</t>
  </si>
  <si>
    <t xml:space="preserve">Defending a caveat under challenge</t>
  </si>
  <si>
    <t xml:space="preserve">C6</t>
  </si>
  <si>
    <t xml:space="preserve">What they would do differently</t>
  </si>
  <si>
    <t xml:space="preserve">Technical half</t>
  </si>
  <si>
    <t xml:space="preserve">The mock</t>
  </si>
  <si>
    <t xml:space="preserve">Matches the locked 30 marks</t>
  </si>
  <si>
    <t xml:space="preserve">Seat</t>
  </si>
  <si>
    <t xml:space="preserve">Group</t>
  </si>
  <si>
    <t xml:space="preserve">Assessor</t>
  </si>
  <si>
    <t xml:space="preserve">C1 Correctness (/8)</t>
  </si>
  <si>
    <t xml:space="preserve">C2 Reasoning aloud with numbers (/4)</t>
  </si>
  <si>
    <t xml:space="preserve">C3 Handling a follow-up (/3)</t>
  </si>
  <si>
    <t xml:space="preserve">C4 The translation, with one decision defended by evidence (/6)</t>
  </si>
  <si>
    <t xml:space="preserve">C5 Defending a caveat under challenge (/6)</t>
  </si>
  <si>
    <t xml:space="preserve">C6 What they would do differently (/3)</t>
  </si>
  <si>
    <t xml:space="preserve">Technical (/15)</t>
  </si>
  <si>
    <t xml:space="preserve">Viva (/15)</t>
  </si>
  <si>
    <t xml:space="preserve">Mock (/30)</t>
  </si>
  <si>
    <t xml:space="preserve">Status</t>
  </si>
  <si>
    <t xml:space="preserve">G1-S1</t>
  </si>
  <si>
    <t xml:space="preserve">G1</t>
  </si>
  <si>
    <t xml:space="preserve">Programme Head</t>
  </si>
  <si>
    <t xml:space="preserve">G1-S2</t>
  </si>
  <si>
    <t xml:space="preserve">G1-S3</t>
  </si>
  <si>
    <t xml:space="preserve">G1-S4</t>
  </si>
  <si>
    <t xml:space="preserve">G2-S1</t>
  </si>
  <si>
    <t xml:space="preserve">G2</t>
  </si>
  <si>
    <t xml:space="preserve">Academic TA</t>
  </si>
  <si>
    <t xml:space="preserve">G2-S2</t>
  </si>
  <si>
    <t xml:space="preserve">G2-S3</t>
  </si>
  <si>
    <t xml:space="preserve">G2-S4</t>
  </si>
  <si>
    <t xml:space="preserve">G3-S1</t>
  </si>
  <si>
    <t xml:space="preserve">G3</t>
  </si>
  <si>
    <t xml:space="preserve">Principal Advisor</t>
  </si>
  <si>
    <t xml:space="preserve">G3-S2</t>
  </si>
  <si>
    <t xml:space="preserve">G3-S3</t>
  </si>
  <si>
    <t xml:space="preserve">G3-S4</t>
  </si>
  <si>
    <t xml:space="preserve">G4-S1</t>
  </si>
  <si>
    <t xml:space="preserve">G4</t>
  </si>
  <si>
    <t xml:space="preserve">G4-S2</t>
  </si>
  <si>
    <t xml:space="preserve">G4-S3</t>
  </si>
  <si>
    <t xml:space="preserve">G4-S4</t>
  </si>
  <si>
    <t xml:space="preserve">G5-S1</t>
  </si>
  <si>
    <t xml:space="preserve">G5</t>
  </si>
  <si>
    <t xml:space="preserve">G5-S2</t>
  </si>
  <si>
    <t xml:space="preserve">G5-S3</t>
  </si>
  <si>
    <t xml:space="preserve">G5-S4</t>
  </si>
  <si>
    <t xml:space="preserve">G6-S1</t>
  </si>
  <si>
    <t xml:space="preserve">G6</t>
  </si>
  <si>
    <t xml:space="preserve">G6-S2</t>
  </si>
  <si>
    <t xml:space="preserve">G6-S3</t>
  </si>
  <si>
    <t xml:space="preserve">G6-S4</t>
  </si>
  <si>
    <t xml:space="preserve">G7-S1</t>
  </si>
  <si>
    <t xml:space="preserve">G7</t>
  </si>
  <si>
    <t xml:space="preserve">G7-S2</t>
  </si>
  <si>
    <t xml:space="preserve">G7-S3</t>
  </si>
  <si>
    <t xml:space="preserve">G7-S4</t>
  </si>
  <si>
    <t xml:space="preserve">G8-S1</t>
  </si>
  <si>
    <t xml:space="preserve">G8</t>
  </si>
  <si>
    <t xml:space="preserve">G8-S2</t>
  </si>
  <si>
    <t xml:space="preserve">G8-S3</t>
  </si>
  <si>
    <t xml:space="preserve">G8-S4</t>
  </si>
  <si>
    <t xml:space="preserve">G9-S1</t>
  </si>
  <si>
    <t xml:space="preserve">G9</t>
  </si>
  <si>
    <t xml:space="preserve">G9-S2</t>
  </si>
  <si>
    <t xml:space="preserve">G9-S3</t>
  </si>
  <si>
    <t xml:space="preserve">Learners</t>
  </si>
  <si>
    <t xml:space="preserve">Scored</t>
  </si>
  <si>
    <t xml:space="preserve">Average technical (/15)</t>
  </si>
  <si>
    <t xml:space="preserve">Average viva (/15)</t>
  </si>
  <si>
    <t xml:space="preserve">Average mock (/30)</t>
  </si>
  <si>
    <t xml:space="preserve">Learners scored</t>
  </si>
  <si>
    <t xml:space="preserve">Rows to fix</t>
  </si>
  <si>
    <t xml:space="preserve">Largest gap between assessors, technical</t>
  </si>
  <si>
    <t xml:space="preserve">Largest gap between assessors, viva</t>
  </si>
  <si>
    <t xml:space="preserve">Calibration</t>
  </si>
  <si>
    <t xml:space="preserve">Members</t>
  </si>
  <si>
    <t xml:space="preserve">A worked row for the format only. It feeds no total on any other sheet.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</si>
</sst>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3F0"/>
        <bgColor rgb="FFCCFFFF"/>
      </patternFill>
    </fill>
    <fill>
      <patternFill patternType="solid">
        <fgColor rgb="FFFFFF99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3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23.8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6</v>
      </c>
    </row>
    <row r="11" customFormat="false" ht="23.8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8</v>
      </c>
    </row>
    <row r="14" customFormat="false" ht="35.05" hidden="false" customHeight="false" outlineLevel="0" collapsed="false">
      <c r="A14" s="2" t="s">
        <v>9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10</v>
      </c>
    </row>
    <row r="17" customFormat="false" ht="15" hidden="false" customHeight="false" outlineLevel="0" collapsed="false">
      <c r="A17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4"/>
    <col collapsed="false" customWidth="true" hidden="false" outlineLevel="0" max="3" min="3" style="0" width="52"/>
    <col collapsed="false" customWidth="true" hidden="false" outlineLevel="0" max="4" min="4" style="0" width="24"/>
  </cols>
  <sheetData>
    <row r="1" customFormat="false" ht="15" hidden="false" customHeight="false" outlineLevel="0" collapsed="false">
      <c r="A1" s="4" t="s">
        <v>12</v>
      </c>
      <c r="B1" s="4" t="s">
        <v>13</v>
      </c>
      <c r="C1" s="4" t="s">
        <v>14</v>
      </c>
      <c r="D1" s="4" t="s">
        <v>15</v>
      </c>
    </row>
    <row r="2" customFormat="false" ht="15" hidden="false" customHeight="false" outlineLevel="0" collapsed="false">
      <c r="A2" s="5" t="s">
        <v>16</v>
      </c>
      <c r="B2" s="5" t="s">
        <v>17</v>
      </c>
      <c r="C2" s="5" t="s">
        <v>18</v>
      </c>
      <c r="D2" s="5" t="n">
        <v>8</v>
      </c>
    </row>
    <row r="3" customFormat="false" ht="15" hidden="false" customHeight="false" outlineLevel="0" collapsed="false">
      <c r="A3" s="5" t="s">
        <v>19</v>
      </c>
      <c r="B3" s="5" t="s">
        <v>17</v>
      </c>
      <c r="C3" s="5" t="s">
        <v>20</v>
      </c>
      <c r="D3" s="5" t="n">
        <v>4</v>
      </c>
    </row>
    <row r="4" customFormat="false" ht="15" hidden="false" customHeight="false" outlineLevel="0" collapsed="false">
      <c r="A4" s="5" t="s">
        <v>21</v>
      </c>
      <c r="B4" s="5" t="s">
        <v>17</v>
      </c>
      <c r="C4" s="5" t="s">
        <v>22</v>
      </c>
      <c r="D4" s="5" t="n">
        <v>3</v>
      </c>
    </row>
    <row r="5" customFormat="false" ht="15" hidden="false" customHeight="false" outlineLevel="0" collapsed="false">
      <c r="A5" s="5" t="s">
        <v>23</v>
      </c>
      <c r="B5" s="5" t="s">
        <v>24</v>
      </c>
      <c r="C5" s="5" t="s">
        <v>25</v>
      </c>
      <c r="D5" s="5" t="n">
        <v>6</v>
      </c>
    </row>
    <row r="6" customFormat="false" ht="15" hidden="false" customHeight="false" outlineLevel="0" collapsed="false">
      <c r="A6" s="5" t="s">
        <v>26</v>
      </c>
      <c r="B6" s="5" t="s">
        <v>24</v>
      </c>
      <c r="C6" s="5" t="s">
        <v>27</v>
      </c>
      <c r="D6" s="5" t="n">
        <v>6</v>
      </c>
    </row>
    <row r="7" customFormat="false" ht="15" hidden="false" customHeight="false" outlineLevel="0" collapsed="false">
      <c r="A7" s="5" t="s">
        <v>28</v>
      </c>
      <c r="B7" s="5" t="s">
        <v>24</v>
      </c>
      <c r="C7" s="5" t="s">
        <v>29</v>
      </c>
      <c r="D7" s="5" t="n">
        <v>3</v>
      </c>
    </row>
    <row r="9" customFormat="false" ht="15" hidden="false" customHeight="false" outlineLevel="0" collapsed="false">
      <c r="C9" s="6" t="s">
        <v>30</v>
      </c>
      <c r="D9" s="6" t="n">
        <f aca="false">SUMIF(B2:B7,"Technical",D2:D7)</f>
        <v>15</v>
      </c>
    </row>
    <row r="10" customFormat="false" ht="15" hidden="false" customHeight="false" outlineLevel="0" collapsed="false">
      <c r="C10" s="6" t="s">
        <v>24</v>
      </c>
      <c r="D10" s="6" t="n">
        <f aca="false">SUMIF(B2:B7,"Project viva",D2:D7)</f>
        <v>15</v>
      </c>
    </row>
    <row r="11" customFormat="false" ht="15" hidden="false" customHeight="false" outlineLevel="0" collapsed="false">
      <c r="C11" s="6" t="s">
        <v>31</v>
      </c>
      <c r="D11" s="6" t="n">
        <f aca="false">SUM(D2:D7)</f>
        <v>30</v>
      </c>
    </row>
    <row r="12" customFormat="false" ht="15" hidden="false" customHeight="false" outlineLevel="0" collapsed="false">
      <c r="C12" s="6" t="s">
        <v>32</v>
      </c>
      <c r="D12" s="6" t="str">
        <f aca="false">IF(D11=30,"yes","no: rebuild from facts.yaml")</f>
        <v>yes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18"/>
    <col collapsed="false" customWidth="true" hidden="false" outlineLevel="0" max="6" min="4" style="0" width="12"/>
    <col collapsed="false" customWidth="true" hidden="false" outlineLevel="0" max="9" min="7" style="0" width="14"/>
    <col collapsed="false" customWidth="true" hidden="false" outlineLevel="0" max="12" min="10" style="0" width="10"/>
    <col collapsed="false" customWidth="true" hidden="false" outlineLevel="0" max="13" min="13" style="0" width="30"/>
  </cols>
  <sheetData>
    <row r="1" customFormat="false" ht="60" hidden="false" customHeight="true" outlineLevel="0" collapsed="false">
      <c r="A1" s="7" t="s">
        <v>33</v>
      </c>
      <c r="B1" s="7" t="s">
        <v>34</v>
      </c>
      <c r="C1" s="7" t="s">
        <v>35</v>
      </c>
      <c r="D1" s="7" t="s">
        <v>36</v>
      </c>
      <c r="E1" s="7" t="s">
        <v>37</v>
      </c>
      <c r="F1" s="7" t="s">
        <v>38</v>
      </c>
      <c r="G1" s="7" t="s">
        <v>39</v>
      </c>
      <c r="H1" s="7" t="s">
        <v>40</v>
      </c>
      <c r="I1" s="7" t="s">
        <v>41</v>
      </c>
      <c r="J1" s="7" t="s">
        <v>42</v>
      </c>
      <c r="K1" s="7" t="s">
        <v>43</v>
      </c>
      <c r="L1" s="7" t="s">
        <v>44</v>
      </c>
      <c r="M1" s="7" t="s">
        <v>45</v>
      </c>
    </row>
    <row r="2" customFormat="false" ht="15" hidden="false" customHeight="false" outlineLevel="0" collapsed="false">
      <c r="A2" s="5" t="s">
        <v>46</v>
      </c>
      <c r="B2" s="5" t="s">
        <v>47</v>
      </c>
      <c r="C2" s="8" t="s">
        <v>48</v>
      </c>
      <c r="D2" s="8"/>
      <c r="E2" s="8"/>
      <c r="F2" s="8"/>
      <c r="G2" s="8"/>
      <c r="H2" s="8"/>
      <c r="I2" s="8"/>
      <c r="J2" s="5" t="str">
        <f aca="false">IF(COUNT(D2:F2)=0,"",SUM(D2:F2))</f>
        <v/>
      </c>
      <c r="K2" s="5" t="str">
        <f aca="false">IF(COUNT(G2:I2)=0,"",SUM(G2:I2))</f>
        <v/>
      </c>
      <c r="L2" s="6" t="str">
        <f aca="false">IF(COUNT(D2:I2)=6,SUM(D2:I2),"")</f>
        <v/>
      </c>
      <c r="M2" s="5" t="str">
        <f aca="false">IF(((D2&gt;Criteria!$D$2)+(E2&gt;Criteria!$D$3)+(F2&gt;Criteria!$D$4)+(G2&gt;Criteria!$D$5)+(H2&gt;Criteria!$D$6)+(I2&gt;Criteria!$D$7))&gt;0,"check: a mark is above its maximum",IF(COUNT(D2:I2)=0,"not scored",IF(COUNT(D2:I2)&lt;6,"incomplete","scored")))</f>
        <v>not scored</v>
      </c>
    </row>
    <row r="3" customFormat="false" ht="15" hidden="false" customHeight="false" outlineLevel="0" collapsed="false">
      <c r="A3" s="5" t="s">
        <v>49</v>
      </c>
      <c r="B3" s="5" t="s">
        <v>47</v>
      </c>
      <c r="C3" s="8" t="s">
        <v>48</v>
      </c>
      <c r="D3" s="8"/>
      <c r="E3" s="8"/>
      <c r="F3" s="8"/>
      <c r="G3" s="8"/>
      <c r="H3" s="8"/>
      <c r="I3" s="8"/>
      <c r="J3" s="5" t="str">
        <f aca="false">IF(COUNT(D3:F3)=0,"",SUM(D3:F3))</f>
        <v/>
      </c>
      <c r="K3" s="5" t="str">
        <f aca="false">IF(COUNT(G3:I3)=0,"",SUM(G3:I3))</f>
        <v/>
      </c>
      <c r="L3" s="6" t="str">
        <f aca="false">IF(COUNT(D3:I3)=6,SUM(D3:I3),"")</f>
        <v/>
      </c>
      <c r="M3" s="5" t="str">
        <f aca="false">IF(((D3&gt;Criteria!$D$2)+(E3&gt;Criteria!$D$3)+(F3&gt;Criteria!$D$4)+(G3&gt;Criteria!$D$5)+(H3&gt;Criteria!$D$6)+(I3&gt;Criteria!$D$7))&gt;0,"check: a mark is above its maximum",IF(COUNT(D3:I3)=0,"not scored",IF(COUNT(D3:I3)&lt;6,"incomplete","scored")))</f>
        <v>not scored</v>
      </c>
    </row>
    <row r="4" customFormat="false" ht="15" hidden="false" customHeight="false" outlineLevel="0" collapsed="false">
      <c r="A4" s="5" t="s">
        <v>50</v>
      </c>
      <c r="B4" s="5" t="s">
        <v>47</v>
      </c>
      <c r="C4" s="8" t="s">
        <v>48</v>
      </c>
      <c r="D4" s="8"/>
      <c r="E4" s="8"/>
      <c r="F4" s="8"/>
      <c r="G4" s="8"/>
      <c r="H4" s="8"/>
      <c r="I4" s="8"/>
      <c r="J4" s="5" t="str">
        <f aca="false">IF(COUNT(D4:F4)=0,"",SUM(D4:F4))</f>
        <v/>
      </c>
      <c r="K4" s="5" t="str">
        <f aca="false">IF(COUNT(G4:I4)=0,"",SUM(G4:I4))</f>
        <v/>
      </c>
      <c r="L4" s="6" t="str">
        <f aca="false">IF(COUNT(D4:I4)=6,SUM(D4:I4),"")</f>
        <v/>
      </c>
      <c r="M4" s="5" t="str">
        <f aca="false">IF(((D4&gt;Criteria!$D$2)+(E4&gt;Criteria!$D$3)+(F4&gt;Criteria!$D$4)+(G4&gt;Criteria!$D$5)+(H4&gt;Criteria!$D$6)+(I4&gt;Criteria!$D$7))&gt;0,"check: a mark is above its maximum",IF(COUNT(D4:I4)=0,"not scored",IF(COUNT(D4:I4)&lt;6,"incomplete","scored")))</f>
        <v>not scored</v>
      </c>
    </row>
    <row r="5" customFormat="false" ht="15" hidden="false" customHeight="false" outlineLevel="0" collapsed="false">
      <c r="A5" s="5" t="s">
        <v>51</v>
      </c>
      <c r="B5" s="5" t="s">
        <v>47</v>
      </c>
      <c r="C5" s="8" t="s">
        <v>48</v>
      </c>
      <c r="D5" s="8"/>
      <c r="E5" s="8"/>
      <c r="F5" s="8"/>
      <c r="G5" s="8"/>
      <c r="H5" s="8"/>
      <c r="I5" s="8"/>
      <c r="J5" s="5" t="str">
        <f aca="false">IF(COUNT(D5:F5)=0,"",SUM(D5:F5))</f>
        <v/>
      </c>
      <c r="K5" s="5" t="str">
        <f aca="false">IF(COUNT(G5:I5)=0,"",SUM(G5:I5))</f>
        <v/>
      </c>
      <c r="L5" s="6" t="str">
        <f aca="false">IF(COUNT(D5:I5)=6,SUM(D5:I5),"")</f>
        <v/>
      </c>
      <c r="M5" s="5" t="str">
        <f aca="false">IF(((D5&gt;Criteria!$D$2)+(E5&gt;Criteria!$D$3)+(F5&gt;Criteria!$D$4)+(G5&gt;Criteria!$D$5)+(H5&gt;Criteria!$D$6)+(I5&gt;Criteria!$D$7))&gt;0,"check: a mark is above its maximum",IF(COUNT(D5:I5)=0,"not scored",IF(COUNT(D5:I5)&lt;6,"incomplete","scored")))</f>
        <v>not scored</v>
      </c>
    </row>
    <row r="6" customFormat="false" ht="15" hidden="false" customHeight="false" outlineLevel="0" collapsed="false">
      <c r="A6" s="5" t="s">
        <v>52</v>
      </c>
      <c r="B6" s="5" t="s">
        <v>53</v>
      </c>
      <c r="C6" s="8" t="s">
        <v>54</v>
      </c>
      <c r="D6" s="8"/>
      <c r="E6" s="8"/>
      <c r="F6" s="8"/>
      <c r="G6" s="8"/>
      <c r="H6" s="8"/>
      <c r="I6" s="8"/>
      <c r="J6" s="5" t="str">
        <f aca="false">IF(COUNT(D6:F6)=0,"",SUM(D6:F6))</f>
        <v/>
      </c>
      <c r="K6" s="5" t="str">
        <f aca="false">IF(COUNT(G6:I6)=0,"",SUM(G6:I6))</f>
        <v/>
      </c>
      <c r="L6" s="6" t="str">
        <f aca="false">IF(COUNT(D6:I6)=6,SUM(D6:I6),"")</f>
        <v/>
      </c>
      <c r="M6" s="5" t="str">
        <f aca="false">IF(((D6&gt;Criteria!$D$2)+(E6&gt;Criteria!$D$3)+(F6&gt;Criteria!$D$4)+(G6&gt;Criteria!$D$5)+(H6&gt;Criteria!$D$6)+(I6&gt;Criteria!$D$7))&gt;0,"check: a mark is above its maximum",IF(COUNT(D6:I6)=0,"not scored",IF(COUNT(D6:I6)&lt;6,"incomplete","scored")))</f>
        <v>not scored</v>
      </c>
    </row>
    <row r="7" customFormat="false" ht="15" hidden="false" customHeight="false" outlineLevel="0" collapsed="false">
      <c r="A7" s="5" t="s">
        <v>55</v>
      </c>
      <c r="B7" s="5" t="s">
        <v>53</v>
      </c>
      <c r="C7" s="8" t="s">
        <v>54</v>
      </c>
      <c r="D7" s="8"/>
      <c r="E7" s="8"/>
      <c r="F7" s="8"/>
      <c r="G7" s="8"/>
      <c r="H7" s="8"/>
      <c r="I7" s="8"/>
      <c r="J7" s="5" t="str">
        <f aca="false">IF(COUNT(D7:F7)=0,"",SUM(D7:F7))</f>
        <v/>
      </c>
      <c r="K7" s="5" t="str">
        <f aca="false">IF(COUNT(G7:I7)=0,"",SUM(G7:I7))</f>
        <v/>
      </c>
      <c r="L7" s="6" t="str">
        <f aca="false">IF(COUNT(D7:I7)=6,SUM(D7:I7),"")</f>
        <v/>
      </c>
      <c r="M7" s="5" t="str">
        <f aca="false">IF(((D7&gt;Criteria!$D$2)+(E7&gt;Criteria!$D$3)+(F7&gt;Criteria!$D$4)+(G7&gt;Criteria!$D$5)+(H7&gt;Criteria!$D$6)+(I7&gt;Criteria!$D$7))&gt;0,"check: a mark is above its maximum",IF(COUNT(D7:I7)=0,"not scored",IF(COUNT(D7:I7)&lt;6,"incomplete","scored")))</f>
        <v>not scored</v>
      </c>
    </row>
    <row r="8" customFormat="false" ht="15" hidden="false" customHeight="false" outlineLevel="0" collapsed="false">
      <c r="A8" s="5" t="s">
        <v>56</v>
      </c>
      <c r="B8" s="5" t="s">
        <v>53</v>
      </c>
      <c r="C8" s="8" t="s">
        <v>54</v>
      </c>
      <c r="D8" s="8"/>
      <c r="E8" s="8"/>
      <c r="F8" s="8"/>
      <c r="G8" s="8"/>
      <c r="H8" s="8"/>
      <c r="I8" s="8"/>
      <c r="J8" s="5" t="str">
        <f aca="false">IF(COUNT(D8:F8)=0,"",SUM(D8:F8))</f>
        <v/>
      </c>
      <c r="K8" s="5" t="str">
        <f aca="false">IF(COUNT(G8:I8)=0,"",SUM(G8:I8))</f>
        <v/>
      </c>
      <c r="L8" s="6" t="str">
        <f aca="false">IF(COUNT(D8:I8)=6,SUM(D8:I8),"")</f>
        <v/>
      </c>
      <c r="M8" s="5" t="str">
        <f aca="false">IF(((D8&gt;Criteria!$D$2)+(E8&gt;Criteria!$D$3)+(F8&gt;Criteria!$D$4)+(G8&gt;Criteria!$D$5)+(H8&gt;Criteria!$D$6)+(I8&gt;Criteria!$D$7))&gt;0,"check: a mark is above its maximum",IF(COUNT(D8:I8)=0,"not scored",IF(COUNT(D8:I8)&lt;6,"incomplete","scored")))</f>
        <v>not scored</v>
      </c>
    </row>
    <row r="9" customFormat="false" ht="15" hidden="false" customHeight="false" outlineLevel="0" collapsed="false">
      <c r="A9" s="5" t="s">
        <v>57</v>
      </c>
      <c r="B9" s="5" t="s">
        <v>53</v>
      </c>
      <c r="C9" s="8" t="s">
        <v>54</v>
      </c>
      <c r="D9" s="8"/>
      <c r="E9" s="8"/>
      <c r="F9" s="8"/>
      <c r="G9" s="8"/>
      <c r="H9" s="8"/>
      <c r="I9" s="8"/>
      <c r="J9" s="5" t="str">
        <f aca="false">IF(COUNT(D9:F9)=0,"",SUM(D9:F9))</f>
        <v/>
      </c>
      <c r="K9" s="5" t="str">
        <f aca="false">IF(COUNT(G9:I9)=0,"",SUM(G9:I9))</f>
        <v/>
      </c>
      <c r="L9" s="6" t="str">
        <f aca="false">IF(COUNT(D9:I9)=6,SUM(D9:I9),"")</f>
        <v/>
      </c>
      <c r="M9" s="5" t="str">
        <f aca="false">IF(((D9&gt;Criteria!$D$2)+(E9&gt;Criteria!$D$3)+(F9&gt;Criteria!$D$4)+(G9&gt;Criteria!$D$5)+(H9&gt;Criteria!$D$6)+(I9&gt;Criteria!$D$7))&gt;0,"check: a mark is above its maximum",IF(COUNT(D9:I9)=0,"not scored",IF(COUNT(D9:I9)&lt;6,"incomplete","scored")))</f>
        <v>not scored</v>
      </c>
    </row>
    <row r="10" customFormat="false" ht="15" hidden="false" customHeight="false" outlineLevel="0" collapsed="false">
      <c r="A10" s="5" t="s">
        <v>58</v>
      </c>
      <c r="B10" s="5" t="s">
        <v>59</v>
      </c>
      <c r="C10" s="8" t="s">
        <v>60</v>
      </c>
      <c r="D10" s="8"/>
      <c r="E10" s="8"/>
      <c r="F10" s="8"/>
      <c r="G10" s="8"/>
      <c r="H10" s="8"/>
      <c r="I10" s="8"/>
      <c r="J10" s="5" t="str">
        <f aca="false">IF(COUNT(D10:F10)=0,"",SUM(D10:F10))</f>
        <v/>
      </c>
      <c r="K10" s="5" t="str">
        <f aca="false">IF(COUNT(G10:I10)=0,"",SUM(G10:I10))</f>
        <v/>
      </c>
      <c r="L10" s="6" t="str">
        <f aca="false">IF(COUNT(D10:I10)=6,SUM(D10:I10),"")</f>
        <v/>
      </c>
      <c r="M10" s="5" t="str">
        <f aca="false">IF(((D10&gt;Criteria!$D$2)+(E10&gt;Criteria!$D$3)+(F10&gt;Criteria!$D$4)+(G10&gt;Criteria!$D$5)+(H10&gt;Criteria!$D$6)+(I10&gt;Criteria!$D$7))&gt;0,"check: a mark is above its maximum",IF(COUNT(D10:I10)=0,"not scored",IF(COUNT(D10:I10)&lt;6,"incomplete","scored")))</f>
        <v>not scored</v>
      </c>
    </row>
    <row r="11" customFormat="false" ht="15" hidden="false" customHeight="false" outlineLevel="0" collapsed="false">
      <c r="A11" s="5" t="s">
        <v>61</v>
      </c>
      <c r="B11" s="5" t="s">
        <v>59</v>
      </c>
      <c r="C11" s="8" t="s">
        <v>60</v>
      </c>
      <c r="D11" s="8"/>
      <c r="E11" s="8"/>
      <c r="F11" s="8"/>
      <c r="G11" s="8"/>
      <c r="H11" s="8"/>
      <c r="I11" s="8"/>
      <c r="J11" s="5" t="str">
        <f aca="false">IF(COUNT(D11:F11)=0,"",SUM(D11:F11))</f>
        <v/>
      </c>
      <c r="K11" s="5" t="str">
        <f aca="false">IF(COUNT(G11:I11)=0,"",SUM(G11:I11))</f>
        <v/>
      </c>
      <c r="L11" s="6" t="str">
        <f aca="false">IF(COUNT(D11:I11)=6,SUM(D11:I11),"")</f>
        <v/>
      </c>
      <c r="M11" s="5" t="str">
        <f aca="false">IF(((D11&gt;Criteria!$D$2)+(E11&gt;Criteria!$D$3)+(F11&gt;Criteria!$D$4)+(G11&gt;Criteria!$D$5)+(H11&gt;Criteria!$D$6)+(I11&gt;Criteria!$D$7))&gt;0,"check: a mark is above its maximum",IF(COUNT(D11:I11)=0,"not scored",IF(COUNT(D11:I11)&lt;6,"incomplete","scored")))</f>
        <v>not scored</v>
      </c>
    </row>
    <row r="12" customFormat="false" ht="15" hidden="false" customHeight="false" outlineLevel="0" collapsed="false">
      <c r="A12" s="5" t="s">
        <v>62</v>
      </c>
      <c r="B12" s="5" t="s">
        <v>59</v>
      </c>
      <c r="C12" s="8" t="s">
        <v>60</v>
      </c>
      <c r="D12" s="8"/>
      <c r="E12" s="8"/>
      <c r="F12" s="8"/>
      <c r="G12" s="8"/>
      <c r="H12" s="8"/>
      <c r="I12" s="8"/>
      <c r="J12" s="5" t="str">
        <f aca="false">IF(COUNT(D12:F12)=0,"",SUM(D12:F12))</f>
        <v/>
      </c>
      <c r="K12" s="5" t="str">
        <f aca="false">IF(COUNT(G12:I12)=0,"",SUM(G12:I12))</f>
        <v/>
      </c>
      <c r="L12" s="6" t="str">
        <f aca="false">IF(COUNT(D12:I12)=6,SUM(D12:I12),"")</f>
        <v/>
      </c>
      <c r="M12" s="5" t="str">
        <f aca="false">IF(((D12&gt;Criteria!$D$2)+(E12&gt;Criteria!$D$3)+(F12&gt;Criteria!$D$4)+(G12&gt;Criteria!$D$5)+(H12&gt;Criteria!$D$6)+(I12&gt;Criteria!$D$7))&gt;0,"check: a mark is above its maximum",IF(COUNT(D12:I12)=0,"not scored",IF(COUNT(D12:I12)&lt;6,"incomplete","scored")))</f>
        <v>not scored</v>
      </c>
    </row>
    <row r="13" customFormat="false" ht="15" hidden="false" customHeight="false" outlineLevel="0" collapsed="false">
      <c r="A13" s="5" t="s">
        <v>63</v>
      </c>
      <c r="B13" s="5" t="s">
        <v>59</v>
      </c>
      <c r="C13" s="8" t="s">
        <v>60</v>
      </c>
      <c r="D13" s="8"/>
      <c r="E13" s="8"/>
      <c r="F13" s="8"/>
      <c r="G13" s="8"/>
      <c r="H13" s="8"/>
      <c r="I13" s="8"/>
      <c r="J13" s="5" t="str">
        <f aca="false">IF(COUNT(D13:F13)=0,"",SUM(D13:F13))</f>
        <v/>
      </c>
      <c r="K13" s="5" t="str">
        <f aca="false">IF(COUNT(G13:I13)=0,"",SUM(G13:I13))</f>
        <v/>
      </c>
      <c r="L13" s="6" t="str">
        <f aca="false">IF(COUNT(D13:I13)=6,SUM(D13:I13),"")</f>
        <v/>
      </c>
      <c r="M13" s="5" t="str">
        <f aca="false">IF(((D13&gt;Criteria!$D$2)+(E13&gt;Criteria!$D$3)+(F13&gt;Criteria!$D$4)+(G13&gt;Criteria!$D$5)+(H13&gt;Criteria!$D$6)+(I13&gt;Criteria!$D$7))&gt;0,"check: a mark is above its maximum",IF(COUNT(D13:I13)=0,"not scored",IF(COUNT(D13:I13)&lt;6,"incomplete","scored")))</f>
        <v>not scored</v>
      </c>
    </row>
    <row r="14" customFormat="false" ht="15" hidden="false" customHeight="false" outlineLevel="0" collapsed="false">
      <c r="A14" s="5" t="s">
        <v>64</v>
      </c>
      <c r="B14" s="5" t="s">
        <v>65</v>
      </c>
      <c r="C14" s="8" t="s">
        <v>48</v>
      </c>
      <c r="D14" s="8"/>
      <c r="E14" s="8"/>
      <c r="F14" s="8"/>
      <c r="G14" s="8"/>
      <c r="H14" s="8"/>
      <c r="I14" s="8"/>
      <c r="J14" s="5" t="str">
        <f aca="false">IF(COUNT(D14:F14)=0,"",SUM(D14:F14))</f>
        <v/>
      </c>
      <c r="K14" s="5" t="str">
        <f aca="false">IF(COUNT(G14:I14)=0,"",SUM(G14:I14))</f>
        <v/>
      </c>
      <c r="L14" s="6" t="str">
        <f aca="false">IF(COUNT(D14:I14)=6,SUM(D14:I14),"")</f>
        <v/>
      </c>
      <c r="M14" s="5" t="str">
        <f aca="false">IF(((D14&gt;Criteria!$D$2)+(E14&gt;Criteria!$D$3)+(F14&gt;Criteria!$D$4)+(G14&gt;Criteria!$D$5)+(H14&gt;Criteria!$D$6)+(I14&gt;Criteria!$D$7))&gt;0,"check: a mark is above its maximum",IF(COUNT(D14:I14)=0,"not scored",IF(COUNT(D14:I14)&lt;6,"incomplete","scored")))</f>
        <v>not scored</v>
      </c>
    </row>
    <row r="15" customFormat="false" ht="15" hidden="false" customHeight="false" outlineLevel="0" collapsed="false">
      <c r="A15" s="5" t="s">
        <v>66</v>
      </c>
      <c r="B15" s="5" t="s">
        <v>65</v>
      </c>
      <c r="C15" s="8" t="s">
        <v>48</v>
      </c>
      <c r="D15" s="8"/>
      <c r="E15" s="8"/>
      <c r="F15" s="8"/>
      <c r="G15" s="8"/>
      <c r="H15" s="8"/>
      <c r="I15" s="8"/>
      <c r="J15" s="5" t="str">
        <f aca="false">IF(COUNT(D15:F15)=0,"",SUM(D15:F15))</f>
        <v/>
      </c>
      <c r="K15" s="5" t="str">
        <f aca="false">IF(COUNT(G15:I15)=0,"",SUM(G15:I15))</f>
        <v/>
      </c>
      <c r="L15" s="6" t="str">
        <f aca="false">IF(COUNT(D15:I15)=6,SUM(D15:I15),"")</f>
        <v/>
      </c>
      <c r="M15" s="5" t="str">
        <f aca="false">IF(((D15&gt;Criteria!$D$2)+(E15&gt;Criteria!$D$3)+(F15&gt;Criteria!$D$4)+(G15&gt;Criteria!$D$5)+(H15&gt;Criteria!$D$6)+(I15&gt;Criteria!$D$7))&gt;0,"check: a mark is above its maximum",IF(COUNT(D15:I15)=0,"not scored",IF(COUNT(D15:I15)&lt;6,"incomplete","scored")))</f>
        <v>not scored</v>
      </c>
    </row>
    <row r="16" customFormat="false" ht="15" hidden="false" customHeight="false" outlineLevel="0" collapsed="false">
      <c r="A16" s="5" t="s">
        <v>67</v>
      </c>
      <c r="B16" s="5" t="s">
        <v>65</v>
      </c>
      <c r="C16" s="8" t="s">
        <v>48</v>
      </c>
      <c r="D16" s="8"/>
      <c r="E16" s="8"/>
      <c r="F16" s="8"/>
      <c r="G16" s="8"/>
      <c r="H16" s="8"/>
      <c r="I16" s="8"/>
      <c r="J16" s="5" t="str">
        <f aca="false">IF(COUNT(D16:F16)=0,"",SUM(D16:F16))</f>
        <v/>
      </c>
      <c r="K16" s="5" t="str">
        <f aca="false">IF(COUNT(G16:I16)=0,"",SUM(G16:I16))</f>
        <v/>
      </c>
      <c r="L16" s="6" t="str">
        <f aca="false">IF(COUNT(D16:I16)=6,SUM(D16:I16),"")</f>
        <v/>
      </c>
      <c r="M16" s="5" t="str">
        <f aca="false">IF(((D16&gt;Criteria!$D$2)+(E16&gt;Criteria!$D$3)+(F16&gt;Criteria!$D$4)+(G16&gt;Criteria!$D$5)+(H16&gt;Criteria!$D$6)+(I16&gt;Criteria!$D$7))&gt;0,"check: a mark is above its maximum",IF(COUNT(D16:I16)=0,"not scored",IF(COUNT(D16:I16)&lt;6,"incomplete","scored")))</f>
        <v>not scored</v>
      </c>
    </row>
    <row r="17" customFormat="false" ht="15" hidden="false" customHeight="false" outlineLevel="0" collapsed="false">
      <c r="A17" s="5" t="s">
        <v>68</v>
      </c>
      <c r="B17" s="5" t="s">
        <v>65</v>
      </c>
      <c r="C17" s="8" t="s">
        <v>48</v>
      </c>
      <c r="D17" s="8"/>
      <c r="E17" s="8"/>
      <c r="F17" s="8"/>
      <c r="G17" s="8"/>
      <c r="H17" s="8"/>
      <c r="I17" s="8"/>
      <c r="J17" s="5" t="str">
        <f aca="false">IF(COUNT(D17:F17)=0,"",SUM(D17:F17))</f>
        <v/>
      </c>
      <c r="K17" s="5" t="str">
        <f aca="false">IF(COUNT(G17:I17)=0,"",SUM(G17:I17))</f>
        <v/>
      </c>
      <c r="L17" s="6" t="str">
        <f aca="false">IF(COUNT(D17:I17)=6,SUM(D17:I17),"")</f>
        <v/>
      </c>
      <c r="M17" s="5" t="str">
        <f aca="false">IF(((D17&gt;Criteria!$D$2)+(E17&gt;Criteria!$D$3)+(F17&gt;Criteria!$D$4)+(G17&gt;Criteria!$D$5)+(H17&gt;Criteria!$D$6)+(I17&gt;Criteria!$D$7))&gt;0,"check: a mark is above its maximum",IF(COUNT(D17:I17)=0,"not scored",IF(COUNT(D17:I17)&lt;6,"incomplete","scored")))</f>
        <v>not scored</v>
      </c>
    </row>
    <row r="18" customFormat="false" ht="15" hidden="false" customHeight="false" outlineLevel="0" collapsed="false">
      <c r="A18" s="5" t="s">
        <v>69</v>
      </c>
      <c r="B18" s="5" t="s">
        <v>70</v>
      </c>
      <c r="C18" s="8" t="s">
        <v>54</v>
      </c>
      <c r="D18" s="8"/>
      <c r="E18" s="8"/>
      <c r="F18" s="8"/>
      <c r="G18" s="8"/>
      <c r="H18" s="8"/>
      <c r="I18" s="8"/>
      <c r="J18" s="5" t="str">
        <f aca="false">IF(COUNT(D18:F18)=0,"",SUM(D18:F18))</f>
        <v/>
      </c>
      <c r="K18" s="5" t="str">
        <f aca="false">IF(COUNT(G18:I18)=0,"",SUM(G18:I18))</f>
        <v/>
      </c>
      <c r="L18" s="6" t="str">
        <f aca="false">IF(COUNT(D18:I18)=6,SUM(D18:I18),"")</f>
        <v/>
      </c>
      <c r="M18" s="5" t="str">
        <f aca="false">IF(((D18&gt;Criteria!$D$2)+(E18&gt;Criteria!$D$3)+(F18&gt;Criteria!$D$4)+(G18&gt;Criteria!$D$5)+(H18&gt;Criteria!$D$6)+(I18&gt;Criteria!$D$7))&gt;0,"check: a mark is above its maximum",IF(COUNT(D18:I18)=0,"not scored",IF(COUNT(D18:I18)&lt;6,"incomplete","scored")))</f>
        <v>not scored</v>
      </c>
    </row>
    <row r="19" customFormat="false" ht="15" hidden="false" customHeight="false" outlineLevel="0" collapsed="false">
      <c r="A19" s="5" t="s">
        <v>71</v>
      </c>
      <c r="B19" s="5" t="s">
        <v>70</v>
      </c>
      <c r="C19" s="8" t="s">
        <v>54</v>
      </c>
      <c r="D19" s="8"/>
      <c r="E19" s="8"/>
      <c r="F19" s="8"/>
      <c r="G19" s="8"/>
      <c r="H19" s="8"/>
      <c r="I19" s="8"/>
      <c r="J19" s="5" t="str">
        <f aca="false">IF(COUNT(D19:F19)=0,"",SUM(D19:F19))</f>
        <v/>
      </c>
      <c r="K19" s="5" t="str">
        <f aca="false">IF(COUNT(G19:I19)=0,"",SUM(G19:I19))</f>
        <v/>
      </c>
      <c r="L19" s="6" t="str">
        <f aca="false">IF(COUNT(D19:I19)=6,SUM(D19:I19),"")</f>
        <v/>
      </c>
      <c r="M19" s="5" t="str">
        <f aca="false">IF(((D19&gt;Criteria!$D$2)+(E19&gt;Criteria!$D$3)+(F19&gt;Criteria!$D$4)+(G19&gt;Criteria!$D$5)+(H19&gt;Criteria!$D$6)+(I19&gt;Criteria!$D$7))&gt;0,"check: a mark is above its maximum",IF(COUNT(D19:I19)=0,"not scored",IF(COUNT(D19:I19)&lt;6,"incomplete","scored")))</f>
        <v>not scored</v>
      </c>
    </row>
    <row r="20" customFormat="false" ht="15" hidden="false" customHeight="false" outlineLevel="0" collapsed="false">
      <c r="A20" s="5" t="s">
        <v>72</v>
      </c>
      <c r="B20" s="5" t="s">
        <v>70</v>
      </c>
      <c r="C20" s="8" t="s">
        <v>54</v>
      </c>
      <c r="D20" s="8"/>
      <c r="E20" s="8"/>
      <c r="F20" s="8"/>
      <c r="G20" s="8"/>
      <c r="H20" s="8"/>
      <c r="I20" s="8"/>
      <c r="J20" s="5" t="str">
        <f aca="false">IF(COUNT(D20:F20)=0,"",SUM(D20:F20))</f>
        <v/>
      </c>
      <c r="K20" s="5" t="str">
        <f aca="false">IF(COUNT(G20:I20)=0,"",SUM(G20:I20))</f>
        <v/>
      </c>
      <c r="L20" s="6" t="str">
        <f aca="false">IF(COUNT(D20:I20)=6,SUM(D20:I20),"")</f>
        <v/>
      </c>
      <c r="M20" s="5" t="str">
        <f aca="false">IF(((D20&gt;Criteria!$D$2)+(E20&gt;Criteria!$D$3)+(F20&gt;Criteria!$D$4)+(G20&gt;Criteria!$D$5)+(H20&gt;Criteria!$D$6)+(I20&gt;Criteria!$D$7))&gt;0,"check: a mark is above its maximum",IF(COUNT(D20:I20)=0,"not scored",IF(COUNT(D20:I20)&lt;6,"incomplete","scored")))</f>
        <v>not scored</v>
      </c>
    </row>
    <row r="21" customFormat="false" ht="15" hidden="false" customHeight="false" outlineLevel="0" collapsed="false">
      <c r="A21" s="5" t="s">
        <v>73</v>
      </c>
      <c r="B21" s="5" t="s">
        <v>70</v>
      </c>
      <c r="C21" s="8" t="s">
        <v>54</v>
      </c>
      <c r="D21" s="8"/>
      <c r="E21" s="8"/>
      <c r="F21" s="8"/>
      <c r="G21" s="8"/>
      <c r="H21" s="8"/>
      <c r="I21" s="8"/>
      <c r="J21" s="5" t="str">
        <f aca="false">IF(COUNT(D21:F21)=0,"",SUM(D21:F21))</f>
        <v/>
      </c>
      <c r="K21" s="5" t="str">
        <f aca="false">IF(COUNT(G21:I21)=0,"",SUM(G21:I21))</f>
        <v/>
      </c>
      <c r="L21" s="6" t="str">
        <f aca="false">IF(COUNT(D21:I21)=6,SUM(D21:I21),"")</f>
        <v/>
      </c>
      <c r="M21" s="5" t="str">
        <f aca="false">IF(((D21&gt;Criteria!$D$2)+(E21&gt;Criteria!$D$3)+(F21&gt;Criteria!$D$4)+(G21&gt;Criteria!$D$5)+(H21&gt;Criteria!$D$6)+(I21&gt;Criteria!$D$7))&gt;0,"check: a mark is above its maximum",IF(COUNT(D21:I21)=0,"not scored",IF(COUNT(D21:I21)&lt;6,"incomplete","scored")))</f>
        <v>not scored</v>
      </c>
    </row>
    <row r="22" customFormat="false" ht="15" hidden="false" customHeight="false" outlineLevel="0" collapsed="false">
      <c r="A22" s="5" t="s">
        <v>74</v>
      </c>
      <c r="B22" s="5" t="s">
        <v>75</v>
      </c>
      <c r="C22" s="8" t="s">
        <v>60</v>
      </c>
      <c r="D22" s="8"/>
      <c r="E22" s="8"/>
      <c r="F22" s="8"/>
      <c r="G22" s="8"/>
      <c r="H22" s="8"/>
      <c r="I22" s="8"/>
      <c r="J22" s="5" t="str">
        <f aca="false">IF(COUNT(D22:F22)=0,"",SUM(D22:F22))</f>
        <v/>
      </c>
      <c r="K22" s="5" t="str">
        <f aca="false">IF(COUNT(G22:I22)=0,"",SUM(G22:I22))</f>
        <v/>
      </c>
      <c r="L22" s="6" t="str">
        <f aca="false">IF(COUNT(D22:I22)=6,SUM(D22:I22),"")</f>
        <v/>
      </c>
      <c r="M22" s="5" t="str">
        <f aca="false">IF(((D22&gt;Criteria!$D$2)+(E22&gt;Criteria!$D$3)+(F22&gt;Criteria!$D$4)+(G22&gt;Criteria!$D$5)+(H22&gt;Criteria!$D$6)+(I22&gt;Criteria!$D$7))&gt;0,"check: a mark is above its maximum",IF(COUNT(D22:I22)=0,"not scored",IF(COUNT(D22:I22)&lt;6,"incomplete","scored")))</f>
        <v>not scored</v>
      </c>
    </row>
    <row r="23" customFormat="false" ht="15" hidden="false" customHeight="false" outlineLevel="0" collapsed="false">
      <c r="A23" s="5" t="s">
        <v>76</v>
      </c>
      <c r="B23" s="5" t="s">
        <v>75</v>
      </c>
      <c r="C23" s="8" t="s">
        <v>60</v>
      </c>
      <c r="D23" s="8"/>
      <c r="E23" s="8"/>
      <c r="F23" s="8"/>
      <c r="G23" s="8"/>
      <c r="H23" s="8"/>
      <c r="I23" s="8"/>
      <c r="J23" s="5" t="str">
        <f aca="false">IF(COUNT(D23:F23)=0,"",SUM(D23:F23))</f>
        <v/>
      </c>
      <c r="K23" s="5" t="str">
        <f aca="false">IF(COUNT(G23:I23)=0,"",SUM(G23:I23))</f>
        <v/>
      </c>
      <c r="L23" s="6" t="str">
        <f aca="false">IF(COUNT(D23:I23)=6,SUM(D23:I23),"")</f>
        <v/>
      </c>
      <c r="M23" s="5" t="str">
        <f aca="false">IF(((D23&gt;Criteria!$D$2)+(E23&gt;Criteria!$D$3)+(F23&gt;Criteria!$D$4)+(G23&gt;Criteria!$D$5)+(H23&gt;Criteria!$D$6)+(I23&gt;Criteria!$D$7))&gt;0,"check: a mark is above its maximum",IF(COUNT(D23:I23)=0,"not scored",IF(COUNT(D23:I23)&lt;6,"incomplete","scored")))</f>
        <v>not scored</v>
      </c>
    </row>
    <row r="24" customFormat="false" ht="15" hidden="false" customHeight="false" outlineLevel="0" collapsed="false">
      <c r="A24" s="5" t="s">
        <v>77</v>
      </c>
      <c r="B24" s="5" t="s">
        <v>75</v>
      </c>
      <c r="C24" s="8" t="s">
        <v>60</v>
      </c>
      <c r="D24" s="8"/>
      <c r="E24" s="8"/>
      <c r="F24" s="8"/>
      <c r="G24" s="8"/>
      <c r="H24" s="8"/>
      <c r="I24" s="8"/>
      <c r="J24" s="5" t="str">
        <f aca="false">IF(COUNT(D24:F24)=0,"",SUM(D24:F24))</f>
        <v/>
      </c>
      <c r="K24" s="5" t="str">
        <f aca="false">IF(COUNT(G24:I24)=0,"",SUM(G24:I24))</f>
        <v/>
      </c>
      <c r="L24" s="6" t="str">
        <f aca="false">IF(COUNT(D24:I24)=6,SUM(D24:I24),"")</f>
        <v/>
      </c>
      <c r="M24" s="5" t="str">
        <f aca="false">IF(((D24&gt;Criteria!$D$2)+(E24&gt;Criteria!$D$3)+(F24&gt;Criteria!$D$4)+(G24&gt;Criteria!$D$5)+(H24&gt;Criteria!$D$6)+(I24&gt;Criteria!$D$7))&gt;0,"check: a mark is above its maximum",IF(COUNT(D24:I24)=0,"not scored",IF(COUNT(D24:I24)&lt;6,"incomplete","scored")))</f>
        <v>not scored</v>
      </c>
    </row>
    <row r="25" customFormat="false" ht="15" hidden="false" customHeight="false" outlineLevel="0" collapsed="false">
      <c r="A25" s="5" t="s">
        <v>78</v>
      </c>
      <c r="B25" s="5" t="s">
        <v>75</v>
      </c>
      <c r="C25" s="8" t="s">
        <v>60</v>
      </c>
      <c r="D25" s="8"/>
      <c r="E25" s="8"/>
      <c r="F25" s="8"/>
      <c r="G25" s="8"/>
      <c r="H25" s="8"/>
      <c r="I25" s="8"/>
      <c r="J25" s="5" t="str">
        <f aca="false">IF(COUNT(D25:F25)=0,"",SUM(D25:F25))</f>
        <v/>
      </c>
      <c r="K25" s="5" t="str">
        <f aca="false">IF(COUNT(G25:I25)=0,"",SUM(G25:I25))</f>
        <v/>
      </c>
      <c r="L25" s="6" t="str">
        <f aca="false">IF(COUNT(D25:I25)=6,SUM(D25:I25),"")</f>
        <v/>
      </c>
      <c r="M25" s="5" t="str">
        <f aca="false">IF(((D25&gt;Criteria!$D$2)+(E25&gt;Criteria!$D$3)+(F25&gt;Criteria!$D$4)+(G25&gt;Criteria!$D$5)+(H25&gt;Criteria!$D$6)+(I25&gt;Criteria!$D$7))&gt;0,"check: a mark is above its maximum",IF(COUNT(D25:I25)=0,"not scored",IF(COUNT(D25:I25)&lt;6,"incomplete","scored")))</f>
        <v>not scored</v>
      </c>
    </row>
    <row r="26" customFormat="false" ht="15" hidden="false" customHeight="false" outlineLevel="0" collapsed="false">
      <c r="A26" s="5" t="s">
        <v>79</v>
      </c>
      <c r="B26" s="5" t="s">
        <v>80</v>
      </c>
      <c r="C26" s="8" t="s">
        <v>48</v>
      </c>
      <c r="D26" s="8"/>
      <c r="E26" s="8"/>
      <c r="F26" s="8"/>
      <c r="G26" s="8"/>
      <c r="H26" s="8"/>
      <c r="I26" s="8"/>
      <c r="J26" s="5" t="str">
        <f aca="false">IF(COUNT(D26:F26)=0,"",SUM(D26:F26))</f>
        <v/>
      </c>
      <c r="K26" s="5" t="str">
        <f aca="false">IF(COUNT(G26:I26)=0,"",SUM(G26:I26))</f>
        <v/>
      </c>
      <c r="L26" s="6" t="str">
        <f aca="false">IF(COUNT(D26:I26)=6,SUM(D26:I26),"")</f>
        <v/>
      </c>
      <c r="M26" s="5" t="str">
        <f aca="false">IF(((D26&gt;Criteria!$D$2)+(E26&gt;Criteria!$D$3)+(F26&gt;Criteria!$D$4)+(G26&gt;Criteria!$D$5)+(H26&gt;Criteria!$D$6)+(I26&gt;Criteria!$D$7))&gt;0,"check: a mark is above its maximum",IF(COUNT(D26:I26)=0,"not scored",IF(COUNT(D26:I26)&lt;6,"incomplete","scored")))</f>
        <v>not scored</v>
      </c>
    </row>
    <row r="27" customFormat="false" ht="15" hidden="false" customHeight="false" outlineLevel="0" collapsed="false">
      <c r="A27" s="5" t="s">
        <v>81</v>
      </c>
      <c r="B27" s="5" t="s">
        <v>80</v>
      </c>
      <c r="C27" s="8" t="s">
        <v>48</v>
      </c>
      <c r="D27" s="8"/>
      <c r="E27" s="8"/>
      <c r="F27" s="8"/>
      <c r="G27" s="8"/>
      <c r="H27" s="8"/>
      <c r="I27" s="8"/>
      <c r="J27" s="5" t="str">
        <f aca="false">IF(COUNT(D27:F27)=0,"",SUM(D27:F27))</f>
        <v/>
      </c>
      <c r="K27" s="5" t="str">
        <f aca="false">IF(COUNT(G27:I27)=0,"",SUM(G27:I27))</f>
        <v/>
      </c>
      <c r="L27" s="6" t="str">
        <f aca="false">IF(COUNT(D27:I27)=6,SUM(D27:I27),"")</f>
        <v/>
      </c>
      <c r="M27" s="5" t="str">
        <f aca="false">IF(((D27&gt;Criteria!$D$2)+(E27&gt;Criteria!$D$3)+(F27&gt;Criteria!$D$4)+(G27&gt;Criteria!$D$5)+(H27&gt;Criteria!$D$6)+(I27&gt;Criteria!$D$7))&gt;0,"check: a mark is above its maximum",IF(COUNT(D27:I27)=0,"not scored",IF(COUNT(D27:I27)&lt;6,"incomplete","scored")))</f>
        <v>not scored</v>
      </c>
    </row>
    <row r="28" customFormat="false" ht="15" hidden="false" customHeight="false" outlineLevel="0" collapsed="false">
      <c r="A28" s="5" t="s">
        <v>82</v>
      </c>
      <c r="B28" s="5" t="s">
        <v>80</v>
      </c>
      <c r="C28" s="8" t="s">
        <v>48</v>
      </c>
      <c r="D28" s="8"/>
      <c r="E28" s="8"/>
      <c r="F28" s="8"/>
      <c r="G28" s="8"/>
      <c r="H28" s="8"/>
      <c r="I28" s="8"/>
      <c r="J28" s="5" t="str">
        <f aca="false">IF(COUNT(D28:F28)=0,"",SUM(D28:F28))</f>
        <v/>
      </c>
      <c r="K28" s="5" t="str">
        <f aca="false">IF(COUNT(G28:I28)=0,"",SUM(G28:I28))</f>
        <v/>
      </c>
      <c r="L28" s="6" t="str">
        <f aca="false">IF(COUNT(D28:I28)=6,SUM(D28:I28),"")</f>
        <v/>
      </c>
      <c r="M28" s="5" t="str">
        <f aca="false">IF(((D28&gt;Criteria!$D$2)+(E28&gt;Criteria!$D$3)+(F28&gt;Criteria!$D$4)+(G28&gt;Criteria!$D$5)+(H28&gt;Criteria!$D$6)+(I28&gt;Criteria!$D$7))&gt;0,"check: a mark is above its maximum",IF(COUNT(D28:I28)=0,"not scored",IF(COUNT(D28:I28)&lt;6,"incomplete","scored")))</f>
        <v>not scored</v>
      </c>
    </row>
    <row r="29" customFormat="false" ht="15" hidden="false" customHeight="false" outlineLevel="0" collapsed="false">
      <c r="A29" s="5" t="s">
        <v>83</v>
      </c>
      <c r="B29" s="5" t="s">
        <v>80</v>
      </c>
      <c r="C29" s="8" t="s">
        <v>48</v>
      </c>
      <c r="D29" s="8"/>
      <c r="E29" s="8"/>
      <c r="F29" s="8"/>
      <c r="G29" s="8"/>
      <c r="H29" s="8"/>
      <c r="I29" s="8"/>
      <c r="J29" s="5" t="str">
        <f aca="false">IF(COUNT(D29:F29)=0,"",SUM(D29:F29))</f>
        <v/>
      </c>
      <c r="K29" s="5" t="str">
        <f aca="false">IF(COUNT(G29:I29)=0,"",SUM(G29:I29))</f>
        <v/>
      </c>
      <c r="L29" s="6" t="str">
        <f aca="false">IF(COUNT(D29:I29)=6,SUM(D29:I29),"")</f>
        <v/>
      </c>
      <c r="M29" s="5" t="str">
        <f aca="false">IF(((D29&gt;Criteria!$D$2)+(E29&gt;Criteria!$D$3)+(F29&gt;Criteria!$D$4)+(G29&gt;Criteria!$D$5)+(H29&gt;Criteria!$D$6)+(I29&gt;Criteria!$D$7))&gt;0,"check: a mark is above its maximum",IF(COUNT(D29:I29)=0,"not scored",IF(COUNT(D29:I29)&lt;6,"incomplete","scored")))</f>
        <v>not scored</v>
      </c>
    </row>
    <row r="30" customFormat="false" ht="15" hidden="false" customHeight="false" outlineLevel="0" collapsed="false">
      <c r="A30" s="5" t="s">
        <v>84</v>
      </c>
      <c r="B30" s="5" t="s">
        <v>85</v>
      </c>
      <c r="C30" s="8" t="s">
        <v>54</v>
      </c>
      <c r="D30" s="8"/>
      <c r="E30" s="8"/>
      <c r="F30" s="8"/>
      <c r="G30" s="8"/>
      <c r="H30" s="8"/>
      <c r="I30" s="8"/>
      <c r="J30" s="5" t="str">
        <f aca="false">IF(COUNT(D30:F30)=0,"",SUM(D30:F30))</f>
        <v/>
      </c>
      <c r="K30" s="5" t="str">
        <f aca="false">IF(COUNT(G30:I30)=0,"",SUM(G30:I30))</f>
        <v/>
      </c>
      <c r="L30" s="6" t="str">
        <f aca="false">IF(COUNT(D30:I30)=6,SUM(D30:I30),"")</f>
        <v/>
      </c>
      <c r="M30" s="5" t="str">
        <f aca="false">IF(((D30&gt;Criteria!$D$2)+(E30&gt;Criteria!$D$3)+(F30&gt;Criteria!$D$4)+(G30&gt;Criteria!$D$5)+(H30&gt;Criteria!$D$6)+(I30&gt;Criteria!$D$7))&gt;0,"check: a mark is above its maximum",IF(COUNT(D30:I30)=0,"not scored",IF(COUNT(D30:I30)&lt;6,"incomplete","scored")))</f>
        <v>not scored</v>
      </c>
    </row>
    <row r="31" customFormat="false" ht="15" hidden="false" customHeight="false" outlineLevel="0" collapsed="false">
      <c r="A31" s="5" t="s">
        <v>86</v>
      </c>
      <c r="B31" s="5" t="s">
        <v>85</v>
      </c>
      <c r="C31" s="8" t="s">
        <v>54</v>
      </c>
      <c r="D31" s="8"/>
      <c r="E31" s="8"/>
      <c r="F31" s="8"/>
      <c r="G31" s="8"/>
      <c r="H31" s="8"/>
      <c r="I31" s="8"/>
      <c r="J31" s="5" t="str">
        <f aca="false">IF(COUNT(D31:F31)=0,"",SUM(D31:F31))</f>
        <v/>
      </c>
      <c r="K31" s="5" t="str">
        <f aca="false">IF(COUNT(G31:I31)=0,"",SUM(G31:I31))</f>
        <v/>
      </c>
      <c r="L31" s="6" t="str">
        <f aca="false">IF(COUNT(D31:I31)=6,SUM(D31:I31),"")</f>
        <v/>
      </c>
      <c r="M31" s="5" t="str">
        <f aca="false">IF(((D31&gt;Criteria!$D$2)+(E31&gt;Criteria!$D$3)+(F31&gt;Criteria!$D$4)+(G31&gt;Criteria!$D$5)+(H31&gt;Criteria!$D$6)+(I31&gt;Criteria!$D$7))&gt;0,"check: a mark is above its maximum",IF(COUNT(D31:I31)=0,"not scored",IF(COUNT(D31:I31)&lt;6,"incomplete","scored")))</f>
        <v>not scored</v>
      </c>
    </row>
    <row r="32" customFormat="false" ht="15" hidden="false" customHeight="false" outlineLevel="0" collapsed="false">
      <c r="A32" s="5" t="s">
        <v>87</v>
      </c>
      <c r="B32" s="5" t="s">
        <v>85</v>
      </c>
      <c r="C32" s="8" t="s">
        <v>54</v>
      </c>
      <c r="D32" s="8"/>
      <c r="E32" s="8"/>
      <c r="F32" s="8"/>
      <c r="G32" s="8"/>
      <c r="H32" s="8"/>
      <c r="I32" s="8"/>
      <c r="J32" s="5" t="str">
        <f aca="false">IF(COUNT(D32:F32)=0,"",SUM(D32:F32))</f>
        <v/>
      </c>
      <c r="K32" s="5" t="str">
        <f aca="false">IF(COUNT(G32:I32)=0,"",SUM(G32:I32))</f>
        <v/>
      </c>
      <c r="L32" s="6" t="str">
        <f aca="false">IF(COUNT(D32:I32)=6,SUM(D32:I32),"")</f>
        <v/>
      </c>
      <c r="M32" s="5" t="str">
        <f aca="false">IF(((D32&gt;Criteria!$D$2)+(E32&gt;Criteria!$D$3)+(F32&gt;Criteria!$D$4)+(G32&gt;Criteria!$D$5)+(H32&gt;Criteria!$D$6)+(I32&gt;Criteria!$D$7))&gt;0,"check: a mark is above its maximum",IF(COUNT(D32:I32)=0,"not scored",IF(COUNT(D32:I32)&lt;6,"incomplete","scored")))</f>
        <v>not scored</v>
      </c>
    </row>
    <row r="33" customFormat="false" ht="15" hidden="false" customHeight="false" outlineLevel="0" collapsed="false">
      <c r="A33" s="5" t="s">
        <v>88</v>
      </c>
      <c r="B33" s="5" t="s">
        <v>85</v>
      </c>
      <c r="C33" s="8" t="s">
        <v>54</v>
      </c>
      <c r="D33" s="8"/>
      <c r="E33" s="8"/>
      <c r="F33" s="8"/>
      <c r="G33" s="8"/>
      <c r="H33" s="8"/>
      <c r="I33" s="8"/>
      <c r="J33" s="5" t="str">
        <f aca="false">IF(COUNT(D33:F33)=0,"",SUM(D33:F33))</f>
        <v/>
      </c>
      <c r="K33" s="5" t="str">
        <f aca="false">IF(COUNT(G33:I33)=0,"",SUM(G33:I33))</f>
        <v/>
      </c>
      <c r="L33" s="6" t="str">
        <f aca="false">IF(COUNT(D33:I33)=6,SUM(D33:I33),"")</f>
        <v/>
      </c>
      <c r="M33" s="5" t="str">
        <f aca="false">IF(((D33&gt;Criteria!$D$2)+(E33&gt;Criteria!$D$3)+(F33&gt;Criteria!$D$4)+(G33&gt;Criteria!$D$5)+(H33&gt;Criteria!$D$6)+(I33&gt;Criteria!$D$7))&gt;0,"check: a mark is above its maximum",IF(COUNT(D33:I33)=0,"not scored",IF(COUNT(D33:I33)&lt;6,"incomplete","scored")))</f>
        <v>not scored</v>
      </c>
    </row>
    <row r="34" customFormat="false" ht="15" hidden="false" customHeight="false" outlineLevel="0" collapsed="false">
      <c r="A34" s="5" t="s">
        <v>89</v>
      </c>
      <c r="B34" s="5" t="s">
        <v>90</v>
      </c>
      <c r="C34" s="8" t="s">
        <v>60</v>
      </c>
      <c r="D34" s="8"/>
      <c r="E34" s="8"/>
      <c r="F34" s="8"/>
      <c r="G34" s="8"/>
      <c r="H34" s="8"/>
      <c r="I34" s="8"/>
      <c r="J34" s="5" t="str">
        <f aca="false">IF(COUNT(D34:F34)=0,"",SUM(D34:F34))</f>
        <v/>
      </c>
      <c r="K34" s="5" t="str">
        <f aca="false">IF(COUNT(G34:I34)=0,"",SUM(G34:I34))</f>
        <v/>
      </c>
      <c r="L34" s="6" t="str">
        <f aca="false">IF(COUNT(D34:I34)=6,SUM(D34:I34),"")</f>
        <v/>
      </c>
      <c r="M34" s="5" t="str">
        <f aca="false">IF(((D34&gt;Criteria!$D$2)+(E34&gt;Criteria!$D$3)+(F34&gt;Criteria!$D$4)+(G34&gt;Criteria!$D$5)+(H34&gt;Criteria!$D$6)+(I34&gt;Criteria!$D$7))&gt;0,"check: a mark is above its maximum",IF(COUNT(D34:I34)=0,"not scored",IF(COUNT(D34:I34)&lt;6,"incomplete","scored")))</f>
        <v>not scored</v>
      </c>
    </row>
    <row r="35" customFormat="false" ht="15" hidden="false" customHeight="false" outlineLevel="0" collapsed="false">
      <c r="A35" s="5" t="s">
        <v>91</v>
      </c>
      <c r="B35" s="5" t="s">
        <v>90</v>
      </c>
      <c r="C35" s="8" t="s">
        <v>60</v>
      </c>
      <c r="D35" s="8"/>
      <c r="E35" s="8"/>
      <c r="F35" s="8"/>
      <c r="G35" s="8"/>
      <c r="H35" s="8"/>
      <c r="I35" s="8"/>
      <c r="J35" s="5" t="str">
        <f aca="false">IF(COUNT(D35:F35)=0,"",SUM(D35:F35))</f>
        <v/>
      </c>
      <c r="K35" s="5" t="str">
        <f aca="false">IF(COUNT(G35:I35)=0,"",SUM(G35:I35))</f>
        <v/>
      </c>
      <c r="L35" s="6" t="str">
        <f aca="false">IF(COUNT(D35:I35)=6,SUM(D35:I35),"")</f>
        <v/>
      </c>
      <c r="M35" s="5" t="str">
        <f aca="false">IF(((D35&gt;Criteria!$D$2)+(E35&gt;Criteria!$D$3)+(F35&gt;Criteria!$D$4)+(G35&gt;Criteria!$D$5)+(H35&gt;Criteria!$D$6)+(I35&gt;Criteria!$D$7))&gt;0,"check: a mark is above its maximum",IF(COUNT(D35:I35)=0,"not scored",IF(COUNT(D35:I35)&lt;6,"incomplete","scored")))</f>
        <v>not scored</v>
      </c>
    </row>
    <row r="36" customFormat="false" ht="15" hidden="false" customHeight="false" outlineLevel="0" collapsed="false">
      <c r="A36" s="5" t="s">
        <v>92</v>
      </c>
      <c r="B36" s="5" t="s">
        <v>90</v>
      </c>
      <c r="C36" s="8" t="s">
        <v>60</v>
      </c>
      <c r="D36" s="8"/>
      <c r="E36" s="8"/>
      <c r="F36" s="8"/>
      <c r="G36" s="8"/>
      <c r="H36" s="8"/>
      <c r="I36" s="8"/>
      <c r="J36" s="5" t="str">
        <f aca="false">IF(COUNT(D36:F36)=0,"",SUM(D36:F36))</f>
        <v/>
      </c>
      <c r="K36" s="5" t="str">
        <f aca="false">IF(COUNT(G36:I36)=0,"",SUM(G36:I36))</f>
        <v/>
      </c>
      <c r="L36" s="6" t="str">
        <f aca="false">IF(COUNT(D36:I36)=6,SUM(D36:I36),"")</f>
        <v/>
      </c>
      <c r="M36" s="5" t="str">
        <f aca="false">IF(((D36&gt;Criteria!$D$2)+(E36&gt;Criteria!$D$3)+(F36&gt;Criteria!$D$4)+(G36&gt;Criteria!$D$5)+(H36&gt;Criteria!$D$6)+(I36&gt;Criteria!$D$7))&gt;0,"check: a mark is above its maximum",IF(COUNT(D36:I36)=0,"not scored",IF(COUNT(D36:I36)&lt;6,"incomplete","scored")))</f>
        <v>not scored</v>
      </c>
    </row>
  </sheetData>
  <dataValidations count="1">
    <dataValidation allowBlank="true" errorStyle="stop" operator="between" showDropDown="false" showErrorMessage="false" showInputMessage="false" sqref="D2:I36" type="decimal">
      <formula1>0</formula1>
      <formula2>8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0"/>
    <col collapsed="false" customWidth="true" hidden="false" outlineLevel="0" max="6" min="3" style="0" width="16"/>
  </cols>
  <sheetData>
    <row r="1" customFormat="false" ht="15" hidden="false" customHeight="false" outlineLevel="0" collapsed="false">
      <c r="A1" s="7" t="s">
        <v>35</v>
      </c>
      <c r="B1" s="7" t="s">
        <v>93</v>
      </c>
      <c r="C1" s="7" t="s">
        <v>94</v>
      </c>
      <c r="D1" s="7" t="s">
        <v>95</v>
      </c>
      <c r="E1" s="7" t="s">
        <v>96</v>
      </c>
      <c r="F1" s="7" t="s">
        <v>97</v>
      </c>
    </row>
    <row r="2" customFormat="false" ht="15" hidden="false" customHeight="false" outlineLevel="0" collapsed="false">
      <c r="A2" s="5" t="s">
        <v>48</v>
      </c>
      <c r="B2" s="5" t="n">
        <f aca="false">COUNTIF(Scores!C2:C36,A2)</f>
        <v>12</v>
      </c>
      <c r="C2" s="5" t="n">
        <f aca="false">COUNTIFS(Scores!C2:C36,A2,Scores!M2:M36,"scored")</f>
        <v>0</v>
      </c>
      <c r="D2" s="5" t="str">
        <f aca="false">IF(C2=0,"",ROUND(AVERAGEIFS(Scores!J2:J36,Scores!C2:C36,A2,Scores!M2:M36,"scored"),1))</f>
        <v/>
      </c>
      <c r="E2" s="5" t="str">
        <f aca="false">IF(C2=0,"",ROUND(AVERAGEIFS(Scores!K2:K36,Scores!C2:C36,A2,Scores!M2:M36,"scored"),1))</f>
        <v/>
      </c>
      <c r="F2" s="5" t="str">
        <f aca="false">IF(C2=0,"",ROUND(AVERAGEIFS(Scores!L2:L36,Scores!C2:C36,A2,Scores!M2:M36,"scored"),1))</f>
        <v/>
      </c>
    </row>
    <row r="3" customFormat="false" ht="15" hidden="false" customHeight="false" outlineLevel="0" collapsed="false">
      <c r="A3" s="5" t="s">
        <v>54</v>
      </c>
      <c r="B3" s="5" t="n">
        <f aca="false">COUNTIF(Scores!C2:C36,A3)</f>
        <v>12</v>
      </c>
      <c r="C3" s="5" t="n">
        <f aca="false">COUNTIFS(Scores!C2:C36,A3,Scores!M2:M36,"scored")</f>
        <v>0</v>
      </c>
      <c r="D3" s="5" t="str">
        <f aca="false">IF(C3=0,"",ROUND(AVERAGEIFS(Scores!J2:J36,Scores!C2:C36,A3,Scores!M2:M36,"scored"),1))</f>
        <v/>
      </c>
      <c r="E3" s="5" t="str">
        <f aca="false">IF(C3=0,"",ROUND(AVERAGEIFS(Scores!K2:K36,Scores!C2:C36,A3,Scores!M2:M36,"scored"),1))</f>
        <v/>
      </c>
      <c r="F3" s="5" t="str">
        <f aca="false">IF(C3=0,"",ROUND(AVERAGEIFS(Scores!L2:L36,Scores!C2:C36,A3,Scores!M2:M36,"scored"),1))</f>
        <v/>
      </c>
    </row>
    <row r="4" customFormat="false" ht="15" hidden="false" customHeight="false" outlineLevel="0" collapsed="false">
      <c r="A4" s="5" t="s">
        <v>60</v>
      </c>
      <c r="B4" s="5" t="n">
        <f aca="false">COUNTIF(Scores!C2:C36,A4)</f>
        <v>11</v>
      </c>
      <c r="C4" s="5" t="n">
        <f aca="false">COUNTIFS(Scores!C2:C36,A4,Scores!M2:M36,"scored")</f>
        <v>0</v>
      </c>
      <c r="D4" s="5" t="str">
        <f aca="false">IF(C4=0,"",ROUND(AVERAGEIFS(Scores!J2:J36,Scores!C2:C36,A4,Scores!M2:M36,"scored"),1))</f>
        <v/>
      </c>
      <c r="E4" s="5" t="str">
        <f aca="false">IF(C4=0,"",ROUND(AVERAGEIFS(Scores!K2:K36,Scores!C2:C36,A4,Scores!M2:M36,"scored"),1))</f>
        <v/>
      </c>
      <c r="F4" s="5" t="str">
        <f aca="false">IF(C4=0,"",ROUND(AVERAGEIFS(Scores!L2:L36,Scores!C2:C36,A4,Scores!M2:M36,"scored"),1))</f>
        <v/>
      </c>
    </row>
    <row r="5" customFormat="false" ht="15" hidden="false" customHeight="false" outlineLevel="0" collapsed="false">
      <c r="A5" s="5"/>
      <c r="B5" s="5"/>
      <c r="C5" s="5"/>
      <c r="D5" s="5"/>
      <c r="E5" s="5"/>
      <c r="F5" s="5"/>
    </row>
    <row r="6" customFormat="false" ht="15" hidden="false" customHeight="false" outlineLevel="0" collapsed="false">
      <c r="A6" s="6" t="s">
        <v>98</v>
      </c>
      <c r="B6" s="6" t="str">
        <f aca="false">COUNTIF(Scores!M2:M36,"scored")&amp;" of "&amp;COUNTA(Scores!A2:A36)&amp;" scored"</f>
        <v>0 of 35 scored</v>
      </c>
      <c r="C6" s="5"/>
      <c r="D6" s="5"/>
      <c r="E6" s="5"/>
      <c r="F6" s="5"/>
    </row>
    <row r="7" customFormat="false" ht="15" hidden="false" customHeight="false" outlineLevel="0" collapsed="false">
      <c r="A7" s="6" t="s">
        <v>99</v>
      </c>
      <c r="B7" s="5" t="n">
        <f aca="false">COUNTIF(Scores!M2:M36,"check*")</f>
        <v>0</v>
      </c>
      <c r="C7" s="5"/>
      <c r="D7" s="5"/>
      <c r="E7" s="5"/>
      <c r="F7" s="5"/>
    </row>
    <row r="8" customFormat="false" ht="15" hidden="false" customHeight="false" outlineLevel="0" collapsed="false">
      <c r="A8" s="5" t="s">
        <v>100</v>
      </c>
      <c r="B8" s="5" t="str">
        <f aca="false">IF(COUNT(D2:D4)&lt;2,"",MAX(D2:D4)-MIN(D2:D4))</f>
        <v/>
      </c>
      <c r="C8" s="5"/>
      <c r="D8" s="5"/>
      <c r="E8" s="5"/>
      <c r="F8" s="5"/>
    </row>
    <row r="9" customFormat="false" ht="15" hidden="false" customHeight="false" outlineLevel="0" collapsed="false">
      <c r="A9" s="5" t="s">
        <v>101</v>
      </c>
      <c r="B9" s="5" t="str">
        <f aca="false">IF(COUNT(E2:E4)&lt;2,"",MAX(E2:E4)-MIN(E2:E4))</f>
        <v/>
      </c>
      <c r="C9" s="5"/>
      <c r="D9" s="5"/>
      <c r="E9" s="5"/>
      <c r="F9" s="5"/>
    </row>
    <row r="10" customFormat="false" ht="15" hidden="false" customHeight="false" outlineLevel="0" collapsed="false">
      <c r="A10" s="6" t="s">
        <v>102</v>
      </c>
      <c r="B10" s="5" t="str">
        <f aca="false">IF(COUNT(D2:E4)&lt;4,"too few scores to compare",IF(MAX(B8:B9)&gt;2,"discuss at the close: a gap above two marks","within two marks"))</f>
        <v>too few scores to compare</v>
      </c>
      <c r="C10" s="5"/>
      <c r="D10" s="5"/>
      <c r="E10" s="5"/>
      <c r="F10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0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4" t="s">
        <v>34</v>
      </c>
      <c r="B1" s="4" t="s">
        <v>103</v>
      </c>
      <c r="C1" s="4" t="s">
        <v>94</v>
      </c>
      <c r="D1" s="4" t="s">
        <v>97</v>
      </c>
    </row>
    <row r="2" customFormat="false" ht="15" hidden="false" customHeight="false" outlineLevel="0" collapsed="false">
      <c r="A2" s="5" t="s">
        <v>47</v>
      </c>
      <c r="B2" s="9" t="n">
        <f aca="false">COUNTIF(Scores!B2:B36,A2)</f>
        <v>4</v>
      </c>
      <c r="C2" s="9" t="n">
        <f aca="false">COUNTIFS(Scores!B2:B36,A2,Scores!M2:M36,"scored")</f>
        <v>0</v>
      </c>
      <c r="D2" s="0" t="str">
        <f aca="false">IF(C2=0,"",ROUND(AVERAGEIFS(Scores!L2:L36,Scores!B2:B36,A2,Scores!M2:M36,"scored"),1))</f>
        <v/>
      </c>
    </row>
    <row r="3" customFormat="false" ht="15" hidden="false" customHeight="false" outlineLevel="0" collapsed="false">
      <c r="A3" s="5" t="s">
        <v>53</v>
      </c>
      <c r="B3" s="9" t="n">
        <f aca="false">COUNTIF(Scores!B2:B36,A3)</f>
        <v>4</v>
      </c>
      <c r="C3" s="9" t="n">
        <f aca="false">COUNTIFS(Scores!B2:B36,A3,Scores!M2:M36,"scored")</f>
        <v>0</v>
      </c>
      <c r="D3" s="0" t="str">
        <f aca="false">IF(C3=0,"",ROUND(AVERAGEIFS(Scores!L2:L36,Scores!B2:B36,A3,Scores!M2:M36,"scored"),1))</f>
        <v/>
      </c>
    </row>
    <row r="4" customFormat="false" ht="15" hidden="false" customHeight="false" outlineLevel="0" collapsed="false">
      <c r="A4" s="5" t="s">
        <v>59</v>
      </c>
      <c r="B4" s="9" t="n">
        <f aca="false">COUNTIF(Scores!B2:B36,A4)</f>
        <v>4</v>
      </c>
      <c r="C4" s="9" t="n">
        <f aca="false">COUNTIFS(Scores!B2:B36,A4,Scores!M2:M36,"scored")</f>
        <v>0</v>
      </c>
      <c r="D4" s="0" t="str">
        <f aca="false">IF(C4=0,"",ROUND(AVERAGEIFS(Scores!L2:L36,Scores!B2:B36,A4,Scores!M2:M36,"scored"),1))</f>
        <v/>
      </c>
    </row>
    <row r="5" customFormat="false" ht="15" hidden="false" customHeight="false" outlineLevel="0" collapsed="false">
      <c r="A5" s="5" t="s">
        <v>65</v>
      </c>
      <c r="B5" s="9" t="n">
        <f aca="false">COUNTIF(Scores!B2:B36,A5)</f>
        <v>4</v>
      </c>
      <c r="C5" s="9" t="n">
        <f aca="false">COUNTIFS(Scores!B2:B36,A5,Scores!M2:M36,"scored")</f>
        <v>0</v>
      </c>
      <c r="D5" s="0" t="str">
        <f aca="false">IF(C5=0,"",ROUND(AVERAGEIFS(Scores!L2:L36,Scores!B2:B36,A5,Scores!M2:M36,"scored"),1))</f>
        <v/>
      </c>
    </row>
    <row r="6" customFormat="false" ht="15" hidden="false" customHeight="false" outlineLevel="0" collapsed="false">
      <c r="A6" s="5" t="s">
        <v>70</v>
      </c>
      <c r="B6" s="9" t="n">
        <f aca="false">COUNTIF(Scores!B2:B36,A6)</f>
        <v>4</v>
      </c>
      <c r="C6" s="9" t="n">
        <f aca="false">COUNTIFS(Scores!B2:B36,A6,Scores!M2:M36,"scored")</f>
        <v>0</v>
      </c>
      <c r="D6" s="0" t="str">
        <f aca="false">IF(C6=0,"",ROUND(AVERAGEIFS(Scores!L2:L36,Scores!B2:B36,A6,Scores!M2:M36,"scored"),1))</f>
        <v/>
      </c>
    </row>
    <row r="7" customFormat="false" ht="15" hidden="false" customHeight="false" outlineLevel="0" collapsed="false">
      <c r="A7" s="5" t="s">
        <v>75</v>
      </c>
      <c r="B7" s="9" t="n">
        <f aca="false">COUNTIF(Scores!B2:B36,A7)</f>
        <v>4</v>
      </c>
      <c r="C7" s="9" t="n">
        <f aca="false">COUNTIFS(Scores!B2:B36,A7,Scores!M2:M36,"scored")</f>
        <v>0</v>
      </c>
      <c r="D7" s="0" t="str">
        <f aca="false">IF(C7=0,"",ROUND(AVERAGEIFS(Scores!L2:L36,Scores!B2:B36,A7,Scores!M2:M36,"scored"),1))</f>
        <v/>
      </c>
    </row>
    <row r="8" customFormat="false" ht="15" hidden="false" customHeight="false" outlineLevel="0" collapsed="false">
      <c r="A8" s="5" t="s">
        <v>80</v>
      </c>
      <c r="B8" s="9" t="n">
        <f aca="false">COUNTIF(Scores!B2:B36,A8)</f>
        <v>4</v>
      </c>
      <c r="C8" s="9" t="n">
        <f aca="false">COUNTIFS(Scores!B2:B36,A8,Scores!M2:M36,"scored")</f>
        <v>0</v>
      </c>
      <c r="D8" s="0" t="str">
        <f aca="false">IF(C8=0,"",ROUND(AVERAGEIFS(Scores!L2:L36,Scores!B2:B36,A8,Scores!M2:M36,"scored"),1))</f>
        <v/>
      </c>
    </row>
    <row r="9" customFormat="false" ht="15" hidden="false" customHeight="false" outlineLevel="0" collapsed="false">
      <c r="A9" s="5" t="s">
        <v>85</v>
      </c>
      <c r="B9" s="9" t="n">
        <f aca="false">COUNTIF(Scores!B2:B36,A9)</f>
        <v>4</v>
      </c>
      <c r="C9" s="9" t="n">
        <f aca="false">COUNTIFS(Scores!B2:B36,A9,Scores!M2:M36,"scored")</f>
        <v>0</v>
      </c>
      <c r="D9" s="0" t="str">
        <f aca="false">IF(C9=0,"",ROUND(AVERAGEIFS(Scores!L2:L36,Scores!B2:B36,A9,Scores!M2:M36,"scored"),1))</f>
        <v/>
      </c>
    </row>
    <row r="10" customFormat="false" ht="15" hidden="false" customHeight="false" outlineLevel="0" collapsed="false">
      <c r="A10" s="5" t="s">
        <v>90</v>
      </c>
      <c r="B10" s="9" t="n">
        <f aca="false">COUNTIF(Scores!B2:B36,A10)</f>
        <v>3</v>
      </c>
      <c r="C10" s="9" t="n">
        <f aca="false">COUNTIFS(Scores!B2:B36,A10,Scores!M2:M36,"scored")</f>
        <v>0</v>
      </c>
      <c r="D10" s="0" t="str">
        <f aca="false">IF(C10=0,"",ROUND(AVERAGEIFS(Scores!L2:L36,Scores!B2:B36,A10,Scores!M2:M36,"scored"),1))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18"/>
    <col collapsed="false" customWidth="true" hidden="false" outlineLevel="0" max="6" min="4" style="0" width="12"/>
    <col collapsed="false" customWidth="true" hidden="false" outlineLevel="0" max="9" min="7" style="0" width="14"/>
    <col collapsed="false" customWidth="true" hidden="false" outlineLevel="0" max="12" min="10" style="0" width="10"/>
    <col collapsed="false" customWidth="true" hidden="false" outlineLevel="0" max="13" min="13" style="0" width="30"/>
  </cols>
  <sheetData>
    <row r="1" customFormat="false" ht="60" hidden="false" customHeight="true" outlineLevel="0" collapsed="false">
      <c r="A1" s="7" t="s">
        <v>33</v>
      </c>
      <c r="B1" s="7" t="s">
        <v>34</v>
      </c>
      <c r="C1" s="7" t="s">
        <v>35</v>
      </c>
      <c r="D1" s="7" t="s">
        <v>36</v>
      </c>
      <c r="E1" s="7" t="s">
        <v>37</v>
      </c>
      <c r="F1" s="7" t="s">
        <v>38</v>
      </c>
      <c r="G1" s="7" t="s">
        <v>39</v>
      </c>
      <c r="H1" s="7" t="s">
        <v>40</v>
      </c>
      <c r="I1" s="7" t="s">
        <v>41</v>
      </c>
      <c r="J1" s="7" t="s">
        <v>42</v>
      </c>
      <c r="K1" s="7" t="s">
        <v>43</v>
      </c>
      <c r="L1" s="7" t="s">
        <v>44</v>
      </c>
      <c r="M1" s="7" t="s">
        <v>45</v>
      </c>
    </row>
    <row r="2" customFormat="false" ht="15" hidden="false" customHeight="false" outlineLevel="0" collapsed="false">
      <c r="A2" s="5" t="s">
        <v>46</v>
      </c>
      <c r="B2" s="5" t="s">
        <v>47</v>
      </c>
      <c r="C2" s="8" t="s">
        <v>48</v>
      </c>
      <c r="D2" s="8" t="n">
        <v>6</v>
      </c>
      <c r="E2" s="8" t="n">
        <v>3</v>
      </c>
      <c r="F2" s="8" t="n">
        <v>2</v>
      </c>
      <c r="G2" s="8" t="n">
        <v>5</v>
      </c>
      <c r="H2" s="8" t="n">
        <v>4</v>
      </c>
      <c r="I2" s="8" t="n">
        <v>2</v>
      </c>
      <c r="J2" s="5" t="n">
        <f aca="false">IF(COUNT(D2:F2)=0,"",SUM(D2:F2))</f>
        <v>11</v>
      </c>
      <c r="K2" s="5" t="n">
        <f aca="false">IF(COUNT(G2:I2)=0,"",SUM(G2:I2))</f>
        <v>11</v>
      </c>
      <c r="L2" s="6" t="n">
        <f aca="false">IF(COUNT(D2:I2)=6,SUM(D2:I2),"")</f>
        <v>22</v>
      </c>
      <c r="M2" s="5" t="str">
        <f aca="false">IF(((D2&gt;Criteria!$D$2)+(E2&gt;Criteria!$D$3)+(F2&gt;Criteria!$D$4)+(G2&gt;Criteria!$D$5)+(H2&gt;Criteria!$D$6)+(I2&gt;Criteria!$D$7))&gt;0,"check: a mark is above its maximum",IF(COUNT(D2:I2)=0,"not scored",IF(COUNT(D2:I2)&lt;6,"incomplete","scored")))</f>
        <v>scored</v>
      </c>
    </row>
    <row r="4" customFormat="false" ht="15" hidden="false" customHeight="false" outlineLevel="0" collapsed="false">
      <c r="A4" s="5" t="s">
        <v>104</v>
      </c>
    </row>
  </sheetData>
  <dataValidations count="1">
    <dataValidation allowBlank="true" errorStyle="stop" operator="between" showDropDown="false" showErrorMessage="false" showInputMessage="false" sqref="D2:I2" type="decimal">
      <formula1>0</formula1>
      <formula2>8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2026-09-29T17:44:01Z</dcterms:created>
  <dc:creator>openpyxl</dc:creator>
  <dc:description/>
  <dc:language>en-US</dc:language>
  <cp:lastModifiedBy/>
  <dcterms:modified xsi:type="dcterms:W3CDTF">2026-09-29T17:44:01Z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