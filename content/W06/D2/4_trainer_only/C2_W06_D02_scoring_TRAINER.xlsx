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ubric" sheetId="2" state="visible" r:id="rId2"/>
    <sheet xmlns:r="http://schemas.openxmlformats.org/officeDocument/2006/relationships" name="Groups" sheetId="3" state="visible" r:id="rId3"/>
    <sheet xmlns:r="http://schemas.openxmlformats.org/officeDocument/2006/relationships" name="Seats" sheetId="4" state="visible" r:id="rId4"/>
    <sheet xmlns:r="http://schemas.openxmlformats.org/officeDocument/2006/relationships" name="Mock R2" sheetId="5" state="visible" r:id="rId5"/>
    <sheet xmlns:r="http://schemas.openxmlformats.org/officeDocument/2006/relationships" name="GD" sheetId="6" state="visible" r:id="rId6"/>
    <sheet xmlns:r="http://schemas.openxmlformats.org/officeDocument/2006/relationships" name="Mini project" sheetId="7" state="visible" r:id="rId7"/>
    <sheet xmlns:r="http://schemas.openxmlformats.org/officeDocument/2006/relationships" name="Closure" sheetId="8" state="visible" r:id="rId8"/>
    <sheet xmlns:r="http://schemas.openxmlformats.org/officeDocument/2006/relationships" name="Summary"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A0F5C"/>
      <sz val="14"/>
    </font>
    <font>
      <name val="Arial"/>
      <b val="1"/>
      <color rgb="001A0F5C"/>
      <sz val="10"/>
    </font>
    <font>
      <name val="Arial"/>
      <color rgb="00000000"/>
      <sz val="10"/>
    </font>
    <font>
      <name val="Arial"/>
      <b val="1"/>
      <color rgb="001A0F5C"/>
      <sz val="13"/>
    </font>
    <font>
      <name val="Arial"/>
      <b val="1"/>
      <color rgb="00FFFFFF"/>
      <sz val="10"/>
    </font>
    <font>
      <name val="Arial"/>
      <b val="1"/>
      <color rgb="00000000"/>
      <sz val="10"/>
    </font>
    <font>
      <name val="Arial"/>
      <i val="1"/>
      <color rgb="00000000"/>
      <sz val="10"/>
    </font>
    <font>
      <name val="Arial"/>
      <color rgb="000000FF"/>
      <sz val="10"/>
    </font>
    <font>
      <name val="Arial"/>
      <b val="1"/>
      <color rgb="001A0F5C"/>
      <sz val="12"/>
    </font>
    <font>
      <name val="Arial"/>
      <b val="1"/>
      <color rgb="00000000"/>
      <sz val="12"/>
    </font>
  </fonts>
  <fills count="4">
    <fill>
      <patternFill/>
    </fill>
    <fill>
      <patternFill patternType="gray125"/>
    </fill>
    <fill>
      <patternFill patternType="solid">
        <fgColor rgb="001A0F5C"/>
      </patternFill>
    </fill>
    <fill>
      <patternFill patternType="solid">
        <fgColor rgb="00FFF4C2"/>
      </patternFill>
    </fill>
  </fills>
  <borders count="2">
    <border>
      <left/>
      <right/>
      <top/>
      <bottom/>
      <diagonal/>
    </border>
    <border>
      <left style="thin">
        <color rgb="00C9C3E6"/>
      </left>
      <right style="thin">
        <color rgb="00C9C3E6"/>
      </right>
      <top style="thin">
        <color rgb="00C9C3E6"/>
      </top>
      <bottom style="thin">
        <color rgb="00C9C3E6"/>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center" wrapText="1"/>
    </xf>
    <xf numFmtId="0" fontId="3" fillId="0" borderId="1" pivotButton="0" quotePrefix="0" xfId="0"/>
    <xf numFmtId="0" fontId="6" fillId="0" borderId="0" pivotButton="0" quotePrefix="0" xfId="0"/>
    <xf numFmtId="0" fontId="7" fillId="0" borderId="0" pivotButton="0" quotePrefix="0" xfId="0"/>
    <xf numFmtId="0" fontId="8" fillId="3" borderId="1" pivotButton="0" quotePrefix="0" xfId="0"/>
    <xf numFmtId="0" fontId="3" fillId="0" borderId="1" applyAlignment="1" pivotButton="0" quotePrefix="0" xfId="0">
      <alignment vertical="top" wrapText="1"/>
    </xf>
    <xf numFmtId="0" fontId="3"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min="1" max="1"/>
    <col width="104" customWidth="1" min="2" max="2"/>
  </cols>
  <sheetData>
    <row r="1">
      <c r="A1" s="1" t="inlineStr">
        <is>
          <t>How is every Build 2 group and learner scored, and is every grade closed? (TRAINER ONLY, PROPOSED)</t>
        </is>
      </c>
    </row>
    <row r="3" ht="62" customHeight="1">
      <c r="A3" s="2" t="inlineStr">
        <is>
          <t>Status</t>
        </is>
      </c>
      <c r="B3" s="3" t="inlineStr">
        <is>
          <t>Every criterion on the Rubric sheet is proposed. Decision rubrics-and-calendar in data/programme/facts.yaml is open until the Programme Head closes it; the 40, 30 and 30 per event are settled (decision evaluation-lock). The criteria in words: C2_W06_D02_rubrics_proposed_TRAINER.md.</t>
        </is>
      </c>
    </row>
    <row r="4" ht="62" customHeight="1">
      <c r="A4" s="2" t="inlineStr">
        <is>
          <t>Where to type</t>
        </is>
      </c>
      <c r="B4" s="3" t="inlineStr">
        <is>
          <t>Only the yellow cells. Groups: Friday's cold run, Saturday's demo and the four group criteria. Seats: whether a seat is in use. Mock R2: the passport at the gate, the Friday retake, the three viva criteria and the three written parts. GD: the four criteria. Mini project: passport and defence. Every other cell is a formula.</t>
        </is>
      </c>
    </row>
    <row r="5" ht="62" customHeight="1">
      <c r="A5" s="2" t="inlineStr">
        <is>
          <t>Who types when</t>
        </is>
      </c>
      <c r="B5" s="3" t="inlineStr">
        <is>
          <t>Thursday: each gate assessor types the viva and the passport during the three minutes after each slot; TA1 types the written parts that evening. Friday: each GD chair types after each round; TA1 types the cold runs and the retakes. Saturday: each room's scribe types the group criteria, the demo outcome and passport and defence after each slot, never in front of the group.</t>
        </is>
      </c>
    </row>
    <row r="6" ht="62" customHeight="1">
      <c r="A6" s="2" t="inlineStr">
        <is>
          <t>The demo rule (proposed)</t>
        </is>
      </c>
      <c r="B6" s="3" t="inlineStr">
        <is>
          <t>Saturday's live demo runs once from a fresh start. If it stops, the group has two minutes to recover it. If it still stops, the group presents from its executed notebook, the card's decision and MVP plan cannot carry full marks, and the other 24 group marks stand on the executed run. A demo held up by a failed machine runs in the room's reserve before anyone's passport and defence is scored. Friday's cold run is recorded and decides nothing on its own.</t>
        </is>
      </c>
    </row>
    <row r="7" ht="62" customHeight="1">
      <c r="A7" s="2" t="inlineStr">
        <is>
          <t>The passport at the gate</t>
        </is>
      </c>
      <c r="B7" s="3" t="inlineStr">
        <is>
          <t>One number drawn in the viva and recomputed live. Not yet means a Friday retake with TA1; the retake's result is recorded and moves no mark on its own.</t>
        </is>
      </c>
    </row>
    <row r="8" ht="62" customHeight="1">
      <c r="A8" s="2" t="inlineStr">
        <is>
          <t>Seats, never names</t>
        </is>
      </c>
      <c r="B8" s="3" t="inlineStr">
        <is>
          <t>39 seats, three per group, G1 to G13. Mark an absent learner N on Seats; the row then reads absent everywhere and drops out of the counts. Names go only into the Programme Head's own dated copy, never into the committed file, because the repository is public.</t>
        </is>
      </c>
    </row>
    <row r="9" ht="62" customHeight="1">
      <c r="A9" s="2" t="inlineStr">
        <is>
          <t>A worked example</t>
        </is>
      </c>
      <c r="B9" s="3" t="inlineStr">
        <is>
          <t>G1 scored 7, 5, 8 and 6 after a demo that ran reads a group part of 26. Its first member with passport and defence 6 reads 32 of 40; with a viva of 5, 4 and 2 and written parts of 5, 1.5 and 4 reads 21.5 of 30 for Mock R2; with GD scores of 6, 6, 6 and 4 reads 22 of 30; and closes on 75.5 of 100.</t>
        </is>
      </c>
    </row>
    <row r="10" ht="62" customHeight="1">
      <c r="A10" s="2" t="inlineStr">
        <is>
          <t>Closing the grades</t>
        </is>
      </c>
      <c r="B10" s="3" t="inlineStr">
        <is>
          <t>Saturday, 30 minutes: work the Summary verdict down to 'every learner in use is scored', clearing each flag it names, then save the dated copy.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pane="topRight"/>
      <selection pane="bottomLeft"/>
      <selection pane="bottomRight" activeCell="A1" sqref="A1"/>
    </sheetView>
  </sheetViews>
  <sheetFormatPr baseColWidth="8" defaultRowHeight="15"/>
  <cols>
    <col width="16" customWidth="1" min="1" max="1"/>
    <col width="52" customWidth="1" min="2" max="2"/>
    <col width="8" customWidth="1" min="3" max="3"/>
    <col width="26" customWidth="1" min="4" max="4"/>
  </cols>
  <sheetData>
    <row r="1">
      <c r="A1" s="4" t="inlineStr">
        <is>
          <t>Build 2 rubrics, all PROPOSED (decision rubrics-and-calendar is open)</t>
        </is>
      </c>
    </row>
    <row r="2" ht="44" customHeight="1">
      <c r="A2" s="5" t="inlineStr">
        <is>
          <t>Event</t>
        </is>
      </c>
      <c r="B2" s="5" t="inlineStr">
        <is>
          <t>Criterion or part</t>
        </is>
      </c>
      <c r="C2" s="5" t="inlineStr">
        <is>
          <t>Marks</t>
        </is>
      </c>
      <c r="D2" s="5" t="inlineStr">
        <is>
          <t>Scored</t>
        </is>
      </c>
    </row>
    <row r="3">
      <c r="A3" s="6" t="inlineStr">
        <is>
          <t>Mini project</t>
        </is>
      </c>
      <c r="B3" s="6" t="inlineStr">
        <is>
          <t>Frame and requirements</t>
        </is>
      </c>
      <c r="C3" s="6" t="n">
        <v>8</v>
      </c>
      <c r="D3" s="6" t="inlineStr">
        <is>
          <t>once per group</t>
        </is>
      </c>
    </row>
    <row r="4">
      <c r="A4" s="6" t="inlineStr">
        <is>
          <t>Mini project</t>
        </is>
      </c>
      <c r="B4" s="6" t="inlineStr">
        <is>
          <t>Data audited</t>
        </is>
      </c>
      <c r="C4" s="6" t="n">
        <v>6</v>
      </c>
      <c r="D4" s="6" t="inlineStr">
        <is>
          <t>once per group</t>
        </is>
      </c>
    </row>
    <row r="5">
      <c r="A5" s="6" t="inlineStr">
        <is>
          <t>Mini project</t>
        </is>
      </c>
      <c r="B5" s="6" t="inlineStr">
        <is>
          <t>Honest POC and error bill</t>
        </is>
      </c>
      <c r="C5" s="6" t="n">
        <v>10</v>
      </c>
      <c r="D5" s="6" t="inlineStr">
        <is>
          <t>once per group</t>
        </is>
      </c>
    </row>
    <row r="6">
      <c r="A6" s="6" t="inlineStr">
        <is>
          <t>Mini project</t>
        </is>
      </c>
      <c r="B6" s="6" t="inlineStr">
        <is>
          <t>The card's decision and the MVP plan</t>
        </is>
      </c>
      <c r="C6" s="6" t="n">
        <v>8</v>
      </c>
      <c r="D6" s="6" t="inlineStr">
        <is>
          <t>once per group</t>
        </is>
      </c>
    </row>
    <row r="7">
      <c r="A7" s="6" t="inlineStr">
        <is>
          <t>Mini project</t>
        </is>
      </c>
      <c r="B7" s="6" t="inlineStr">
        <is>
          <t>Passport and defence</t>
        </is>
      </c>
      <c r="C7" s="6" t="n">
        <v>8</v>
      </c>
      <c r="D7" s="6" t="inlineStr">
        <is>
          <t>per learner</t>
        </is>
      </c>
    </row>
    <row r="8">
      <c r="A8" s="6" t="inlineStr">
        <is>
          <t>Mock R2 viva</t>
        </is>
      </c>
      <c r="B8" s="6" t="inlineStr">
        <is>
          <t>The translation, with one decision defended by evidence</t>
        </is>
      </c>
      <c r="C8" s="6" t="n">
        <v>6</v>
      </c>
      <c r="D8" s="6" t="inlineStr">
        <is>
          <t>per learner</t>
        </is>
      </c>
    </row>
    <row r="9">
      <c r="A9" s="6" t="inlineStr">
        <is>
          <t>Mock R2 viva</t>
        </is>
      </c>
      <c r="B9" s="6" t="inlineStr">
        <is>
          <t>Defending a caveat under challenge</t>
        </is>
      </c>
      <c r="C9" s="6" t="n">
        <v>6</v>
      </c>
      <c r="D9" s="6" t="inlineStr">
        <is>
          <t>per learner</t>
        </is>
      </c>
    </row>
    <row r="10">
      <c r="A10" s="6" t="inlineStr">
        <is>
          <t>Mock R2 viva</t>
        </is>
      </c>
      <c r="B10" s="6" t="inlineStr">
        <is>
          <t>What they would do differently</t>
        </is>
      </c>
      <c r="C10" s="6" t="n">
        <v>3</v>
      </c>
      <c r="D10" s="6" t="inlineStr">
        <is>
          <t>per learner</t>
        </is>
      </c>
    </row>
    <row r="11">
      <c r="A11" s="6" t="inlineStr">
        <is>
          <t>Mock R2 written</t>
        </is>
      </c>
      <c r="B11" s="6" t="inlineStr">
        <is>
          <t>A. One correct option</t>
        </is>
      </c>
      <c r="C11" s="6" t="n">
        <v>6</v>
      </c>
      <c r="D11" s="6" t="inlineStr">
        <is>
          <t>per learner</t>
        </is>
      </c>
    </row>
    <row r="12">
      <c r="A12" s="6" t="inlineStr">
        <is>
          <t>Mock R2 written</t>
        </is>
      </c>
      <c r="B12" s="6" t="inlineStr">
        <is>
          <t>B. More than one correct</t>
        </is>
      </c>
      <c r="C12" s="6" t="n">
        <v>3</v>
      </c>
      <c r="D12" s="6" t="inlineStr">
        <is>
          <t>per learner</t>
        </is>
      </c>
    </row>
    <row r="13">
      <c r="A13" s="6" t="inlineStr">
        <is>
          <t>Mock R2 written</t>
        </is>
      </c>
      <c r="B13" s="6" t="inlineStr">
        <is>
          <t>C. Applied maths</t>
        </is>
      </c>
      <c r="C13" s="6" t="n">
        <v>6</v>
      </c>
      <c r="D13" s="6" t="inlineStr">
        <is>
          <t>per learner</t>
        </is>
      </c>
    </row>
    <row r="14">
      <c r="A14" s="6" t="inlineStr">
        <is>
          <t>GD</t>
        </is>
      </c>
      <c r="B14" s="6" t="inlineStr">
        <is>
          <t>Structures the problem</t>
        </is>
      </c>
      <c r="C14" s="6" t="n">
        <v>8</v>
      </c>
      <c r="D14" s="6" t="inlineStr">
        <is>
          <t>per learner</t>
        </is>
      </c>
    </row>
    <row r="15">
      <c r="A15" s="6" t="inlineStr">
        <is>
          <t>GD</t>
        </is>
      </c>
      <c r="B15" s="6" t="inlineStr">
        <is>
          <t>Uses evidence</t>
        </is>
      </c>
      <c r="C15" s="6" t="n">
        <v>8</v>
      </c>
      <c r="D15" s="6" t="inlineStr">
        <is>
          <t>per learner</t>
        </is>
      </c>
    </row>
    <row r="16">
      <c r="A16" s="6" t="inlineStr">
        <is>
          <t>GD</t>
        </is>
      </c>
      <c r="B16" s="6" t="inlineStr">
        <is>
          <t>Engages</t>
        </is>
      </c>
      <c r="C16" s="6" t="n">
        <v>8</v>
      </c>
      <c r="D16" s="6" t="inlineStr">
        <is>
          <t>per learner</t>
        </is>
      </c>
    </row>
    <row r="17">
      <c r="A17" s="6" t="inlineStr">
        <is>
          <t>GD</t>
        </is>
      </c>
      <c r="B17" s="6" t="inlineStr">
        <is>
          <t>Lands a conclusion</t>
        </is>
      </c>
      <c r="C17" s="6" t="n">
        <v>6</v>
      </c>
      <c r="D17" s="6" t="inlineStr">
        <is>
          <t>per learner</t>
        </is>
      </c>
    </row>
    <row r="19">
      <c r="B19" s="7" t="inlineStr">
        <is>
          <t>Mini project total</t>
        </is>
      </c>
      <c r="C19" s="7">
        <f>SUMIF(A3:A17,"Mini project",C3:C17)</f>
        <v/>
      </c>
      <c r="D19" s="7">
        <f>IF(C19=40,"adds to 40","adds to "&amp;C19&amp;", not 40")</f>
        <v/>
      </c>
    </row>
    <row r="20">
      <c r="B20" s="7" t="inlineStr">
        <is>
          <t>Mini project group part</t>
        </is>
      </c>
      <c r="C20" s="7">
        <f>SUMIFS(C3:C17,A3:A17,"Mini project",D3:D17,"once per group")</f>
        <v/>
      </c>
      <c r="D20" s="7">
        <f>IF(C20=32,"adds to 32","adds to "&amp;C20&amp;", not 32")</f>
        <v/>
      </c>
    </row>
    <row r="21">
      <c r="B21" s="7" t="inlineStr">
        <is>
          <t>Mock R2 total</t>
        </is>
      </c>
      <c r="C21" s="7">
        <f>SUMIF(A3:A17,"Mock R2*",C3:C17)</f>
        <v/>
      </c>
      <c r="D21" s="7">
        <f>IF(C21=30,"adds to 30","adds to "&amp;C21&amp;", not 30")</f>
        <v/>
      </c>
    </row>
    <row r="22">
      <c r="B22" s="7" t="inlineStr">
        <is>
          <t>GD total</t>
        </is>
      </c>
      <c r="C22" s="7">
        <f>SUMIF(A3:A17,"GD",C3:C17)</f>
        <v/>
      </c>
      <c r="D22" s="7">
        <f>IF(C22=30,"adds to 30","adds to "&amp;C22&amp;", not 30")</f>
        <v/>
      </c>
    </row>
    <row r="24">
      <c r="B24" s="8" t="inlineStr">
        <is>
          <t>Source: C2_W06_D02_rubrics_proposed_TRAINER.md; the GD rows copy Build 1's approved rubric from facts.yaml.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10" customWidth="1" min="3" max="3"/>
    <col width="14" customWidth="1" min="4" max="4"/>
    <col width="30" customWidth="1" min="5" max="5"/>
    <col width="13" customWidth="1" min="6" max="6"/>
    <col width="11" customWidth="1" min="7" max="7"/>
    <col width="13" customWidth="1" min="8" max="8"/>
    <col width="15" customWidth="1" min="9" max="9"/>
    <col width="12" customWidth="1" min="10" max="10"/>
    <col width="34" customWidth="1" min="11" max="11"/>
    <col width="52" customWidth="1" min="12" max="12"/>
  </cols>
  <sheetData>
    <row r="1">
      <c r="A1" s="4" t="inlineStr">
        <is>
          <t>Groups: the four group criteria, scored once per group, and the two demo records</t>
        </is>
      </c>
    </row>
    <row r="2" ht="44" customHeight="1">
      <c r="A2" s="5" t="inlineStr">
        <is>
          <t>Group</t>
        </is>
      </c>
      <c r="B2" s="5" t="inlineStr">
        <is>
          <t>Card</t>
        </is>
      </c>
      <c r="C2" s="5" t="inlineStr">
        <is>
          <t>Saturday room</t>
        </is>
      </c>
      <c r="D2" s="5" t="inlineStr">
        <is>
          <t>Friday cold run</t>
        </is>
      </c>
      <c r="E2" s="5" t="inlineStr">
        <is>
          <t>Saturday demo</t>
        </is>
      </c>
      <c r="F2" s="5" t="inlineStr">
        <is>
          <t>Frame and requirements (of 8)</t>
        </is>
      </c>
      <c r="G2" s="5" t="inlineStr">
        <is>
          <t>Data audited (of 6)</t>
        </is>
      </c>
      <c r="H2" s="5" t="inlineStr">
        <is>
          <t>Honest POC and error bill (of 10)</t>
        </is>
      </c>
      <c r="I2" s="5" t="inlineStr">
        <is>
          <t>The card's decision and the MVP plan (of 8)</t>
        </is>
      </c>
      <c r="J2" s="5" t="inlineStr">
        <is>
          <t>Group part (of 32)</t>
        </is>
      </c>
      <c r="K2" s="5" t="inlineStr">
        <is>
          <t>Check</t>
        </is>
      </c>
      <c r="L2" s="5" t="inlineStr">
        <is>
          <t>What the demo rule means for this group</t>
        </is>
      </c>
    </row>
    <row r="3">
      <c r="A3" s="6" t="inlineStr">
        <is>
          <t>G1</t>
        </is>
      </c>
      <c r="B3" s="6" t="n">
        <v>1</v>
      </c>
      <c r="C3" s="6" t="inlineStr">
        <is>
          <t>A</t>
        </is>
      </c>
      <c r="D3" s="9" t="n"/>
      <c r="E3" s="9" t="n"/>
      <c r="F3" s="9" t="n"/>
      <c r="G3" s="9" t="n"/>
      <c r="H3" s="9" t="n"/>
      <c r="I3" s="9" t="n"/>
      <c r="J3" s="6">
        <f>IF(COUNT(F3:I3)&lt;4,"incomplete",SUM(F3:I3))</f>
        <v/>
      </c>
      <c r="K3" s="6">
        <f>IF(OR(AND(ISNUMBER(F3),OR(F3&gt;Rubric!$C$3,F3&lt;0)),AND(ISNUMBER(G3),OR(G3&gt;Rubric!$C$4,G3&lt;0)),AND(ISNUMBER(H3),OR(H3&gt;Rubric!$C$5,H3&lt;0)),AND(ISNUMBER(I3),OR(I3&gt;Rubric!$C$6,I3&lt;0))),"above a maximum or below zero",IF(AND(E3="still stopped: presented from the executed notebook",ISNUMBER(I3),I3&gt;=Rubric!$C$6),"full marks on the MVP criterion need a demo that ran",IF(AND(COUNT(F3:I3)&gt;0,E3=""),"record the demo's outcome",IF(AND(COUNT(F3:I3)&gt;0,D3=""),"record Friday's cold run","ok"))))</f>
        <v/>
      </c>
      <c r="L3" s="10">
        <f>IF(E3="","record the demo's outcome",IF(E3="still stopped: presented from the executed notebook","the other 24 stand on the executed run; the MVP criterion cannot carry full marks",IF(E3="machine failed: demo waits for the reserve","run the demo in the room's reserve, then record its outcome",IF(E3="recovered within two minutes","the rule sets nothing for a recovery: the panel judges it within the MVP criterion","the live demo ran"))))</f>
        <v/>
      </c>
    </row>
    <row r="4">
      <c r="A4" s="6" t="inlineStr">
        <is>
          <t>G2</t>
        </is>
      </c>
      <c r="B4" s="6" t="n">
        <v>1</v>
      </c>
      <c r="C4" s="6" t="inlineStr">
        <is>
          <t>A</t>
        </is>
      </c>
      <c r="D4" s="9" t="n"/>
      <c r="E4" s="9" t="n"/>
      <c r="F4" s="9" t="n"/>
      <c r="G4" s="9" t="n"/>
      <c r="H4" s="9" t="n"/>
      <c r="I4" s="9" t="n"/>
      <c r="J4" s="6">
        <f>IF(COUNT(F4:I4)&lt;4,"incomplete",SUM(F4:I4))</f>
        <v/>
      </c>
      <c r="K4" s="6">
        <f>IF(OR(AND(ISNUMBER(F4),OR(F4&gt;Rubric!$C$3,F4&lt;0)),AND(ISNUMBER(G4),OR(G4&gt;Rubric!$C$4,G4&lt;0)),AND(ISNUMBER(H4),OR(H4&gt;Rubric!$C$5,H4&lt;0)),AND(ISNUMBER(I4),OR(I4&gt;Rubric!$C$6,I4&lt;0))),"above a maximum or below zero",IF(AND(E4="still stopped: presented from the executed notebook",ISNUMBER(I4),I4&gt;=Rubric!$C$6),"full marks on the MVP criterion need a demo that ran",IF(AND(COUNT(F4:I4)&gt;0,E4=""),"record the demo's outcome",IF(AND(COUNT(F4:I4)&gt;0,D4=""),"record Friday's cold run","ok"))))</f>
        <v/>
      </c>
      <c r="L4" s="10">
        <f>IF(E4="","record the demo's outcome",IF(E4="still stopped: presented from the executed notebook","the other 24 stand on the executed run; the MVP criterion cannot carry full marks",IF(E4="machine failed: demo waits for the reserve","run the demo in the room's reserve, then record its outcome",IF(E4="recovered within two minutes","the rule sets nothing for a recovery: the panel judges it within the MVP criterion","the live demo ran"))))</f>
        <v/>
      </c>
    </row>
    <row r="5">
      <c r="A5" s="6" t="inlineStr">
        <is>
          <t>G3</t>
        </is>
      </c>
      <c r="B5" s="6" t="n">
        <v>2</v>
      </c>
      <c r="C5" s="6" t="inlineStr">
        <is>
          <t>A</t>
        </is>
      </c>
      <c r="D5" s="9" t="n"/>
      <c r="E5" s="9" t="n"/>
      <c r="F5" s="9" t="n"/>
      <c r="G5" s="9" t="n"/>
      <c r="H5" s="9" t="n"/>
      <c r="I5" s="9" t="n"/>
      <c r="J5" s="6">
        <f>IF(COUNT(F5:I5)&lt;4,"incomplete",SUM(F5:I5))</f>
        <v/>
      </c>
      <c r="K5" s="6">
        <f>IF(OR(AND(ISNUMBER(F5),OR(F5&gt;Rubric!$C$3,F5&lt;0)),AND(ISNUMBER(G5),OR(G5&gt;Rubric!$C$4,G5&lt;0)),AND(ISNUMBER(H5),OR(H5&gt;Rubric!$C$5,H5&lt;0)),AND(ISNUMBER(I5),OR(I5&gt;Rubric!$C$6,I5&lt;0))),"above a maximum or below zero",IF(AND(E5="still stopped: presented from the executed notebook",ISNUMBER(I5),I5&gt;=Rubric!$C$6),"full marks on the MVP criterion need a demo that ran",IF(AND(COUNT(F5:I5)&gt;0,E5=""),"record the demo's outcome",IF(AND(COUNT(F5:I5)&gt;0,D5=""),"record Friday's cold run","ok"))))</f>
        <v/>
      </c>
      <c r="L5" s="10">
        <f>IF(E5="","record the demo's outcome",IF(E5="still stopped: presented from the executed notebook","the other 24 stand on the executed run; the MVP criterion cannot carry full marks",IF(E5="machine failed: demo waits for the reserve","run the demo in the room's reserve, then record its outcome",IF(E5="recovered within two minutes","the rule sets nothing for a recovery: the panel judges it within the MVP criterion","the live demo ran"))))</f>
        <v/>
      </c>
    </row>
    <row r="6">
      <c r="A6" s="6" t="inlineStr">
        <is>
          <t>G4</t>
        </is>
      </c>
      <c r="B6" s="6" t="n">
        <v>2</v>
      </c>
      <c r="C6" s="6" t="inlineStr">
        <is>
          <t>A</t>
        </is>
      </c>
      <c r="D6" s="9" t="n"/>
      <c r="E6" s="9" t="n"/>
      <c r="F6" s="9" t="n"/>
      <c r="G6" s="9" t="n"/>
      <c r="H6" s="9" t="n"/>
      <c r="I6" s="9" t="n"/>
      <c r="J6" s="6">
        <f>IF(COUNT(F6:I6)&lt;4,"incomplete",SUM(F6:I6))</f>
        <v/>
      </c>
      <c r="K6" s="6">
        <f>IF(OR(AND(ISNUMBER(F6),OR(F6&gt;Rubric!$C$3,F6&lt;0)),AND(ISNUMBER(G6),OR(G6&gt;Rubric!$C$4,G6&lt;0)),AND(ISNUMBER(H6),OR(H6&gt;Rubric!$C$5,H6&lt;0)),AND(ISNUMBER(I6),OR(I6&gt;Rubric!$C$6,I6&lt;0))),"above a maximum or below zero",IF(AND(E6="still stopped: presented from the executed notebook",ISNUMBER(I6),I6&gt;=Rubric!$C$6),"full marks on the MVP criterion need a demo that ran",IF(AND(COUNT(F6:I6)&gt;0,E6=""),"record the demo's outcome",IF(AND(COUNT(F6:I6)&gt;0,D6=""),"record Friday's cold run","ok"))))</f>
        <v/>
      </c>
      <c r="L6" s="10">
        <f>IF(E6="","record the demo's outcome",IF(E6="still stopped: presented from the executed notebook","the other 24 stand on the executed run; the MVP criterion cannot carry full marks",IF(E6="machine failed: demo waits for the reserve","run the demo in the room's reserve, then record its outcome",IF(E6="recovered within two minutes","the rule sets nothing for a recovery: the panel judges it within the MVP criterion","the live demo ran"))))</f>
        <v/>
      </c>
    </row>
    <row r="7">
      <c r="A7" s="6" t="inlineStr">
        <is>
          <t>G5</t>
        </is>
      </c>
      <c r="B7" s="6" t="n">
        <v>3</v>
      </c>
      <c r="C7" s="6" t="inlineStr">
        <is>
          <t>A</t>
        </is>
      </c>
      <c r="D7" s="9" t="n"/>
      <c r="E7" s="9" t="n"/>
      <c r="F7" s="9" t="n"/>
      <c r="G7" s="9" t="n"/>
      <c r="H7" s="9" t="n"/>
      <c r="I7" s="9" t="n"/>
      <c r="J7" s="6">
        <f>IF(COUNT(F7:I7)&lt;4,"incomplete",SUM(F7:I7))</f>
        <v/>
      </c>
      <c r="K7" s="6">
        <f>IF(OR(AND(ISNUMBER(F7),OR(F7&gt;Rubric!$C$3,F7&lt;0)),AND(ISNUMBER(G7),OR(G7&gt;Rubric!$C$4,G7&lt;0)),AND(ISNUMBER(H7),OR(H7&gt;Rubric!$C$5,H7&lt;0)),AND(ISNUMBER(I7),OR(I7&gt;Rubric!$C$6,I7&lt;0))),"above a maximum or below zero",IF(AND(E7="still stopped: presented from the executed notebook",ISNUMBER(I7),I7&gt;=Rubric!$C$6),"full marks on the MVP criterion need a demo that ran",IF(AND(COUNT(F7:I7)&gt;0,E7=""),"record the demo's outcome",IF(AND(COUNT(F7:I7)&gt;0,D7=""),"record Friday's cold run","ok"))))</f>
        <v/>
      </c>
      <c r="L7" s="10">
        <f>IF(E7="","record the demo's outcome",IF(E7="still stopped: presented from the executed notebook","the other 24 stand on the executed run; the MVP criterion cannot carry full marks",IF(E7="machine failed: demo waits for the reserve","run the demo in the room's reserve, then record its outcome",IF(E7="recovered within two minutes","the rule sets nothing for a recovery: the panel judges it within the MVP criterion","the live demo ran"))))</f>
        <v/>
      </c>
    </row>
    <row r="8">
      <c r="A8" s="6" t="inlineStr">
        <is>
          <t>G6</t>
        </is>
      </c>
      <c r="B8" s="6" t="n">
        <v>4</v>
      </c>
      <c r="C8" s="6" t="inlineStr">
        <is>
          <t>A</t>
        </is>
      </c>
      <c r="D8" s="9" t="n"/>
      <c r="E8" s="9" t="n"/>
      <c r="F8" s="9" t="n"/>
      <c r="G8" s="9" t="n"/>
      <c r="H8" s="9" t="n"/>
      <c r="I8" s="9" t="n"/>
      <c r="J8" s="6">
        <f>IF(COUNT(F8:I8)&lt;4,"incomplete",SUM(F8:I8))</f>
        <v/>
      </c>
      <c r="K8" s="6">
        <f>IF(OR(AND(ISNUMBER(F8),OR(F8&gt;Rubric!$C$3,F8&lt;0)),AND(ISNUMBER(G8),OR(G8&gt;Rubric!$C$4,G8&lt;0)),AND(ISNUMBER(H8),OR(H8&gt;Rubric!$C$5,H8&lt;0)),AND(ISNUMBER(I8),OR(I8&gt;Rubric!$C$6,I8&lt;0))),"above a maximum or below zero",IF(AND(E8="still stopped: presented from the executed notebook",ISNUMBER(I8),I8&gt;=Rubric!$C$6),"full marks on the MVP criterion need a demo that ran",IF(AND(COUNT(F8:I8)&gt;0,E8=""),"record the demo's outcome",IF(AND(COUNT(F8:I8)&gt;0,D8=""),"record Friday's cold run","ok"))))</f>
        <v/>
      </c>
      <c r="L8" s="10">
        <f>IF(E8="","record the demo's outcome",IF(E8="still stopped: presented from the executed notebook","the other 24 stand on the executed run; the MVP criterion cannot carry full marks",IF(E8="machine failed: demo waits for the reserve","run the demo in the room's reserve, then record its outcome",IF(E8="recovered within two minutes","the rule sets nothing for a recovery: the panel judges it within the MVP criterion","the live demo ran"))))</f>
        <v/>
      </c>
    </row>
    <row r="9">
      <c r="A9" s="6" t="inlineStr">
        <is>
          <t>G7</t>
        </is>
      </c>
      <c r="B9" s="6" t="n">
        <v>4</v>
      </c>
      <c r="C9" s="6" t="inlineStr">
        <is>
          <t>A</t>
        </is>
      </c>
      <c r="D9" s="9" t="n"/>
      <c r="E9" s="9" t="n"/>
      <c r="F9" s="9" t="n"/>
      <c r="G9" s="9" t="n"/>
      <c r="H9" s="9" t="n"/>
      <c r="I9" s="9" t="n"/>
      <c r="J9" s="6">
        <f>IF(COUNT(F9:I9)&lt;4,"incomplete",SUM(F9:I9))</f>
        <v/>
      </c>
      <c r="K9" s="6">
        <f>IF(OR(AND(ISNUMBER(F9),OR(F9&gt;Rubric!$C$3,F9&lt;0)),AND(ISNUMBER(G9),OR(G9&gt;Rubric!$C$4,G9&lt;0)),AND(ISNUMBER(H9),OR(H9&gt;Rubric!$C$5,H9&lt;0)),AND(ISNUMBER(I9),OR(I9&gt;Rubric!$C$6,I9&lt;0))),"above a maximum or below zero",IF(AND(E9="still stopped: presented from the executed notebook",ISNUMBER(I9),I9&gt;=Rubric!$C$6),"full marks on the MVP criterion need a demo that ran",IF(AND(COUNT(F9:I9)&gt;0,E9=""),"record the demo's outcome",IF(AND(COUNT(F9:I9)&gt;0,D9=""),"record Friday's cold run","ok"))))</f>
        <v/>
      </c>
      <c r="L9" s="10">
        <f>IF(E9="","record the demo's outcome",IF(E9="still stopped: presented from the executed notebook","the other 24 stand on the executed run; the MVP criterion cannot carry full marks",IF(E9="machine failed: demo waits for the reserve","run the demo in the room's reserve, then record its outcome",IF(E9="recovered within two minutes","the rule sets nothing for a recovery: the panel judges it within the MVP criterion","the live demo ran"))))</f>
        <v/>
      </c>
    </row>
    <row r="10">
      <c r="A10" s="6" t="inlineStr">
        <is>
          <t>G8</t>
        </is>
      </c>
      <c r="B10" s="6" t="n">
        <v>5</v>
      </c>
      <c r="C10" s="6" t="inlineStr">
        <is>
          <t>B</t>
        </is>
      </c>
      <c r="D10" s="9" t="n"/>
      <c r="E10" s="9" t="n"/>
      <c r="F10" s="9" t="n"/>
      <c r="G10" s="9" t="n"/>
      <c r="H10" s="9" t="n"/>
      <c r="I10" s="9" t="n"/>
      <c r="J10" s="6">
        <f>IF(COUNT(F10:I10)&lt;4,"incomplete",SUM(F10:I10))</f>
        <v/>
      </c>
      <c r="K10" s="6">
        <f>IF(OR(AND(ISNUMBER(F10),OR(F10&gt;Rubric!$C$3,F10&lt;0)),AND(ISNUMBER(G10),OR(G10&gt;Rubric!$C$4,G10&lt;0)),AND(ISNUMBER(H10),OR(H10&gt;Rubric!$C$5,H10&lt;0)),AND(ISNUMBER(I10),OR(I10&gt;Rubric!$C$6,I10&lt;0))),"above a maximum or below zero",IF(AND(E10="still stopped: presented from the executed notebook",ISNUMBER(I10),I10&gt;=Rubric!$C$6),"full marks on the MVP criterion need a demo that ran",IF(AND(COUNT(F10:I10)&gt;0,E10=""),"record the demo's outcome",IF(AND(COUNT(F10:I10)&gt;0,D10=""),"record Friday's cold run","ok"))))</f>
        <v/>
      </c>
      <c r="L10" s="10">
        <f>IF(E10="","record the demo's outcome",IF(E10="still stopped: presented from the executed notebook","the other 24 stand on the executed run; the MVP criterion cannot carry full marks",IF(E10="machine failed: demo waits for the reserve","run the demo in the room's reserve, then record its outcome",IF(E10="recovered within two minutes","the rule sets nothing for a recovery: the panel judges it within the MVP criterion","the live demo ran"))))</f>
        <v/>
      </c>
    </row>
    <row r="11">
      <c r="A11" s="6" t="inlineStr">
        <is>
          <t>G9</t>
        </is>
      </c>
      <c r="B11" s="6" t="n">
        <v>5</v>
      </c>
      <c r="C11" s="6" t="inlineStr">
        <is>
          <t>B</t>
        </is>
      </c>
      <c r="D11" s="9" t="n"/>
      <c r="E11" s="9" t="n"/>
      <c r="F11" s="9" t="n"/>
      <c r="G11" s="9" t="n"/>
      <c r="H11" s="9" t="n"/>
      <c r="I11" s="9" t="n"/>
      <c r="J11" s="6">
        <f>IF(COUNT(F11:I11)&lt;4,"incomplete",SUM(F11:I11))</f>
        <v/>
      </c>
      <c r="K11" s="6">
        <f>IF(OR(AND(ISNUMBER(F11),OR(F11&gt;Rubric!$C$3,F11&lt;0)),AND(ISNUMBER(G11),OR(G11&gt;Rubric!$C$4,G11&lt;0)),AND(ISNUMBER(H11),OR(H11&gt;Rubric!$C$5,H11&lt;0)),AND(ISNUMBER(I11),OR(I11&gt;Rubric!$C$6,I11&lt;0))),"above a maximum or below zero",IF(AND(E11="still stopped: presented from the executed notebook",ISNUMBER(I11),I11&gt;=Rubric!$C$6),"full marks on the MVP criterion need a demo that ran",IF(AND(COUNT(F11:I11)&gt;0,E11=""),"record the demo's outcome",IF(AND(COUNT(F11:I11)&gt;0,D11=""),"record Friday's cold run","ok"))))</f>
        <v/>
      </c>
      <c r="L11" s="10">
        <f>IF(E11="","record the demo's outcome",IF(E11="still stopped: presented from the executed notebook","the other 24 stand on the executed run; the MVP criterion cannot carry full marks",IF(E11="machine failed: demo waits for the reserve","run the demo in the room's reserve, then record its outcome",IF(E11="recovered within two minutes","the rule sets nothing for a recovery: the panel judges it within the MVP criterion","the live demo ran"))))</f>
        <v/>
      </c>
    </row>
    <row r="12">
      <c r="A12" s="6" t="inlineStr">
        <is>
          <t>G10</t>
        </is>
      </c>
      <c r="B12" s="6" t="n">
        <v>6</v>
      </c>
      <c r="C12" s="6" t="inlineStr">
        <is>
          <t>B</t>
        </is>
      </c>
      <c r="D12" s="9" t="n"/>
      <c r="E12" s="9" t="n"/>
      <c r="F12" s="9" t="n"/>
      <c r="G12" s="9" t="n"/>
      <c r="H12" s="9" t="n"/>
      <c r="I12" s="9" t="n"/>
      <c r="J12" s="6">
        <f>IF(COUNT(F12:I12)&lt;4,"incomplete",SUM(F12:I12))</f>
        <v/>
      </c>
      <c r="K12" s="6">
        <f>IF(OR(AND(ISNUMBER(F12),OR(F12&gt;Rubric!$C$3,F12&lt;0)),AND(ISNUMBER(G12),OR(G12&gt;Rubric!$C$4,G12&lt;0)),AND(ISNUMBER(H12),OR(H12&gt;Rubric!$C$5,H12&lt;0)),AND(ISNUMBER(I12),OR(I12&gt;Rubric!$C$6,I12&lt;0))),"above a maximum or below zero",IF(AND(E12="still stopped: presented from the executed notebook",ISNUMBER(I12),I12&gt;=Rubric!$C$6),"full marks on the MVP criterion need a demo that ran",IF(AND(COUNT(F12:I12)&gt;0,E12=""),"record the demo's outcome",IF(AND(COUNT(F12:I12)&gt;0,D12=""),"record Friday's cold run","ok"))))</f>
        <v/>
      </c>
      <c r="L12" s="10">
        <f>IF(E12="","record the demo's outcome",IF(E12="still stopped: presented from the executed notebook","the other 24 stand on the executed run; the MVP criterion cannot carry full marks",IF(E12="machine failed: demo waits for the reserve","run the demo in the room's reserve, then record its outcome",IF(E12="recovered within two minutes","the rule sets nothing for a recovery: the panel judges it within the MVP criterion","the live demo ran"))))</f>
        <v/>
      </c>
    </row>
    <row r="13">
      <c r="A13" s="6" t="inlineStr">
        <is>
          <t>G11</t>
        </is>
      </c>
      <c r="B13" s="6" t="n">
        <v>6</v>
      </c>
      <c r="C13" s="6" t="inlineStr">
        <is>
          <t>B</t>
        </is>
      </c>
      <c r="D13" s="9" t="n"/>
      <c r="E13" s="9" t="n"/>
      <c r="F13" s="9" t="n"/>
      <c r="G13" s="9" t="n"/>
      <c r="H13" s="9" t="n"/>
      <c r="I13" s="9" t="n"/>
      <c r="J13" s="6">
        <f>IF(COUNT(F13:I13)&lt;4,"incomplete",SUM(F13:I13))</f>
        <v/>
      </c>
      <c r="K13" s="6">
        <f>IF(OR(AND(ISNUMBER(F13),OR(F13&gt;Rubric!$C$3,F13&lt;0)),AND(ISNUMBER(G13),OR(G13&gt;Rubric!$C$4,G13&lt;0)),AND(ISNUMBER(H13),OR(H13&gt;Rubric!$C$5,H13&lt;0)),AND(ISNUMBER(I13),OR(I13&gt;Rubric!$C$6,I13&lt;0))),"above a maximum or below zero",IF(AND(E13="still stopped: presented from the executed notebook",ISNUMBER(I13),I13&gt;=Rubric!$C$6),"full marks on the MVP criterion need a demo that ran",IF(AND(COUNT(F13:I13)&gt;0,E13=""),"record the demo's outcome",IF(AND(COUNT(F13:I13)&gt;0,D13=""),"record Friday's cold run","ok"))))</f>
        <v/>
      </c>
      <c r="L13" s="10">
        <f>IF(E13="","record the demo's outcome",IF(E13="still stopped: presented from the executed notebook","the other 24 stand on the executed run; the MVP criterion cannot carry full marks",IF(E13="machine failed: demo waits for the reserve","run the demo in the room's reserve, then record its outcome",IF(E13="recovered within two minutes","the rule sets nothing for a recovery: the panel judges it within the MVP criterion","the live demo ran"))))</f>
        <v/>
      </c>
    </row>
    <row r="14">
      <c r="A14" s="6" t="inlineStr">
        <is>
          <t>G12</t>
        </is>
      </c>
      <c r="B14" s="6" t="n">
        <v>7</v>
      </c>
      <c r="C14" s="6" t="inlineStr">
        <is>
          <t>B</t>
        </is>
      </c>
      <c r="D14" s="9" t="n"/>
      <c r="E14" s="9" t="n"/>
      <c r="F14" s="9" t="n"/>
      <c r="G14" s="9" t="n"/>
      <c r="H14" s="9" t="n"/>
      <c r="I14" s="9" t="n"/>
      <c r="J14" s="6">
        <f>IF(COUNT(F14:I14)&lt;4,"incomplete",SUM(F14:I14))</f>
        <v/>
      </c>
      <c r="K14" s="6">
        <f>IF(OR(AND(ISNUMBER(F14),OR(F14&gt;Rubric!$C$3,F14&lt;0)),AND(ISNUMBER(G14),OR(G14&gt;Rubric!$C$4,G14&lt;0)),AND(ISNUMBER(H14),OR(H14&gt;Rubric!$C$5,H14&lt;0)),AND(ISNUMBER(I14),OR(I14&gt;Rubric!$C$6,I14&lt;0))),"above a maximum or below zero",IF(AND(E14="still stopped: presented from the executed notebook",ISNUMBER(I14),I14&gt;=Rubric!$C$6),"full marks on the MVP criterion need a demo that ran",IF(AND(COUNT(F14:I14)&gt;0,E14=""),"record the demo's outcome",IF(AND(COUNT(F14:I14)&gt;0,D14=""),"record Friday's cold run","ok"))))</f>
        <v/>
      </c>
      <c r="L14" s="10">
        <f>IF(E14="","record the demo's outcome",IF(E14="still stopped: presented from the executed notebook","the other 24 stand on the executed run; the MVP criterion cannot carry full marks",IF(E14="machine failed: demo waits for the reserve","run the demo in the room's reserve, then record its outcome",IF(E14="recovered within two minutes","the rule sets nothing for a recovery: the panel judges it within the MVP criterion","the live demo ran"))))</f>
        <v/>
      </c>
    </row>
    <row r="15">
      <c r="A15" s="6" t="inlineStr">
        <is>
          <t>G13</t>
        </is>
      </c>
      <c r="B15" s="6" t="n">
        <v>8</v>
      </c>
      <c r="C15" s="6" t="inlineStr">
        <is>
          <t>B</t>
        </is>
      </c>
      <c r="D15" s="9" t="n"/>
      <c r="E15" s="9" t="n"/>
      <c r="F15" s="9" t="n"/>
      <c r="G15" s="9" t="n"/>
      <c r="H15" s="9" t="n"/>
      <c r="I15" s="9" t="n"/>
      <c r="J15" s="6">
        <f>IF(COUNT(F15:I15)&lt;4,"incomplete",SUM(F15:I15))</f>
        <v/>
      </c>
      <c r="K15" s="6">
        <f>IF(OR(AND(ISNUMBER(F15),OR(F15&gt;Rubric!$C$3,F15&lt;0)),AND(ISNUMBER(G15),OR(G15&gt;Rubric!$C$4,G15&lt;0)),AND(ISNUMBER(H15),OR(H15&gt;Rubric!$C$5,H15&lt;0)),AND(ISNUMBER(I15),OR(I15&gt;Rubric!$C$6,I15&lt;0))),"above a maximum or below zero",IF(AND(E15="still stopped: presented from the executed notebook",ISNUMBER(I15),I15&gt;=Rubric!$C$6),"full marks on the MVP criterion need a demo that ran",IF(AND(COUNT(F15:I15)&gt;0,E15=""),"record the demo's outcome",IF(AND(COUNT(F15:I15)&gt;0,D15=""),"record Friday's cold run","ok"))))</f>
        <v/>
      </c>
      <c r="L15" s="10">
        <f>IF(E15="","record the demo's outcome",IF(E15="still stopped: presented from the executed notebook","the other 24 stand on the executed run; the MVP criterion cannot carry full marks",IF(E15="machine failed: demo waits for the reserve","run the demo in the room's reserve, then record its outcome",IF(E15="recovered within two minutes","the rule sets nothing for a recovery: the panel judges it within the MVP criterion","the live demo ran"))))</f>
        <v/>
      </c>
    </row>
  </sheetData>
  <dataValidations count="2">
    <dataValidation sqref="D3 D4 D5 D6 D7 D8 D9 D10 D11 D12 D13 D14 D15" showDropDown="0" showInputMessage="0" showErrorMessage="0" allowBlank="1" type="list">
      <formula1>"ran cold,stopped"</formula1>
    </dataValidation>
    <dataValidation sqref="E3 E4 E5 E6 E7 E8 E9 E10 E11 E12 E13 E14 E15" showDropDown="0" showInputMessage="0" showErrorMessage="0" allowBlank="1" type="list">
      <formula1>"ran from a fresh start,recovered within two minutes,still stopped: presented from the executed notebook,machine failed: demo waits for the reserve"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2" customWidth="1" min="3" max="3"/>
    <col width="7" customWidth="1" min="4" max="4"/>
    <col width="9" customWidth="1" min="5" max="5"/>
    <col width="12" customWidth="1" min="6" max="6"/>
  </cols>
  <sheetData>
    <row r="1">
      <c r="A1" s="4" t="inlineStr">
        <is>
          <t>Seats: 39 seats, three per group, never a name</t>
        </is>
      </c>
    </row>
    <row r="2" ht="44" customHeight="1">
      <c r="A2" s="5" t="inlineStr">
        <is>
          <t>Group</t>
        </is>
      </c>
      <c r="B2" s="5" t="inlineStr">
        <is>
          <t>Seat</t>
        </is>
      </c>
      <c r="C2" s="5" t="inlineStr">
        <is>
          <t>In use (Y or N)</t>
        </is>
      </c>
      <c r="D2" s="5" t="inlineStr">
        <is>
          <t>Card</t>
        </is>
      </c>
      <c r="E2" s="5" t="inlineStr">
        <is>
          <t>GD room</t>
        </is>
      </c>
      <c r="F2" s="5" t="inlineStr">
        <is>
          <t>Saturday room</t>
        </is>
      </c>
    </row>
    <row r="3">
      <c r="A3" s="6" t="inlineStr">
        <is>
          <t>G1</t>
        </is>
      </c>
      <c r="B3" s="6" t="n">
        <v>1</v>
      </c>
      <c r="C3" s="9" t="inlineStr">
        <is>
          <t>Y</t>
        </is>
      </c>
      <c r="D3" s="6" t="n">
        <v>1</v>
      </c>
      <c r="E3" s="6" t="inlineStr">
        <is>
          <t>1</t>
        </is>
      </c>
      <c r="F3" s="6" t="inlineStr">
        <is>
          <t>A</t>
        </is>
      </c>
    </row>
    <row r="4">
      <c r="A4" s="6" t="inlineStr">
        <is>
          <t>G1</t>
        </is>
      </c>
      <c r="B4" s="6" t="n">
        <v>2</v>
      </c>
      <c r="C4" s="9" t="inlineStr">
        <is>
          <t>Y</t>
        </is>
      </c>
      <c r="D4" s="6" t="n">
        <v>1</v>
      </c>
      <c r="E4" s="6" t="inlineStr">
        <is>
          <t>1</t>
        </is>
      </c>
      <c r="F4" s="6" t="inlineStr">
        <is>
          <t>A</t>
        </is>
      </c>
    </row>
    <row r="5">
      <c r="A5" s="6" t="inlineStr">
        <is>
          <t>G1</t>
        </is>
      </c>
      <c r="B5" s="6" t="n">
        <v>3</v>
      </c>
      <c r="C5" s="9" t="inlineStr">
        <is>
          <t>Y</t>
        </is>
      </c>
      <c r="D5" s="6" t="n">
        <v>1</v>
      </c>
      <c r="E5" s="6" t="inlineStr">
        <is>
          <t>1</t>
        </is>
      </c>
      <c r="F5" s="6" t="inlineStr">
        <is>
          <t>A</t>
        </is>
      </c>
    </row>
    <row r="6">
      <c r="A6" s="6" t="inlineStr">
        <is>
          <t>G2</t>
        </is>
      </c>
      <c r="B6" s="6" t="n">
        <v>1</v>
      </c>
      <c r="C6" s="9" t="inlineStr">
        <is>
          <t>Y</t>
        </is>
      </c>
      <c r="D6" s="6" t="n">
        <v>1</v>
      </c>
      <c r="E6" s="6" t="inlineStr">
        <is>
          <t>1</t>
        </is>
      </c>
      <c r="F6" s="6" t="inlineStr">
        <is>
          <t>A</t>
        </is>
      </c>
    </row>
    <row r="7">
      <c r="A7" s="6" t="inlineStr">
        <is>
          <t>G2</t>
        </is>
      </c>
      <c r="B7" s="6" t="n">
        <v>2</v>
      </c>
      <c r="C7" s="9" t="inlineStr">
        <is>
          <t>Y</t>
        </is>
      </c>
      <c r="D7" s="6" t="n">
        <v>1</v>
      </c>
      <c r="E7" s="6" t="inlineStr">
        <is>
          <t>1</t>
        </is>
      </c>
      <c r="F7" s="6" t="inlineStr">
        <is>
          <t>A</t>
        </is>
      </c>
    </row>
    <row r="8">
      <c r="A8" s="6" t="inlineStr">
        <is>
          <t>G2</t>
        </is>
      </c>
      <c r="B8" s="6" t="n">
        <v>3</v>
      </c>
      <c r="C8" s="9" t="inlineStr">
        <is>
          <t>Y</t>
        </is>
      </c>
      <c r="D8" s="6" t="n">
        <v>1</v>
      </c>
      <c r="E8" s="6" t="inlineStr">
        <is>
          <t>1</t>
        </is>
      </c>
      <c r="F8" s="6" t="inlineStr">
        <is>
          <t>A</t>
        </is>
      </c>
    </row>
    <row r="9">
      <c r="A9" s="6" t="inlineStr">
        <is>
          <t>G3</t>
        </is>
      </c>
      <c r="B9" s="6" t="n">
        <v>1</v>
      </c>
      <c r="C9" s="9" t="inlineStr">
        <is>
          <t>Y</t>
        </is>
      </c>
      <c r="D9" s="6" t="n">
        <v>2</v>
      </c>
      <c r="E9" s="6" t="inlineStr">
        <is>
          <t>1</t>
        </is>
      </c>
      <c r="F9" s="6" t="inlineStr">
        <is>
          <t>A</t>
        </is>
      </c>
    </row>
    <row r="10">
      <c r="A10" s="6" t="inlineStr">
        <is>
          <t>G3</t>
        </is>
      </c>
      <c r="B10" s="6" t="n">
        <v>2</v>
      </c>
      <c r="C10" s="9" t="inlineStr">
        <is>
          <t>Y</t>
        </is>
      </c>
      <c r="D10" s="6" t="n">
        <v>2</v>
      </c>
      <c r="E10" s="6" t="inlineStr">
        <is>
          <t>1</t>
        </is>
      </c>
      <c r="F10" s="6" t="inlineStr">
        <is>
          <t>A</t>
        </is>
      </c>
    </row>
    <row r="11">
      <c r="A11" s="6" t="inlineStr">
        <is>
          <t>G3</t>
        </is>
      </c>
      <c r="B11" s="6" t="n">
        <v>3</v>
      </c>
      <c r="C11" s="9" t="inlineStr">
        <is>
          <t>Y</t>
        </is>
      </c>
      <c r="D11" s="6" t="n">
        <v>2</v>
      </c>
      <c r="E11" s="6" t="inlineStr">
        <is>
          <t>1</t>
        </is>
      </c>
      <c r="F11" s="6" t="inlineStr">
        <is>
          <t>A</t>
        </is>
      </c>
    </row>
    <row r="12">
      <c r="A12" s="6" t="inlineStr">
        <is>
          <t>G4</t>
        </is>
      </c>
      <c r="B12" s="6" t="n">
        <v>1</v>
      </c>
      <c r="C12" s="9" t="inlineStr">
        <is>
          <t>Y</t>
        </is>
      </c>
      <c r="D12" s="6" t="n">
        <v>2</v>
      </c>
      <c r="E12" s="6" t="inlineStr">
        <is>
          <t>1</t>
        </is>
      </c>
      <c r="F12" s="6" t="inlineStr">
        <is>
          <t>A</t>
        </is>
      </c>
    </row>
    <row r="13">
      <c r="A13" s="6" t="inlineStr">
        <is>
          <t>G4</t>
        </is>
      </c>
      <c r="B13" s="6" t="n">
        <v>2</v>
      </c>
      <c r="C13" s="9" t="inlineStr">
        <is>
          <t>Y</t>
        </is>
      </c>
      <c r="D13" s="6" t="n">
        <v>2</v>
      </c>
      <c r="E13" s="6" t="inlineStr">
        <is>
          <t>1</t>
        </is>
      </c>
      <c r="F13" s="6" t="inlineStr">
        <is>
          <t>A</t>
        </is>
      </c>
    </row>
    <row r="14">
      <c r="A14" s="6" t="inlineStr">
        <is>
          <t>G4</t>
        </is>
      </c>
      <c r="B14" s="6" t="n">
        <v>3</v>
      </c>
      <c r="C14" s="9" t="inlineStr">
        <is>
          <t>Y</t>
        </is>
      </c>
      <c r="D14" s="6" t="n">
        <v>2</v>
      </c>
      <c r="E14" s="6" t="inlineStr">
        <is>
          <t>1</t>
        </is>
      </c>
      <c r="F14" s="6" t="inlineStr">
        <is>
          <t>A</t>
        </is>
      </c>
    </row>
    <row r="15">
      <c r="A15" s="6" t="inlineStr">
        <is>
          <t>G5</t>
        </is>
      </c>
      <c r="B15" s="6" t="n">
        <v>1</v>
      </c>
      <c r="C15" s="9" t="inlineStr">
        <is>
          <t>Y</t>
        </is>
      </c>
      <c r="D15" s="6" t="n">
        <v>3</v>
      </c>
      <c r="E15" s="6" t="inlineStr">
        <is>
          <t>1</t>
        </is>
      </c>
      <c r="F15" s="6" t="inlineStr">
        <is>
          <t>A</t>
        </is>
      </c>
    </row>
    <row r="16">
      <c r="A16" s="6" t="inlineStr">
        <is>
          <t>G5</t>
        </is>
      </c>
      <c r="B16" s="6" t="n">
        <v>2</v>
      </c>
      <c r="C16" s="9" t="inlineStr">
        <is>
          <t>Y</t>
        </is>
      </c>
      <c r="D16" s="6" t="n">
        <v>3</v>
      </c>
      <c r="E16" s="6" t="inlineStr">
        <is>
          <t>1</t>
        </is>
      </c>
      <c r="F16" s="6" t="inlineStr">
        <is>
          <t>A</t>
        </is>
      </c>
    </row>
    <row r="17">
      <c r="A17" s="6" t="inlineStr">
        <is>
          <t>G5</t>
        </is>
      </c>
      <c r="B17" s="6" t="n">
        <v>3</v>
      </c>
      <c r="C17" s="9" t="inlineStr">
        <is>
          <t>Y</t>
        </is>
      </c>
      <c r="D17" s="6" t="n">
        <v>3</v>
      </c>
      <c r="E17" s="6" t="inlineStr">
        <is>
          <t>1</t>
        </is>
      </c>
      <c r="F17" s="6" t="inlineStr">
        <is>
          <t>A</t>
        </is>
      </c>
    </row>
    <row r="18">
      <c r="A18" s="6" t="inlineStr">
        <is>
          <t>G6</t>
        </is>
      </c>
      <c r="B18" s="6" t="n">
        <v>1</v>
      </c>
      <c r="C18" s="9" t="inlineStr">
        <is>
          <t>Y</t>
        </is>
      </c>
      <c r="D18" s="6" t="n">
        <v>4</v>
      </c>
      <c r="E18" s="6" t="inlineStr">
        <is>
          <t>1</t>
        </is>
      </c>
      <c r="F18" s="6" t="inlineStr">
        <is>
          <t>A</t>
        </is>
      </c>
    </row>
    <row r="19">
      <c r="A19" s="6" t="inlineStr">
        <is>
          <t>G6</t>
        </is>
      </c>
      <c r="B19" s="6" t="n">
        <v>2</v>
      </c>
      <c r="C19" s="9" t="inlineStr">
        <is>
          <t>Y</t>
        </is>
      </c>
      <c r="D19" s="6" t="n">
        <v>4</v>
      </c>
      <c r="E19" s="6" t="inlineStr">
        <is>
          <t>1</t>
        </is>
      </c>
      <c r="F19" s="6" t="inlineStr">
        <is>
          <t>A</t>
        </is>
      </c>
    </row>
    <row r="20">
      <c r="A20" s="6" t="inlineStr">
        <is>
          <t>G6</t>
        </is>
      </c>
      <c r="B20" s="6" t="n">
        <v>3</v>
      </c>
      <c r="C20" s="9" t="inlineStr">
        <is>
          <t>Y</t>
        </is>
      </c>
      <c r="D20" s="6" t="n">
        <v>4</v>
      </c>
      <c r="E20" s="6" t="inlineStr">
        <is>
          <t>1</t>
        </is>
      </c>
      <c r="F20" s="6" t="inlineStr">
        <is>
          <t>A</t>
        </is>
      </c>
    </row>
    <row r="21">
      <c r="A21" s="6" t="inlineStr">
        <is>
          <t>G7</t>
        </is>
      </c>
      <c r="B21" s="6" t="n">
        <v>1</v>
      </c>
      <c r="C21" s="9" t="inlineStr">
        <is>
          <t>Y</t>
        </is>
      </c>
      <c r="D21" s="6" t="n">
        <v>4</v>
      </c>
      <c r="E21" s="6" t="inlineStr">
        <is>
          <t>1</t>
        </is>
      </c>
      <c r="F21" s="6" t="inlineStr">
        <is>
          <t>A</t>
        </is>
      </c>
    </row>
    <row r="22">
      <c r="A22" s="6" t="inlineStr">
        <is>
          <t>G7</t>
        </is>
      </c>
      <c r="B22" s="6" t="n">
        <v>2</v>
      </c>
      <c r="C22" s="9" t="inlineStr">
        <is>
          <t>Y</t>
        </is>
      </c>
      <c r="D22" s="6" t="n">
        <v>4</v>
      </c>
      <c r="E22" s="6" t="inlineStr">
        <is>
          <t>1</t>
        </is>
      </c>
      <c r="F22" s="6" t="inlineStr">
        <is>
          <t>A</t>
        </is>
      </c>
    </row>
    <row r="23">
      <c r="A23" s="6" t="inlineStr">
        <is>
          <t>G7</t>
        </is>
      </c>
      <c r="B23" s="6" t="n">
        <v>3</v>
      </c>
      <c r="C23" s="9" t="inlineStr">
        <is>
          <t>Y</t>
        </is>
      </c>
      <c r="D23" s="6" t="n">
        <v>4</v>
      </c>
      <c r="E23" s="6" t="inlineStr">
        <is>
          <t>1</t>
        </is>
      </c>
      <c r="F23" s="6" t="inlineStr">
        <is>
          <t>A</t>
        </is>
      </c>
    </row>
    <row r="24">
      <c r="A24" s="6" t="inlineStr">
        <is>
          <t>G8</t>
        </is>
      </c>
      <c r="B24" s="6" t="n">
        <v>1</v>
      </c>
      <c r="C24" s="9" t="inlineStr">
        <is>
          <t>Y</t>
        </is>
      </c>
      <c r="D24" s="6" t="n">
        <v>5</v>
      </c>
      <c r="E24" s="6" t="inlineStr">
        <is>
          <t>2</t>
        </is>
      </c>
      <c r="F24" s="6" t="inlineStr">
        <is>
          <t>B</t>
        </is>
      </c>
    </row>
    <row r="25">
      <c r="A25" s="6" t="inlineStr">
        <is>
          <t>G8</t>
        </is>
      </c>
      <c r="B25" s="6" t="n">
        <v>2</v>
      </c>
      <c r="C25" s="9" t="inlineStr">
        <is>
          <t>Y</t>
        </is>
      </c>
      <c r="D25" s="6" t="n">
        <v>5</v>
      </c>
      <c r="E25" s="6" t="inlineStr">
        <is>
          <t>2</t>
        </is>
      </c>
      <c r="F25" s="6" t="inlineStr">
        <is>
          <t>B</t>
        </is>
      </c>
    </row>
    <row r="26">
      <c r="A26" s="6" t="inlineStr">
        <is>
          <t>G8</t>
        </is>
      </c>
      <c r="B26" s="6" t="n">
        <v>3</v>
      </c>
      <c r="C26" s="9" t="inlineStr">
        <is>
          <t>Y</t>
        </is>
      </c>
      <c r="D26" s="6" t="n">
        <v>5</v>
      </c>
      <c r="E26" s="6" t="inlineStr">
        <is>
          <t>2</t>
        </is>
      </c>
      <c r="F26" s="6" t="inlineStr">
        <is>
          <t>B</t>
        </is>
      </c>
    </row>
    <row r="27">
      <c r="A27" s="6" t="inlineStr">
        <is>
          <t>G9</t>
        </is>
      </c>
      <c r="B27" s="6" t="n">
        <v>1</v>
      </c>
      <c r="C27" s="9" t="inlineStr">
        <is>
          <t>Y</t>
        </is>
      </c>
      <c r="D27" s="6" t="n">
        <v>5</v>
      </c>
      <c r="E27" s="6" t="inlineStr">
        <is>
          <t>2</t>
        </is>
      </c>
      <c r="F27" s="6" t="inlineStr">
        <is>
          <t>B</t>
        </is>
      </c>
    </row>
    <row r="28">
      <c r="A28" s="6" t="inlineStr">
        <is>
          <t>G9</t>
        </is>
      </c>
      <c r="B28" s="6" t="n">
        <v>2</v>
      </c>
      <c r="C28" s="9" t="inlineStr">
        <is>
          <t>Y</t>
        </is>
      </c>
      <c r="D28" s="6" t="n">
        <v>5</v>
      </c>
      <c r="E28" s="6" t="inlineStr">
        <is>
          <t>2</t>
        </is>
      </c>
      <c r="F28" s="6" t="inlineStr">
        <is>
          <t>B</t>
        </is>
      </c>
    </row>
    <row r="29">
      <c r="A29" s="6" t="inlineStr">
        <is>
          <t>G9</t>
        </is>
      </c>
      <c r="B29" s="6" t="n">
        <v>3</v>
      </c>
      <c r="C29" s="9" t="inlineStr">
        <is>
          <t>Y</t>
        </is>
      </c>
      <c r="D29" s="6" t="n">
        <v>5</v>
      </c>
      <c r="E29" s="6" t="inlineStr">
        <is>
          <t>2</t>
        </is>
      </c>
      <c r="F29" s="6" t="inlineStr">
        <is>
          <t>B</t>
        </is>
      </c>
    </row>
    <row r="30">
      <c r="A30" s="6" t="inlineStr">
        <is>
          <t>G10</t>
        </is>
      </c>
      <c r="B30" s="6" t="n">
        <v>1</v>
      </c>
      <c r="C30" s="9" t="inlineStr">
        <is>
          <t>Y</t>
        </is>
      </c>
      <c r="D30" s="6" t="n">
        <v>6</v>
      </c>
      <c r="E30" s="6" t="inlineStr">
        <is>
          <t>2</t>
        </is>
      </c>
      <c r="F30" s="6" t="inlineStr">
        <is>
          <t>B</t>
        </is>
      </c>
    </row>
    <row r="31">
      <c r="A31" s="6" t="inlineStr">
        <is>
          <t>G10</t>
        </is>
      </c>
      <c r="B31" s="6" t="n">
        <v>2</v>
      </c>
      <c r="C31" s="9" t="inlineStr">
        <is>
          <t>Y</t>
        </is>
      </c>
      <c r="D31" s="6" t="n">
        <v>6</v>
      </c>
      <c r="E31" s="6" t="inlineStr">
        <is>
          <t>2</t>
        </is>
      </c>
      <c r="F31" s="6" t="inlineStr">
        <is>
          <t>B</t>
        </is>
      </c>
    </row>
    <row r="32">
      <c r="A32" s="6" t="inlineStr">
        <is>
          <t>G10</t>
        </is>
      </c>
      <c r="B32" s="6" t="n">
        <v>3</v>
      </c>
      <c r="C32" s="9" t="inlineStr">
        <is>
          <t>Y</t>
        </is>
      </c>
      <c r="D32" s="6" t="n">
        <v>6</v>
      </c>
      <c r="E32" s="6" t="inlineStr">
        <is>
          <t>2</t>
        </is>
      </c>
      <c r="F32" s="6" t="inlineStr">
        <is>
          <t>B</t>
        </is>
      </c>
    </row>
    <row r="33">
      <c r="A33" s="6" t="inlineStr">
        <is>
          <t>G11</t>
        </is>
      </c>
      <c r="B33" s="6" t="n">
        <v>1</v>
      </c>
      <c r="C33" s="9" t="inlineStr">
        <is>
          <t>Y</t>
        </is>
      </c>
      <c r="D33" s="6" t="n">
        <v>6</v>
      </c>
      <c r="E33" s="6" t="inlineStr">
        <is>
          <t>2</t>
        </is>
      </c>
      <c r="F33" s="6" t="inlineStr">
        <is>
          <t>B</t>
        </is>
      </c>
    </row>
    <row r="34">
      <c r="A34" s="6" t="inlineStr">
        <is>
          <t>G11</t>
        </is>
      </c>
      <c r="B34" s="6" t="n">
        <v>2</v>
      </c>
      <c r="C34" s="9" t="inlineStr">
        <is>
          <t>Y</t>
        </is>
      </c>
      <c r="D34" s="6" t="n">
        <v>6</v>
      </c>
      <c r="E34" s="6" t="inlineStr">
        <is>
          <t>2</t>
        </is>
      </c>
      <c r="F34" s="6" t="inlineStr">
        <is>
          <t>B</t>
        </is>
      </c>
    </row>
    <row r="35">
      <c r="A35" s="6" t="inlineStr">
        <is>
          <t>G11</t>
        </is>
      </c>
      <c r="B35" s="6" t="n">
        <v>3</v>
      </c>
      <c r="C35" s="9" t="inlineStr">
        <is>
          <t>Y</t>
        </is>
      </c>
      <c r="D35" s="6" t="n">
        <v>6</v>
      </c>
      <c r="E35" s="6" t="inlineStr">
        <is>
          <t>2</t>
        </is>
      </c>
      <c r="F35" s="6" t="inlineStr">
        <is>
          <t>B</t>
        </is>
      </c>
    </row>
    <row r="36">
      <c r="A36" s="6" t="inlineStr">
        <is>
          <t>G12</t>
        </is>
      </c>
      <c r="B36" s="6" t="n">
        <v>1</v>
      </c>
      <c r="C36" s="9" t="inlineStr">
        <is>
          <t>Y</t>
        </is>
      </c>
      <c r="D36" s="6" t="n">
        <v>7</v>
      </c>
      <c r="E36" s="6" t="inlineStr">
        <is>
          <t>2</t>
        </is>
      </c>
      <c r="F36" s="6" t="inlineStr">
        <is>
          <t>B</t>
        </is>
      </c>
    </row>
    <row r="37">
      <c r="A37" s="6" t="inlineStr">
        <is>
          <t>G12</t>
        </is>
      </c>
      <c r="B37" s="6" t="n">
        <v>2</v>
      </c>
      <c r="C37" s="9" t="inlineStr">
        <is>
          <t>Y</t>
        </is>
      </c>
      <c r="D37" s="6" t="n">
        <v>7</v>
      </c>
      <c r="E37" s="6" t="inlineStr">
        <is>
          <t>2</t>
        </is>
      </c>
      <c r="F37" s="6" t="inlineStr">
        <is>
          <t>B</t>
        </is>
      </c>
    </row>
    <row r="38">
      <c r="A38" s="6" t="inlineStr">
        <is>
          <t>G12</t>
        </is>
      </c>
      <c r="B38" s="6" t="n">
        <v>3</v>
      </c>
      <c r="C38" s="9" t="inlineStr">
        <is>
          <t>Y</t>
        </is>
      </c>
      <c r="D38" s="6" t="n">
        <v>7</v>
      </c>
      <c r="E38" s="6" t="inlineStr">
        <is>
          <t>2</t>
        </is>
      </c>
      <c r="F38" s="6" t="inlineStr">
        <is>
          <t>B</t>
        </is>
      </c>
    </row>
    <row r="39">
      <c r="A39" s="6" t="inlineStr">
        <is>
          <t>G13</t>
        </is>
      </c>
      <c r="B39" s="6" t="n">
        <v>1</v>
      </c>
      <c r="C39" s="9" t="inlineStr">
        <is>
          <t>Y</t>
        </is>
      </c>
      <c r="D39" s="6" t="n">
        <v>8</v>
      </c>
      <c r="E39" s="6" t="inlineStr">
        <is>
          <t>2</t>
        </is>
      </c>
      <c r="F39" s="6" t="inlineStr">
        <is>
          <t>B</t>
        </is>
      </c>
    </row>
    <row r="40">
      <c r="A40" s="6" t="inlineStr">
        <is>
          <t>G13</t>
        </is>
      </c>
      <c r="B40" s="6" t="n">
        <v>2</v>
      </c>
      <c r="C40" s="9" t="inlineStr">
        <is>
          <t>Y</t>
        </is>
      </c>
      <c r="D40" s="6" t="n">
        <v>8</v>
      </c>
      <c r="E40" s="6" t="inlineStr">
        <is>
          <t>2</t>
        </is>
      </c>
      <c r="F40" s="6" t="inlineStr">
        <is>
          <t>B</t>
        </is>
      </c>
    </row>
    <row r="41">
      <c r="A41" s="6" t="inlineStr">
        <is>
          <t>G13</t>
        </is>
      </c>
      <c r="B41" s="6" t="n">
        <v>3</v>
      </c>
      <c r="C41" s="9" t="inlineStr">
        <is>
          <t>Y</t>
        </is>
      </c>
      <c r="D41" s="6" t="n">
        <v>8</v>
      </c>
      <c r="E41" s="6" t="inlineStr">
        <is>
          <t>2</t>
        </is>
      </c>
      <c r="F41" s="6" t="inlineStr">
        <is>
          <t>B</t>
        </is>
      </c>
    </row>
  </sheetData>
  <dataValidations count="1">
    <dataValidation sqref="C3 C4 C5 C6 C7 C8 C9 C10 C11 C12 C13 C14 C15 C16 C17 C18 C19 C20 C21 C22 C23 C24 C25 C26 C27 C28 C29 C30 C31 C32 C33 C34 C35 C36 C37 C38 C39 C40 C41" showDropDown="0" showInputMessage="0" showErrorMessage="0" allowBlank="0"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2" customWidth="1" min="3" max="3"/>
    <col width="16" customWidth="1" min="4" max="4"/>
    <col width="16" customWidth="1" min="5" max="5"/>
    <col width="14" customWidth="1" min="6" max="6"/>
    <col width="12" customWidth="1" min="7" max="7"/>
    <col width="10" customWidth="1" min="8" max="8"/>
    <col width="12" customWidth="1" min="9" max="9"/>
    <col width="12" customWidth="1" min="10" max="10"/>
    <col width="10" customWidth="1" min="11" max="11"/>
    <col width="11" customWidth="1" min="12" max="12"/>
    <col width="10" customWidth="1" min="13" max="13"/>
    <col width="34" customWidth="1" min="14" max="14"/>
  </cols>
  <sheetData>
    <row r="1">
      <c r="A1" s="4" t="inlineStr">
        <is>
          <t>Mock R2: the viva inside Thursday's gate and the written sheet, per learner (PROPOSED)</t>
        </is>
      </c>
    </row>
    <row r="2" ht="44" customHeight="1">
      <c r="A2" s="5" t="inlineStr">
        <is>
          <t>Group</t>
        </is>
      </c>
      <c r="B2" s="5" t="inlineStr">
        <is>
          <t>Seat</t>
        </is>
      </c>
      <c r="C2" s="5" t="inlineStr">
        <is>
          <t>Passport at the gate</t>
        </is>
      </c>
      <c r="D2" s="5" t="inlineStr">
        <is>
          <t>Friday retake</t>
        </is>
      </c>
      <c r="E2" s="5" t="inlineStr">
        <is>
          <t>The translation, with one decision defended by evidence (of 6)</t>
        </is>
      </c>
      <c r="F2" s="5" t="inlineStr">
        <is>
          <t>Defending a caveat under challenge (of 6)</t>
        </is>
      </c>
      <c r="G2" s="5" t="inlineStr">
        <is>
          <t>What they would do differently (of 3)</t>
        </is>
      </c>
      <c r="H2" s="5" t="inlineStr">
        <is>
          <t>Viva (of 15)</t>
        </is>
      </c>
      <c r="I2" s="5" t="inlineStr">
        <is>
          <t>A. One correct option (of 6)</t>
        </is>
      </c>
      <c r="J2" s="5" t="inlineStr">
        <is>
          <t>B. More than one correct (of 3)</t>
        </is>
      </c>
      <c r="K2" s="5" t="inlineStr">
        <is>
          <t>C. Applied maths (of 6)</t>
        </is>
      </c>
      <c r="L2" s="5" t="inlineStr">
        <is>
          <t>Written (of 15)</t>
        </is>
      </c>
      <c r="M2" s="5" t="inlineStr">
        <is>
          <t>Mock R2 (of 30)</t>
        </is>
      </c>
      <c r="N2" s="5" t="inlineStr">
        <is>
          <t>Check</t>
        </is>
      </c>
    </row>
    <row r="3">
      <c r="A3" s="6">
        <f>Seats!A3</f>
        <v/>
      </c>
      <c r="B3" s="6">
        <f>Seats!B3</f>
        <v/>
      </c>
      <c r="C3" s="9" t="n"/>
      <c r="D3" s="9" t="n"/>
      <c r="E3" s="9" t="n"/>
      <c r="F3" s="9" t="n"/>
      <c r="G3" s="9" t="n"/>
      <c r="H3" s="6">
        <f>IF(COUNT(E3:G3)&lt;3,"incomplete",SUM(E3:G3))</f>
        <v/>
      </c>
      <c r="I3" s="9" t="n"/>
      <c r="J3" s="9" t="n"/>
      <c r="K3" s="9" t="n"/>
      <c r="L3" s="6">
        <f>IF(COUNT(I3:K3)&lt;3,"incomplete",SUM(I3:K3))</f>
        <v/>
      </c>
      <c r="M3" s="6">
        <f>IF(Seats!C3="N","absent",IF(AND(ISNUMBER(H3),ISNUMBER(L3)),H3+L3,"incomplete"))</f>
        <v/>
      </c>
      <c r="N3" s="6">
        <f>IF(OR(AND(ISNUMBER(E3),OR(E3&gt;Rubric!$C$8,E3&lt;0)),AND(ISNUMBER(F3),OR(F3&gt;Rubric!$C$9,F3&lt;0)),AND(ISNUMBER(G3),OR(G3&gt;Rubric!$C$10,G3&lt;0)),AND(ISNUMBER(I3),OR(I3&gt;Rubric!$C$11,I3&lt;0)),AND(ISNUMBER(J3),OR(J3&gt;Rubric!$C$12,J3&lt;0)),AND(ISNUMBER(K3),OR(K3&gt;Rubric!$C$13,K3&lt;0))),"above a maximum or below zero",IF(AND(ISNUMBER(J3),MOD(J3,1.5)&lt;&gt;0),"part B scores 0, 1.5 or 3",IF(AND(C3="not yet",D3=""),"book a Friday retake","ok")))</f>
        <v/>
      </c>
    </row>
    <row r="4">
      <c r="A4" s="6">
        <f>Seats!A4</f>
        <v/>
      </c>
      <c r="B4" s="6">
        <f>Seats!B4</f>
        <v/>
      </c>
      <c r="C4" s="9" t="n"/>
      <c r="D4" s="9" t="n"/>
      <c r="E4" s="9" t="n"/>
      <c r="F4" s="9" t="n"/>
      <c r="G4" s="9" t="n"/>
      <c r="H4" s="6">
        <f>IF(COUNT(E4:G4)&lt;3,"incomplete",SUM(E4:G4))</f>
        <v/>
      </c>
      <c r="I4" s="9" t="n"/>
      <c r="J4" s="9" t="n"/>
      <c r="K4" s="9" t="n"/>
      <c r="L4" s="6">
        <f>IF(COUNT(I4:K4)&lt;3,"incomplete",SUM(I4:K4))</f>
        <v/>
      </c>
      <c r="M4" s="6">
        <f>IF(Seats!C4="N","absent",IF(AND(ISNUMBER(H4),ISNUMBER(L4)),H4+L4,"incomplete"))</f>
        <v/>
      </c>
      <c r="N4" s="6">
        <f>IF(OR(AND(ISNUMBER(E4),OR(E4&gt;Rubric!$C$8,E4&lt;0)),AND(ISNUMBER(F4),OR(F4&gt;Rubric!$C$9,F4&lt;0)),AND(ISNUMBER(G4),OR(G4&gt;Rubric!$C$10,G4&lt;0)),AND(ISNUMBER(I4),OR(I4&gt;Rubric!$C$11,I4&lt;0)),AND(ISNUMBER(J4),OR(J4&gt;Rubric!$C$12,J4&lt;0)),AND(ISNUMBER(K4),OR(K4&gt;Rubric!$C$13,K4&lt;0))),"above a maximum or below zero",IF(AND(ISNUMBER(J4),MOD(J4,1.5)&lt;&gt;0),"part B scores 0, 1.5 or 3",IF(AND(C4="not yet",D4=""),"book a Friday retake","ok")))</f>
        <v/>
      </c>
    </row>
    <row r="5">
      <c r="A5" s="6">
        <f>Seats!A5</f>
        <v/>
      </c>
      <c r="B5" s="6">
        <f>Seats!B5</f>
        <v/>
      </c>
      <c r="C5" s="9" t="n"/>
      <c r="D5" s="9" t="n"/>
      <c r="E5" s="9" t="n"/>
      <c r="F5" s="9" t="n"/>
      <c r="G5" s="9" t="n"/>
      <c r="H5" s="6">
        <f>IF(COUNT(E5:G5)&lt;3,"incomplete",SUM(E5:G5))</f>
        <v/>
      </c>
      <c r="I5" s="9" t="n"/>
      <c r="J5" s="9" t="n"/>
      <c r="K5" s="9" t="n"/>
      <c r="L5" s="6">
        <f>IF(COUNT(I5:K5)&lt;3,"incomplete",SUM(I5:K5))</f>
        <v/>
      </c>
      <c r="M5" s="6">
        <f>IF(Seats!C5="N","absent",IF(AND(ISNUMBER(H5),ISNUMBER(L5)),H5+L5,"incomplete"))</f>
        <v/>
      </c>
      <c r="N5" s="6">
        <f>IF(OR(AND(ISNUMBER(E5),OR(E5&gt;Rubric!$C$8,E5&lt;0)),AND(ISNUMBER(F5),OR(F5&gt;Rubric!$C$9,F5&lt;0)),AND(ISNUMBER(G5),OR(G5&gt;Rubric!$C$10,G5&lt;0)),AND(ISNUMBER(I5),OR(I5&gt;Rubric!$C$11,I5&lt;0)),AND(ISNUMBER(J5),OR(J5&gt;Rubric!$C$12,J5&lt;0)),AND(ISNUMBER(K5),OR(K5&gt;Rubric!$C$13,K5&lt;0))),"above a maximum or below zero",IF(AND(ISNUMBER(J5),MOD(J5,1.5)&lt;&gt;0),"part B scores 0, 1.5 or 3",IF(AND(C5="not yet",D5=""),"book a Friday retake","ok")))</f>
        <v/>
      </c>
    </row>
    <row r="6">
      <c r="A6" s="6">
        <f>Seats!A6</f>
        <v/>
      </c>
      <c r="B6" s="6">
        <f>Seats!B6</f>
        <v/>
      </c>
      <c r="C6" s="9" t="n"/>
      <c r="D6" s="9" t="n"/>
      <c r="E6" s="9" t="n"/>
      <c r="F6" s="9" t="n"/>
      <c r="G6" s="9" t="n"/>
      <c r="H6" s="6">
        <f>IF(COUNT(E6:G6)&lt;3,"incomplete",SUM(E6:G6))</f>
        <v/>
      </c>
      <c r="I6" s="9" t="n"/>
      <c r="J6" s="9" t="n"/>
      <c r="K6" s="9" t="n"/>
      <c r="L6" s="6">
        <f>IF(COUNT(I6:K6)&lt;3,"incomplete",SUM(I6:K6))</f>
        <v/>
      </c>
      <c r="M6" s="6">
        <f>IF(Seats!C6="N","absent",IF(AND(ISNUMBER(H6),ISNUMBER(L6)),H6+L6,"incomplete"))</f>
        <v/>
      </c>
      <c r="N6" s="6">
        <f>IF(OR(AND(ISNUMBER(E6),OR(E6&gt;Rubric!$C$8,E6&lt;0)),AND(ISNUMBER(F6),OR(F6&gt;Rubric!$C$9,F6&lt;0)),AND(ISNUMBER(G6),OR(G6&gt;Rubric!$C$10,G6&lt;0)),AND(ISNUMBER(I6),OR(I6&gt;Rubric!$C$11,I6&lt;0)),AND(ISNUMBER(J6),OR(J6&gt;Rubric!$C$12,J6&lt;0)),AND(ISNUMBER(K6),OR(K6&gt;Rubric!$C$13,K6&lt;0))),"above a maximum or below zero",IF(AND(ISNUMBER(J6),MOD(J6,1.5)&lt;&gt;0),"part B scores 0, 1.5 or 3",IF(AND(C6="not yet",D6=""),"book a Friday retake","ok")))</f>
        <v/>
      </c>
    </row>
    <row r="7">
      <c r="A7" s="6">
        <f>Seats!A7</f>
        <v/>
      </c>
      <c r="B7" s="6">
        <f>Seats!B7</f>
        <v/>
      </c>
      <c r="C7" s="9" t="n"/>
      <c r="D7" s="9" t="n"/>
      <c r="E7" s="9" t="n"/>
      <c r="F7" s="9" t="n"/>
      <c r="G7" s="9" t="n"/>
      <c r="H7" s="6">
        <f>IF(COUNT(E7:G7)&lt;3,"incomplete",SUM(E7:G7))</f>
        <v/>
      </c>
      <c r="I7" s="9" t="n"/>
      <c r="J7" s="9" t="n"/>
      <c r="K7" s="9" t="n"/>
      <c r="L7" s="6">
        <f>IF(COUNT(I7:K7)&lt;3,"incomplete",SUM(I7:K7))</f>
        <v/>
      </c>
      <c r="M7" s="6">
        <f>IF(Seats!C7="N","absent",IF(AND(ISNUMBER(H7),ISNUMBER(L7)),H7+L7,"incomplete"))</f>
        <v/>
      </c>
      <c r="N7" s="6">
        <f>IF(OR(AND(ISNUMBER(E7),OR(E7&gt;Rubric!$C$8,E7&lt;0)),AND(ISNUMBER(F7),OR(F7&gt;Rubric!$C$9,F7&lt;0)),AND(ISNUMBER(G7),OR(G7&gt;Rubric!$C$10,G7&lt;0)),AND(ISNUMBER(I7),OR(I7&gt;Rubric!$C$11,I7&lt;0)),AND(ISNUMBER(J7),OR(J7&gt;Rubric!$C$12,J7&lt;0)),AND(ISNUMBER(K7),OR(K7&gt;Rubric!$C$13,K7&lt;0))),"above a maximum or below zero",IF(AND(ISNUMBER(J7),MOD(J7,1.5)&lt;&gt;0),"part B scores 0, 1.5 or 3",IF(AND(C7="not yet",D7=""),"book a Friday retake","ok")))</f>
        <v/>
      </c>
    </row>
    <row r="8">
      <c r="A8" s="6">
        <f>Seats!A8</f>
        <v/>
      </c>
      <c r="B8" s="6">
        <f>Seats!B8</f>
        <v/>
      </c>
      <c r="C8" s="9" t="n"/>
      <c r="D8" s="9" t="n"/>
      <c r="E8" s="9" t="n"/>
      <c r="F8" s="9" t="n"/>
      <c r="G8" s="9" t="n"/>
      <c r="H8" s="6">
        <f>IF(COUNT(E8:G8)&lt;3,"incomplete",SUM(E8:G8))</f>
        <v/>
      </c>
      <c r="I8" s="9" t="n"/>
      <c r="J8" s="9" t="n"/>
      <c r="K8" s="9" t="n"/>
      <c r="L8" s="6">
        <f>IF(COUNT(I8:K8)&lt;3,"incomplete",SUM(I8:K8))</f>
        <v/>
      </c>
      <c r="M8" s="6">
        <f>IF(Seats!C8="N","absent",IF(AND(ISNUMBER(H8),ISNUMBER(L8)),H8+L8,"incomplete"))</f>
        <v/>
      </c>
      <c r="N8" s="6">
        <f>IF(OR(AND(ISNUMBER(E8),OR(E8&gt;Rubric!$C$8,E8&lt;0)),AND(ISNUMBER(F8),OR(F8&gt;Rubric!$C$9,F8&lt;0)),AND(ISNUMBER(G8),OR(G8&gt;Rubric!$C$10,G8&lt;0)),AND(ISNUMBER(I8),OR(I8&gt;Rubric!$C$11,I8&lt;0)),AND(ISNUMBER(J8),OR(J8&gt;Rubric!$C$12,J8&lt;0)),AND(ISNUMBER(K8),OR(K8&gt;Rubric!$C$13,K8&lt;0))),"above a maximum or below zero",IF(AND(ISNUMBER(J8),MOD(J8,1.5)&lt;&gt;0),"part B scores 0, 1.5 or 3",IF(AND(C8="not yet",D8=""),"book a Friday retake","ok")))</f>
        <v/>
      </c>
    </row>
    <row r="9">
      <c r="A9" s="6">
        <f>Seats!A9</f>
        <v/>
      </c>
      <c r="B9" s="6">
        <f>Seats!B9</f>
        <v/>
      </c>
      <c r="C9" s="9" t="n"/>
      <c r="D9" s="9" t="n"/>
      <c r="E9" s="9" t="n"/>
      <c r="F9" s="9" t="n"/>
      <c r="G9" s="9" t="n"/>
      <c r="H9" s="6">
        <f>IF(COUNT(E9:G9)&lt;3,"incomplete",SUM(E9:G9))</f>
        <v/>
      </c>
      <c r="I9" s="9" t="n"/>
      <c r="J9" s="9" t="n"/>
      <c r="K9" s="9" t="n"/>
      <c r="L9" s="6">
        <f>IF(COUNT(I9:K9)&lt;3,"incomplete",SUM(I9:K9))</f>
        <v/>
      </c>
      <c r="M9" s="6">
        <f>IF(Seats!C9="N","absent",IF(AND(ISNUMBER(H9),ISNUMBER(L9)),H9+L9,"incomplete"))</f>
        <v/>
      </c>
      <c r="N9" s="6">
        <f>IF(OR(AND(ISNUMBER(E9),OR(E9&gt;Rubric!$C$8,E9&lt;0)),AND(ISNUMBER(F9),OR(F9&gt;Rubric!$C$9,F9&lt;0)),AND(ISNUMBER(G9),OR(G9&gt;Rubric!$C$10,G9&lt;0)),AND(ISNUMBER(I9),OR(I9&gt;Rubric!$C$11,I9&lt;0)),AND(ISNUMBER(J9),OR(J9&gt;Rubric!$C$12,J9&lt;0)),AND(ISNUMBER(K9),OR(K9&gt;Rubric!$C$13,K9&lt;0))),"above a maximum or below zero",IF(AND(ISNUMBER(J9),MOD(J9,1.5)&lt;&gt;0),"part B scores 0, 1.5 or 3",IF(AND(C9="not yet",D9=""),"book a Friday retake","ok")))</f>
        <v/>
      </c>
    </row>
    <row r="10">
      <c r="A10" s="6">
        <f>Seats!A10</f>
        <v/>
      </c>
      <c r="B10" s="6">
        <f>Seats!B10</f>
        <v/>
      </c>
      <c r="C10" s="9" t="n"/>
      <c r="D10" s="9" t="n"/>
      <c r="E10" s="9" t="n"/>
      <c r="F10" s="9" t="n"/>
      <c r="G10" s="9" t="n"/>
      <c r="H10" s="6">
        <f>IF(COUNT(E10:G10)&lt;3,"incomplete",SUM(E10:G10))</f>
        <v/>
      </c>
      <c r="I10" s="9" t="n"/>
      <c r="J10" s="9" t="n"/>
      <c r="K10" s="9" t="n"/>
      <c r="L10" s="6">
        <f>IF(COUNT(I10:K10)&lt;3,"incomplete",SUM(I10:K10))</f>
        <v/>
      </c>
      <c r="M10" s="6">
        <f>IF(Seats!C10="N","absent",IF(AND(ISNUMBER(H10),ISNUMBER(L10)),H10+L10,"incomplete"))</f>
        <v/>
      </c>
      <c r="N10" s="6">
        <f>IF(OR(AND(ISNUMBER(E10),OR(E10&gt;Rubric!$C$8,E10&lt;0)),AND(ISNUMBER(F10),OR(F10&gt;Rubric!$C$9,F10&lt;0)),AND(ISNUMBER(G10),OR(G10&gt;Rubric!$C$10,G10&lt;0)),AND(ISNUMBER(I10),OR(I10&gt;Rubric!$C$11,I10&lt;0)),AND(ISNUMBER(J10),OR(J10&gt;Rubric!$C$12,J10&lt;0)),AND(ISNUMBER(K10),OR(K10&gt;Rubric!$C$13,K10&lt;0))),"above a maximum or below zero",IF(AND(ISNUMBER(J10),MOD(J10,1.5)&lt;&gt;0),"part B scores 0, 1.5 or 3",IF(AND(C10="not yet",D10=""),"book a Friday retake","ok")))</f>
        <v/>
      </c>
    </row>
    <row r="11">
      <c r="A11" s="6">
        <f>Seats!A11</f>
        <v/>
      </c>
      <c r="B11" s="6">
        <f>Seats!B11</f>
        <v/>
      </c>
      <c r="C11" s="9" t="n"/>
      <c r="D11" s="9" t="n"/>
      <c r="E11" s="9" t="n"/>
      <c r="F11" s="9" t="n"/>
      <c r="G11" s="9" t="n"/>
      <c r="H11" s="6">
        <f>IF(COUNT(E11:G11)&lt;3,"incomplete",SUM(E11:G11))</f>
        <v/>
      </c>
      <c r="I11" s="9" t="n"/>
      <c r="J11" s="9" t="n"/>
      <c r="K11" s="9" t="n"/>
      <c r="L11" s="6">
        <f>IF(COUNT(I11:K11)&lt;3,"incomplete",SUM(I11:K11))</f>
        <v/>
      </c>
      <c r="M11" s="6">
        <f>IF(Seats!C11="N","absent",IF(AND(ISNUMBER(H11),ISNUMBER(L11)),H11+L11,"incomplete"))</f>
        <v/>
      </c>
      <c r="N11" s="6">
        <f>IF(OR(AND(ISNUMBER(E11),OR(E11&gt;Rubric!$C$8,E11&lt;0)),AND(ISNUMBER(F11),OR(F11&gt;Rubric!$C$9,F11&lt;0)),AND(ISNUMBER(G11),OR(G11&gt;Rubric!$C$10,G11&lt;0)),AND(ISNUMBER(I11),OR(I11&gt;Rubric!$C$11,I11&lt;0)),AND(ISNUMBER(J11),OR(J11&gt;Rubric!$C$12,J11&lt;0)),AND(ISNUMBER(K11),OR(K11&gt;Rubric!$C$13,K11&lt;0))),"above a maximum or below zero",IF(AND(ISNUMBER(J11),MOD(J11,1.5)&lt;&gt;0),"part B scores 0, 1.5 or 3",IF(AND(C11="not yet",D11=""),"book a Friday retake","ok")))</f>
        <v/>
      </c>
    </row>
    <row r="12">
      <c r="A12" s="6">
        <f>Seats!A12</f>
        <v/>
      </c>
      <c r="B12" s="6">
        <f>Seats!B12</f>
        <v/>
      </c>
      <c r="C12" s="9" t="n"/>
      <c r="D12" s="9" t="n"/>
      <c r="E12" s="9" t="n"/>
      <c r="F12" s="9" t="n"/>
      <c r="G12" s="9" t="n"/>
      <c r="H12" s="6">
        <f>IF(COUNT(E12:G12)&lt;3,"incomplete",SUM(E12:G12))</f>
        <v/>
      </c>
      <c r="I12" s="9" t="n"/>
      <c r="J12" s="9" t="n"/>
      <c r="K12" s="9" t="n"/>
      <c r="L12" s="6">
        <f>IF(COUNT(I12:K12)&lt;3,"incomplete",SUM(I12:K12))</f>
        <v/>
      </c>
      <c r="M12" s="6">
        <f>IF(Seats!C12="N","absent",IF(AND(ISNUMBER(H12),ISNUMBER(L12)),H12+L12,"incomplete"))</f>
        <v/>
      </c>
      <c r="N12" s="6">
        <f>IF(OR(AND(ISNUMBER(E12),OR(E12&gt;Rubric!$C$8,E12&lt;0)),AND(ISNUMBER(F12),OR(F12&gt;Rubric!$C$9,F12&lt;0)),AND(ISNUMBER(G12),OR(G12&gt;Rubric!$C$10,G12&lt;0)),AND(ISNUMBER(I12),OR(I12&gt;Rubric!$C$11,I12&lt;0)),AND(ISNUMBER(J12),OR(J12&gt;Rubric!$C$12,J12&lt;0)),AND(ISNUMBER(K12),OR(K12&gt;Rubric!$C$13,K12&lt;0))),"above a maximum or below zero",IF(AND(ISNUMBER(J12),MOD(J12,1.5)&lt;&gt;0),"part B scores 0, 1.5 or 3",IF(AND(C12="not yet",D12=""),"book a Friday retake","ok")))</f>
        <v/>
      </c>
    </row>
    <row r="13">
      <c r="A13" s="6">
        <f>Seats!A13</f>
        <v/>
      </c>
      <c r="B13" s="6">
        <f>Seats!B13</f>
        <v/>
      </c>
      <c r="C13" s="9" t="n"/>
      <c r="D13" s="9" t="n"/>
      <c r="E13" s="9" t="n"/>
      <c r="F13" s="9" t="n"/>
      <c r="G13" s="9" t="n"/>
      <c r="H13" s="6">
        <f>IF(COUNT(E13:G13)&lt;3,"incomplete",SUM(E13:G13))</f>
        <v/>
      </c>
      <c r="I13" s="9" t="n"/>
      <c r="J13" s="9" t="n"/>
      <c r="K13" s="9" t="n"/>
      <c r="L13" s="6">
        <f>IF(COUNT(I13:K13)&lt;3,"incomplete",SUM(I13:K13))</f>
        <v/>
      </c>
      <c r="M13" s="6">
        <f>IF(Seats!C13="N","absent",IF(AND(ISNUMBER(H13),ISNUMBER(L13)),H13+L13,"incomplete"))</f>
        <v/>
      </c>
      <c r="N13" s="6">
        <f>IF(OR(AND(ISNUMBER(E13),OR(E13&gt;Rubric!$C$8,E13&lt;0)),AND(ISNUMBER(F13),OR(F13&gt;Rubric!$C$9,F13&lt;0)),AND(ISNUMBER(G13),OR(G13&gt;Rubric!$C$10,G13&lt;0)),AND(ISNUMBER(I13),OR(I13&gt;Rubric!$C$11,I13&lt;0)),AND(ISNUMBER(J13),OR(J13&gt;Rubric!$C$12,J13&lt;0)),AND(ISNUMBER(K13),OR(K13&gt;Rubric!$C$13,K13&lt;0))),"above a maximum or below zero",IF(AND(ISNUMBER(J13),MOD(J13,1.5)&lt;&gt;0),"part B scores 0, 1.5 or 3",IF(AND(C13="not yet",D13=""),"book a Friday retake","ok")))</f>
        <v/>
      </c>
    </row>
    <row r="14">
      <c r="A14" s="6">
        <f>Seats!A14</f>
        <v/>
      </c>
      <c r="B14" s="6">
        <f>Seats!B14</f>
        <v/>
      </c>
      <c r="C14" s="9" t="n"/>
      <c r="D14" s="9" t="n"/>
      <c r="E14" s="9" t="n"/>
      <c r="F14" s="9" t="n"/>
      <c r="G14" s="9" t="n"/>
      <c r="H14" s="6">
        <f>IF(COUNT(E14:G14)&lt;3,"incomplete",SUM(E14:G14))</f>
        <v/>
      </c>
      <c r="I14" s="9" t="n"/>
      <c r="J14" s="9" t="n"/>
      <c r="K14" s="9" t="n"/>
      <c r="L14" s="6">
        <f>IF(COUNT(I14:K14)&lt;3,"incomplete",SUM(I14:K14))</f>
        <v/>
      </c>
      <c r="M14" s="6">
        <f>IF(Seats!C14="N","absent",IF(AND(ISNUMBER(H14),ISNUMBER(L14)),H14+L14,"incomplete"))</f>
        <v/>
      </c>
      <c r="N14" s="6">
        <f>IF(OR(AND(ISNUMBER(E14),OR(E14&gt;Rubric!$C$8,E14&lt;0)),AND(ISNUMBER(F14),OR(F14&gt;Rubric!$C$9,F14&lt;0)),AND(ISNUMBER(G14),OR(G14&gt;Rubric!$C$10,G14&lt;0)),AND(ISNUMBER(I14),OR(I14&gt;Rubric!$C$11,I14&lt;0)),AND(ISNUMBER(J14),OR(J14&gt;Rubric!$C$12,J14&lt;0)),AND(ISNUMBER(K14),OR(K14&gt;Rubric!$C$13,K14&lt;0))),"above a maximum or below zero",IF(AND(ISNUMBER(J14),MOD(J14,1.5)&lt;&gt;0),"part B scores 0, 1.5 or 3",IF(AND(C14="not yet",D14=""),"book a Friday retake","ok")))</f>
        <v/>
      </c>
    </row>
    <row r="15">
      <c r="A15" s="6">
        <f>Seats!A15</f>
        <v/>
      </c>
      <c r="B15" s="6">
        <f>Seats!B15</f>
        <v/>
      </c>
      <c r="C15" s="9" t="n"/>
      <c r="D15" s="9" t="n"/>
      <c r="E15" s="9" t="n"/>
      <c r="F15" s="9" t="n"/>
      <c r="G15" s="9" t="n"/>
      <c r="H15" s="6">
        <f>IF(COUNT(E15:G15)&lt;3,"incomplete",SUM(E15:G15))</f>
        <v/>
      </c>
      <c r="I15" s="9" t="n"/>
      <c r="J15" s="9" t="n"/>
      <c r="K15" s="9" t="n"/>
      <c r="L15" s="6">
        <f>IF(COUNT(I15:K15)&lt;3,"incomplete",SUM(I15:K15))</f>
        <v/>
      </c>
      <c r="M15" s="6">
        <f>IF(Seats!C15="N","absent",IF(AND(ISNUMBER(H15),ISNUMBER(L15)),H15+L15,"incomplete"))</f>
        <v/>
      </c>
      <c r="N15" s="6">
        <f>IF(OR(AND(ISNUMBER(E15),OR(E15&gt;Rubric!$C$8,E15&lt;0)),AND(ISNUMBER(F15),OR(F15&gt;Rubric!$C$9,F15&lt;0)),AND(ISNUMBER(G15),OR(G15&gt;Rubric!$C$10,G15&lt;0)),AND(ISNUMBER(I15),OR(I15&gt;Rubric!$C$11,I15&lt;0)),AND(ISNUMBER(J15),OR(J15&gt;Rubric!$C$12,J15&lt;0)),AND(ISNUMBER(K15),OR(K15&gt;Rubric!$C$13,K15&lt;0))),"above a maximum or below zero",IF(AND(ISNUMBER(J15),MOD(J15,1.5)&lt;&gt;0),"part B scores 0, 1.5 or 3",IF(AND(C15="not yet",D15=""),"book a Friday retake","ok")))</f>
        <v/>
      </c>
    </row>
    <row r="16">
      <c r="A16" s="6">
        <f>Seats!A16</f>
        <v/>
      </c>
      <c r="B16" s="6">
        <f>Seats!B16</f>
        <v/>
      </c>
      <c r="C16" s="9" t="n"/>
      <c r="D16" s="9" t="n"/>
      <c r="E16" s="9" t="n"/>
      <c r="F16" s="9" t="n"/>
      <c r="G16" s="9" t="n"/>
      <c r="H16" s="6">
        <f>IF(COUNT(E16:G16)&lt;3,"incomplete",SUM(E16:G16))</f>
        <v/>
      </c>
      <c r="I16" s="9" t="n"/>
      <c r="J16" s="9" t="n"/>
      <c r="K16" s="9" t="n"/>
      <c r="L16" s="6">
        <f>IF(COUNT(I16:K16)&lt;3,"incomplete",SUM(I16:K16))</f>
        <v/>
      </c>
      <c r="M16" s="6">
        <f>IF(Seats!C16="N","absent",IF(AND(ISNUMBER(H16),ISNUMBER(L16)),H16+L16,"incomplete"))</f>
        <v/>
      </c>
      <c r="N16" s="6">
        <f>IF(OR(AND(ISNUMBER(E16),OR(E16&gt;Rubric!$C$8,E16&lt;0)),AND(ISNUMBER(F16),OR(F16&gt;Rubric!$C$9,F16&lt;0)),AND(ISNUMBER(G16),OR(G16&gt;Rubric!$C$10,G16&lt;0)),AND(ISNUMBER(I16),OR(I16&gt;Rubric!$C$11,I16&lt;0)),AND(ISNUMBER(J16),OR(J16&gt;Rubric!$C$12,J16&lt;0)),AND(ISNUMBER(K16),OR(K16&gt;Rubric!$C$13,K16&lt;0))),"above a maximum or below zero",IF(AND(ISNUMBER(J16),MOD(J16,1.5)&lt;&gt;0),"part B scores 0, 1.5 or 3",IF(AND(C16="not yet",D16=""),"book a Friday retake","ok")))</f>
        <v/>
      </c>
    </row>
    <row r="17">
      <c r="A17" s="6">
        <f>Seats!A17</f>
        <v/>
      </c>
      <c r="B17" s="6">
        <f>Seats!B17</f>
        <v/>
      </c>
      <c r="C17" s="9" t="n"/>
      <c r="D17" s="9" t="n"/>
      <c r="E17" s="9" t="n"/>
      <c r="F17" s="9" t="n"/>
      <c r="G17" s="9" t="n"/>
      <c r="H17" s="6">
        <f>IF(COUNT(E17:G17)&lt;3,"incomplete",SUM(E17:G17))</f>
        <v/>
      </c>
      <c r="I17" s="9" t="n"/>
      <c r="J17" s="9" t="n"/>
      <c r="K17" s="9" t="n"/>
      <c r="L17" s="6">
        <f>IF(COUNT(I17:K17)&lt;3,"incomplete",SUM(I17:K17))</f>
        <v/>
      </c>
      <c r="M17" s="6">
        <f>IF(Seats!C17="N","absent",IF(AND(ISNUMBER(H17),ISNUMBER(L17)),H17+L17,"incomplete"))</f>
        <v/>
      </c>
      <c r="N17" s="6">
        <f>IF(OR(AND(ISNUMBER(E17),OR(E17&gt;Rubric!$C$8,E17&lt;0)),AND(ISNUMBER(F17),OR(F17&gt;Rubric!$C$9,F17&lt;0)),AND(ISNUMBER(G17),OR(G17&gt;Rubric!$C$10,G17&lt;0)),AND(ISNUMBER(I17),OR(I17&gt;Rubric!$C$11,I17&lt;0)),AND(ISNUMBER(J17),OR(J17&gt;Rubric!$C$12,J17&lt;0)),AND(ISNUMBER(K17),OR(K17&gt;Rubric!$C$13,K17&lt;0))),"above a maximum or below zero",IF(AND(ISNUMBER(J17),MOD(J17,1.5)&lt;&gt;0),"part B scores 0, 1.5 or 3",IF(AND(C17="not yet",D17=""),"book a Friday retake","ok")))</f>
        <v/>
      </c>
    </row>
    <row r="18">
      <c r="A18" s="6">
        <f>Seats!A18</f>
        <v/>
      </c>
      <c r="B18" s="6">
        <f>Seats!B18</f>
        <v/>
      </c>
      <c r="C18" s="9" t="n"/>
      <c r="D18" s="9" t="n"/>
      <c r="E18" s="9" t="n"/>
      <c r="F18" s="9" t="n"/>
      <c r="G18" s="9" t="n"/>
      <c r="H18" s="6">
        <f>IF(COUNT(E18:G18)&lt;3,"incomplete",SUM(E18:G18))</f>
        <v/>
      </c>
      <c r="I18" s="9" t="n"/>
      <c r="J18" s="9" t="n"/>
      <c r="K18" s="9" t="n"/>
      <c r="L18" s="6">
        <f>IF(COUNT(I18:K18)&lt;3,"incomplete",SUM(I18:K18))</f>
        <v/>
      </c>
      <c r="M18" s="6">
        <f>IF(Seats!C18="N","absent",IF(AND(ISNUMBER(H18),ISNUMBER(L18)),H18+L18,"incomplete"))</f>
        <v/>
      </c>
      <c r="N18" s="6">
        <f>IF(OR(AND(ISNUMBER(E18),OR(E18&gt;Rubric!$C$8,E18&lt;0)),AND(ISNUMBER(F18),OR(F18&gt;Rubric!$C$9,F18&lt;0)),AND(ISNUMBER(G18),OR(G18&gt;Rubric!$C$10,G18&lt;0)),AND(ISNUMBER(I18),OR(I18&gt;Rubric!$C$11,I18&lt;0)),AND(ISNUMBER(J18),OR(J18&gt;Rubric!$C$12,J18&lt;0)),AND(ISNUMBER(K18),OR(K18&gt;Rubric!$C$13,K18&lt;0))),"above a maximum or below zero",IF(AND(ISNUMBER(J18),MOD(J18,1.5)&lt;&gt;0),"part B scores 0, 1.5 or 3",IF(AND(C18="not yet",D18=""),"book a Friday retake","ok")))</f>
        <v/>
      </c>
    </row>
    <row r="19">
      <c r="A19" s="6">
        <f>Seats!A19</f>
        <v/>
      </c>
      <c r="B19" s="6">
        <f>Seats!B19</f>
        <v/>
      </c>
      <c r="C19" s="9" t="n"/>
      <c r="D19" s="9" t="n"/>
      <c r="E19" s="9" t="n"/>
      <c r="F19" s="9" t="n"/>
      <c r="G19" s="9" t="n"/>
      <c r="H19" s="6">
        <f>IF(COUNT(E19:G19)&lt;3,"incomplete",SUM(E19:G19))</f>
        <v/>
      </c>
      <c r="I19" s="9" t="n"/>
      <c r="J19" s="9" t="n"/>
      <c r="K19" s="9" t="n"/>
      <c r="L19" s="6">
        <f>IF(COUNT(I19:K19)&lt;3,"incomplete",SUM(I19:K19))</f>
        <v/>
      </c>
      <c r="M19" s="6">
        <f>IF(Seats!C19="N","absent",IF(AND(ISNUMBER(H19),ISNUMBER(L19)),H19+L19,"incomplete"))</f>
        <v/>
      </c>
      <c r="N19" s="6">
        <f>IF(OR(AND(ISNUMBER(E19),OR(E19&gt;Rubric!$C$8,E19&lt;0)),AND(ISNUMBER(F19),OR(F19&gt;Rubric!$C$9,F19&lt;0)),AND(ISNUMBER(G19),OR(G19&gt;Rubric!$C$10,G19&lt;0)),AND(ISNUMBER(I19),OR(I19&gt;Rubric!$C$11,I19&lt;0)),AND(ISNUMBER(J19),OR(J19&gt;Rubric!$C$12,J19&lt;0)),AND(ISNUMBER(K19),OR(K19&gt;Rubric!$C$13,K19&lt;0))),"above a maximum or below zero",IF(AND(ISNUMBER(J19),MOD(J19,1.5)&lt;&gt;0),"part B scores 0, 1.5 or 3",IF(AND(C19="not yet",D19=""),"book a Friday retake","ok")))</f>
        <v/>
      </c>
    </row>
    <row r="20">
      <c r="A20" s="6">
        <f>Seats!A20</f>
        <v/>
      </c>
      <c r="B20" s="6">
        <f>Seats!B20</f>
        <v/>
      </c>
      <c r="C20" s="9" t="n"/>
      <c r="D20" s="9" t="n"/>
      <c r="E20" s="9" t="n"/>
      <c r="F20" s="9" t="n"/>
      <c r="G20" s="9" t="n"/>
      <c r="H20" s="6">
        <f>IF(COUNT(E20:G20)&lt;3,"incomplete",SUM(E20:G20))</f>
        <v/>
      </c>
      <c r="I20" s="9" t="n"/>
      <c r="J20" s="9" t="n"/>
      <c r="K20" s="9" t="n"/>
      <c r="L20" s="6">
        <f>IF(COUNT(I20:K20)&lt;3,"incomplete",SUM(I20:K20))</f>
        <v/>
      </c>
      <c r="M20" s="6">
        <f>IF(Seats!C20="N","absent",IF(AND(ISNUMBER(H20),ISNUMBER(L20)),H20+L20,"incomplete"))</f>
        <v/>
      </c>
      <c r="N20" s="6">
        <f>IF(OR(AND(ISNUMBER(E20),OR(E20&gt;Rubric!$C$8,E20&lt;0)),AND(ISNUMBER(F20),OR(F20&gt;Rubric!$C$9,F20&lt;0)),AND(ISNUMBER(G20),OR(G20&gt;Rubric!$C$10,G20&lt;0)),AND(ISNUMBER(I20),OR(I20&gt;Rubric!$C$11,I20&lt;0)),AND(ISNUMBER(J20),OR(J20&gt;Rubric!$C$12,J20&lt;0)),AND(ISNUMBER(K20),OR(K20&gt;Rubric!$C$13,K20&lt;0))),"above a maximum or below zero",IF(AND(ISNUMBER(J20),MOD(J20,1.5)&lt;&gt;0),"part B scores 0, 1.5 or 3",IF(AND(C20="not yet",D20=""),"book a Friday retake","ok")))</f>
        <v/>
      </c>
    </row>
    <row r="21">
      <c r="A21" s="6">
        <f>Seats!A21</f>
        <v/>
      </c>
      <c r="B21" s="6">
        <f>Seats!B21</f>
        <v/>
      </c>
      <c r="C21" s="9" t="n"/>
      <c r="D21" s="9" t="n"/>
      <c r="E21" s="9" t="n"/>
      <c r="F21" s="9" t="n"/>
      <c r="G21" s="9" t="n"/>
      <c r="H21" s="6">
        <f>IF(COUNT(E21:G21)&lt;3,"incomplete",SUM(E21:G21))</f>
        <v/>
      </c>
      <c r="I21" s="9" t="n"/>
      <c r="J21" s="9" t="n"/>
      <c r="K21" s="9" t="n"/>
      <c r="L21" s="6">
        <f>IF(COUNT(I21:K21)&lt;3,"incomplete",SUM(I21:K21))</f>
        <v/>
      </c>
      <c r="M21" s="6">
        <f>IF(Seats!C21="N","absent",IF(AND(ISNUMBER(H21),ISNUMBER(L21)),H21+L21,"incomplete"))</f>
        <v/>
      </c>
      <c r="N21" s="6">
        <f>IF(OR(AND(ISNUMBER(E21),OR(E21&gt;Rubric!$C$8,E21&lt;0)),AND(ISNUMBER(F21),OR(F21&gt;Rubric!$C$9,F21&lt;0)),AND(ISNUMBER(G21),OR(G21&gt;Rubric!$C$10,G21&lt;0)),AND(ISNUMBER(I21),OR(I21&gt;Rubric!$C$11,I21&lt;0)),AND(ISNUMBER(J21),OR(J21&gt;Rubric!$C$12,J21&lt;0)),AND(ISNUMBER(K21),OR(K21&gt;Rubric!$C$13,K21&lt;0))),"above a maximum or below zero",IF(AND(ISNUMBER(J21),MOD(J21,1.5)&lt;&gt;0),"part B scores 0, 1.5 or 3",IF(AND(C21="not yet",D21=""),"book a Friday retake","ok")))</f>
        <v/>
      </c>
    </row>
    <row r="22">
      <c r="A22" s="6">
        <f>Seats!A22</f>
        <v/>
      </c>
      <c r="B22" s="6">
        <f>Seats!B22</f>
        <v/>
      </c>
      <c r="C22" s="9" t="n"/>
      <c r="D22" s="9" t="n"/>
      <c r="E22" s="9" t="n"/>
      <c r="F22" s="9" t="n"/>
      <c r="G22" s="9" t="n"/>
      <c r="H22" s="6">
        <f>IF(COUNT(E22:G22)&lt;3,"incomplete",SUM(E22:G22))</f>
        <v/>
      </c>
      <c r="I22" s="9" t="n"/>
      <c r="J22" s="9" t="n"/>
      <c r="K22" s="9" t="n"/>
      <c r="L22" s="6">
        <f>IF(COUNT(I22:K22)&lt;3,"incomplete",SUM(I22:K22))</f>
        <v/>
      </c>
      <c r="M22" s="6">
        <f>IF(Seats!C22="N","absent",IF(AND(ISNUMBER(H22),ISNUMBER(L22)),H22+L22,"incomplete"))</f>
        <v/>
      </c>
      <c r="N22" s="6">
        <f>IF(OR(AND(ISNUMBER(E22),OR(E22&gt;Rubric!$C$8,E22&lt;0)),AND(ISNUMBER(F22),OR(F22&gt;Rubric!$C$9,F22&lt;0)),AND(ISNUMBER(G22),OR(G22&gt;Rubric!$C$10,G22&lt;0)),AND(ISNUMBER(I22),OR(I22&gt;Rubric!$C$11,I22&lt;0)),AND(ISNUMBER(J22),OR(J22&gt;Rubric!$C$12,J22&lt;0)),AND(ISNUMBER(K22),OR(K22&gt;Rubric!$C$13,K22&lt;0))),"above a maximum or below zero",IF(AND(ISNUMBER(J22),MOD(J22,1.5)&lt;&gt;0),"part B scores 0, 1.5 or 3",IF(AND(C22="not yet",D22=""),"book a Friday retake","ok")))</f>
        <v/>
      </c>
    </row>
    <row r="23">
      <c r="A23" s="6">
        <f>Seats!A23</f>
        <v/>
      </c>
      <c r="B23" s="6">
        <f>Seats!B23</f>
        <v/>
      </c>
      <c r="C23" s="9" t="n"/>
      <c r="D23" s="9" t="n"/>
      <c r="E23" s="9" t="n"/>
      <c r="F23" s="9" t="n"/>
      <c r="G23" s="9" t="n"/>
      <c r="H23" s="6">
        <f>IF(COUNT(E23:G23)&lt;3,"incomplete",SUM(E23:G23))</f>
        <v/>
      </c>
      <c r="I23" s="9" t="n"/>
      <c r="J23" s="9" t="n"/>
      <c r="K23" s="9" t="n"/>
      <c r="L23" s="6">
        <f>IF(COUNT(I23:K23)&lt;3,"incomplete",SUM(I23:K23))</f>
        <v/>
      </c>
      <c r="M23" s="6">
        <f>IF(Seats!C23="N","absent",IF(AND(ISNUMBER(H23),ISNUMBER(L23)),H23+L23,"incomplete"))</f>
        <v/>
      </c>
      <c r="N23" s="6">
        <f>IF(OR(AND(ISNUMBER(E23),OR(E23&gt;Rubric!$C$8,E23&lt;0)),AND(ISNUMBER(F23),OR(F23&gt;Rubric!$C$9,F23&lt;0)),AND(ISNUMBER(G23),OR(G23&gt;Rubric!$C$10,G23&lt;0)),AND(ISNUMBER(I23),OR(I23&gt;Rubric!$C$11,I23&lt;0)),AND(ISNUMBER(J23),OR(J23&gt;Rubric!$C$12,J23&lt;0)),AND(ISNUMBER(K23),OR(K23&gt;Rubric!$C$13,K23&lt;0))),"above a maximum or below zero",IF(AND(ISNUMBER(J23),MOD(J23,1.5)&lt;&gt;0),"part B scores 0, 1.5 or 3",IF(AND(C23="not yet",D23=""),"book a Friday retake","ok")))</f>
        <v/>
      </c>
    </row>
    <row r="24">
      <c r="A24" s="6">
        <f>Seats!A24</f>
        <v/>
      </c>
      <c r="B24" s="6">
        <f>Seats!B24</f>
        <v/>
      </c>
      <c r="C24" s="9" t="n"/>
      <c r="D24" s="9" t="n"/>
      <c r="E24" s="9" t="n"/>
      <c r="F24" s="9" t="n"/>
      <c r="G24" s="9" t="n"/>
      <c r="H24" s="6">
        <f>IF(COUNT(E24:G24)&lt;3,"incomplete",SUM(E24:G24))</f>
        <v/>
      </c>
      <c r="I24" s="9" t="n"/>
      <c r="J24" s="9" t="n"/>
      <c r="K24" s="9" t="n"/>
      <c r="L24" s="6">
        <f>IF(COUNT(I24:K24)&lt;3,"incomplete",SUM(I24:K24))</f>
        <v/>
      </c>
      <c r="M24" s="6">
        <f>IF(Seats!C24="N","absent",IF(AND(ISNUMBER(H24),ISNUMBER(L24)),H24+L24,"incomplete"))</f>
        <v/>
      </c>
      <c r="N24" s="6">
        <f>IF(OR(AND(ISNUMBER(E24),OR(E24&gt;Rubric!$C$8,E24&lt;0)),AND(ISNUMBER(F24),OR(F24&gt;Rubric!$C$9,F24&lt;0)),AND(ISNUMBER(G24),OR(G24&gt;Rubric!$C$10,G24&lt;0)),AND(ISNUMBER(I24),OR(I24&gt;Rubric!$C$11,I24&lt;0)),AND(ISNUMBER(J24),OR(J24&gt;Rubric!$C$12,J24&lt;0)),AND(ISNUMBER(K24),OR(K24&gt;Rubric!$C$13,K24&lt;0))),"above a maximum or below zero",IF(AND(ISNUMBER(J24),MOD(J24,1.5)&lt;&gt;0),"part B scores 0, 1.5 or 3",IF(AND(C24="not yet",D24=""),"book a Friday retake","ok")))</f>
        <v/>
      </c>
    </row>
    <row r="25">
      <c r="A25" s="6">
        <f>Seats!A25</f>
        <v/>
      </c>
      <c r="B25" s="6">
        <f>Seats!B25</f>
        <v/>
      </c>
      <c r="C25" s="9" t="n"/>
      <c r="D25" s="9" t="n"/>
      <c r="E25" s="9" t="n"/>
      <c r="F25" s="9" t="n"/>
      <c r="G25" s="9" t="n"/>
      <c r="H25" s="6">
        <f>IF(COUNT(E25:G25)&lt;3,"incomplete",SUM(E25:G25))</f>
        <v/>
      </c>
      <c r="I25" s="9" t="n"/>
      <c r="J25" s="9" t="n"/>
      <c r="K25" s="9" t="n"/>
      <c r="L25" s="6">
        <f>IF(COUNT(I25:K25)&lt;3,"incomplete",SUM(I25:K25))</f>
        <v/>
      </c>
      <c r="M25" s="6">
        <f>IF(Seats!C25="N","absent",IF(AND(ISNUMBER(H25),ISNUMBER(L25)),H25+L25,"incomplete"))</f>
        <v/>
      </c>
      <c r="N25" s="6">
        <f>IF(OR(AND(ISNUMBER(E25),OR(E25&gt;Rubric!$C$8,E25&lt;0)),AND(ISNUMBER(F25),OR(F25&gt;Rubric!$C$9,F25&lt;0)),AND(ISNUMBER(G25),OR(G25&gt;Rubric!$C$10,G25&lt;0)),AND(ISNUMBER(I25),OR(I25&gt;Rubric!$C$11,I25&lt;0)),AND(ISNUMBER(J25),OR(J25&gt;Rubric!$C$12,J25&lt;0)),AND(ISNUMBER(K25),OR(K25&gt;Rubric!$C$13,K25&lt;0))),"above a maximum or below zero",IF(AND(ISNUMBER(J25),MOD(J25,1.5)&lt;&gt;0),"part B scores 0, 1.5 or 3",IF(AND(C25="not yet",D25=""),"book a Friday retake","ok")))</f>
        <v/>
      </c>
    </row>
    <row r="26">
      <c r="A26" s="6">
        <f>Seats!A26</f>
        <v/>
      </c>
      <c r="B26" s="6">
        <f>Seats!B26</f>
        <v/>
      </c>
      <c r="C26" s="9" t="n"/>
      <c r="D26" s="9" t="n"/>
      <c r="E26" s="9" t="n"/>
      <c r="F26" s="9" t="n"/>
      <c r="G26" s="9" t="n"/>
      <c r="H26" s="6">
        <f>IF(COUNT(E26:G26)&lt;3,"incomplete",SUM(E26:G26))</f>
        <v/>
      </c>
      <c r="I26" s="9" t="n"/>
      <c r="J26" s="9" t="n"/>
      <c r="K26" s="9" t="n"/>
      <c r="L26" s="6">
        <f>IF(COUNT(I26:K26)&lt;3,"incomplete",SUM(I26:K26))</f>
        <v/>
      </c>
      <c r="M26" s="6">
        <f>IF(Seats!C26="N","absent",IF(AND(ISNUMBER(H26),ISNUMBER(L26)),H26+L26,"incomplete"))</f>
        <v/>
      </c>
      <c r="N26" s="6">
        <f>IF(OR(AND(ISNUMBER(E26),OR(E26&gt;Rubric!$C$8,E26&lt;0)),AND(ISNUMBER(F26),OR(F26&gt;Rubric!$C$9,F26&lt;0)),AND(ISNUMBER(G26),OR(G26&gt;Rubric!$C$10,G26&lt;0)),AND(ISNUMBER(I26),OR(I26&gt;Rubric!$C$11,I26&lt;0)),AND(ISNUMBER(J26),OR(J26&gt;Rubric!$C$12,J26&lt;0)),AND(ISNUMBER(K26),OR(K26&gt;Rubric!$C$13,K26&lt;0))),"above a maximum or below zero",IF(AND(ISNUMBER(J26),MOD(J26,1.5)&lt;&gt;0),"part B scores 0, 1.5 or 3",IF(AND(C26="not yet",D26=""),"book a Friday retake","ok")))</f>
        <v/>
      </c>
    </row>
    <row r="27">
      <c r="A27" s="6">
        <f>Seats!A27</f>
        <v/>
      </c>
      <c r="B27" s="6">
        <f>Seats!B27</f>
        <v/>
      </c>
      <c r="C27" s="9" t="n"/>
      <c r="D27" s="9" t="n"/>
      <c r="E27" s="9" t="n"/>
      <c r="F27" s="9" t="n"/>
      <c r="G27" s="9" t="n"/>
      <c r="H27" s="6">
        <f>IF(COUNT(E27:G27)&lt;3,"incomplete",SUM(E27:G27))</f>
        <v/>
      </c>
      <c r="I27" s="9" t="n"/>
      <c r="J27" s="9" t="n"/>
      <c r="K27" s="9" t="n"/>
      <c r="L27" s="6">
        <f>IF(COUNT(I27:K27)&lt;3,"incomplete",SUM(I27:K27))</f>
        <v/>
      </c>
      <c r="M27" s="6">
        <f>IF(Seats!C27="N","absent",IF(AND(ISNUMBER(H27),ISNUMBER(L27)),H27+L27,"incomplete"))</f>
        <v/>
      </c>
      <c r="N27" s="6">
        <f>IF(OR(AND(ISNUMBER(E27),OR(E27&gt;Rubric!$C$8,E27&lt;0)),AND(ISNUMBER(F27),OR(F27&gt;Rubric!$C$9,F27&lt;0)),AND(ISNUMBER(G27),OR(G27&gt;Rubric!$C$10,G27&lt;0)),AND(ISNUMBER(I27),OR(I27&gt;Rubric!$C$11,I27&lt;0)),AND(ISNUMBER(J27),OR(J27&gt;Rubric!$C$12,J27&lt;0)),AND(ISNUMBER(K27),OR(K27&gt;Rubric!$C$13,K27&lt;0))),"above a maximum or below zero",IF(AND(ISNUMBER(J27),MOD(J27,1.5)&lt;&gt;0),"part B scores 0, 1.5 or 3",IF(AND(C27="not yet",D27=""),"book a Friday retake","ok")))</f>
        <v/>
      </c>
    </row>
    <row r="28">
      <c r="A28" s="6">
        <f>Seats!A28</f>
        <v/>
      </c>
      <c r="B28" s="6">
        <f>Seats!B28</f>
        <v/>
      </c>
      <c r="C28" s="9" t="n"/>
      <c r="D28" s="9" t="n"/>
      <c r="E28" s="9" t="n"/>
      <c r="F28" s="9" t="n"/>
      <c r="G28" s="9" t="n"/>
      <c r="H28" s="6">
        <f>IF(COUNT(E28:G28)&lt;3,"incomplete",SUM(E28:G28))</f>
        <v/>
      </c>
      <c r="I28" s="9" t="n"/>
      <c r="J28" s="9" t="n"/>
      <c r="K28" s="9" t="n"/>
      <c r="L28" s="6">
        <f>IF(COUNT(I28:K28)&lt;3,"incomplete",SUM(I28:K28))</f>
        <v/>
      </c>
      <c r="M28" s="6">
        <f>IF(Seats!C28="N","absent",IF(AND(ISNUMBER(H28),ISNUMBER(L28)),H28+L28,"incomplete"))</f>
        <v/>
      </c>
      <c r="N28" s="6">
        <f>IF(OR(AND(ISNUMBER(E28),OR(E28&gt;Rubric!$C$8,E28&lt;0)),AND(ISNUMBER(F28),OR(F28&gt;Rubric!$C$9,F28&lt;0)),AND(ISNUMBER(G28),OR(G28&gt;Rubric!$C$10,G28&lt;0)),AND(ISNUMBER(I28),OR(I28&gt;Rubric!$C$11,I28&lt;0)),AND(ISNUMBER(J28),OR(J28&gt;Rubric!$C$12,J28&lt;0)),AND(ISNUMBER(K28),OR(K28&gt;Rubric!$C$13,K28&lt;0))),"above a maximum or below zero",IF(AND(ISNUMBER(J28),MOD(J28,1.5)&lt;&gt;0),"part B scores 0, 1.5 or 3",IF(AND(C28="not yet",D28=""),"book a Friday retake","ok")))</f>
        <v/>
      </c>
    </row>
    <row r="29">
      <c r="A29" s="6">
        <f>Seats!A29</f>
        <v/>
      </c>
      <c r="B29" s="6">
        <f>Seats!B29</f>
        <v/>
      </c>
      <c r="C29" s="9" t="n"/>
      <c r="D29" s="9" t="n"/>
      <c r="E29" s="9" t="n"/>
      <c r="F29" s="9" t="n"/>
      <c r="G29" s="9" t="n"/>
      <c r="H29" s="6">
        <f>IF(COUNT(E29:G29)&lt;3,"incomplete",SUM(E29:G29))</f>
        <v/>
      </c>
      <c r="I29" s="9" t="n"/>
      <c r="J29" s="9" t="n"/>
      <c r="K29" s="9" t="n"/>
      <c r="L29" s="6">
        <f>IF(COUNT(I29:K29)&lt;3,"incomplete",SUM(I29:K29))</f>
        <v/>
      </c>
      <c r="M29" s="6">
        <f>IF(Seats!C29="N","absent",IF(AND(ISNUMBER(H29),ISNUMBER(L29)),H29+L29,"incomplete"))</f>
        <v/>
      </c>
      <c r="N29" s="6">
        <f>IF(OR(AND(ISNUMBER(E29),OR(E29&gt;Rubric!$C$8,E29&lt;0)),AND(ISNUMBER(F29),OR(F29&gt;Rubric!$C$9,F29&lt;0)),AND(ISNUMBER(G29),OR(G29&gt;Rubric!$C$10,G29&lt;0)),AND(ISNUMBER(I29),OR(I29&gt;Rubric!$C$11,I29&lt;0)),AND(ISNUMBER(J29),OR(J29&gt;Rubric!$C$12,J29&lt;0)),AND(ISNUMBER(K29),OR(K29&gt;Rubric!$C$13,K29&lt;0))),"above a maximum or below zero",IF(AND(ISNUMBER(J29),MOD(J29,1.5)&lt;&gt;0),"part B scores 0, 1.5 or 3",IF(AND(C29="not yet",D29=""),"book a Friday retake","ok")))</f>
        <v/>
      </c>
    </row>
    <row r="30">
      <c r="A30" s="6">
        <f>Seats!A30</f>
        <v/>
      </c>
      <c r="B30" s="6">
        <f>Seats!B30</f>
        <v/>
      </c>
      <c r="C30" s="9" t="n"/>
      <c r="D30" s="9" t="n"/>
      <c r="E30" s="9" t="n"/>
      <c r="F30" s="9" t="n"/>
      <c r="G30" s="9" t="n"/>
      <c r="H30" s="6">
        <f>IF(COUNT(E30:G30)&lt;3,"incomplete",SUM(E30:G30))</f>
        <v/>
      </c>
      <c r="I30" s="9" t="n"/>
      <c r="J30" s="9" t="n"/>
      <c r="K30" s="9" t="n"/>
      <c r="L30" s="6">
        <f>IF(COUNT(I30:K30)&lt;3,"incomplete",SUM(I30:K30))</f>
        <v/>
      </c>
      <c r="M30" s="6">
        <f>IF(Seats!C30="N","absent",IF(AND(ISNUMBER(H30),ISNUMBER(L30)),H30+L30,"incomplete"))</f>
        <v/>
      </c>
      <c r="N30" s="6">
        <f>IF(OR(AND(ISNUMBER(E30),OR(E30&gt;Rubric!$C$8,E30&lt;0)),AND(ISNUMBER(F30),OR(F30&gt;Rubric!$C$9,F30&lt;0)),AND(ISNUMBER(G30),OR(G30&gt;Rubric!$C$10,G30&lt;0)),AND(ISNUMBER(I30),OR(I30&gt;Rubric!$C$11,I30&lt;0)),AND(ISNUMBER(J30),OR(J30&gt;Rubric!$C$12,J30&lt;0)),AND(ISNUMBER(K30),OR(K30&gt;Rubric!$C$13,K30&lt;0))),"above a maximum or below zero",IF(AND(ISNUMBER(J30),MOD(J30,1.5)&lt;&gt;0),"part B scores 0, 1.5 or 3",IF(AND(C30="not yet",D30=""),"book a Friday retake","ok")))</f>
        <v/>
      </c>
    </row>
    <row r="31">
      <c r="A31" s="6">
        <f>Seats!A31</f>
        <v/>
      </c>
      <c r="B31" s="6">
        <f>Seats!B31</f>
        <v/>
      </c>
      <c r="C31" s="9" t="n"/>
      <c r="D31" s="9" t="n"/>
      <c r="E31" s="9" t="n"/>
      <c r="F31" s="9" t="n"/>
      <c r="G31" s="9" t="n"/>
      <c r="H31" s="6">
        <f>IF(COUNT(E31:G31)&lt;3,"incomplete",SUM(E31:G31))</f>
        <v/>
      </c>
      <c r="I31" s="9" t="n"/>
      <c r="J31" s="9" t="n"/>
      <c r="K31" s="9" t="n"/>
      <c r="L31" s="6">
        <f>IF(COUNT(I31:K31)&lt;3,"incomplete",SUM(I31:K31))</f>
        <v/>
      </c>
      <c r="M31" s="6">
        <f>IF(Seats!C31="N","absent",IF(AND(ISNUMBER(H31),ISNUMBER(L31)),H31+L31,"incomplete"))</f>
        <v/>
      </c>
      <c r="N31" s="6">
        <f>IF(OR(AND(ISNUMBER(E31),OR(E31&gt;Rubric!$C$8,E31&lt;0)),AND(ISNUMBER(F31),OR(F31&gt;Rubric!$C$9,F31&lt;0)),AND(ISNUMBER(G31),OR(G31&gt;Rubric!$C$10,G31&lt;0)),AND(ISNUMBER(I31),OR(I31&gt;Rubric!$C$11,I31&lt;0)),AND(ISNUMBER(J31),OR(J31&gt;Rubric!$C$12,J31&lt;0)),AND(ISNUMBER(K31),OR(K31&gt;Rubric!$C$13,K31&lt;0))),"above a maximum or below zero",IF(AND(ISNUMBER(J31),MOD(J31,1.5)&lt;&gt;0),"part B scores 0, 1.5 or 3",IF(AND(C31="not yet",D31=""),"book a Friday retake","ok")))</f>
        <v/>
      </c>
    </row>
    <row r="32">
      <c r="A32" s="6">
        <f>Seats!A32</f>
        <v/>
      </c>
      <c r="B32" s="6">
        <f>Seats!B32</f>
        <v/>
      </c>
      <c r="C32" s="9" t="n"/>
      <c r="D32" s="9" t="n"/>
      <c r="E32" s="9" t="n"/>
      <c r="F32" s="9" t="n"/>
      <c r="G32" s="9" t="n"/>
      <c r="H32" s="6">
        <f>IF(COUNT(E32:G32)&lt;3,"incomplete",SUM(E32:G32))</f>
        <v/>
      </c>
      <c r="I32" s="9" t="n"/>
      <c r="J32" s="9" t="n"/>
      <c r="K32" s="9" t="n"/>
      <c r="L32" s="6">
        <f>IF(COUNT(I32:K32)&lt;3,"incomplete",SUM(I32:K32))</f>
        <v/>
      </c>
      <c r="M32" s="6">
        <f>IF(Seats!C32="N","absent",IF(AND(ISNUMBER(H32),ISNUMBER(L32)),H32+L32,"incomplete"))</f>
        <v/>
      </c>
      <c r="N32" s="6">
        <f>IF(OR(AND(ISNUMBER(E32),OR(E32&gt;Rubric!$C$8,E32&lt;0)),AND(ISNUMBER(F32),OR(F32&gt;Rubric!$C$9,F32&lt;0)),AND(ISNUMBER(G32),OR(G32&gt;Rubric!$C$10,G32&lt;0)),AND(ISNUMBER(I32),OR(I32&gt;Rubric!$C$11,I32&lt;0)),AND(ISNUMBER(J32),OR(J32&gt;Rubric!$C$12,J32&lt;0)),AND(ISNUMBER(K32),OR(K32&gt;Rubric!$C$13,K32&lt;0))),"above a maximum or below zero",IF(AND(ISNUMBER(J32),MOD(J32,1.5)&lt;&gt;0),"part B scores 0, 1.5 or 3",IF(AND(C32="not yet",D32=""),"book a Friday retake","ok")))</f>
        <v/>
      </c>
    </row>
    <row r="33">
      <c r="A33" s="6">
        <f>Seats!A33</f>
        <v/>
      </c>
      <c r="B33" s="6">
        <f>Seats!B33</f>
        <v/>
      </c>
      <c r="C33" s="9" t="n"/>
      <c r="D33" s="9" t="n"/>
      <c r="E33" s="9" t="n"/>
      <c r="F33" s="9" t="n"/>
      <c r="G33" s="9" t="n"/>
      <c r="H33" s="6">
        <f>IF(COUNT(E33:G33)&lt;3,"incomplete",SUM(E33:G33))</f>
        <v/>
      </c>
      <c r="I33" s="9" t="n"/>
      <c r="J33" s="9" t="n"/>
      <c r="K33" s="9" t="n"/>
      <c r="L33" s="6">
        <f>IF(COUNT(I33:K33)&lt;3,"incomplete",SUM(I33:K33))</f>
        <v/>
      </c>
      <c r="M33" s="6">
        <f>IF(Seats!C33="N","absent",IF(AND(ISNUMBER(H33),ISNUMBER(L33)),H33+L33,"incomplete"))</f>
        <v/>
      </c>
      <c r="N33" s="6">
        <f>IF(OR(AND(ISNUMBER(E33),OR(E33&gt;Rubric!$C$8,E33&lt;0)),AND(ISNUMBER(F33),OR(F33&gt;Rubric!$C$9,F33&lt;0)),AND(ISNUMBER(G33),OR(G33&gt;Rubric!$C$10,G33&lt;0)),AND(ISNUMBER(I33),OR(I33&gt;Rubric!$C$11,I33&lt;0)),AND(ISNUMBER(J33),OR(J33&gt;Rubric!$C$12,J33&lt;0)),AND(ISNUMBER(K33),OR(K33&gt;Rubric!$C$13,K33&lt;0))),"above a maximum or below zero",IF(AND(ISNUMBER(J33),MOD(J33,1.5)&lt;&gt;0),"part B scores 0, 1.5 or 3",IF(AND(C33="not yet",D33=""),"book a Friday retake","ok")))</f>
        <v/>
      </c>
    </row>
    <row r="34">
      <c r="A34" s="6">
        <f>Seats!A34</f>
        <v/>
      </c>
      <c r="B34" s="6">
        <f>Seats!B34</f>
        <v/>
      </c>
      <c r="C34" s="9" t="n"/>
      <c r="D34" s="9" t="n"/>
      <c r="E34" s="9" t="n"/>
      <c r="F34" s="9" t="n"/>
      <c r="G34" s="9" t="n"/>
      <c r="H34" s="6">
        <f>IF(COUNT(E34:G34)&lt;3,"incomplete",SUM(E34:G34))</f>
        <v/>
      </c>
      <c r="I34" s="9" t="n"/>
      <c r="J34" s="9" t="n"/>
      <c r="K34" s="9" t="n"/>
      <c r="L34" s="6">
        <f>IF(COUNT(I34:K34)&lt;3,"incomplete",SUM(I34:K34))</f>
        <v/>
      </c>
      <c r="M34" s="6">
        <f>IF(Seats!C34="N","absent",IF(AND(ISNUMBER(H34),ISNUMBER(L34)),H34+L34,"incomplete"))</f>
        <v/>
      </c>
      <c r="N34" s="6">
        <f>IF(OR(AND(ISNUMBER(E34),OR(E34&gt;Rubric!$C$8,E34&lt;0)),AND(ISNUMBER(F34),OR(F34&gt;Rubric!$C$9,F34&lt;0)),AND(ISNUMBER(G34),OR(G34&gt;Rubric!$C$10,G34&lt;0)),AND(ISNUMBER(I34),OR(I34&gt;Rubric!$C$11,I34&lt;0)),AND(ISNUMBER(J34),OR(J34&gt;Rubric!$C$12,J34&lt;0)),AND(ISNUMBER(K34),OR(K34&gt;Rubric!$C$13,K34&lt;0))),"above a maximum or below zero",IF(AND(ISNUMBER(J34),MOD(J34,1.5)&lt;&gt;0),"part B scores 0, 1.5 or 3",IF(AND(C34="not yet",D34=""),"book a Friday retake","ok")))</f>
        <v/>
      </c>
    </row>
    <row r="35">
      <c r="A35" s="6">
        <f>Seats!A35</f>
        <v/>
      </c>
      <c r="B35" s="6">
        <f>Seats!B35</f>
        <v/>
      </c>
      <c r="C35" s="9" t="n"/>
      <c r="D35" s="9" t="n"/>
      <c r="E35" s="9" t="n"/>
      <c r="F35" s="9" t="n"/>
      <c r="G35" s="9" t="n"/>
      <c r="H35" s="6">
        <f>IF(COUNT(E35:G35)&lt;3,"incomplete",SUM(E35:G35))</f>
        <v/>
      </c>
      <c r="I35" s="9" t="n"/>
      <c r="J35" s="9" t="n"/>
      <c r="K35" s="9" t="n"/>
      <c r="L35" s="6">
        <f>IF(COUNT(I35:K35)&lt;3,"incomplete",SUM(I35:K35))</f>
        <v/>
      </c>
      <c r="M35" s="6">
        <f>IF(Seats!C35="N","absent",IF(AND(ISNUMBER(H35),ISNUMBER(L35)),H35+L35,"incomplete"))</f>
        <v/>
      </c>
      <c r="N35" s="6">
        <f>IF(OR(AND(ISNUMBER(E35),OR(E35&gt;Rubric!$C$8,E35&lt;0)),AND(ISNUMBER(F35),OR(F35&gt;Rubric!$C$9,F35&lt;0)),AND(ISNUMBER(G35),OR(G35&gt;Rubric!$C$10,G35&lt;0)),AND(ISNUMBER(I35),OR(I35&gt;Rubric!$C$11,I35&lt;0)),AND(ISNUMBER(J35),OR(J35&gt;Rubric!$C$12,J35&lt;0)),AND(ISNUMBER(K35),OR(K35&gt;Rubric!$C$13,K35&lt;0))),"above a maximum or below zero",IF(AND(ISNUMBER(J35),MOD(J35,1.5)&lt;&gt;0),"part B scores 0, 1.5 or 3",IF(AND(C35="not yet",D35=""),"book a Friday retake","ok")))</f>
        <v/>
      </c>
    </row>
    <row r="36">
      <c r="A36" s="6">
        <f>Seats!A36</f>
        <v/>
      </c>
      <c r="B36" s="6">
        <f>Seats!B36</f>
        <v/>
      </c>
      <c r="C36" s="9" t="n"/>
      <c r="D36" s="9" t="n"/>
      <c r="E36" s="9" t="n"/>
      <c r="F36" s="9" t="n"/>
      <c r="G36" s="9" t="n"/>
      <c r="H36" s="6">
        <f>IF(COUNT(E36:G36)&lt;3,"incomplete",SUM(E36:G36))</f>
        <v/>
      </c>
      <c r="I36" s="9" t="n"/>
      <c r="J36" s="9" t="n"/>
      <c r="K36" s="9" t="n"/>
      <c r="L36" s="6">
        <f>IF(COUNT(I36:K36)&lt;3,"incomplete",SUM(I36:K36))</f>
        <v/>
      </c>
      <c r="M36" s="6">
        <f>IF(Seats!C36="N","absent",IF(AND(ISNUMBER(H36),ISNUMBER(L36)),H36+L36,"incomplete"))</f>
        <v/>
      </c>
      <c r="N36" s="6">
        <f>IF(OR(AND(ISNUMBER(E36),OR(E36&gt;Rubric!$C$8,E36&lt;0)),AND(ISNUMBER(F36),OR(F36&gt;Rubric!$C$9,F36&lt;0)),AND(ISNUMBER(G36),OR(G36&gt;Rubric!$C$10,G36&lt;0)),AND(ISNUMBER(I36),OR(I36&gt;Rubric!$C$11,I36&lt;0)),AND(ISNUMBER(J36),OR(J36&gt;Rubric!$C$12,J36&lt;0)),AND(ISNUMBER(K36),OR(K36&gt;Rubric!$C$13,K36&lt;0))),"above a maximum or below zero",IF(AND(ISNUMBER(J36),MOD(J36,1.5)&lt;&gt;0),"part B scores 0, 1.5 or 3",IF(AND(C36="not yet",D36=""),"book a Friday retake","ok")))</f>
        <v/>
      </c>
    </row>
    <row r="37">
      <c r="A37" s="6">
        <f>Seats!A37</f>
        <v/>
      </c>
      <c r="B37" s="6">
        <f>Seats!B37</f>
        <v/>
      </c>
      <c r="C37" s="9" t="n"/>
      <c r="D37" s="9" t="n"/>
      <c r="E37" s="9" t="n"/>
      <c r="F37" s="9" t="n"/>
      <c r="G37" s="9" t="n"/>
      <c r="H37" s="6">
        <f>IF(COUNT(E37:G37)&lt;3,"incomplete",SUM(E37:G37))</f>
        <v/>
      </c>
      <c r="I37" s="9" t="n"/>
      <c r="J37" s="9" t="n"/>
      <c r="K37" s="9" t="n"/>
      <c r="L37" s="6">
        <f>IF(COUNT(I37:K37)&lt;3,"incomplete",SUM(I37:K37))</f>
        <v/>
      </c>
      <c r="M37" s="6">
        <f>IF(Seats!C37="N","absent",IF(AND(ISNUMBER(H37),ISNUMBER(L37)),H37+L37,"incomplete"))</f>
        <v/>
      </c>
      <c r="N37" s="6">
        <f>IF(OR(AND(ISNUMBER(E37),OR(E37&gt;Rubric!$C$8,E37&lt;0)),AND(ISNUMBER(F37),OR(F37&gt;Rubric!$C$9,F37&lt;0)),AND(ISNUMBER(G37),OR(G37&gt;Rubric!$C$10,G37&lt;0)),AND(ISNUMBER(I37),OR(I37&gt;Rubric!$C$11,I37&lt;0)),AND(ISNUMBER(J37),OR(J37&gt;Rubric!$C$12,J37&lt;0)),AND(ISNUMBER(K37),OR(K37&gt;Rubric!$C$13,K37&lt;0))),"above a maximum or below zero",IF(AND(ISNUMBER(J37),MOD(J37,1.5)&lt;&gt;0),"part B scores 0, 1.5 or 3",IF(AND(C37="not yet",D37=""),"book a Friday retake","ok")))</f>
        <v/>
      </c>
    </row>
    <row r="38">
      <c r="A38" s="6">
        <f>Seats!A38</f>
        <v/>
      </c>
      <c r="B38" s="6">
        <f>Seats!B38</f>
        <v/>
      </c>
      <c r="C38" s="9" t="n"/>
      <c r="D38" s="9" t="n"/>
      <c r="E38" s="9" t="n"/>
      <c r="F38" s="9" t="n"/>
      <c r="G38" s="9" t="n"/>
      <c r="H38" s="6">
        <f>IF(COUNT(E38:G38)&lt;3,"incomplete",SUM(E38:G38))</f>
        <v/>
      </c>
      <c r="I38" s="9" t="n"/>
      <c r="J38" s="9" t="n"/>
      <c r="K38" s="9" t="n"/>
      <c r="L38" s="6">
        <f>IF(COUNT(I38:K38)&lt;3,"incomplete",SUM(I38:K38))</f>
        <v/>
      </c>
      <c r="M38" s="6">
        <f>IF(Seats!C38="N","absent",IF(AND(ISNUMBER(H38),ISNUMBER(L38)),H38+L38,"incomplete"))</f>
        <v/>
      </c>
      <c r="N38" s="6">
        <f>IF(OR(AND(ISNUMBER(E38),OR(E38&gt;Rubric!$C$8,E38&lt;0)),AND(ISNUMBER(F38),OR(F38&gt;Rubric!$C$9,F38&lt;0)),AND(ISNUMBER(G38),OR(G38&gt;Rubric!$C$10,G38&lt;0)),AND(ISNUMBER(I38),OR(I38&gt;Rubric!$C$11,I38&lt;0)),AND(ISNUMBER(J38),OR(J38&gt;Rubric!$C$12,J38&lt;0)),AND(ISNUMBER(K38),OR(K38&gt;Rubric!$C$13,K38&lt;0))),"above a maximum or below zero",IF(AND(ISNUMBER(J38),MOD(J38,1.5)&lt;&gt;0),"part B scores 0, 1.5 or 3",IF(AND(C38="not yet",D38=""),"book a Friday retake","ok")))</f>
        <v/>
      </c>
    </row>
    <row r="39">
      <c r="A39" s="6">
        <f>Seats!A39</f>
        <v/>
      </c>
      <c r="B39" s="6">
        <f>Seats!B39</f>
        <v/>
      </c>
      <c r="C39" s="9" t="n"/>
      <c r="D39" s="9" t="n"/>
      <c r="E39" s="9" t="n"/>
      <c r="F39" s="9" t="n"/>
      <c r="G39" s="9" t="n"/>
      <c r="H39" s="6">
        <f>IF(COUNT(E39:G39)&lt;3,"incomplete",SUM(E39:G39))</f>
        <v/>
      </c>
      <c r="I39" s="9" t="n"/>
      <c r="J39" s="9" t="n"/>
      <c r="K39" s="9" t="n"/>
      <c r="L39" s="6">
        <f>IF(COUNT(I39:K39)&lt;3,"incomplete",SUM(I39:K39))</f>
        <v/>
      </c>
      <c r="M39" s="6">
        <f>IF(Seats!C39="N","absent",IF(AND(ISNUMBER(H39),ISNUMBER(L39)),H39+L39,"incomplete"))</f>
        <v/>
      </c>
      <c r="N39" s="6">
        <f>IF(OR(AND(ISNUMBER(E39),OR(E39&gt;Rubric!$C$8,E39&lt;0)),AND(ISNUMBER(F39),OR(F39&gt;Rubric!$C$9,F39&lt;0)),AND(ISNUMBER(G39),OR(G39&gt;Rubric!$C$10,G39&lt;0)),AND(ISNUMBER(I39),OR(I39&gt;Rubric!$C$11,I39&lt;0)),AND(ISNUMBER(J39),OR(J39&gt;Rubric!$C$12,J39&lt;0)),AND(ISNUMBER(K39),OR(K39&gt;Rubric!$C$13,K39&lt;0))),"above a maximum or below zero",IF(AND(ISNUMBER(J39),MOD(J39,1.5)&lt;&gt;0),"part B scores 0, 1.5 or 3",IF(AND(C39="not yet",D39=""),"book a Friday retake","ok")))</f>
        <v/>
      </c>
    </row>
    <row r="40">
      <c r="A40" s="6">
        <f>Seats!A40</f>
        <v/>
      </c>
      <c r="B40" s="6">
        <f>Seats!B40</f>
        <v/>
      </c>
      <c r="C40" s="9" t="n"/>
      <c r="D40" s="9" t="n"/>
      <c r="E40" s="9" t="n"/>
      <c r="F40" s="9" t="n"/>
      <c r="G40" s="9" t="n"/>
      <c r="H40" s="6">
        <f>IF(COUNT(E40:G40)&lt;3,"incomplete",SUM(E40:G40))</f>
        <v/>
      </c>
      <c r="I40" s="9" t="n"/>
      <c r="J40" s="9" t="n"/>
      <c r="K40" s="9" t="n"/>
      <c r="L40" s="6">
        <f>IF(COUNT(I40:K40)&lt;3,"incomplete",SUM(I40:K40))</f>
        <v/>
      </c>
      <c r="M40" s="6">
        <f>IF(Seats!C40="N","absent",IF(AND(ISNUMBER(H40),ISNUMBER(L40)),H40+L40,"incomplete"))</f>
        <v/>
      </c>
      <c r="N40" s="6">
        <f>IF(OR(AND(ISNUMBER(E40),OR(E40&gt;Rubric!$C$8,E40&lt;0)),AND(ISNUMBER(F40),OR(F40&gt;Rubric!$C$9,F40&lt;0)),AND(ISNUMBER(G40),OR(G40&gt;Rubric!$C$10,G40&lt;0)),AND(ISNUMBER(I40),OR(I40&gt;Rubric!$C$11,I40&lt;0)),AND(ISNUMBER(J40),OR(J40&gt;Rubric!$C$12,J40&lt;0)),AND(ISNUMBER(K40),OR(K40&gt;Rubric!$C$13,K40&lt;0))),"above a maximum or below zero",IF(AND(ISNUMBER(J40),MOD(J40,1.5)&lt;&gt;0),"part B scores 0, 1.5 or 3",IF(AND(C40="not yet",D40=""),"book a Friday retake","ok")))</f>
        <v/>
      </c>
    </row>
    <row r="41">
      <c r="A41" s="6">
        <f>Seats!A41</f>
        <v/>
      </c>
      <c r="B41" s="6">
        <f>Seats!B41</f>
        <v/>
      </c>
      <c r="C41" s="9" t="n"/>
      <c r="D41" s="9" t="n"/>
      <c r="E41" s="9" t="n"/>
      <c r="F41" s="9" t="n"/>
      <c r="G41" s="9" t="n"/>
      <c r="H41" s="6">
        <f>IF(COUNT(E41:G41)&lt;3,"incomplete",SUM(E41:G41))</f>
        <v/>
      </c>
      <c r="I41" s="9" t="n"/>
      <c r="J41" s="9" t="n"/>
      <c r="K41" s="9" t="n"/>
      <c r="L41" s="6">
        <f>IF(COUNT(I41:K41)&lt;3,"incomplete",SUM(I41:K41))</f>
        <v/>
      </c>
      <c r="M41" s="6">
        <f>IF(Seats!C41="N","absent",IF(AND(ISNUMBER(H41),ISNUMBER(L41)),H41+L41,"incomplete"))</f>
        <v/>
      </c>
      <c r="N41" s="6">
        <f>IF(OR(AND(ISNUMBER(E41),OR(E41&gt;Rubric!$C$8,E41&lt;0)),AND(ISNUMBER(F41),OR(F41&gt;Rubric!$C$9,F41&lt;0)),AND(ISNUMBER(G41),OR(G41&gt;Rubric!$C$10,G41&lt;0)),AND(ISNUMBER(I41),OR(I41&gt;Rubric!$C$11,I41&lt;0)),AND(ISNUMBER(J41),OR(J41&gt;Rubric!$C$12,J41&lt;0)),AND(ISNUMBER(K41),OR(K41&gt;Rubric!$C$13,K41&lt;0))),"above a maximum or below zero",IF(AND(ISNUMBER(J41),MOD(J41,1.5)&lt;&gt;0),"part B scores 0, 1.5 or 3",IF(AND(C41="not yet",D41=""),"book a Friday retake","ok")))</f>
        <v/>
      </c>
    </row>
  </sheetData>
  <dataValidations count="2">
    <dataValidation sqref="C3 C4 C5 C6 C7 C8 C9 C10 C11 C12 C13 C14 C15 C16 C17 C18 C19 C20 C21 C22 C23 C24 C25 C26 C27 C28 C29 C30 C31 C32 C33 C34 C35 C36 C37 C38 C39 C40 C41" showDropDown="0" showInputMessage="0" showErrorMessage="0" allowBlank="1" type="list">
      <formula1>"held,not yet"</formula1>
    </dataValidation>
    <dataValidation sqref="D3 D4 D5 D6 D7 D8 D9 D10 D11 D12 D13 D14 D15 D16 D17 D18 D19 D20 D21 D22 D23 D24 D25 D26 D27 D28 D29 D30 D31 D32 D33 D34 D35 D36 D37 D38 D39 D40 D41" showDropDown="0" showInputMessage="0" showErrorMessage="0" allowBlank="1" type="list">
      <formula1>"held at the retake,still not yet"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9" customWidth="1" min="3" max="3"/>
    <col width="14" customWidth="1" min="4" max="4"/>
    <col width="12" customWidth="1" min="5" max="5"/>
    <col width="10" customWidth="1" min="6" max="6"/>
    <col width="14" customWidth="1" min="7" max="7"/>
    <col width="10" customWidth="1" min="8" max="8"/>
    <col width="30" customWidth="1" min="9" max="9"/>
  </cols>
  <sheetData>
    <row r="1">
      <c r="A1" s="4" t="inlineStr">
        <is>
          <t>GD: four criteria per learner, Build 1's approved rubric proposed for Build 2</t>
        </is>
      </c>
    </row>
    <row r="2" ht="44" customHeight="1">
      <c r="A2" s="5" t="inlineStr">
        <is>
          <t>Group</t>
        </is>
      </c>
      <c r="B2" s="5" t="inlineStr">
        <is>
          <t>Seat</t>
        </is>
      </c>
      <c r="C2" s="5" t="inlineStr">
        <is>
          <t>GD room</t>
        </is>
      </c>
      <c r="D2" s="5" t="inlineStr">
        <is>
          <t>Structures the problem (of 8)</t>
        </is>
      </c>
      <c r="E2" s="5" t="inlineStr">
        <is>
          <t>Uses evidence (of 8)</t>
        </is>
      </c>
      <c r="F2" s="5" t="inlineStr">
        <is>
          <t>Engages (of 8)</t>
        </is>
      </c>
      <c r="G2" s="5" t="inlineStr">
        <is>
          <t>Lands a conclusion (of 6)</t>
        </is>
      </c>
      <c r="H2" s="5" t="inlineStr">
        <is>
          <t>GD (of 30)</t>
        </is>
      </c>
      <c r="I2" s="5" t="inlineStr">
        <is>
          <t>Check</t>
        </is>
      </c>
    </row>
    <row r="3">
      <c r="A3" s="6">
        <f>Seats!A3</f>
        <v/>
      </c>
      <c r="B3" s="6">
        <f>Seats!B3</f>
        <v/>
      </c>
      <c r="C3" s="6">
        <f>Seats!E3</f>
        <v/>
      </c>
      <c r="D3" s="9" t="n"/>
      <c r="E3" s="9" t="n"/>
      <c r="F3" s="9" t="n"/>
      <c r="G3" s="9" t="n"/>
      <c r="H3" s="6">
        <f>IF(Seats!C3="N","absent",IF(COUNT(D3:G3)&lt;4,"incomplete",SUM(D3:G3)))</f>
        <v/>
      </c>
      <c r="I3" s="6">
        <f>IF(OR(AND(ISNUMBER(D3),OR(D3&gt;Rubric!$C$14,D3&lt;0)),AND(ISNUMBER(E3),OR(E3&gt;Rubric!$C$15,E3&lt;0)),AND(ISNUMBER(F3),OR(F3&gt;Rubric!$C$16,F3&lt;0)),AND(ISNUMBER(G3),OR(G3&gt;Rubric!$C$17,G3&lt;0))),"above a maximum or below zero","ok")</f>
        <v/>
      </c>
    </row>
    <row r="4">
      <c r="A4" s="6">
        <f>Seats!A4</f>
        <v/>
      </c>
      <c r="B4" s="6">
        <f>Seats!B4</f>
        <v/>
      </c>
      <c r="C4" s="6">
        <f>Seats!E4</f>
        <v/>
      </c>
      <c r="D4" s="9" t="n"/>
      <c r="E4" s="9" t="n"/>
      <c r="F4" s="9" t="n"/>
      <c r="G4" s="9" t="n"/>
      <c r="H4" s="6">
        <f>IF(Seats!C4="N","absent",IF(COUNT(D4:G4)&lt;4,"incomplete",SUM(D4:G4)))</f>
        <v/>
      </c>
      <c r="I4" s="6">
        <f>IF(OR(AND(ISNUMBER(D4),OR(D4&gt;Rubric!$C$14,D4&lt;0)),AND(ISNUMBER(E4),OR(E4&gt;Rubric!$C$15,E4&lt;0)),AND(ISNUMBER(F4),OR(F4&gt;Rubric!$C$16,F4&lt;0)),AND(ISNUMBER(G4),OR(G4&gt;Rubric!$C$17,G4&lt;0))),"above a maximum or below zero","ok")</f>
        <v/>
      </c>
    </row>
    <row r="5">
      <c r="A5" s="6">
        <f>Seats!A5</f>
        <v/>
      </c>
      <c r="B5" s="6">
        <f>Seats!B5</f>
        <v/>
      </c>
      <c r="C5" s="6">
        <f>Seats!E5</f>
        <v/>
      </c>
      <c r="D5" s="9" t="n"/>
      <c r="E5" s="9" t="n"/>
      <c r="F5" s="9" t="n"/>
      <c r="G5" s="9" t="n"/>
      <c r="H5" s="6">
        <f>IF(Seats!C5="N","absent",IF(COUNT(D5:G5)&lt;4,"incomplete",SUM(D5:G5)))</f>
        <v/>
      </c>
      <c r="I5" s="6">
        <f>IF(OR(AND(ISNUMBER(D5),OR(D5&gt;Rubric!$C$14,D5&lt;0)),AND(ISNUMBER(E5),OR(E5&gt;Rubric!$C$15,E5&lt;0)),AND(ISNUMBER(F5),OR(F5&gt;Rubric!$C$16,F5&lt;0)),AND(ISNUMBER(G5),OR(G5&gt;Rubric!$C$17,G5&lt;0))),"above a maximum or below zero","ok")</f>
        <v/>
      </c>
    </row>
    <row r="6">
      <c r="A6" s="6">
        <f>Seats!A6</f>
        <v/>
      </c>
      <c r="B6" s="6">
        <f>Seats!B6</f>
        <v/>
      </c>
      <c r="C6" s="6">
        <f>Seats!E6</f>
        <v/>
      </c>
      <c r="D6" s="9" t="n"/>
      <c r="E6" s="9" t="n"/>
      <c r="F6" s="9" t="n"/>
      <c r="G6" s="9" t="n"/>
      <c r="H6" s="6">
        <f>IF(Seats!C6="N","absent",IF(COUNT(D6:G6)&lt;4,"incomplete",SUM(D6:G6)))</f>
        <v/>
      </c>
      <c r="I6" s="6">
        <f>IF(OR(AND(ISNUMBER(D6),OR(D6&gt;Rubric!$C$14,D6&lt;0)),AND(ISNUMBER(E6),OR(E6&gt;Rubric!$C$15,E6&lt;0)),AND(ISNUMBER(F6),OR(F6&gt;Rubric!$C$16,F6&lt;0)),AND(ISNUMBER(G6),OR(G6&gt;Rubric!$C$17,G6&lt;0))),"above a maximum or below zero","ok")</f>
        <v/>
      </c>
    </row>
    <row r="7">
      <c r="A7" s="6">
        <f>Seats!A7</f>
        <v/>
      </c>
      <c r="B7" s="6">
        <f>Seats!B7</f>
        <v/>
      </c>
      <c r="C7" s="6">
        <f>Seats!E7</f>
        <v/>
      </c>
      <c r="D7" s="9" t="n"/>
      <c r="E7" s="9" t="n"/>
      <c r="F7" s="9" t="n"/>
      <c r="G7" s="9" t="n"/>
      <c r="H7" s="6">
        <f>IF(Seats!C7="N","absent",IF(COUNT(D7:G7)&lt;4,"incomplete",SUM(D7:G7)))</f>
        <v/>
      </c>
      <c r="I7" s="6">
        <f>IF(OR(AND(ISNUMBER(D7),OR(D7&gt;Rubric!$C$14,D7&lt;0)),AND(ISNUMBER(E7),OR(E7&gt;Rubric!$C$15,E7&lt;0)),AND(ISNUMBER(F7),OR(F7&gt;Rubric!$C$16,F7&lt;0)),AND(ISNUMBER(G7),OR(G7&gt;Rubric!$C$17,G7&lt;0))),"above a maximum or below zero","ok")</f>
        <v/>
      </c>
    </row>
    <row r="8">
      <c r="A8" s="6">
        <f>Seats!A8</f>
        <v/>
      </c>
      <c r="B8" s="6">
        <f>Seats!B8</f>
        <v/>
      </c>
      <c r="C8" s="6">
        <f>Seats!E8</f>
        <v/>
      </c>
      <c r="D8" s="9" t="n"/>
      <c r="E8" s="9" t="n"/>
      <c r="F8" s="9" t="n"/>
      <c r="G8" s="9" t="n"/>
      <c r="H8" s="6">
        <f>IF(Seats!C8="N","absent",IF(COUNT(D8:G8)&lt;4,"incomplete",SUM(D8:G8)))</f>
        <v/>
      </c>
      <c r="I8" s="6">
        <f>IF(OR(AND(ISNUMBER(D8),OR(D8&gt;Rubric!$C$14,D8&lt;0)),AND(ISNUMBER(E8),OR(E8&gt;Rubric!$C$15,E8&lt;0)),AND(ISNUMBER(F8),OR(F8&gt;Rubric!$C$16,F8&lt;0)),AND(ISNUMBER(G8),OR(G8&gt;Rubric!$C$17,G8&lt;0))),"above a maximum or below zero","ok")</f>
        <v/>
      </c>
    </row>
    <row r="9">
      <c r="A9" s="6">
        <f>Seats!A9</f>
        <v/>
      </c>
      <c r="B9" s="6">
        <f>Seats!B9</f>
        <v/>
      </c>
      <c r="C9" s="6">
        <f>Seats!E9</f>
        <v/>
      </c>
      <c r="D9" s="9" t="n"/>
      <c r="E9" s="9" t="n"/>
      <c r="F9" s="9" t="n"/>
      <c r="G9" s="9" t="n"/>
      <c r="H9" s="6">
        <f>IF(Seats!C9="N","absent",IF(COUNT(D9:G9)&lt;4,"incomplete",SUM(D9:G9)))</f>
        <v/>
      </c>
      <c r="I9" s="6">
        <f>IF(OR(AND(ISNUMBER(D9),OR(D9&gt;Rubric!$C$14,D9&lt;0)),AND(ISNUMBER(E9),OR(E9&gt;Rubric!$C$15,E9&lt;0)),AND(ISNUMBER(F9),OR(F9&gt;Rubric!$C$16,F9&lt;0)),AND(ISNUMBER(G9),OR(G9&gt;Rubric!$C$17,G9&lt;0))),"above a maximum or below zero","ok")</f>
        <v/>
      </c>
    </row>
    <row r="10">
      <c r="A10" s="6">
        <f>Seats!A10</f>
        <v/>
      </c>
      <c r="B10" s="6">
        <f>Seats!B10</f>
        <v/>
      </c>
      <c r="C10" s="6">
        <f>Seats!E10</f>
        <v/>
      </c>
      <c r="D10" s="9" t="n"/>
      <c r="E10" s="9" t="n"/>
      <c r="F10" s="9" t="n"/>
      <c r="G10" s="9" t="n"/>
      <c r="H10" s="6">
        <f>IF(Seats!C10="N","absent",IF(COUNT(D10:G10)&lt;4,"incomplete",SUM(D10:G10)))</f>
        <v/>
      </c>
      <c r="I10" s="6">
        <f>IF(OR(AND(ISNUMBER(D10),OR(D10&gt;Rubric!$C$14,D10&lt;0)),AND(ISNUMBER(E10),OR(E10&gt;Rubric!$C$15,E10&lt;0)),AND(ISNUMBER(F10),OR(F10&gt;Rubric!$C$16,F10&lt;0)),AND(ISNUMBER(G10),OR(G10&gt;Rubric!$C$17,G10&lt;0))),"above a maximum or below zero","ok")</f>
        <v/>
      </c>
    </row>
    <row r="11">
      <c r="A11" s="6">
        <f>Seats!A11</f>
        <v/>
      </c>
      <c r="B11" s="6">
        <f>Seats!B11</f>
        <v/>
      </c>
      <c r="C11" s="6">
        <f>Seats!E11</f>
        <v/>
      </c>
      <c r="D11" s="9" t="n"/>
      <c r="E11" s="9" t="n"/>
      <c r="F11" s="9" t="n"/>
      <c r="G11" s="9" t="n"/>
      <c r="H11" s="6">
        <f>IF(Seats!C11="N","absent",IF(COUNT(D11:G11)&lt;4,"incomplete",SUM(D11:G11)))</f>
        <v/>
      </c>
      <c r="I11" s="6">
        <f>IF(OR(AND(ISNUMBER(D11),OR(D11&gt;Rubric!$C$14,D11&lt;0)),AND(ISNUMBER(E11),OR(E11&gt;Rubric!$C$15,E11&lt;0)),AND(ISNUMBER(F11),OR(F11&gt;Rubric!$C$16,F11&lt;0)),AND(ISNUMBER(G11),OR(G11&gt;Rubric!$C$17,G11&lt;0))),"above a maximum or below zero","ok")</f>
        <v/>
      </c>
    </row>
    <row r="12">
      <c r="A12" s="6">
        <f>Seats!A12</f>
        <v/>
      </c>
      <c r="B12" s="6">
        <f>Seats!B12</f>
        <v/>
      </c>
      <c r="C12" s="6">
        <f>Seats!E12</f>
        <v/>
      </c>
      <c r="D12" s="9" t="n"/>
      <c r="E12" s="9" t="n"/>
      <c r="F12" s="9" t="n"/>
      <c r="G12" s="9" t="n"/>
      <c r="H12" s="6">
        <f>IF(Seats!C12="N","absent",IF(COUNT(D12:G12)&lt;4,"incomplete",SUM(D12:G12)))</f>
        <v/>
      </c>
      <c r="I12" s="6">
        <f>IF(OR(AND(ISNUMBER(D12),OR(D12&gt;Rubric!$C$14,D12&lt;0)),AND(ISNUMBER(E12),OR(E12&gt;Rubric!$C$15,E12&lt;0)),AND(ISNUMBER(F12),OR(F12&gt;Rubric!$C$16,F12&lt;0)),AND(ISNUMBER(G12),OR(G12&gt;Rubric!$C$17,G12&lt;0))),"above a maximum or below zero","ok")</f>
        <v/>
      </c>
    </row>
    <row r="13">
      <c r="A13" s="6">
        <f>Seats!A13</f>
        <v/>
      </c>
      <c r="B13" s="6">
        <f>Seats!B13</f>
        <v/>
      </c>
      <c r="C13" s="6">
        <f>Seats!E13</f>
        <v/>
      </c>
      <c r="D13" s="9" t="n"/>
      <c r="E13" s="9" t="n"/>
      <c r="F13" s="9" t="n"/>
      <c r="G13" s="9" t="n"/>
      <c r="H13" s="6">
        <f>IF(Seats!C13="N","absent",IF(COUNT(D13:G13)&lt;4,"incomplete",SUM(D13:G13)))</f>
        <v/>
      </c>
      <c r="I13" s="6">
        <f>IF(OR(AND(ISNUMBER(D13),OR(D13&gt;Rubric!$C$14,D13&lt;0)),AND(ISNUMBER(E13),OR(E13&gt;Rubric!$C$15,E13&lt;0)),AND(ISNUMBER(F13),OR(F13&gt;Rubric!$C$16,F13&lt;0)),AND(ISNUMBER(G13),OR(G13&gt;Rubric!$C$17,G13&lt;0))),"above a maximum or below zero","ok")</f>
        <v/>
      </c>
    </row>
    <row r="14">
      <c r="A14" s="6">
        <f>Seats!A14</f>
        <v/>
      </c>
      <c r="B14" s="6">
        <f>Seats!B14</f>
        <v/>
      </c>
      <c r="C14" s="6">
        <f>Seats!E14</f>
        <v/>
      </c>
      <c r="D14" s="9" t="n"/>
      <c r="E14" s="9" t="n"/>
      <c r="F14" s="9" t="n"/>
      <c r="G14" s="9" t="n"/>
      <c r="H14" s="6">
        <f>IF(Seats!C14="N","absent",IF(COUNT(D14:G14)&lt;4,"incomplete",SUM(D14:G14)))</f>
        <v/>
      </c>
      <c r="I14" s="6">
        <f>IF(OR(AND(ISNUMBER(D14),OR(D14&gt;Rubric!$C$14,D14&lt;0)),AND(ISNUMBER(E14),OR(E14&gt;Rubric!$C$15,E14&lt;0)),AND(ISNUMBER(F14),OR(F14&gt;Rubric!$C$16,F14&lt;0)),AND(ISNUMBER(G14),OR(G14&gt;Rubric!$C$17,G14&lt;0))),"above a maximum or below zero","ok")</f>
        <v/>
      </c>
    </row>
    <row r="15">
      <c r="A15" s="6">
        <f>Seats!A15</f>
        <v/>
      </c>
      <c r="B15" s="6">
        <f>Seats!B15</f>
        <v/>
      </c>
      <c r="C15" s="6">
        <f>Seats!E15</f>
        <v/>
      </c>
      <c r="D15" s="9" t="n"/>
      <c r="E15" s="9" t="n"/>
      <c r="F15" s="9" t="n"/>
      <c r="G15" s="9" t="n"/>
      <c r="H15" s="6">
        <f>IF(Seats!C15="N","absent",IF(COUNT(D15:G15)&lt;4,"incomplete",SUM(D15:G15)))</f>
        <v/>
      </c>
      <c r="I15" s="6">
        <f>IF(OR(AND(ISNUMBER(D15),OR(D15&gt;Rubric!$C$14,D15&lt;0)),AND(ISNUMBER(E15),OR(E15&gt;Rubric!$C$15,E15&lt;0)),AND(ISNUMBER(F15),OR(F15&gt;Rubric!$C$16,F15&lt;0)),AND(ISNUMBER(G15),OR(G15&gt;Rubric!$C$17,G15&lt;0))),"above a maximum or below zero","ok")</f>
        <v/>
      </c>
    </row>
    <row r="16">
      <c r="A16" s="6">
        <f>Seats!A16</f>
        <v/>
      </c>
      <c r="B16" s="6">
        <f>Seats!B16</f>
        <v/>
      </c>
      <c r="C16" s="6">
        <f>Seats!E16</f>
        <v/>
      </c>
      <c r="D16" s="9" t="n"/>
      <c r="E16" s="9" t="n"/>
      <c r="F16" s="9" t="n"/>
      <c r="G16" s="9" t="n"/>
      <c r="H16" s="6">
        <f>IF(Seats!C16="N","absent",IF(COUNT(D16:G16)&lt;4,"incomplete",SUM(D16:G16)))</f>
        <v/>
      </c>
      <c r="I16" s="6">
        <f>IF(OR(AND(ISNUMBER(D16),OR(D16&gt;Rubric!$C$14,D16&lt;0)),AND(ISNUMBER(E16),OR(E16&gt;Rubric!$C$15,E16&lt;0)),AND(ISNUMBER(F16),OR(F16&gt;Rubric!$C$16,F16&lt;0)),AND(ISNUMBER(G16),OR(G16&gt;Rubric!$C$17,G16&lt;0))),"above a maximum or below zero","ok")</f>
        <v/>
      </c>
    </row>
    <row r="17">
      <c r="A17" s="6">
        <f>Seats!A17</f>
        <v/>
      </c>
      <c r="B17" s="6">
        <f>Seats!B17</f>
        <v/>
      </c>
      <c r="C17" s="6">
        <f>Seats!E17</f>
        <v/>
      </c>
      <c r="D17" s="9" t="n"/>
      <c r="E17" s="9" t="n"/>
      <c r="F17" s="9" t="n"/>
      <c r="G17" s="9" t="n"/>
      <c r="H17" s="6">
        <f>IF(Seats!C17="N","absent",IF(COUNT(D17:G17)&lt;4,"incomplete",SUM(D17:G17)))</f>
        <v/>
      </c>
      <c r="I17" s="6">
        <f>IF(OR(AND(ISNUMBER(D17),OR(D17&gt;Rubric!$C$14,D17&lt;0)),AND(ISNUMBER(E17),OR(E17&gt;Rubric!$C$15,E17&lt;0)),AND(ISNUMBER(F17),OR(F17&gt;Rubric!$C$16,F17&lt;0)),AND(ISNUMBER(G17),OR(G17&gt;Rubric!$C$17,G17&lt;0))),"above a maximum or below zero","ok")</f>
        <v/>
      </c>
    </row>
    <row r="18">
      <c r="A18" s="6">
        <f>Seats!A18</f>
        <v/>
      </c>
      <c r="B18" s="6">
        <f>Seats!B18</f>
        <v/>
      </c>
      <c r="C18" s="6">
        <f>Seats!E18</f>
        <v/>
      </c>
      <c r="D18" s="9" t="n"/>
      <c r="E18" s="9" t="n"/>
      <c r="F18" s="9" t="n"/>
      <c r="G18" s="9" t="n"/>
      <c r="H18" s="6">
        <f>IF(Seats!C18="N","absent",IF(COUNT(D18:G18)&lt;4,"incomplete",SUM(D18:G18)))</f>
        <v/>
      </c>
      <c r="I18" s="6">
        <f>IF(OR(AND(ISNUMBER(D18),OR(D18&gt;Rubric!$C$14,D18&lt;0)),AND(ISNUMBER(E18),OR(E18&gt;Rubric!$C$15,E18&lt;0)),AND(ISNUMBER(F18),OR(F18&gt;Rubric!$C$16,F18&lt;0)),AND(ISNUMBER(G18),OR(G18&gt;Rubric!$C$17,G18&lt;0))),"above a maximum or below zero","ok")</f>
        <v/>
      </c>
    </row>
    <row r="19">
      <c r="A19" s="6">
        <f>Seats!A19</f>
        <v/>
      </c>
      <c r="B19" s="6">
        <f>Seats!B19</f>
        <v/>
      </c>
      <c r="C19" s="6">
        <f>Seats!E19</f>
        <v/>
      </c>
      <c r="D19" s="9" t="n"/>
      <c r="E19" s="9" t="n"/>
      <c r="F19" s="9" t="n"/>
      <c r="G19" s="9" t="n"/>
      <c r="H19" s="6">
        <f>IF(Seats!C19="N","absent",IF(COUNT(D19:G19)&lt;4,"incomplete",SUM(D19:G19)))</f>
        <v/>
      </c>
      <c r="I19" s="6">
        <f>IF(OR(AND(ISNUMBER(D19),OR(D19&gt;Rubric!$C$14,D19&lt;0)),AND(ISNUMBER(E19),OR(E19&gt;Rubric!$C$15,E19&lt;0)),AND(ISNUMBER(F19),OR(F19&gt;Rubric!$C$16,F19&lt;0)),AND(ISNUMBER(G19),OR(G19&gt;Rubric!$C$17,G19&lt;0))),"above a maximum or below zero","ok")</f>
        <v/>
      </c>
    </row>
    <row r="20">
      <c r="A20" s="6">
        <f>Seats!A20</f>
        <v/>
      </c>
      <c r="B20" s="6">
        <f>Seats!B20</f>
        <v/>
      </c>
      <c r="C20" s="6">
        <f>Seats!E20</f>
        <v/>
      </c>
      <c r="D20" s="9" t="n"/>
      <c r="E20" s="9" t="n"/>
      <c r="F20" s="9" t="n"/>
      <c r="G20" s="9" t="n"/>
      <c r="H20" s="6">
        <f>IF(Seats!C20="N","absent",IF(COUNT(D20:G20)&lt;4,"incomplete",SUM(D20:G20)))</f>
        <v/>
      </c>
      <c r="I20" s="6">
        <f>IF(OR(AND(ISNUMBER(D20),OR(D20&gt;Rubric!$C$14,D20&lt;0)),AND(ISNUMBER(E20),OR(E20&gt;Rubric!$C$15,E20&lt;0)),AND(ISNUMBER(F20),OR(F20&gt;Rubric!$C$16,F20&lt;0)),AND(ISNUMBER(G20),OR(G20&gt;Rubric!$C$17,G20&lt;0))),"above a maximum or below zero","ok")</f>
        <v/>
      </c>
    </row>
    <row r="21">
      <c r="A21" s="6">
        <f>Seats!A21</f>
        <v/>
      </c>
      <c r="B21" s="6">
        <f>Seats!B21</f>
        <v/>
      </c>
      <c r="C21" s="6">
        <f>Seats!E21</f>
        <v/>
      </c>
      <c r="D21" s="9" t="n"/>
      <c r="E21" s="9" t="n"/>
      <c r="F21" s="9" t="n"/>
      <c r="G21" s="9" t="n"/>
      <c r="H21" s="6">
        <f>IF(Seats!C21="N","absent",IF(COUNT(D21:G21)&lt;4,"incomplete",SUM(D21:G21)))</f>
        <v/>
      </c>
      <c r="I21" s="6">
        <f>IF(OR(AND(ISNUMBER(D21),OR(D21&gt;Rubric!$C$14,D21&lt;0)),AND(ISNUMBER(E21),OR(E21&gt;Rubric!$C$15,E21&lt;0)),AND(ISNUMBER(F21),OR(F21&gt;Rubric!$C$16,F21&lt;0)),AND(ISNUMBER(G21),OR(G21&gt;Rubric!$C$17,G21&lt;0))),"above a maximum or below zero","ok")</f>
        <v/>
      </c>
    </row>
    <row r="22">
      <c r="A22" s="6">
        <f>Seats!A22</f>
        <v/>
      </c>
      <c r="B22" s="6">
        <f>Seats!B22</f>
        <v/>
      </c>
      <c r="C22" s="6">
        <f>Seats!E22</f>
        <v/>
      </c>
      <c r="D22" s="9" t="n"/>
      <c r="E22" s="9" t="n"/>
      <c r="F22" s="9" t="n"/>
      <c r="G22" s="9" t="n"/>
      <c r="H22" s="6">
        <f>IF(Seats!C22="N","absent",IF(COUNT(D22:G22)&lt;4,"incomplete",SUM(D22:G22)))</f>
        <v/>
      </c>
      <c r="I22" s="6">
        <f>IF(OR(AND(ISNUMBER(D22),OR(D22&gt;Rubric!$C$14,D22&lt;0)),AND(ISNUMBER(E22),OR(E22&gt;Rubric!$C$15,E22&lt;0)),AND(ISNUMBER(F22),OR(F22&gt;Rubric!$C$16,F22&lt;0)),AND(ISNUMBER(G22),OR(G22&gt;Rubric!$C$17,G22&lt;0))),"above a maximum or below zero","ok")</f>
        <v/>
      </c>
    </row>
    <row r="23">
      <c r="A23" s="6">
        <f>Seats!A23</f>
        <v/>
      </c>
      <c r="B23" s="6">
        <f>Seats!B23</f>
        <v/>
      </c>
      <c r="C23" s="6">
        <f>Seats!E23</f>
        <v/>
      </c>
      <c r="D23" s="9" t="n"/>
      <c r="E23" s="9" t="n"/>
      <c r="F23" s="9" t="n"/>
      <c r="G23" s="9" t="n"/>
      <c r="H23" s="6">
        <f>IF(Seats!C23="N","absent",IF(COUNT(D23:G23)&lt;4,"incomplete",SUM(D23:G23)))</f>
        <v/>
      </c>
      <c r="I23" s="6">
        <f>IF(OR(AND(ISNUMBER(D23),OR(D23&gt;Rubric!$C$14,D23&lt;0)),AND(ISNUMBER(E23),OR(E23&gt;Rubric!$C$15,E23&lt;0)),AND(ISNUMBER(F23),OR(F23&gt;Rubric!$C$16,F23&lt;0)),AND(ISNUMBER(G23),OR(G23&gt;Rubric!$C$17,G23&lt;0))),"above a maximum or below zero","ok")</f>
        <v/>
      </c>
    </row>
    <row r="24">
      <c r="A24" s="6">
        <f>Seats!A24</f>
        <v/>
      </c>
      <c r="B24" s="6">
        <f>Seats!B24</f>
        <v/>
      </c>
      <c r="C24" s="6">
        <f>Seats!E24</f>
        <v/>
      </c>
      <c r="D24" s="9" t="n"/>
      <c r="E24" s="9" t="n"/>
      <c r="F24" s="9" t="n"/>
      <c r="G24" s="9" t="n"/>
      <c r="H24" s="6">
        <f>IF(Seats!C24="N","absent",IF(COUNT(D24:G24)&lt;4,"incomplete",SUM(D24:G24)))</f>
        <v/>
      </c>
      <c r="I24" s="6">
        <f>IF(OR(AND(ISNUMBER(D24),OR(D24&gt;Rubric!$C$14,D24&lt;0)),AND(ISNUMBER(E24),OR(E24&gt;Rubric!$C$15,E24&lt;0)),AND(ISNUMBER(F24),OR(F24&gt;Rubric!$C$16,F24&lt;0)),AND(ISNUMBER(G24),OR(G24&gt;Rubric!$C$17,G24&lt;0))),"above a maximum or below zero","ok")</f>
        <v/>
      </c>
    </row>
    <row r="25">
      <c r="A25" s="6">
        <f>Seats!A25</f>
        <v/>
      </c>
      <c r="B25" s="6">
        <f>Seats!B25</f>
        <v/>
      </c>
      <c r="C25" s="6">
        <f>Seats!E25</f>
        <v/>
      </c>
      <c r="D25" s="9" t="n"/>
      <c r="E25" s="9" t="n"/>
      <c r="F25" s="9" t="n"/>
      <c r="G25" s="9" t="n"/>
      <c r="H25" s="6">
        <f>IF(Seats!C25="N","absent",IF(COUNT(D25:G25)&lt;4,"incomplete",SUM(D25:G25)))</f>
        <v/>
      </c>
      <c r="I25" s="6">
        <f>IF(OR(AND(ISNUMBER(D25),OR(D25&gt;Rubric!$C$14,D25&lt;0)),AND(ISNUMBER(E25),OR(E25&gt;Rubric!$C$15,E25&lt;0)),AND(ISNUMBER(F25),OR(F25&gt;Rubric!$C$16,F25&lt;0)),AND(ISNUMBER(G25),OR(G25&gt;Rubric!$C$17,G25&lt;0))),"above a maximum or below zero","ok")</f>
        <v/>
      </c>
    </row>
    <row r="26">
      <c r="A26" s="6">
        <f>Seats!A26</f>
        <v/>
      </c>
      <c r="B26" s="6">
        <f>Seats!B26</f>
        <v/>
      </c>
      <c r="C26" s="6">
        <f>Seats!E26</f>
        <v/>
      </c>
      <c r="D26" s="9" t="n"/>
      <c r="E26" s="9" t="n"/>
      <c r="F26" s="9" t="n"/>
      <c r="G26" s="9" t="n"/>
      <c r="H26" s="6">
        <f>IF(Seats!C26="N","absent",IF(COUNT(D26:G26)&lt;4,"incomplete",SUM(D26:G26)))</f>
        <v/>
      </c>
      <c r="I26" s="6">
        <f>IF(OR(AND(ISNUMBER(D26),OR(D26&gt;Rubric!$C$14,D26&lt;0)),AND(ISNUMBER(E26),OR(E26&gt;Rubric!$C$15,E26&lt;0)),AND(ISNUMBER(F26),OR(F26&gt;Rubric!$C$16,F26&lt;0)),AND(ISNUMBER(G26),OR(G26&gt;Rubric!$C$17,G26&lt;0))),"above a maximum or below zero","ok")</f>
        <v/>
      </c>
    </row>
    <row r="27">
      <c r="A27" s="6">
        <f>Seats!A27</f>
        <v/>
      </c>
      <c r="B27" s="6">
        <f>Seats!B27</f>
        <v/>
      </c>
      <c r="C27" s="6">
        <f>Seats!E27</f>
        <v/>
      </c>
      <c r="D27" s="9" t="n"/>
      <c r="E27" s="9" t="n"/>
      <c r="F27" s="9" t="n"/>
      <c r="G27" s="9" t="n"/>
      <c r="H27" s="6">
        <f>IF(Seats!C27="N","absent",IF(COUNT(D27:G27)&lt;4,"incomplete",SUM(D27:G27)))</f>
        <v/>
      </c>
      <c r="I27" s="6">
        <f>IF(OR(AND(ISNUMBER(D27),OR(D27&gt;Rubric!$C$14,D27&lt;0)),AND(ISNUMBER(E27),OR(E27&gt;Rubric!$C$15,E27&lt;0)),AND(ISNUMBER(F27),OR(F27&gt;Rubric!$C$16,F27&lt;0)),AND(ISNUMBER(G27),OR(G27&gt;Rubric!$C$17,G27&lt;0))),"above a maximum or below zero","ok")</f>
        <v/>
      </c>
    </row>
    <row r="28">
      <c r="A28" s="6">
        <f>Seats!A28</f>
        <v/>
      </c>
      <c r="B28" s="6">
        <f>Seats!B28</f>
        <v/>
      </c>
      <c r="C28" s="6">
        <f>Seats!E28</f>
        <v/>
      </c>
      <c r="D28" s="9" t="n"/>
      <c r="E28" s="9" t="n"/>
      <c r="F28" s="9" t="n"/>
      <c r="G28" s="9" t="n"/>
      <c r="H28" s="6">
        <f>IF(Seats!C28="N","absent",IF(COUNT(D28:G28)&lt;4,"incomplete",SUM(D28:G28)))</f>
        <v/>
      </c>
      <c r="I28" s="6">
        <f>IF(OR(AND(ISNUMBER(D28),OR(D28&gt;Rubric!$C$14,D28&lt;0)),AND(ISNUMBER(E28),OR(E28&gt;Rubric!$C$15,E28&lt;0)),AND(ISNUMBER(F28),OR(F28&gt;Rubric!$C$16,F28&lt;0)),AND(ISNUMBER(G28),OR(G28&gt;Rubric!$C$17,G28&lt;0))),"above a maximum or below zero","ok")</f>
        <v/>
      </c>
    </row>
    <row r="29">
      <c r="A29" s="6">
        <f>Seats!A29</f>
        <v/>
      </c>
      <c r="B29" s="6">
        <f>Seats!B29</f>
        <v/>
      </c>
      <c r="C29" s="6">
        <f>Seats!E29</f>
        <v/>
      </c>
      <c r="D29" s="9" t="n"/>
      <c r="E29" s="9" t="n"/>
      <c r="F29" s="9" t="n"/>
      <c r="G29" s="9" t="n"/>
      <c r="H29" s="6">
        <f>IF(Seats!C29="N","absent",IF(COUNT(D29:G29)&lt;4,"incomplete",SUM(D29:G29)))</f>
        <v/>
      </c>
      <c r="I29" s="6">
        <f>IF(OR(AND(ISNUMBER(D29),OR(D29&gt;Rubric!$C$14,D29&lt;0)),AND(ISNUMBER(E29),OR(E29&gt;Rubric!$C$15,E29&lt;0)),AND(ISNUMBER(F29),OR(F29&gt;Rubric!$C$16,F29&lt;0)),AND(ISNUMBER(G29),OR(G29&gt;Rubric!$C$17,G29&lt;0))),"above a maximum or below zero","ok")</f>
        <v/>
      </c>
    </row>
    <row r="30">
      <c r="A30" s="6">
        <f>Seats!A30</f>
        <v/>
      </c>
      <c r="B30" s="6">
        <f>Seats!B30</f>
        <v/>
      </c>
      <c r="C30" s="6">
        <f>Seats!E30</f>
        <v/>
      </c>
      <c r="D30" s="9" t="n"/>
      <c r="E30" s="9" t="n"/>
      <c r="F30" s="9" t="n"/>
      <c r="G30" s="9" t="n"/>
      <c r="H30" s="6">
        <f>IF(Seats!C30="N","absent",IF(COUNT(D30:G30)&lt;4,"incomplete",SUM(D30:G30)))</f>
        <v/>
      </c>
      <c r="I30" s="6">
        <f>IF(OR(AND(ISNUMBER(D30),OR(D30&gt;Rubric!$C$14,D30&lt;0)),AND(ISNUMBER(E30),OR(E30&gt;Rubric!$C$15,E30&lt;0)),AND(ISNUMBER(F30),OR(F30&gt;Rubric!$C$16,F30&lt;0)),AND(ISNUMBER(G30),OR(G30&gt;Rubric!$C$17,G30&lt;0))),"above a maximum or below zero","ok")</f>
        <v/>
      </c>
    </row>
    <row r="31">
      <c r="A31" s="6">
        <f>Seats!A31</f>
        <v/>
      </c>
      <c r="B31" s="6">
        <f>Seats!B31</f>
        <v/>
      </c>
      <c r="C31" s="6">
        <f>Seats!E31</f>
        <v/>
      </c>
      <c r="D31" s="9" t="n"/>
      <c r="E31" s="9" t="n"/>
      <c r="F31" s="9" t="n"/>
      <c r="G31" s="9" t="n"/>
      <c r="H31" s="6">
        <f>IF(Seats!C31="N","absent",IF(COUNT(D31:G31)&lt;4,"incomplete",SUM(D31:G31)))</f>
        <v/>
      </c>
      <c r="I31" s="6">
        <f>IF(OR(AND(ISNUMBER(D31),OR(D31&gt;Rubric!$C$14,D31&lt;0)),AND(ISNUMBER(E31),OR(E31&gt;Rubric!$C$15,E31&lt;0)),AND(ISNUMBER(F31),OR(F31&gt;Rubric!$C$16,F31&lt;0)),AND(ISNUMBER(G31),OR(G31&gt;Rubric!$C$17,G31&lt;0))),"above a maximum or below zero","ok")</f>
        <v/>
      </c>
    </row>
    <row r="32">
      <c r="A32" s="6">
        <f>Seats!A32</f>
        <v/>
      </c>
      <c r="B32" s="6">
        <f>Seats!B32</f>
        <v/>
      </c>
      <c r="C32" s="6">
        <f>Seats!E32</f>
        <v/>
      </c>
      <c r="D32" s="9" t="n"/>
      <c r="E32" s="9" t="n"/>
      <c r="F32" s="9" t="n"/>
      <c r="G32" s="9" t="n"/>
      <c r="H32" s="6">
        <f>IF(Seats!C32="N","absent",IF(COUNT(D32:G32)&lt;4,"incomplete",SUM(D32:G32)))</f>
        <v/>
      </c>
      <c r="I32" s="6">
        <f>IF(OR(AND(ISNUMBER(D32),OR(D32&gt;Rubric!$C$14,D32&lt;0)),AND(ISNUMBER(E32),OR(E32&gt;Rubric!$C$15,E32&lt;0)),AND(ISNUMBER(F32),OR(F32&gt;Rubric!$C$16,F32&lt;0)),AND(ISNUMBER(G32),OR(G32&gt;Rubric!$C$17,G32&lt;0))),"above a maximum or below zero","ok")</f>
        <v/>
      </c>
    </row>
    <row r="33">
      <c r="A33" s="6">
        <f>Seats!A33</f>
        <v/>
      </c>
      <c r="B33" s="6">
        <f>Seats!B33</f>
        <v/>
      </c>
      <c r="C33" s="6">
        <f>Seats!E33</f>
        <v/>
      </c>
      <c r="D33" s="9" t="n"/>
      <c r="E33" s="9" t="n"/>
      <c r="F33" s="9" t="n"/>
      <c r="G33" s="9" t="n"/>
      <c r="H33" s="6">
        <f>IF(Seats!C33="N","absent",IF(COUNT(D33:G33)&lt;4,"incomplete",SUM(D33:G33)))</f>
        <v/>
      </c>
      <c r="I33" s="6">
        <f>IF(OR(AND(ISNUMBER(D33),OR(D33&gt;Rubric!$C$14,D33&lt;0)),AND(ISNUMBER(E33),OR(E33&gt;Rubric!$C$15,E33&lt;0)),AND(ISNUMBER(F33),OR(F33&gt;Rubric!$C$16,F33&lt;0)),AND(ISNUMBER(G33),OR(G33&gt;Rubric!$C$17,G33&lt;0))),"above a maximum or below zero","ok")</f>
        <v/>
      </c>
    </row>
    <row r="34">
      <c r="A34" s="6">
        <f>Seats!A34</f>
        <v/>
      </c>
      <c r="B34" s="6">
        <f>Seats!B34</f>
        <v/>
      </c>
      <c r="C34" s="6">
        <f>Seats!E34</f>
        <v/>
      </c>
      <c r="D34" s="9" t="n"/>
      <c r="E34" s="9" t="n"/>
      <c r="F34" s="9" t="n"/>
      <c r="G34" s="9" t="n"/>
      <c r="H34" s="6">
        <f>IF(Seats!C34="N","absent",IF(COUNT(D34:G34)&lt;4,"incomplete",SUM(D34:G34)))</f>
        <v/>
      </c>
      <c r="I34" s="6">
        <f>IF(OR(AND(ISNUMBER(D34),OR(D34&gt;Rubric!$C$14,D34&lt;0)),AND(ISNUMBER(E34),OR(E34&gt;Rubric!$C$15,E34&lt;0)),AND(ISNUMBER(F34),OR(F34&gt;Rubric!$C$16,F34&lt;0)),AND(ISNUMBER(G34),OR(G34&gt;Rubric!$C$17,G34&lt;0))),"above a maximum or below zero","ok")</f>
        <v/>
      </c>
    </row>
    <row r="35">
      <c r="A35" s="6">
        <f>Seats!A35</f>
        <v/>
      </c>
      <c r="B35" s="6">
        <f>Seats!B35</f>
        <v/>
      </c>
      <c r="C35" s="6">
        <f>Seats!E35</f>
        <v/>
      </c>
      <c r="D35" s="9" t="n"/>
      <c r="E35" s="9" t="n"/>
      <c r="F35" s="9" t="n"/>
      <c r="G35" s="9" t="n"/>
      <c r="H35" s="6">
        <f>IF(Seats!C35="N","absent",IF(COUNT(D35:G35)&lt;4,"incomplete",SUM(D35:G35)))</f>
        <v/>
      </c>
      <c r="I35" s="6">
        <f>IF(OR(AND(ISNUMBER(D35),OR(D35&gt;Rubric!$C$14,D35&lt;0)),AND(ISNUMBER(E35),OR(E35&gt;Rubric!$C$15,E35&lt;0)),AND(ISNUMBER(F35),OR(F35&gt;Rubric!$C$16,F35&lt;0)),AND(ISNUMBER(G35),OR(G35&gt;Rubric!$C$17,G35&lt;0))),"above a maximum or below zero","ok")</f>
        <v/>
      </c>
    </row>
    <row r="36">
      <c r="A36" s="6">
        <f>Seats!A36</f>
        <v/>
      </c>
      <c r="B36" s="6">
        <f>Seats!B36</f>
        <v/>
      </c>
      <c r="C36" s="6">
        <f>Seats!E36</f>
        <v/>
      </c>
      <c r="D36" s="9" t="n"/>
      <c r="E36" s="9" t="n"/>
      <c r="F36" s="9" t="n"/>
      <c r="G36" s="9" t="n"/>
      <c r="H36" s="6">
        <f>IF(Seats!C36="N","absent",IF(COUNT(D36:G36)&lt;4,"incomplete",SUM(D36:G36)))</f>
        <v/>
      </c>
      <c r="I36" s="6">
        <f>IF(OR(AND(ISNUMBER(D36),OR(D36&gt;Rubric!$C$14,D36&lt;0)),AND(ISNUMBER(E36),OR(E36&gt;Rubric!$C$15,E36&lt;0)),AND(ISNUMBER(F36),OR(F36&gt;Rubric!$C$16,F36&lt;0)),AND(ISNUMBER(G36),OR(G36&gt;Rubric!$C$17,G36&lt;0))),"above a maximum or below zero","ok")</f>
        <v/>
      </c>
    </row>
    <row r="37">
      <c r="A37" s="6">
        <f>Seats!A37</f>
        <v/>
      </c>
      <c r="B37" s="6">
        <f>Seats!B37</f>
        <v/>
      </c>
      <c r="C37" s="6">
        <f>Seats!E37</f>
        <v/>
      </c>
      <c r="D37" s="9" t="n"/>
      <c r="E37" s="9" t="n"/>
      <c r="F37" s="9" t="n"/>
      <c r="G37" s="9" t="n"/>
      <c r="H37" s="6">
        <f>IF(Seats!C37="N","absent",IF(COUNT(D37:G37)&lt;4,"incomplete",SUM(D37:G37)))</f>
        <v/>
      </c>
      <c r="I37" s="6">
        <f>IF(OR(AND(ISNUMBER(D37),OR(D37&gt;Rubric!$C$14,D37&lt;0)),AND(ISNUMBER(E37),OR(E37&gt;Rubric!$C$15,E37&lt;0)),AND(ISNUMBER(F37),OR(F37&gt;Rubric!$C$16,F37&lt;0)),AND(ISNUMBER(G37),OR(G37&gt;Rubric!$C$17,G37&lt;0))),"above a maximum or below zero","ok")</f>
        <v/>
      </c>
    </row>
    <row r="38">
      <c r="A38" s="6">
        <f>Seats!A38</f>
        <v/>
      </c>
      <c r="B38" s="6">
        <f>Seats!B38</f>
        <v/>
      </c>
      <c r="C38" s="6">
        <f>Seats!E38</f>
        <v/>
      </c>
      <c r="D38" s="9" t="n"/>
      <c r="E38" s="9" t="n"/>
      <c r="F38" s="9" t="n"/>
      <c r="G38" s="9" t="n"/>
      <c r="H38" s="6">
        <f>IF(Seats!C38="N","absent",IF(COUNT(D38:G38)&lt;4,"incomplete",SUM(D38:G38)))</f>
        <v/>
      </c>
      <c r="I38" s="6">
        <f>IF(OR(AND(ISNUMBER(D38),OR(D38&gt;Rubric!$C$14,D38&lt;0)),AND(ISNUMBER(E38),OR(E38&gt;Rubric!$C$15,E38&lt;0)),AND(ISNUMBER(F38),OR(F38&gt;Rubric!$C$16,F38&lt;0)),AND(ISNUMBER(G38),OR(G38&gt;Rubric!$C$17,G38&lt;0))),"above a maximum or below zero","ok")</f>
        <v/>
      </c>
    </row>
    <row r="39">
      <c r="A39" s="6">
        <f>Seats!A39</f>
        <v/>
      </c>
      <c r="B39" s="6">
        <f>Seats!B39</f>
        <v/>
      </c>
      <c r="C39" s="6">
        <f>Seats!E39</f>
        <v/>
      </c>
      <c r="D39" s="9" t="n"/>
      <c r="E39" s="9" t="n"/>
      <c r="F39" s="9" t="n"/>
      <c r="G39" s="9" t="n"/>
      <c r="H39" s="6">
        <f>IF(Seats!C39="N","absent",IF(COUNT(D39:G39)&lt;4,"incomplete",SUM(D39:G39)))</f>
        <v/>
      </c>
      <c r="I39" s="6">
        <f>IF(OR(AND(ISNUMBER(D39),OR(D39&gt;Rubric!$C$14,D39&lt;0)),AND(ISNUMBER(E39),OR(E39&gt;Rubric!$C$15,E39&lt;0)),AND(ISNUMBER(F39),OR(F39&gt;Rubric!$C$16,F39&lt;0)),AND(ISNUMBER(G39),OR(G39&gt;Rubric!$C$17,G39&lt;0))),"above a maximum or below zero","ok")</f>
        <v/>
      </c>
    </row>
    <row r="40">
      <c r="A40" s="6">
        <f>Seats!A40</f>
        <v/>
      </c>
      <c r="B40" s="6">
        <f>Seats!B40</f>
        <v/>
      </c>
      <c r="C40" s="6">
        <f>Seats!E40</f>
        <v/>
      </c>
      <c r="D40" s="9" t="n"/>
      <c r="E40" s="9" t="n"/>
      <c r="F40" s="9" t="n"/>
      <c r="G40" s="9" t="n"/>
      <c r="H40" s="6">
        <f>IF(Seats!C40="N","absent",IF(COUNT(D40:G40)&lt;4,"incomplete",SUM(D40:G40)))</f>
        <v/>
      </c>
      <c r="I40" s="6">
        <f>IF(OR(AND(ISNUMBER(D40),OR(D40&gt;Rubric!$C$14,D40&lt;0)),AND(ISNUMBER(E40),OR(E40&gt;Rubric!$C$15,E40&lt;0)),AND(ISNUMBER(F40),OR(F40&gt;Rubric!$C$16,F40&lt;0)),AND(ISNUMBER(G40),OR(G40&gt;Rubric!$C$17,G40&lt;0))),"above a maximum or below zero","ok")</f>
        <v/>
      </c>
    </row>
    <row r="41">
      <c r="A41" s="6">
        <f>Seats!A41</f>
        <v/>
      </c>
      <c r="B41" s="6">
        <f>Seats!B41</f>
        <v/>
      </c>
      <c r="C41" s="6">
        <f>Seats!E41</f>
        <v/>
      </c>
      <c r="D41" s="9" t="n"/>
      <c r="E41" s="9" t="n"/>
      <c r="F41" s="9" t="n"/>
      <c r="G41" s="9" t="n"/>
      <c r="H41" s="6">
        <f>IF(Seats!C41="N","absent",IF(COUNT(D41:G41)&lt;4,"incomplete",SUM(D41:G41)))</f>
        <v/>
      </c>
      <c r="I41" s="6">
        <f>IF(OR(AND(ISNUMBER(D41),OR(D41&gt;Rubric!$C$14,D41&lt;0)),AND(ISNUMBER(E41),OR(E41&gt;Rubric!$C$15,E41&lt;0)),AND(ISNUMBER(F41),OR(F41&gt;Rubric!$C$16,F41&lt;0)),AND(ISNUMBER(G41),OR(G41&gt;Rubric!$C$17,G41&lt;0))),"above a maximum or below zero","ok")</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6" customWidth="1" min="3" max="3"/>
    <col width="30" customWidth="1" min="4" max="4"/>
    <col width="13" customWidth="1" min="5" max="5"/>
    <col width="13" customWidth="1" min="6" max="6"/>
    <col width="40" customWidth="1" min="7" max="7"/>
  </cols>
  <sheetData>
    <row r="1">
      <c r="A1" s="4" t="inlineStr">
        <is>
          <t>Mini project: passport and defence per learner, and each learner's 40 (PROPOSED)</t>
        </is>
      </c>
    </row>
    <row r="2" ht="44" customHeight="1">
      <c r="A2" s="5" t="inlineStr">
        <is>
          <t>Group</t>
        </is>
      </c>
      <c r="B2" s="5" t="inlineStr">
        <is>
          <t>Seat</t>
        </is>
      </c>
      <c r="C2" s="5" t="inlineStr">
        <is>
          <t>Passport and defence (of 8)</t>
        </is>
      </c>
      <c r="D2" s="5" t="inlineStr">
        <is>
          <t>Saturday demo</t>
        </is>
      </c>
      <c r="E2" s="5" t="inlineStr">
        <is>
          <t>Group part (of 32)</t>
        </is>
      </c>
      <c r="F2" s="5" t="inlineStr">
        <is>
          <t>Mini project (of 40)</t>
        </is>
      </c>
      <c r="G2" s="5" t="inlineStr">
        <is>
          <t>Check</t>
        </is>
      </c>
    </row>
    <row r="3">
      <c r="A3" s="6">
        <f>Seats!A3</f>
        <v/>
      </c>
      <c r="B3" s="6">
        <f>Seats!B3</f>
        <v/>
      </c>
      <c r="C3" s="9" t="n"/>
      <c r="D3" s="6">
        <f>IF(INDEX(Groups!$E$3:$E$15,MATCH(A3,Groups!$A$3:$A$15,0))="","",INDEX(Groups!$E$3:$E$15,MATCH(A3,Groups!$A$3:$A$15,0)))</f>
        <v/>
      </c>
      <c r="E3" s="6">
        <f>INDEX(Groups!$J$3:$J$15,MATCH(A3,Groups!$A$3:$A$15,0))</f>
        <v/>
      </c>
      <c r="F3" s="6">
        <f>IF(Seats!C3="N","absent",IF(OR(NOT(ISNUMBER(C3)),NOT(ISNUMBER(E3))),"incomplete",C3+E3))</f>
        <v/>
      </c>
      <c r="G3" s="6">
        <f>IF(AND(ISNUMBER(C3),OR(C3&gt;Rubric!$C$7,C3&lt;0)),"above a maximum or below zero",IF(AND(ISNUMBER(C3),D3="machine failed: demo waits for the reserve"),"score after the demo runs in the reserve","ok"))</f>
        <v/>
      </c>
    </row>
    <row r="4">
      <c r="A4" s="6">
        <f>Seats!A4</f>
        <v/>
      </c>
      <c r="B4" s="6">
        <f>Seats!B4</f>
        <v/>
      </c>
      <c r="C4" s="9" t="n"/>
      <c r="D4" s="6">
        <f>IF(INDEX(Groups!$E$3:$E$15,MATCH(A4,Groups!$A$3:$A$15,0))="","",INDEX(Groups!$E$3:$E$15,MATCH(A4,Groups!$A$3:$A$15,0)))</f>
        <v/>
      </c>
      <c r="E4" s="6">
        <f>INDEX(Groups!$J$3:$J$15,MATCH(A4,Groups!$A$3:$A$15,0))</f>
        <v/>
      </c>
      <c r="F4" s="6">
        <f>IF(Seats!C4="N","absent",IF(OR(NOT(ISNUMBER(C4)),NOT(ISNUMBER(E4))),"incomplete",C4+E4))</f>
        <v/>
      </c>
      <c r="G4" s="6">
        <f>IF(AND(ISNUMBER(C4),OR(C4&gt;Rubric!$C$7,C4&lt;0)),"above a maximum or below zero",IF(AND(ISNUMBER(C4),D4="machine failed: demo waits for the reserve"),"score after the demo runs in the reserve","ok"))</f>
        <v/>
      </c>
    </row>
    <row r="5">
      <c r="A5" s="6">
        <f>Seats!A5</f>
        <v/>
      </c>
      <c r="B5" s="6">
        <f>Seats!B5</f>
        <v/>
      </c>
      <c r="C5" s="9" t="n"/>
      <c r="D5" s="6">
        <f>IF(INDEX(Groups!$E$3:$E$15,MATCH(A5,Groups!$A$3:$A$15,0))="","",INDEX(Groups!$E$3:$E$15,MATCH(A5,Groups!$A$3:$A$15,0)))</f>
        <v/>
      </c>
      <c r="E5" s="6">
        <f>INDEX(Groups!$J$3:$J$15,MATCH(A5,Groups!$A$3:$A$15,0))</f>
        <v/>
      </c>
      <c r="F5" s="6">
        <f>IF(Seats!C5="N","absent",IF(OR(NOT(ISNUMBER(C5)),NOT(ISNUMBER(E5))),"incomplete",C5+E5))</f>
        <v/>
      </c>
      <c r="G5" s="6">
        <f>IF(AND(ISNUMBER(C5),OR(C5&gt;Rubric!$C$7,C5&lt;0)),"above a maximum or below zero",IF(AND(ISNUMBER(C5),D5="machine failed: demo waits for the reserve"),"score after the demo runs in the reserve","ok"))</f>
        <v/>
      </c>
    </row>
    <row r="6">
      <c r="A6" s="6">
        <f>Seats!A6</f>
        <v/>
      </c>
      <c r="B6" s="6">
        <f>Seats!B6</f>
        <v/>
      </c>
      <c r="C6" s="9" t="n"/>
      <c r="D6" s="6">
        <f>IF(INDEX(Groups!$E$3:$E$15,MATCH(A6,Groups!$A$3:$A$15,0))="","",INDEX(Groups!$E$3:$E$15,MATCH(A6,Groups!$A$3:$A$15,0)))</f>
        <v/>
      </c>
      <c r="E6" s="6">
        <f>INDEX(Groups!$J$3:$J$15,MATCH(A6,Groups!$A$3:$A$15,0))</f>
        <v/>
      </c>
      <c r="F6" s="6">
        <f>IF(Seats!C6="N","absent",IF(OR(NOT(ISNUMBER(C6)),NOT(ISNUMBER(E6))),"incomplete",C6+E6))</f>
        <v/>
      </c>
      <c r="G6" s="6">
        <f>IF(AND(ISNUMBER(C6),OR(C6&gt;Rubric!$C$7,C6&lt;0)),"above a maximum or below zero",IF(AND(ISNUMBER(C6),D6="machine failed: demo waits for the reserve"),"score after the demo runs in the reserve","ok"))</f>
        <v/>
      </c>
    </row>
    <row r="7">
      <c r="A7" s="6">
        <f>Seats!A7</f>
        <v/>
      </c>
      <c r="B7" s="6">
        <f>Seats!B7</f>
        <v/>
      </c>
      <c r="C7" s="9" t="n"/>
      <c r="D7" s="6">
        <f>IF(INDEX(Groups!$E$3:$E$15,MATCH(A7,Groups!$A$3:$A$15,0))="","",INDEX(Groups!$E$3:$E$15,MATCH(A7,Groups!$A$3:$A$15,0)))</f>
        <v/>
      </c>
      <c r="E7" s="6">
        <f>INDEX(Groups!$J$3:$J$15,MATCH(A7,Groups!$A$3:$A$15,0))</f>
        <v/>
      </c>
      <c r="F7" s="6">
        <f>IF(Seats!C7="N","absent",IF(OR(NOT(ISNUMBER(C7)),NOT(ISNUMBER(E7))),"incomplete",C7+E7))</f>
        <v/>
      </c>
      <c r="G7" s="6">
        <f>IF(AND(ISNUMBER(C7),OR(C7&gt;Rubric!$C$7,C7&lt;0)),"above a maximum or below zero",IF(AND(ISNUMBER(C7),D7="machine failed: demo waits for the reserve"),"score after the demo runs in the reserve","ok"))</f>
        <v/>
      </c>
    </row>
    <row r="8">
      <c r="A8" s="6">
        <f>Seats!A8</f>
        <v/>
      </c>
      <c r="B8" s="6">
        <f>Seats!B8</f>
        <v/>
      </c>
      <c r="C8" s="9" t="n"/>
      <c r="D8" s="6">
        <f>IF(INDEX(Groups!$E$3:$E$15,MATCH(A8,Groups!$A$3:$A$15,0))="","",INDEX(Groups!$E$3:$E$15,MATCH(A8,Groups!$A$3:$A$15,0)))</f>
        <v/>
      </c>
      <c r="E8" s="6">
        <f>INDEX(Groups!$J$3:$J$15,MATCH(A8,Groups!$A$3:$A$15,0))</f>
        <v/>
      </c>
      <c r="F8" s="6">
        <f>IF(Seats!C8="N","absent",IF(OR(NOT(ISNUMBER(C8)),NOT(ISNUMBER(E8))),"incomplete",C8+E8))</f>
        <v/>
      </c>
      <c r="G8" s="6">
        <f>IF(AND(ISNUMBER(C8),OR(C8&gt;Rubric!$C$7,C8&lt;0)),"above a maximum or below zero",IF(AND(ISNUMBER(C8),D8="machine failed: demo waits for the reserve"),"score after the demo runs in the reserve","ok"))</f>
        <v/>
      </c>
    </row>
    <row r="9">
      <c r="A9" s="6">
        <f>Seats!A9</f>
        <v/>
      </c>
      <c r="B9" s="6">
        <f>Seats!B9</f>
        <v/>
      </c>
      <c r="C9" s="9" t="n"/>
      <c r="D9" s="6">
        <f>IF(INDEX(Groups!$E$3:$E$15,MATCH(A9,Groups!$A$3:$A$15,0))="","",INDEX(Groups!$E$3:$E$15,MATCH(A9,Groups!$A$3:$A$15,0)))</f>
        <v/>
      </c>
      <c r="E9" s="6">
        <f>INDEX(Groups!$J$3:$J$15,MATCH(A9,Groups!$A$3:$A$15,0))</f>
        <v/>
      </c>
      <c r="F9" s="6">
        <f>IF(Seats!C9="N","absent",IF(OR(NOT(ISNUMBER(C9)),NOT(ISNUMBER(E9))),"incomplete",C9+E9))</f>
        <v/>
      </c>
      <c r="G9" s="6">
        <f>IF(AND(ISNUMBER(C9),OR(C9&gt;Rubric!$C$7,C9&lt;0)),"above a maximum or below zero",IF(AND(ISNUMBER(C9),D9="machine failed: demo waits for the reserve"),"score after the demo runs in the reserve","ok"))</f>
        <v/>
      </c>
    </row>
    <row r="10">
      <c r="A10" s="6">
        <f>Seats!A10</f>
        <v/>
      </c>
      <c r="B10" s="6">
        <f>Seats!B10</f>
        <v/>
      </c>
      <c r="C10" s="9" t="n"/>
      <c r="D10" s="6">
        <f>IF(INDEX(Groups!$E$3:$E$15,MATCH(A10,Groups!$A$3:$A$15,0))="","",INDEX(Groups!$E$3:$E$15,MATCH(A10,Groups!$A$3:$A$15,0)))</f>
        <v/>
      </c>
      <c r="E10" s="6">
        <f>INDEX(Groups!$J$3:$J$15,MATCH(A10,Groups!$A$3:$A$15,0))</f>
        <v/>
      </c>
      <c r="F10" s="6">
        <f>IF(Seats!C10="N","absent",IF(OR(NOT(ISNUMBER(C10)),NOT(ISNUMBER(E10))),"incomplete",C10+E10))</f>
        <v/>
      </c>
      <c r="G10" s="6">
        <f>IF(AND(ISNUMBER(C10),OR(C10&gt;Rubric!$C$7,C10&lt;0)),"above a maximum or below zero",IF(AND(ISNUMBER(C10),D10="machine failed: demo waits for the reserve"),"score after the demo runs in the reserve","ok"))</f>
        <v/>
      </c>
    </row>
    <row r="11">
      <c r="A11" s="6">
        <f>Seats!A11</f>
        <v/>
      </c>
      <c r="B11" s="6">
        <f>Seats!B11</f>
        <v/>
      </c>
      <c r="C11" s="9" t="n"/>
      <c r="D11" s="6">
        <f>IF(INDEX(Groups!$E$3:$E$15,MATCH(A11,Groups!$A$3:$A$15,0))="","",INDEX(Groups!$E$3:$E$15,MATCH(A11,Groups!$A$3:$A$15,0)))</f>
        <v/>
      </c>
      <c r="E11" s="6">
        <f>INDEX(Groups!$J$3:$J$15,MATCH(A11,Groups!$A$3:$A$15,0))</f>
        <v/>
      </c>
      <c r="F11" s="6">
        <f>IF(Seats!C11="N","absent",IF(OR(NOT(ISNUMBER(C11)),NOT(ISNUMBER(E11))),"incomplete",C11+E11))</f>
        <v/>
      </c>
      <c r="G11" s="6">
        <f>IF(AND(ISNUMBER(C11),OR(C11&gt;Rubric!$C$7,C11&lt;0)),"above a maximum or below zero",IF(AND(ISNUMBER(C11),D11="machine failed: demo waits for the reserve"),"score after the demo runs in the reserve","ok"))</f>
        <v/>
      </c>
    </row>
    <row r="12">
      <c r="A12" s="6">
        <f>Seats!A12</f>
        <v/>
      </c>
      <c r="B12" s="6">
        <f>Seats!B12</f>
        <v/>
      </c>
      <c r="C12" s="9" t="n"/>
      <c r="D12" s="6">
        <f>IF(INDEX(Groups!$E$3:$E$15,MATCH(A12,Groups!$A$3:$A$15,0))="","",INDEX(Groups!$E$3:$E$15,MATCH(A12,Groups!$A$3:$A$15,0)))</f>
        <v/>
      </c>
      <c r="E12" s="6">
        <f>INDEX(Groups!$J$3:$J$15,MATCH(A12,Groups!$A$3:$A$15,0))</f>
        <v/>
      </c>
      <c r="F12" s="6">
        <f>IF(Seats!C12="N","absent",IF(OR(NOT(ISNUMBER(C12)),NOT(ISNUMBER(E12))),"incomplete",C12+E12))</f>
        <v/>
      </c>
      <c r="G12" s="6">
        <f>IF(AND(ISNUMBER(C12),OR(C12&gt;Rubric!$C$7,C12&lt;0)),"above a maximum or below zero",IF(AND(ISNUMBER(C12),D12="machine failed: demo waits for the reserve"),"score after the demo runs in the reserve","ok"))</f>
        <v/>
      </c>
    </row>
    <row r="13">
      <c r="A13" s="6">
        <f>Seats!A13</f>
        <v/>
      </c>
      <c r="B13" s="6">
        <f>Seats!B13</f>
        <v/>
      </c>
      <c r="C13" s="9" t="n"/>
      <c r="D13" s="6">
        <f>IF(INDEX(Groups!$E$3:$E$15,MATCH(A13,Groups!$A$3:$A$15,0))="","",INDEX(Groups!$E$3:$E$15,MATCH(A13,Groups!$A$3:$A$15,0)))</f>
        <v/>
      </c>
      <c r="E13" s="6">
        <f>INDEX(Groups!$J$3:$J$15,MATCH(A13,Groups!$A$3:$A$15,0))</f>
        <v/>
      </c>
      <c r="F13" s="6">
        <f>IF(Seats!C13="N","absent",IF(OR(NOT(ISNUMBER(C13)),NOT(ISNUMBER(E13))),"incomplete",C13+E13))</f>
        <v/>
      </c>
      <c r="G13" s="6">
        <f>IF(AND(ISNUMBER(C13),OR(C13&gt;Rubric!$C$7,C13&lt;0)),"above a maximum or below zero",IF(AND(ISNUMBER(C13),D13="machine failed: demo waits for the reserve"),"score after the demo runs in the reserve","ok"))</f>
        <v/>
      </c>
    </row>
    <row r="14">
      <c r="A14" s="6">
        <f>Seats!A14</f>
        <v/>
      </c>
      <c r="B14" s="6">
        <f>Seats!B14</f>
        <v/>
      </c>
      <c r="C14" s="9" t="n"/>
      <c r="D14" s="6">
        <f>IF(INDEX(Groups!$E$3:$E$15,MATCH(A14,Groups!$A$3:$A$15,0))="","",INDEX(Groups!$E$3:$E$15,MATCH(A14,Groups!$A$3:$A$15,0)))</f>
        <v/>
      </c>
      <c r="E14" s="6">
        <f>INDEX(Groups!$J$3:$J$15,MATCH(A14,Groups!$A$3:$A$15,0))</f>
        <v/>
      </c>
      <c r="F14" s="6">
        <f>IF(Seats!C14="N","absent",IF(OR(NOT(ISNUMBER(C14)),NOT(ISNUMBER(E14))),"incomplete",C14+E14))</f>
        <v/>
      </c>
      <c r="G14" s="6">
        <f>IF(AND(ISNUMBER(C14),OR(C14&gt;Rubric!$C$7,C14&lt;0)),"above a maximum or below zero",IF(AND(ISNUMBER(C14),D14="machine failed: demo waits for the reserve"),"score after the demo runs in the reserve","ok"))</f>
        <v/>
      </c>
    </row>
    <row r="15">
      <c r="A15" s="6">
        <f>Seats!A15</f>
        <v/>
      </c>
      <c r="B15" s="6">
        <f>Seats!B15</f>
        <v/>
      </c>
      <c r="C15" s="9" t="n"/>
      <c r="D15" s="6">
        <f>IF(INDEX(Groups!$E$3:$E$15,MATCH(A15,Groups!$A$3:$A$15,0))="","",INDEX(Groups!$E$3:$E$15,MATCH(A15,Groups!$A$3:$A$15,0)))</f>
        <v/>
      </c>
      <c r="E15" s="6">
        <f>INDEX(Groups!$J$3:$J$15,MATCH(A15,Groups!$A$3:$A$15,0))</f>
        <v/>
      </c>
      <c r="F15" s="6">
        <f>IF(Seats!C15="N","absent",IF(OR(NOT(ISNUMBER(C15)),NOT(ISNUMBER(E15))),"incomplete",C15+E15))</f>
        <v/>
      </c>
      <c r="G15" s="6">
        <f>IF(AND(ISNUMBER(C15),OR(C15&gt;Rubric!$C$7,C15&lt;0)),"above a maximum or below zero",IF(AND(ISNUMBER(C15),D15="machine failed: demo waits for the reserve"),"score after the demo runs in the reserve","ok"))</f>
        <v/>
      </c>
    </row>
    <row r="16">
      <c r="A16" s="6">
        <f>Seats!A16</f>
        <v/>
      </c>
      <c r="B16" s="6">
        <f>Seats!B16</f>
        <v/>
      </c>
      <c r="C16" s="9" t="n"/>
      <c r="D16" s="6">
        <f>IF(INDEX(Groups!$E$3:$E$15,MATCH(A16,Groups!$A$3:$A$15,0))="","",INDEX(Groups!$E$3:$E$15,MATCH(A16,Groups!$A$3:$A$15,0)))</f>
        <v/>
      </c>
      <c r="E16" s="6">
        <f>INDEX(Groups!$J$3:$J$15,MATCH(A16,Groups!$A$3:$A$15,0))</f>
        <v/>
      </c>
      <c r="F16" s="6">
        <f>IF(Seats!C16="N","absent",IF(OR(NOT(ISNUMBER(C16)),NOT(ISNUMBER(E16))),"incomplete",C16+E16))</f>
        <v/>
      </c>
      <c r="G16" s="6">
        <f>IF(AND(ISNUMBER(C16),OR(C16&gt;Rubric!$C$7,C16&lt;0)),"above a maximum or below zero",IF(AND(ISNUMBER(C16),D16="machine failed: demo waits for the reserve"),"score after the demo runs in the reserve","ok"))</f>
        <v/>
      </c>
    </row>
    <row r="17">
      <c r="A17" s="6">
        <f>Seats!A17</f>
        <v/>
      </c>
      <c r="B17" s="6">
        <f>Seats!B17</f>
        <v/>
      </c>
      <c r="C17" s="9" t="n"/>
      <c r="D17" s="6">
        <f>IF(INDEX(Groups!$E$3:$E$15,MATCH(A17,Groups!$A$3:$A$15,0))="","",INDEX(Groups!$E$3:$E$15,MATCH(A17,Groups!$A$3:$A$15,0)))</f>
        <v/>
      </c>
      <c r="E17" s="6">
        <f>INDEX(Groups!$J$3:$J$15,MATCH(A17,Groups!$A$3:$A$15,0))</f>
        <v/>
      </c>
      <c r="F17" s="6">
        <f>IF(Seats!C17="N","absent",IF(OR(NOT(ISNUMBER(C17)),NOT(ISNUMBER(E17))),"incomplete",C17+E17))</f>
        <v/>
      </c>
      <c r="G17" s="6">
        <f>IF(AND(ISNUMBER(C17),OR(C17&gt;Rubric!$C$7,C17&lt;0)),"above a maximum or below zero",IF(AND(ISNUMBER(C17),D17="machine failed: demo waits for the reserve"),"score after the demo runs in the reserve","ok"))</f>
        <v/>
      </c>
    </row>
    <row r="18">
      <c r="A18" s="6">
        <f>Seats!A18</f>
        <v/>
      </c>
      <c r="B18" s="6">
        <f>Seats!B18</f>
        <v/>
      </c>
      <c r="C18" s="9" t="n"/>
      <c r="D18" s="6">
        <f>IF(INDEX(Groups!$E$3:$E$15,MATCH(A18,Groups!$A$3:$A$15,0))="","",INDEX(Groups!$E$3:$E$15,MATCH(A18,Groups!$A$3:$A$15,0)))</f>
        <v/>
      </c>
      <c r="E18" s="6">
        <f>INDEX(Groups!$J$3:$J$15,MATCH(A18,Groups!$A$3:$A$15,0))</f>
        <v/>
      </c>
      <c r="F18" s="6">
        <f>IF(Seats!C18="N","absent",IF(OR(NOT(ISNUMBER(C18)),NOT(ISNUMBER(E18))),"incomplete",C18+E18))</f>
        <v/>
      </c>
      <c r="G18" s="6">
        <f>IF(AND(ISNUMBER(C18),OR(C18&gt;Rubric!$C$7,C18&lt;0)),"above a maximum or below zero",IF(AND(ISNUMBER(C18),D18="machine failed: demo waits for the reserve"),"score after the demo runs in the reserve","ok"))</f>
        <v/>
      </c>
    </row>
    <row r="19">
      <c r="A19" s="6">
        <f>Seats!A19</f>
        <v/>
      </c>
      <c r="B19" s="6">
        <f>Seats!B19</f>
        <v/>
      </c>
      <c r="C19" s="9" t="n"/>
      <c r="D19" s="6">
        <f>IF(INDEX(Groups!$E$3:$E$15,MATCH(A19,Groups!$A$3:$A$15,0))="","",INDEX(Groups!$E$3:$E$15,MATCH(A19,Groups!$A$3:$A$15,0)))</f>
        <v/>
      </c>
      <c r="E19" s="6">
        <f>INDEX(Groups!$J$3:$J$15,MATCH(A19,Groups!$A$3:$A$15,0))</f>
        <v/>
      </c>
      <c r="F19" s="6">
        <f>IF(Seats!C19="N","absent",IF(OR(NOT(ISNUMBER(C19)),NOT(ISNUMBER(E19))),"incomplete",C19+E19))</f>
        <v/>
      </c>
      <c r="G19" s="6">
        <f>IF(AND(ISNUMBER(C19),OR(C19&gt;Rubric!$C$7,C19&lt;0)),"above a maximum or below zero",IF(AND(ISNUMBER(C19),D19="machine failed: demo waits for the reserve"),"score after the demo runs in the reserve","ok"))</f>
        <v/>
      </c>
    </row>
    <row r="20">
      <c r="A20" s="6">
        <f>Seats!A20</f>
        <v/>
      </c>
      <c r="B20" s="6">
        <f>Seats!B20</f>
        <v/>
      </c>
      <c r="C20" s="9" t="n"/>
      <c r="D20" s="6">
        <f>IF(INDEX(Groups!$E$3:$E$15,MATCH(A20,Groups!$A$3:$A$15,0))="","",INDEX(Groups!$E$3:$E$15,MATCH(A20,Groups!$A$3:$A$15,0)))</f>
        <v/>
      </c>
      <c r="E20" s="6">
        <f>INDEX(Groups!$J$3:$J$15,MATCH(A20,Groups!$A$3:$A$15,0))</f>
        <v/>
      </c>
      <c r="F20" s="6">
        <f>IF(Seats!C20="N","absent",IF(OR(NOT(ISNUMBER(C20)),NOT(ISNUMBER(E20))),"incomplete",C20+E20))</f>
        <v/>
      </c>
      <c r="G20" s="6">
        <f>IF(AND(ISNUMBER(C20),OR(C20&gt;Rubric!$C$7,C20&lt;0)),"above a maximum or below zero",IF(AND(ISNUMBER(C20),D20="machine failed: demo waits for the reserve"),"score after the demo runs in the reserve","ok"))</f>
        <v/>
      </c>
    </row>
    <row r="21">
      <c r="A21" s="6">
        <f>Seats!A21</f>
        <v/>
      </c>
      <c r="B21" s="6">
        <f>Seats!B21</f>
        <v/>
      </c>
      <c r="C21" s="9" t="n"/>
      <c r="D21" s="6">
        <f>IF(INDEX(Groups!$E$3:$E$15,MATCH(A21,Groups!$A$3:$A$15,0))="","",INDEX(Groups!$E$3:$E$15,MATCH(A21,Groups!$A$3:$A$15,0)))</f>
        <v/>
      </c>
      <c r="E21" s="6">
        <f>INDEX(Groups!$J$3:$J$15,MATCH(A21,Groups!$A$3:$A$15,0))</f>
        <v/>
      </c>
      <c r="F21" s="6">
        <f>IF(Seats!C21="N","absent",IF(OR(NOT(ISNUMBER(C21)),NOT(ISNUMBER(E21))),"incomplete",C21+E21))</f>
        <v/>
      </c>
      <c r="G21" s="6">
        <f>IF(AND(ISNUMBER(C21),OR(C21&gt;Rubric!$C$7,C21&lt;0)),"above a maximum or below zero",IF(AND(ISNUMBER(C21),D21="machine failed: demo waits for the reserve"),"score after the demo runs in the reserve","ok"))</f>
        <v/>
      </c>
    </row>
    <row r="22">
      <c r="A22" s="6">
        <f>Seats!A22</f>
        <v/>
      </c>
      <c r="B22" s="6">
        <f>Seats!B22</f>
        <v/>
      </c>
      <c r="C22" s="9" t="n"/>
      <c r="D22" s="6">
        <f>IF(INDEX(Groups!$E$3:$E$15,MATCH(A22,Groups!$A$3:$A$15,0))="","",INDEX(Groups!$E$3:$E$15,MATCH(A22,Groups!$A$3:$A$15,0)))</f>
        <v/>
      </c>
      <c r="E22" s="6">
        <f>INDEX(Groups!$J$3:$J$15,MATCH(A22,Groups!$A$3:$A$15,0))</f>
        <v/>
      </c>
      <c r="F22" s="6">
        <f>IF(Seats!C22="N","absent",IF(OR(NOT(ISNUMBER(C22)),NOT(ISNUMBER(E22))),"incomplete",C22+E22))</f>
        <v/>
      </c>
      <c r="G22" s="6">
        <f>IF(AND(ISNUMBER(C22),OR(C22&gt;Rubric!$C$7,C22&lt;0)),"above a maximum or below zero",IF(AND(ISNUMBER(C22),D22="machine failed: demo waits for the reserve"),"score after the demo runs in the reserve","ok"))</f>
        <v/>
      </c>
    </row>
    <row r="23">
      <c r="A23" s="6">
        <f>Seats!A23</f>
        <v/>
      </c>
      <c r="B23" s="6">
        <f>Seats!B23</f>
        <v/>
      </c>
      <c r="C23" s="9" t="n"/>
      <c r="D23" s="6">
        <f>IF(INDEX(Groups!$E$3:$E$15,MATCH(A23,Groups!$A$3:$A$15,0))="","",INDEX(Groups!$E$3:$E$15,MATCH(A23,Groups!$A$3:$A$15,0)))</f>
        <v/>
      </c>
      <c r="E23" s="6">
        <f>INDEX(Groups!$J$3:$J$15,MATCH(A23,Groups!$A$3:$A$15,0))</f>
        <v/>
      </c>
      <c r="F23" s="6">
        <f>IF(Seats!C23="N","absent",IF(OR(NOT(ISNUMBER(C23)),NOT(ISNUMBER(E23))),"incomplete",C23+E23))</f>
        <v/>
      </c>
      <c r="G23" s="6">
        <f>IF(AND(ISNUMBER(C23),OR(C23&gt;Rubric!$C$7,C23&lt;0)),"above a maximum or below zero",IF(AND(ISNUMBER(C23),D23="machine failed: demo waits for the reserve"),"score after the demo runs in the reserve","ok"))</f>
        <v/>
      </c>
    </row>
    <row r="24">
      <c r="A24" s="6">
        <f>Seats!A24</f>
        <v/>
      </c>
      <c r="B24" s="6">
        <f>Seats!B24</f>
        <v/>
      </c>
      <c r="C24" s="9" t="n"/>
      <c r="D24" s="6">
        <f>IF(INDEX(Groups!$E$3:$E$15,MATCH(A24,Groups!$A$3:$A$15,0))="","",INDEX(Groups!$E$3:$E$15,MATCH(A24,Groups!$A$3:$A$15,0)))</f>
        <v/>
      </c>
      <c r="E24" s="6">
        <f>INDEX(Groups!$J$3:$J$15,MATCH(A24,Groups!$A$3:$A$15,0))</f>
        <v/>
      </c>
      <c r="F24" s="6">
        <f>IF(Seats!C24="N","absent",IF(OR(NOT(ISNUMBER(C24)),NOT(ISNUMBER(E24))),"incomplete",C24+E24))</f>
        <v/>
      </c>
      <c r="G24" s="6">
        <f>IF(AND(ISNUMBER(C24),OR(C24&gt;Rubric!$C$7,C24&lt;0)),"above a maximum or below zero",IF(AND(ISNUMBER(C24),D24="machine failed: demo waits for the reserve"),"score after the demo runs in the reserve","ok"))</f>
        <v/>
      </c>
    </row>
    <row r="25">
      <c r="A25" s="6">
        <f>Seats!A25</f>
        <v/>
      </c>
      <c r="B25" s="6">
        <f>Seats!B25</f>
        <v/>
      </c>
      <c r="C25" s="9" t="n"/>
      <c r="D25" s="6">
        <f>IF(INDEX(Groups!$E$3:$E$15,MATCH(A25,Groups!$A$3:$A$15,0))="","",INDEX(Groups!$E$3:$E$15,MATCH(A25,Groups!$A$3:$A$15,0)))</f>
        <v/>
      </c>
      <c r="E25" s="6">
        <f>INDEX(Groups!$J$3:$J$15,MATCH(A25,Groups!$A$3:$A$15,0))</f>
        <v/>
      </c>
      <c r="F25" s="6">
        <f>IF(Seats!C25="N","absent",IF(OR(NOT(ISNUMBER(C25)),NOT(ISNUMBER(E25))),"incomplete",C25+E25))</f>
        <v/>
      </c>
      <c r="G25" s="6">
        <f>IF(AND(ISNUMBER(C25),OR(C25&gt;Rubric!$C$7,C25&lt;0)),"above a maximum or below zero",IF(AND(ISNUMBER(C25),D25="machine failed: demo waits for the reserve"),"score after the demo runs in the reserve","ok"))</f>
        <v/>
      </c>
    </row>
    <row r="26">
      <c r="A26" s="6">
        <f>Seats!A26</f>
        <v/>
      </c>
      <c r="B26" s="6">
        <f>Seats!B26</f>
        <v/>
      </c>
      <c r="C26" s="9" t="n"/>
      <c r="D26" s="6">
        <f>IF(INDEX(Groups!$E$3:$E$15,MATCH(A26,Groups!$A$3:$A$15,0))="","",INDEX(Groups!$E$3:$E$15,MATCH(A26,Groups!$A$3:$A$15,0)))</f>
        <v/>
      </c>
      <c r="E26" s="6">
        <f>INDEX(Groups!$J$3:$J$15,MATCH(A26,Groups!$A$3:$A$15,0))</f>
        <v/>
      </c>
      <c r="F26" s="6">
        <f>IF(Seats!C26="N","absent",IF(OR(NOT(ISNUMBER(C26)),NOT(ISNUMBER(E26))),"incomplete",C26+E26))</f>
        <v/>
      </c>
      <c r="G26" s="6">
        <f>IF(AND(ISNUMBER(C26),OR(C26&gt;Rubric!$C$7,C26&lt;0)),"above a maximum or below zero",IF(AND(ISNUMBER(C26),D26="machine failed: demo waits for the reserve"),"score after the demo runs in the reserve","ok"))</f>
        <v/>
      </c>
    </row>
    <row r="27">
      <c r="A27" s="6">
        <f>Seats!A27</f>
        <v/>
      </c>
      <c r="B27" s="6">
        <f>Seats!B27</f>
        <v/>
      </c>
      <c r="C27" s="9" t="n"/>
      <c r="D27" s="6">
        <f>IF(INDEX(Groups!$E$3:$E$15,MATCH(A27,Groups!$A$3:$A$15,0))="","",INDEX(Groups!$E$3:$E$15,MATCH(A27,Groups!$A$3:$A$15,0)))</f>
        <v/>
      </c>
      <c r="E27" s="6">
        <f>INDEX(Groups!$J$3:$J$15,MATCH(A27,Groups!$A$3:$A$15,0))</f>
        <v/>
      </c>
      <c r="F27" s="6">
        <f>IF(Seats!C27="N","absent",IF(OR(NOT(ISNUMBER(C27)),NOT(ISNUMBER(E27))),"incomplete",C27+E27))</f>
        <v/>
      </c>
      <c r="G27" s="6">
        <f>IF(AND(ISNUMBER(C27),OR(C27&gt;Rubric!$C$7,C27&lt;0)),"above a maximum or below zero",IF(AND(ISNUMBER(C27),D27="machine failed: demo waits for the reserve"),"score after the demo runs in the reserve","ok"))</f>
        <v/>
      </c>
    </row>
    <row r="28">
      <c r="A28" s="6">
        <f>Seats!A28</f>
        <v/>
      </c>
      <c r="B28" s="6">
        <f>Seats!B28</f>
        <v/>
      </c>
      <c r="C28" s="9" t="n"/>
      <c r="D28" s="6">
        <f>IF(INDEX(Groups!$E$3:$E$15,MATCH(A28,Groups!$A$3:$A$15,0))="","",INDEX(Groups!$E$3:$E$15,MATCH(A28,Groups!$A$3:$A$15,0)))</f>
        <v/>
      </c>
      <c r="E28" s="6">
        <f>INDEX(Groups!$J$3:$J$15,MATCH(A28,Groups!$A$3:$A$15,0))</f>
        <v/>
      </c>
      <c r="F28" s="6">
        <f>IF(Seats!C28="N","absent",IF(OR(NOT(ISNUMBER(C28)),NOT(ISNUMBER(E28))),"incomplete",C28+E28))</f>
        <v/>
      </c>
      <c r="G28" s="6">
        <f>IF(AND(ISNUMBER(C28),OR(C28&gt;Rubric!$C$7,C28&lt;0)),"above a maximum or below zero",IF(AND(ISNUMBER(C28),D28="machine failed: demo waits for the reserve"),"score after the demo runs in the reserve","ok"))</f>
        <v/>
      </c>
    </row>
    <row r="29">
      <c r="A29" s="6">
        <f>Seats!A29</f>
        <v/>
      </c>
      <c r="B29" s="6">
        <f>Seats!B29</f>
        <v/>
      </c>
      <c r="C29" s="9" t="n"/>
      <c r="D29" s="6">
        <f>IF(INDEX(Groups!$E$3:$E$15,MATCH(A29,Groups!$A$3:$A$15,0))="","",INDEX(Groups!$E$3:$E$15,MATCH(A29,Groups!$A$3:$A$15,0)))</f>
        <v/>
      </c>
      <c r="E29" s="6">
        <f>INDEX(Groups!$J$3:$J$15,MATCH(A29,Groups!$A$3:$A$15,0))</f>
        <v/>
      </c>
      <c r="F29" s="6">
        <f>IF(Seats!C29="N","absent",IF(OR(NOT(ISNUMBER(C29)),NOT(ISNUMBER(E29))),"incomplete",C29+E29))</f>
        <v/>
      </c>
      <c r="G29" s="6">
        <f>IF(AND(ISNUMBER(C29),OR(C29&gt;Rubric!$C$7,C29&lt;0)),"above a maximum or below zero",IF(AND(ISNUMBER(C29),D29="machine failed: demo waits for the reserve"),"score after the demo runs in the reserve","ok"))</f>
        <v/>
      </c>
    </row>
    <row r="30">
      <c r="A30" s="6">
        <f>Seats!A30</f>
        <v/>
      </c>
      <c r="B30" s="6">
        <f>Seats!B30</f>
        <v/>
      </c>
      <c r="C30" s="9" t="n"/>
      <c r="D30" s="6">
        <f>IF(INDEX(Groups!$E$3:$E$15,MATCH(A30,Groups!$A$3:$A$15,0))="","",INDEX(Groups!$E$3:$E$15,MATCH(A30,Groups!$A$3:$A$15,0)))</f>
        <v/>
      </c>
      <c r="E30" s="6">
        <f>INDEX(Groups!$J$3:$J$15,MATCH(A30,Groups!$A$3:$A$15,0))</f>
        <v/>
      </c>
      <c r="F30" s="6">
        <f>IF(Seats!C30="N","absent",IF(OR(NOT(ISNUMBER(C30)),NOT(ISNUMBER(E30))),"incomplete",C30+E30))</f>
        <v/>
      </c>
      <c r="G30" s="6">
        <f>IF(AND(ISNUMBER(C30),OR(C30&gt;Rubric!$C$7,C30&lt;0)),"above a maximum or below zero",IF(AND(ISNUMBER(C30),D30="machine failed: demo waits for the reserve"),"score after the demo runs in the reserve","ok"))</f>
        <v/>
      </c>
    </row>
    <row r="31">
      <c r="A31" s="6">
        <f>Seats!A31</f>
        <v/>
      </c>
      <c r="B31" s="6">
        <f>Seats!B31</f>
        <v/>
      </c>
      <c r="C31" s="9" t="n"/>
      <c r="D31" s="6">
        <f>IF(INDEX(Groups!$E$3:$E$15,MATCH(A31,Groups!$A$3:$A$15,0))="","",INDEX(Groups!$E$3:$E$15,MATCH(A31,Groups!$A$3:$A$15,0)))</f>
        <v/>
      </c>
      <c r="E31" s="6">
        <f>INDEX(Groups!$J$3:$J$15,MATCH(A31,Groups!$A$3:$A$15,0))</f>
        <v/>
      </c>
      <c r="F31" s="6">
        <f>IF(Seats!C31="N","absent",IF(OR(NOT(ISNUMBER(C31)),NOT(ISNUMBER(E31))),"incomplete",C31+E31))</f>
        <v/>
      </c>
      <c r="G31" s="6">
        <f>IF(AND(ISNUMBER(C31),OR(C31&gt;Rubric!$C$7,C31&lt;0)),"above a maximum or below zero",IF(AND(ISNUMBER(C31),D31="machine failed: demo waits for the reserve"),"score after the demo runs in the reserve","ok"))</f>
        <v/>
      </c>
    </row>
    <row r="32">
      <c r="A32" s="6">
        <f>Seats!A32</f>
        <v/>
      </c>
      <c r="B32" s="6">
        <f>Seats!B32</f>
        <v/>
      </c>
      <c r="C32" s="9" t="n"/>
      <c r="D32" s="6">
        <f>IF(INDEX(Groups!$E$3:$E$15,MATCH(A32,Groups!$A$3:$A$15,0))="","",INDEX(Groups!$E$3:$E$15,MATCH(A32,Groups!$A$3:$A$15,0)))</f>
        <v/>
      </c>
      <c r="E32" s="6">
        <f>INDEX(Groups!$J$3:$J$15,MATCH(A32,Groups!$A$3:$A$15,0))</f>
        <v/>
      </c>
      <c r="F32" s="6">
        <f>IF(Seats!C32="N","absent",IF(OR(NOT(ISNUMBER(C32)),NOT(ISNUMBER(E32))),"incomplete",C32+E32))</f>
        <v/>
      </c>
      <c r="G32" s="6">
        <f>IF(AND(ISNUMBER(C32),OR(C32&gt;Rubric!$C$7,C32&lt;0)),"above a maximum or below zero",IF(AND(ISNUMBER(C32),D32="machine failed: demo waits for the reserve"),"score after the demo runs in the reserve","ok"))</f>
        <v/>
      </c>
    </row>
    <row r="33">
      <c r="A33" s="6">
        <f>Seats!A33</f>
        <v/>
      </c>
      <c r="B33" s="6">
        <f>Seats!B33</f>
        <v/>
      </c>
      <c r="C33" s="9" t="n"/>
      <c r="D33" s="6">
        <f>IF(INDEX(Groups!$E$3:$E$15,MATCH(A33,Groups!$A$3:$A$15,0))="","",INDEX(Groups!$E$3:$E$15,MATCH(A33,Groups!$A$3:$A$15,0)))</f>
        <v/>
      </c>
      <c r="E33" s="6">
        <f>INDEX(Groups!$J$3:$J$15,MATCH(A33,Groups!$A$3:$A$15,0))</f>
        <v/>
      </c>
      <c r="F33" s="6">
        <f>IF(Seats!C33="N","absent",IF(OR(NOT(ISNUMBER(C33)),NOT(ISNUMBER(E33))),"incomplete",C33+E33))</f>
        <v/>
      </c>
      <c r="G33" s="6">
        <f>IF(AND(ISNUMBER(C33),OR(C33&gt;Rubric!$C$7,C33&lt;0)),"above a maximum or below zero",IF(AND(ISNUMBER(C33),D33="machine failed: demo waits for the reserve"),"score after the demo runs in the reserve","ok"))</f>
        <v/>
      </c>
    </row>
    <row r="34">
      <c r="A34" s="6">
        <f>Seats!A34</f>
        <v/>
      </c>
      <c r="B34" s="6">
        <f>Seats!B34</f>
        <v/>
      </c>
      <c r="C34" s="9" t="n"/>
      <c r="D34" s="6">
        <f>IF(INDEX(Groups!$E$3:$E$15,MATCH(A34,Groups!$A$3:$A$15,0))="","",INDEX(Groups!$E$3:$E$15,MATCH(A34,Groups!$A$3:$A$15,0)))</f>
        <v/>
      </c>
      <c r="E34" s="6">
        <f>INDEX(Groups!$J$3:$J$15,MATCH(A34,Groups!$A$3:$A$15,0))</f>
        <v/>
      </c>
      <c r="F34" s="6">
        <f>IF(Seats!C34="N","absent",IF(OR(NOT(ISNUMBER(C34)),NOT(ISNUMBER(E34))),"incomplete",C34+E34))</f>
        <v/>
      </c>
      <c r="G34" s="6">
        <f>IF(AND(ISNUMBER(C34),OR(C34&gt;Rubric!$C$7,C34&lt;0)),"above a maximum or below zero",IF(AND(ISNUMBER(C34),D34="machine failed: demo waits for the reserve"),"score after the demo runs in the reserve","ok"))</f>
        <v/>
      </c>
    </row>
    <row r="35">
      <c r="A35" s="6">
        <f>Seats!A35</f>
        <v/>
      </c>
      <c r="B35" s="6">
        <f>Seats!B35</f>
        <v/>
      </c>
      <c r="C35" s="9" t="n"/>
      <c r="D35" s="6">
        <f>IF(INDEX(Groups!$E$3:$E$15,MATCH(A35,Groups!$A$3:$A$15,0))="","",INDEX(Groups!$E$3:$E$15,MATCH(A35,Groups!$A$3:$A$15,0)))</f>
        <v/>
      </c>
      <c r="E35" s="6">
        <f>INDEX(Groups!$J$3:$J$15,MATCH(A35,Groups!$A$3:$A$15,0))</f>
        <v/>
      </c>
      <c r="F35" s="6">
        <f>IF(Seats!C35="N","absent",IF(OR(NOT(ISNUMBER(C35)),NOT(ISNUMBER(E35))),"incomplete",C35+E35))</f>
        <v/>
      </c>
      <c r="G35" s="6">
        <f>IF(AND(ISNUMBER(C35),OR(C35&gt;Rubric!$C$7,C35&lt;0)),"above a maximum or below zero",IF(AND(ISNUMBER(C35),D35="machine failed: demo waits for the reserve"),"score after the demo runs in the reserve","ok"))</f>
        <v/>
      </c>
    </row>
    <row r="36">
      <c r="A36" s="6">
        <f>Seats!A36</f>
        <v/>
      </c>
      <c r="B36" s="6">
        <f>Seats!B36</f>
        <v/>
      </c>
      <c r="C36" s="9" t="n"/>
      <c r="D36" s="6">
        <f>IF(INDEX(Groups!$E$3:$E$15,MATCH(A36,Groups!$A$3:$A$15,0))="","",INDEX(Groups!$E$3:$E$15,MATCH(A36,Groups!$A$3:$A$15,0)))</f>
        <v/>
      </c>
      <c r="E36" s="6">
        <f>INDEX(Groups!$J$3:$J$15,MATCH(A36,Groups!$A$3:$A$15,0))</f>
        <v/>
      </c>
      <c r="F36" s="6">
        <f>IF(Seats!C36="N","absent",IF(OR(NOT(ISNUMBER(C36)),NOT(ISNUMBER(E36))),"incomplete",C36+E36))</f>
        <v/>
      </c>
      <c r="G36" s="6">
        <f>IF(AND(ISNUMBER(C36),OR(C36&gt;Rubric!$C$7,C36&lt;0)),"above a maximum or below zero",IF(AND(ISNUMBER(C36),D36="machine failed: demo waits for the reserve"),"score after the demo runs in the reserve","ok"))</f>
        <v/>
      </c>
    </row>
    <row r="37">
      <c r="A37" s="6">
        <f>Seats!A37</f>
        <v/>
      </c>
      <c r="B37" s="6">
        <f>Seats!B37</f>
        <v/>
      </c>
      <c r="C37" s="9" t="n"/>
      <c r="D37" s="6">
        <f>IF(INDEX(Groups!$E$3:$E$15,MATCH(A37,Groups!$A$3:$A$15,0))="","",INDEX(Groups!$E$3:$E$15,MATCH(A37,Groups!$A$3:$A$15,0)))</f>
        <v/>
      </c>
      <c r="E37" s="6">
        <f>INDEX(Groups!$J$3:$J$15,MATCH(A37,Groups!$A$3:$A$15,0))</f>
        <v/>
      </c>
      <c r="F37" s="6">
        <f>IF(Seats!C37="N","absent",IF(OR(NOT(ISNUMBER(C37)),NOT(ISNUMBER(E37))),"incomplete",C37+E37))</f>
        <v/>
      </c>
      <c r="G37" s="6">
        <f>IF(AND(ISNUMBER(C37),OR(C37&gt;Rubric!$C$7,C37&lt;0)),"above a maximum or below zero",IF(AND(ISNUMBER(C37),D37="machine failed: demo waits for the reserve"),"score after the demo runs in the reserve","ok"))</f>
        <v/>
      </c>
    </row>
    <row r="38">
      <c r="A38" s="6">
        <f>Seats!A38</f>
        <v/>
      </c>
      <c r="B38" s="6">
        <f>Seats!B38</f>
        <v/>
      </c>
      <c r="C38" s="9" t="n"/>
      <c r="D38" s="6">
        <f>IF(INDEX(Groups!$E$3:$E$15,MATCH(A38,Groups!$A$3:$A$15,0))="","",INDEX(Groups!$E$3:$E$15,MATCH(A38,Groups!$A$3:$A$15,0)))</f>
        <v/>
      </c>
      <c r="E38" s="6">
        <f>INDEX(Groups!$J$3:$J$15,MATCH(A38,Groups!$A$3:$A$15,0))</f>
        <v/>
      </c>
      <c r="F38" s="6">
        <f>IF(Seats!C38="N","absent",IF(OR(NOT(ISNUMBER(C38)),NOT(ISNUMBER(E38))),"incomplete",C38+E38))</f>
        <v/>
      </c>
      <c r="G38" s="6">
        <f>IF(AND(ISNUMBER(C38),OR(C38&gt;Rubric!$C$7,C38&lt;0)),"above a maximum or below zero",IF(AND(ISNUMBER(C38),D38="machine failed: demo waits for the reserve"),"score after the demo runs in the reserve","ok"))</f>
        <v/>
      </c>
    </row>
    <row r="39">
      <c r="A39" s="6">
        <f>Seats!A39</f>
        <v/>
      </c>
      <c r="B39" s="6">
        <f>Seats!B39</f>
        <v/>
      </c>
      <c r="C39" s="9" t="n"/>
      <c r="D39" s="6">
        <f>IF(INDEX(Groups!$E$3:$E$15,MATCH(A39,Groups!$A$3:$A$15,0))="","",INDEX(Groups!$E$3:$E$15,MATCH(A39,Groups!$A$3:$A$15,0)))</f>
        <v/>
      </c>
      <c r="E39" s="6">
        <f>INDEX(Groups!$J$3:$J$15,MATCH(A39,Groups!$A$3:$A$15,0))</f>
        <v/>
      </c>
      <c r="F39" s="6">
        <f>IF(Seats!C39="N","absent",IF(OR(NOT(ISNUMBER(C39)),NOT(ISNUMBER(E39))),"incomplete",C39+E39))</f>
        <v/>
      </c>
      <c r="G39" s="6">
        <f>IF(AND(ISNUMBER(C39),OR(C39&gt;Rubric!$C$7,C39&lt;0)),"above a maximum or below zero",IF(AND(ISNUMBER(C39),D39="machine failed: demo waits for the reserve"),"score after the demo runs in the reserve","ok"))</f>
        <v/>
      </c>
    </row>
    <row r="40">
      <c r="A40" s="6">
        <f>Seats!A40</f>
        <v/>
      </c>
      <c r="B40" s="6">
        <f>Seats!B40</f>
        <v/>
      </c>
      <c r="C40" s="9" t="n"/>
      <c r="D40" s="6">
        <f>IF(INDEX(Groups!$E$3:$E$15,MATCH(A40,Groups!$A$3:$A$15,0))="","",INDEX(Groups!$E$3:$E$15,MATCH(A40,Groups!$A$3:$A$15,0)))</f>
        <v/>
      </c>
      <c r="E40" s="6">
        <f>INDEX(Groups!$J$3:$J$15,MATCH(A40,Groups!$A$3:$A$15,0))</f>
        <v/>
      </c>
      <c r="F40" s="6">
        <f>IF(Seats!C40="N","absent",IF(OR(NOT(ISNUMBER(C40)),NOT(ISNUMBER(E40))),"incomplete",C40+E40))</f>
        <v/>
      </c>
      <c r="G40" s="6">
        <f>IF(AND(ISNUMBER(C40),OR(C40&gt;Rubric!$C$7,C40&lt;0)),"above a maximum or below zero",IF(AND(ISNUMBER(C40),D40="machine failed: demo waits for the reserve"),"score after the demo runs in the reserve","ok"))</f>
        <v/>
      </c>
    </row>
    <row r="41">
      <c r="A41" s="6">
        <f>Seats!A41</f>
        <v/>
      </c>
      <c r="B41" s="6">
        <f>Seats!B41</f>
        <v/>
      </c>
      <c r="C41" s="9" t="n"/>
      <c r="D41" s="6">
        <f>IF(INDEX(Groups!$E$3:$E$15,MATCH(A41,Groups!$A$3:$A$15,0))="","",INDEX(Groups!$E$3:$E$15,MATCH(A41,Groups!$A$3:$A$15,0)))</f>
        <v/>
      </c>
      <c r="E41" s="6">
        <f>INDEX(Groups!$J$3:$J$15,MATCH(A41,Groups!$A$3:$A$15,0))</f>
        <v/>
      </c>
      <c r="F41" s="6">
        <f>IF(Seats!C41="N","absent",IF(OR(NOT(ISNUMBER(C41)),NOT(ISNUMBER(E41))),"incomplete",C41+E41))</f>
        <v/>
      </c>
      <c r="G41" s="6">
        <f>IF(AND(ISNUMBER(C41),OR(C41&gt;Rubric!$C$7,C41&lt;0)),"above a maximum or below zero",IF(AND(ISNUMBER(C41),D41="machine failed: demo waits for the reserve"),"score after the demo runs in the reserve","ok"))</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8" customWidth="1" min="3" max="3"/>
    <col width="13" customWidth="1" min="4" max="4"/>
    <col width="12" customWidth="1" min="5" max="5"/>
    <col width="10" customWidth="1" min="6" max="6"/>
    <col width="12" customWidth="1" min="7" max="7"/>
    <col width="30" customWidth="1" min="8" max="8"/>
  </cols>
  <sheetData>
    <row r="1">
      <c r="A1" s="4" t="inlineStr">
        <is>
          <t>Closure: each learner's three Build 2 events and the total of 100</t>
        </is>
      </c>
    </row>
    <row r="2" ht="44" customHeight="1">
      <c r="A2" s="5" t="inlineStr">
        <is>
          <t>Group</t>
        </is>
      </c>
      <c r="B2" s="5" t="inlineStr">
        <is>
          <t>Seat</t>
        </is>
      </c>
      <c r="C2" s="5" t="inlineStr">
        <is>
          <t>In use</t>
        </is>
      </c>
      <c r="D2" s="5" t="inlineStr">
        <is>
          <t>Mini project (of 40)</t>
        </is>
      </c>
      <c r="E2" s="5" t="inlineStr">
        <is>
          <t>Mock R2 (of 30)</t>
        </is>
      </c>
      <c r="F2" s="5" t="inlineStr">
        <is>
          <t>GD (of 30)</t>
        </is>
      </c>
      <c r="G2" s="5" t="inlineStr">
        <is>
          <t>Build 2 (of 100)</t>
        </is>
      </c>
      <c r="H2" s="5" t="inlineStr">
        <is>
          <t>Status</t>
        </is>
      </c>
    </row>
    <row r="3">
      <c r="A3" s="6">
        <f>Seats!A3</f>
        <v/>
      </c>
      <c r="B3" s="6">
        <f>Seats!B3</f>
        <v/>
      </c>
      <c r="C3" s="6">
        <f>Seats!C3</f>
        <v/>
      </c>
      <c r="D3" s="6">
        <f>'Mini project'!F3</f>
        <v/>
      </c>
      <c r="E3" s="6">
        <f>'Mock R2'!M3</f>
        <v/>
      </c>
      <c r="F3" s="6">
        <f>GD!H3</f>
        <v/>
      </c>
      <c r="G3" s="6">
        <f>IF(C3="N","absent",IF(COUNT(D3:F3)&lt;3,"incomplete",SUM(D3:F3)))</f>
        <v/>
      </c>
      <c r="H3" s="6">
        <f>IF(C3="N","absent: record the reason in the dated copy",IF(ISNUMBER(G3),"closed","still to score"))</f>
        <v/>
      </c>
    </row>
    <row r="4">
      <c r="A4" s="6">
        <f>Seats!A4</f>
        <v/>
      </c>
      <c r="B4" s="6">
        <f>Seats!B4</f>
        <v/>
      </c>
      <c r="C4" s="6">
        <f>Seats!C4</f>
        <v/>
      </c>
      <c r="D4" s="6">
        <f>'Mini project'!F4</f>
        <v/>
      </c>
      <c r="E4" s="6">
        <f>'Mock R2'!M4</f>
        <v/>
      </c>
      <c r="F4" s="6">
        <f>GD!H4</f>
        <v/>
      </c>
      <c r="G4" s="6">
        <f>IF(C4="N","absent",IF(COUNT(D4:F4)&lt;3,"incomplete",SUM(D4:F4)))</f>
        <v/>
      </c>
      <c r="H4" s="6">
        <f>IF(C4="N","absent: record the reason in the dated copy",IF(ISNUMBER(G4),"closed","still to score"))</f>
        <v/>
      </c>
    </row>
    <row r="5">
      <c r="A5" s="6">
        <f>Seats!A5</f>
        <v/>
      </c>
      <c r="B5" s="6">
        <f>Seats!B5</f>
        <v/>
      </c>
      <c r="C5" s="6">
        <f>Seats!C5</f>
        <v/>
      </c>
      <c r="D5" s="6">
        <f>'Mini project'!F5</f>
        <v/>
      </c>
      <c r="E5" s="6">
        <f>'Mock R2'!M5</f>
        <v/>
      </c>
      <c r="F5" s="6">
        <f>GD!H5</f>
        <v/>
      </c>
      <c r="G5" s="6">
        <f>IF(C5="N","absent",IF(COUNT(D5:F5)&lt;3,"incomplete",SUM(D5:F5)))</f>
        <v/>
      </c>
      <c r="H5" s="6">
        <f>IF(C5="N","absent: record the reason in the dated copy",IF(ISNUMBER(G5),"closed","still to score"))</f>
        <v/>
      </c>
    </row>
    <row r="6">
      <c r="A6" s="6">
        <f>Seats!A6</f>
        <v/>
      </c>
      <c r="B6" s="6">
        <f>Seats!B6</f>
        <v/>
      </c>
      <c r="C6" s="6">
        <f>Seats!C6</f>
        <v/>
      </c>
      <c r="D6" s="6">
        <f>'Mini project'!F6</f>
        <v/>
      </c>
      <c r="E6" s="6">
        <f>'Mock R2'!M6</f>
        <v/>
      </c>
      <c r="F6" s="6">
        <f>GD!H6</f>
        <v/>
      </c>
      <c r="G6" s="6">
        <f>IF(C6="N","absent",IF(COUNT(D6:F6)&lt;3,"incomplete",SUM(D6:F6)))</f>
        <v/>
      </c>
      <c r="H6" s="6">
        <f>IF(C6="N","absent: record the reason in the dated copy",IF(ISNUMBER(G6),"closed","still to score"))</f>
        <v/>
      </c>
    </row>
    <row r="7">
      <c r="A7" s="6">
        <f>Seats!A7</f>
        <v/>
      </c>
      <c r="B7" s="6">
        <f>Seats!B7</f>
        <v/>
      </c>
      <c r="C7" s="6">
        <f>Seats!C7</f>
        <v/>
      </c>
      <c r="D7" s="6">
        <f>'Mini project'!F7</f>
        <v/>
      </c>
      <c r="E7" s="6">
        <f>'Mock R2'!M7</f>
        <v/>
      </c>
      <c r="F7" s="6">
        <f>GD!H7</f>
        <v/>
      </c>
      <c r="G7" s="6">
        <f>IF(C7="N","absent",IF(COUNT(D7:F7)&lt;3,"incomplete",SUM(D7:F7)))</f>
        <v/>
      </c>
      <c r="H7" s="6">
        <f>IF(C7="N","absent: record the reason in the dated copy",IF(ISNUMBER(G7),"closed","still to score"))</f>
        <v/>
      </c>
    </row>
    <row r="8">
      <c r="A8" s="6">
        <f>Seats!A8</f>
        <v/>
      </c>
      <c r="B8" s="6">
        <f>Seats!B8</f>
        <v/>
      </c>
      <c r="C8" s="6">
        <f>Seats!C8</f>
        <v/>
      </c>
      <c r="D8" s="6">
        <f>'Mini project'!F8</f>
        <v/>
      </c>
      <c r="E8" s="6">
        <f>'Mock R2'!M8</f>
        <v/>
      </c>
      <c r="F8" s="6">
        <f>GD!H8</f>
        <v/>
      </c>
      <c r="G8" s="6">
        <f>IF(C8="N","absent",IF(COUNT(D8:F8)&lt;3,"incomplete",SUM(D8:F8)))</f>
        <v/>
      </c>
      <c r="H8" s="6">
        <f>IF(C8="N","absent: record the reason in the dated copy",IF(ISNUMBER(G8),"closed","still to score"))</f>
        <v/>
      </c>
    </row>
    <row r="9">
      <c r="A9" s="6">
        <f>Seats!A9</f>
        <v/>
      </c>
      <c r="B9" s="6">
        <f>Seats!B9</f>
        <v/>
      </c>
      <c r="C9" s="6">
        <f>Seats!C9</f>
        <v/>
      </c>
      <c r="D9" s="6">
        <f>'Mini project'!F9</f>
        <v/>
      </c>
      <c r="E9" s="6">
        <f>'Mock R2'!M9</f>
        <v/>
      </c>
      <c r="F9" s="6">
        <f>GD!H9</f>
        <v/>
      </c>
      <c r="G9" s="6">
        <f>IF(C9="N","absent",IF(COUNT(D9:F9)&lt;3,"incomplete",SUM(D9:F9)))</f>
        <v/>
      </c>
      <c r="H9" s="6">
        <f>IF(C9="N","absent: record the reason in the dated copy",IF(ISNUMBER(G9),"closed","still to score"))</f>
        <v/>
      </c>
    </row>
    <row r="10">
      <c r="A10" s="6">
        <f>Seats!A10</f>
        <v/>
      </c>
      <c r="B10" s="6">
        <f>Seats!B10</f>
        <v/>
      </c>
      <c r="C10" s="6">
        <f>Seats!C10</f>
        <v/>
      </c>
      <c r="D10" s="6">
        <f>'Mini project'!F10</f>
        <v/>
      </c>
      <c r="E10" s="6">
        <f>'Mock R2'!M10</f>
        <v/>
      </c>
      <c r="F10" s="6">
        <f>GD!H10</f>
        <v/>
      </c>
      <c r="G10" s="6">
        <f>IF(C10="N","absent",IF(COUNT(D10:F10)&lt;3,"incomplete",SUM(D10:F10)))</f>
        <v/>
      </c>
      <c r="H10" s="6">
        <f>IF(C10="N","absent: record the reason in the dated copy",IF(ISNUMBER(G10),"closed","still to score"))</f>
        <v/>
      </c>
    </row>
    <row r="11">
      <c r="A11" s="6">
        <f>Seats!A11</f>
        <v/>
      </c>
      <c r="B11" s="6">
        <f>Seats!B11</f>
        <v/>
      </c>
      <c r="C11" s="6">
        <f>Seats!C11</f>
        <v/>
      </c>
      <c r="D11" s="6">
        <f>'Mini project'!F11</f>
        <v/>
      </c>
      <c r="E11" s="6">
        <f>'Mock R2'!M11</f>
        <v/>
      </c>
      <c r="F11" s="6">
        <f>GD!H11</f>
        <v/>
      </c>
      <c r="G11" s="6">
        <f>IF(C11="N","absent",IF(COUNT(D11:F11)&lt;3,"incomplete",SUM(D11:F11)))</f>
        <v/>
      </c>
      <c r="H11" s="6">
        <f>IF(C11="N","absent: record the reason in the dated copy",IF(ISNUMBER(G11),"closed","still to score"))</f>
        <v/>
      </c>
    </row>
    <row r="12">
      <c r="A12" s="6">
        <f>Seats!A12</f>
        <v/>
      </c>
      <c r="B12" s="6">
        <f>Seats!B12</f>
        <v/>
      </c>
      <c r="C12" s="6">
        <f>Seats!C12</f>
        <v/>
      </c>
      <c r="D12" s="6">
        <f>'Mini project'!F12</f>
        <v/>
      </c>
      <c r="E12" s="6">
        <f>'Mock R2'!M12</f>
        <v/>
      </c>
      <c r="F12" s="6">
        <f>GD!H12</f>
        <v/>
      </c>
      <c r="G12" s="6">
        <f>IF(C12="N","absent",IF(COUNT(D12:F12)&lt;3,"incomplete",SUM(D12:F12)))</f>
        <v/>
      </c>
      <c r="H12" s="6">
        <f>IF(C12="N","absent: record the reason in the dated copy",IF(ISNUMBER(G12),"closed","still to score"))</f>
        <v/>
      </c>
    </row>
    <row r="13">
      <c r="A13" s="6">
        <f>Seats!A13</f>
        <v/>
      </c>
      <c r="B13" s="6">
        <f>Seats!B13</f>
        <v/>
      </c>
      <c r="C13" s="6">
        <f>Seats!C13</f>
        <v/>
      </c>
      <c r="D13" s="6">
        <f>'Mini project'!F13</f>
        <v/>
      </c>
      <c r="E13" s="6">
        <f>'Mock R2'!M13</f>
        <v/>
      </c>
      <c r="F13" s="6">
        <f>GD!H13</f>
        <v/>
      </c>
      <c r="G13" s="6">
        <f>IF(C13="N","absent",IF(COUNT(D13:F13)&lt;3,"incomplete",SUM(D13:F13)))</f>
        <v/>
      </c>
      <c r="H13" s="6">
        <f>IF(C13="N","absent: record the reason in the dated copy",IF(ISNUMBER(G13),"closed","still to score"))</f>
        <v/>
      </c>
    </row>
    <row r="14">
      <c r="A14" s="6">
        <f>Seats!A14</f>
        <v/>
      </c>
      <c r="B14" s="6">
        <f>Seats!B14</f>
        <v/>
      </c>
      <c r="C14" s="6">
        <f>Seats!C14</f>
        <v/>
      </c>
      <c r="D14" s="6">
        <f>'Mini project'!F14</f>
        <v/>
      </c>
      <c r="E14" s="6">
        <f>'Mock R2'!M14</f>
        <v/>
      </c>
      <c r="F14" s="6">
        <f>GD!H14</f>
        <v/>
      </c>
      <c r="G14" s="6">
        <f>IF(C14="N","absent",IF(COUNT(D14:F14)&lt;3,"incomplete",SUM(D14:F14)))</f>
        <v/>
      </c>
      <c r="H14" s="6">
        <f>IF(C14="N","absent: record the reason in the dated copy",IF(ISNUMBER(G14),"closed","still to score"))</f>
        <v/>
      </c>
    </row>
    <row r="15">
      <c r="A15" s="6">
        <f>Seats!A15</f>
        <v/>
      </c>
      <c r="B15" s="6">
        <f>Seats!B15</f>
        <v/>
      </c>
      <c r="C15" s="6">
        <f>Seats!C15</f>
        <v/>
      </c>
      <c r="D15" s="6">
        <f>'Mini project'!F15</f>
        <v/>
      </c>
      <c r="E15" s="6">
        <f>'Mock R2'!M15</f>
        <v/>
      </c>
      <c r="F15" s="6">
        <f>GD!H15</f>
        <v/>
      </c>
      <c r="G15" s="6">
        <f>IF(C15="N","absent",IF(COUNT(D15:F15)&lt;3,"incomplete",SUM(D15:F15)))</f>
        <v/>
      </c>
      <c r="H15" s="6">
        <f>IF(C15="N","absent: record the reason in the dated copy",IF(ISNUMBER(G15),"closed","still to score"))</f>
        <v/>
      </c>
    </row>
    <row r="16">
      <c r="A16" s="6">
        <f>Seats!A16</f>
        <v/>
      </c>
      <c r="B16" s="6">
        <f>Seats!B16</f>
        <v/>
      </c>
      <c r="C16" s="6">
        <f>Seats!C16</f>
        <v/>
      </c>
      <c r="D16" s="6">
        <f>'Mini project'!F16</f>
        <v/>
      </c>
      <c r="E16" s="6">
        <f>'Mock R2'!M16</f>
        <v/>
      </c>
      <c r="F16" s="6">
        <f>GD!H16</f>
        <v/>
      </c>
      <c r="G16" s="6">
        <f>IF(C16="N","absent",IF(COUNT(D16:F16)&lt;3,"incomplete",SUM(D16:F16)))</f>
        <v/>
      </c>
      <c r="H16" s="6">
        <f>IF(C16="N","absent: record the reason in the dated copy",IF(ISNUMBER(G16),"closed","still to score"))</f>
        <v/>
      </c>
    </row>
    <row r="17">
      <c r="A17" s="6">
        <f>Seats!A17</f>
        <v/>
      </c>
      <c r="B17" s="6">
        <f>Seats!B17</f>
        <v/>
      </c>
      <c r="C17" s="6">
        <f>Seats!C17</f>
        <v/>
      </c>
      <c r="D17" s="6">
        <f>'Mini project'!F17</f>
        <v/>
      </c>
      <c r="E17" s="6">
        <f>'Mock R2'!M17</f>
        <v/>
      </c>
      <c r="F17" s="6">
        <f>GD!H17</f>
        <v/>
      </c>
      <c r="G17" s="6">
        <f>IF(C17="N","absent",IF(COUNT(D17:F17)&lt;3,"incomplete",SUM(D17:F17)))</f>
        <v/>
      </c>
      <c r="H17" s="6">
        <f>IF(C17="N","absent: record the reason in the dated copy",IF(ISNUMBER(G17),"closed","still to score"))</f>
        <v/>
      </c>
    </row>
    <row r="18">
      <c r="A18" s="6">
        <f>Seats!A18</f>
        <v/>
      </c>
      <c r="B18" s="6">
        <f>Seats!B18</f>
        <v/>
      </c>
      <c r="C18" s="6">
        <f>Seats!C18</f>
        <v/>
      </c>
      <c r="D18" s="6">
        <f>'Mini project'!F18</f>
        <v/>
      </c>
      <c r="E18" s="6">
        <f>'Mock R2'!M18</f>
        <v/>
      </c>
      <c r="F18" s="6">
        <f>GD!H18</f>
        <v/>
      </c>
      <c r="G18" s="6">
        <f>IF(C18="N","absent",IF(COUNT(D18:F18)&lt;3,"incomplete",SUM(D18:F18)))</f>
        <v/>
      </c>
      <c r="H18" s="6">
        <f>IF(C18="N","absent: record the reason in the dated copy",IF(ISNUMBER(G18),"closed","still to score"))</f>
        <v/>
      </c>
    </row>
    <row r="19">
      <c r="A19" s="6">
        <f>Seats!A19</f>
        <v/>
      </c>
      <c r="B19" s="6">
        <f>Seats!B19</f>
        <v/>
      </c>
      <c r="C19" s="6">
        <f>Seats!C19</f>
        <v/>
      </c>
      <c r="D19" s="6">
        <f>'Mini project'!F19</f>
        <v/>
      </c>
      <c r="E19" s="6">
        <f>'Mock R2'!M19</f>
        <v/>
      </c>
      <c r="F19" s="6">
        <f>GD!H19</f>
        <v/>
      </c>
      <c r="G19" s="6">
        <f>IF(C19="N","absent",IF(COUNT(D19:F19)&lt;3,"incomplete",SUM(D19:F19)))</f>
        <v/>
      </c>
      <c r="H19" s="6">
        <f>IF(C19="N","absent: record the reason in the dated copy",IF(ISNUMBER(G19),"closed","still to score"))</f>
        <v/>
      </c>
    </row>
    <row r="20">
      <c r="A20" s="6">
        <f>Seats!A20</f>
        <v/>
      </c>
      <c r="B20" s="6">
        <f>Seats!B20</f>
        <v/>
      </c>
      <c r="C20" s="6">
        <f>Seats!C20</f>
        <v/>
      </c>
      <c r="D20" s="6">
        <f>'Mini project'!F20</f>
        <v/>
      </c>
      <c r="E20" s="6">
        <f>'Mock R2'!M20</f>
        <v/>
      </c>
      <c r="F20" s="6">
        <f>GD!H20</f>
        <v/>
      </c>
      <c r="G20" s="6">
        <f>IF(C20="N","absent",IF(COUNT(D20:F20)&lt;3,"incomplete",SUM(D20:F20)))</f>
        <v/>
      </c>
      <c r="H20" s="6">
        <f>IF(C20="N","absent: record the reason in the dated copy",IF(ISNUMBER(G20),"closed","still to score"))</f>
        <v/>
      </c>
    </row>
    <row r="21">
      <c r="A21" s="6">
        <f>Seats!A21</f>
        <v/>
      </c>
      <c r="B21" s="6">
        <f>Seats!B21</f>
        <v/>
      </c>
      <c r="C21" s="6">
        <f>Seats!C21</f>
        <v/>
      </c>
      <c r="D21" s="6">
        <f>'Mini project'!F21</f>
        <v/>
      </c>
      <c r="E21" s="6">
        <f>'Mock R2'!M21</f>
        <v/>
      </c>
      <c r="F21" s="6">
        <f>GD!H21</f>
        <v/>
      </c>
      <c r="G21" s="6">
        <f>IF(C21="N","absent",IF(COUNT(D21:F21)&lt;3,"incomplete",SUM(D21:F21)))</f>
        <v/>
      </c>
      <c r="H21" s="6">
        <f>IF(C21="N","absent: record the reason in the dated copy",IF(ISNUMBER(G21),"closed","still to score"))</f>
        <v/>
      </c>
    </row>
    <row r="22">
      <c r="A22" s="6">
        <f>Seats!A22</f>
        <v/>
      </c>
      <c r="B22" s="6">
        <f>Seats!B22</f>
        <v/>
      </c>
      <c r="C22" s="6">
        <f>Seats!C22</f>
        <v/>
      </c>
      <c r="D22" s="6">
        <f>'Mini project'!F22</f>
        <v/>
      </c>
      <c r="E22" s="6">
        <f>'Mock R2'!M22</f>
        <v/>
      </c>
      <c r="F22" s="6">
        <f>GD!H22</f>
        <v/>
      </c>
      <c r="G22" s="6">
        <f>IF(C22="N","absent",IF(COUNT(D22:F22)&lt;3,"incomplete",SUM(D22:F22)))</f>
        <v/>
      </c>
      <c r="H22" s="6">
        <f>IF(C22="N","absent: record the reason in the dated copy",IF(ISNUMBER(G22),"closed","still to score"))</f>
        <v/>
      </c>
    </row>
    <row r="23">
      <c r="A23" s="6">
        <f>Seats!A23</f>
        <v/>
      </c>
      <c r="B23" s="6">
        <f>Seats!B23</f>
        <v/>
      </c>
      <c r="C23" s="6">
        <f>Seats!C23</f>
        <v/>
      </c>
      <c r="D23" s="6">
        <f>'Mini project'!F23</f>
        <v/>
      </c>
      <c r="E23" s="6">
        <f>'Mock R2'!M23</f>
        <v/>
      </c>
      <c r="F23" s="6">
        <f>GD!H23</f>
        <v/>
      </c>
      <c r="G23" s="6">
        <f>IF(C23="N","absent",IF(COUNT(D23:F23)&lt;3,"incomplete",SUM(D23:F23)))</f>
        <v/>
      </c>
      <c r="H23" s="6">
        <f>IF(C23="N","absent: record the reason in the dated copy",IF(ISNUMBER(G23),"closed","still to score"))</f>
        <v/>
      </c>
    </row>
    <row r="24">
      <c r="A24" s="6">
        <f>Seats!A24</f>
        <v/>
      </c>
      <c r="B24" s="6">
        <f>Seats!B24</f>
        <v/>
      </c>
      <c r="C24" s="6">
        <f>Seats!C24</f>
        <v/>
      </c>
      <c r="D24" s="6">
        <f>'Mini project'!F24</f>
        <v/>
      </c>
      <c r="E24" s="6">
        <f>'Mock R2'!M24</f>
        <v/>
      </c>
      <c r="F24" s="6">
        <f>GD!H24</f>
        <v/>
      </c>
      <c r="G24" s="6">
        <f>IF(C24="N","absent",IF(COUNT(D24:F24)&lt;3,"incomplete",SUM(D24:F24)))</f>
        <v/>
      </c>
      <c r="H24" s="6">
        <f>IF(C24="N","absent: record the reason in the dated copy",IF(ISNUMBER(G24),"closed","still to score"))</f>
        <v/>
      </c>
    </row>
    <row r="25">
      <c r="A25" s="6">
        <f>Seats!A25</f>
        <v/>
      </c>
      <c r="B25" s="6">
        <f>Seats!B25</f>
        <v/>
      </c>
      <c r="C25" s="6">
        <f>Seats!C25</f>
        <v/>
      </c>
      <c r="D25" s="6">
        <f>'Mini project'!F25</f>
        <v/>
      </c>
      <c r="E25" s="6">
        <f>'Mock R2'!M25</f>
        <v/>
      </c>
      <c r="F25" s="6">
        <f>GD!H25</f>
        <v/>
      </c>
      <c r="G25" s="6">
        <f>IF(C25="N","absent",IF(COUNT(D25:F25)&lt;3,"incomplete",SUM(D25:F25)))</f>
        <v/>
      </c>
      <c r="H25" s="6">
        <f>IF(C25="N","absent: record the reason in the dated copy",IF(ISNUMBER(G25),"closed","still to score"))</f>
        <v/>
      </c>
    </row>
    <row r="26">
      <c r="A26" s="6">
        <f>Seats!A26</f>
        <v/>
      </c>
      <c r="B26" s="6">
        <f>Seats!B26</f>
        <v/>
      </c>
      <c r="C26" s="6">
        <f>Seats!C26</f>
        <v/>
      </c>
      <c r="D26" s="6">
        <f>'Mini project'!F26</f>
        <v/>
      </c>
      <c r="E26" s="6">
        <f>'Mock R2'!M26</f>
        <v/>
      </c>
      <c r="F26" s="6">
        <f>GD!H26</f>
        <v/>
      </c>
      <c r="G26" s="6">
        <f>IF(C26="N","absent",IF(COUNT(D26:F26)&lt;3,"incomplete",SUM(D26:F26)))</f>
        <v/>
      </c>
      <c r="H26" s="6">
        <f>IF(C26="N","absent: record the reason in the dated copy",IF(ISNUMBER(G26),"closed","still to score"))</f>
        <v/>
      </c>
    </row>
    <row r="27">
      <c r="A27" s="6">
        <f>Seats!A27</f>
        <v/>
      </c>
      <c r="B27" s="6">
        <f>Seats!B27</f>
        <v/>
      </c>
      <c r="C27" s="6">
        <f>Seats!C27</f>
        <v/>
      </c>
      <c r="D27" s="6">
        <f>'Mini project'!F27</f>
        <v/>
      </c>
      <c r="E27" s="6">
        <f>'Mock R2'!M27</f>
        <v/>
      </c>
      <c r="F27" s="6">
        <f>GD!H27</f>
        <v/>
      </c>
      <c r="G27" s="6">
        <f>IF(C27="N","absent",IF(COUNT(D27:F27)&lt;3,"incomplete",SUM(D27:F27)))</f>
        <v/>
      </c>
      <c r="H27" s="6">
        <f>IF(C27="N","absent: record the reason in the dated copy",IF(ISNUMBER(G27),"closed","still to score"))</f>
        <v/>
      </c>
    </row>
    <row r="28">
      <c r="A28" s="6">
        <f>Seats!A28</f>
        <v/>
      </c>
      <c r="B28" s="6">
        <f>Seats!B28</f>
        <v/>
      </c>
      <c r="C28" s="6">
        <f>Seats!C28</f>
        <v/>
      </c>
      <c r="D28" s="6">
        <f>'Mini project'!F28</f>
        <v/>
      </c>
      <c r="E28" s="6">
        <f>'Mock R2'!M28</f>
        <v/>
      </c>
      <c r="F28" s="6">
        <f>GD!H28</f>
        <v/>
      </c>
      <c r="G28" s="6">
        <f>IF(C28="N","absent",IF(COUNT(D28:F28)&lt;3,"incomplete",SUM(D28:F28)))</f>
        <v/>
      </c>
      <c r="H28" s="6">
        <f>IF(C28="N","absent: record the reason in the dated copy",IF(ISNUMBER(G28),"closed","still to score"))</f>
        <v/>
      </c>
    </row>
    <row r="29">
      <c r="A29" s="6">
        <f>Seats!A29</f>
        <v/>
      </c>
      <c r="B29" s="6">
        <f>Seats!B29</f>
        <v/>
      </c>
      <c r="C29" s="6">
        <f>Seats!C29</f>
        <v/>
      </c>
      <c r="D29" s="6">
        <f>'Mini project'!F29</f>
        <v/>
      </c>
      <c r="E29" s="6">
        <f>'Mock R2'!M29</f>
        <v/>
      </c>
      <c r="F29" s="6">
        <f>GD!H29</f>
        <v/>
      </c>
      <c r="G29" s="6">
        <f>IF(C29="N","absent",IF(COUNT(D29:F29)&lt;3,"incomplete",SUM(D29:F29)))</f>
        <v/>
      </c>
      <c r="H29" s="6">
        <f>IF(C29="N","absent: record the reason in the dated copy",IF(ISNUMBER(G29),"closed","still to score"))</f>
        <v/>
      </c>
    </row>
    <row r="30">
      <c r="A30" s="6">
        <f>Seats!A30</f>
        <v/>
      </c>
      <c r="B30" s="6">
        <f>Seats!B30</f>
        <v/>
      </c>
      <c r="C30" s="6">
        <f>Seats!C30</f>
        <v/>
      </c>
      <c r="D30" s="6">
        <f>'Mini project'!F30</f>
        <v/>
      </c>
      <c r="E30" s="6">
        <f>'Mock R2'!M30</f>
        <v/>
      </c>
      <c r="F30" s="6">
        <f>GD!H30</f>
        <v/>
      </c>
      <c r="G30" s="6">
        <f>IF(C30="N","absent",IF(COUNT(D30:F30)&lt;3,"incomplete",SUM(D30:F30)))</f>
        <v/>
      </c>
      <c r="H30" s="6">
        <f>IF(C30="N","absent: record the reason in the dated copy",IF(ISNUMBER(G30),"closed","still to score"))</f>
        <v/>
      </c>
    </row>
    <row r="31">
      <c r="A31" s="6">
        <f>Seats!A31</f>
        <v/>
      </c>
      <c r="B31" s="6">
        <f>Seats!B31</f>
        <v/>
      </c>
      <c r="C31" s="6">
        <f>Seats!C31</f>
        <v/>
      </c>
      <c r="D31" s="6">
        <f>'Mini project'!F31</f>
        <v/>
      </c>
      <c r="E31" s="6">
        <f>'Mock R2'!M31</f>
        <v/>
      </c>
      <c r="F31" s="6">
        <f>GD!H31</f>
        <v/>
      </c>
      <c r="G31" s="6">
        <f>IF(C31="N","absent",IF(COUNT(D31:F31)&lt;3,"incomplete",SUM(D31:F31)))</f>
        <v/>
      </c>
      <c r="H31" s="6">
        <f>IF(C31="N","absent: record the reason in the dated copy",IF(ISNUMBER(G31),"closed","still to score"))</f>
        <v/>
      </c>
    </row>
    <row r="32">
      <c r="A32" s="6">
        <f>Seats!A32</f>
        <v/>
      </c>
      <c r="B32" s="6">
        <f>Seats!B32</f>
        <v/>
      </c>
      <c r="C32" s="6">
        <f>Seats!C32</f>
        <v/>
      </c>
      <c r="D32" s="6">
        <f>'Mini project'!F32</f>
        <v/>
      </c>
      <c r="E32" s="6">
        <f>'Mock R2'!M32</f>
        <v/>
      </c>
      <c r="F32" s="6">
        <f>GD!H32</f>
        <v/>
      </c>
      <c r="G32" s="6">
        <f>IF(C32="N","absent",IF(COUNT(D32:F32)&lt;3,"incomplete",SUM(D32:F32)))</f>
        <v/>
      </c>
      <c r="H32" s="6">
        <f>IF(C32="N","absent: record the reason in the dated copy",IF(ISNUMBER(G32),"closed","still to score"))</f>
        <v/>
      </c>
    </row>
    <row r="33">
      <c r="A33" s="6">
        <f>Seats!A33</f>
        <v/>
      </c>
      <c r="B33" s="6">
        <f>Seats!B33</f>
        <v/>
      </c>
      <c r="C33" s="6">
        <f>Seats!C33</f>
        <v/>
      </c>
      <c r="D33" s="6">
        <f>'Mini project'!F33</f>
        <v/>
      </c>
      <c r="E33" s="6">
        <f>'Mock R2'!M33</f>
        <v/>
      </c>
      <c r="F33" s="6">
        <f>GD!H33</f>
        <v/>
      </c>
      <c r="G33" s="6">
        <f>IF(C33="N","absent",IF(COUNT(D33:F33)&lt;3,"incomplete",SUM(D33:F33)))</f>
        <v/>
      </c>
      <c r="H33" s="6">
        <f>IF(C33="N","absent: record the reason in the dated copy",IF(ISNUMBER(G33),"closed","still to score"))</f>
        <v/>
      </c>
    </row>
    <row r="34">
      <c r="A34" s="6">
        <f>Seats!A34</f>
        <v/>
      </c>
      <c r="B34" s="6">
        <f>Seats!B34</f>
        <v/>
      </c>
      <c r="C34" s="6">
        <f>Seats!C34</f>
        <v/>
      </c>
      <c r="D34" s="6">
        <f>'Mini project'!F34</f>
        <v/>
      </c>
      <c r="E34" s="6">
        <f>'Mock R2'!M34</f>
        <v/>
      </c>
      <c r="F34" s="6">
        <f>GD!H34</f>
        <v/>
      </c>
      <c r="G34" s="6">
        <f>IF(C34="N","absent",IF(COUNT(D34:F34)&lt;3,"incomplete",SUM(D34:F34)))</f>
        <v/>
      </c>
      <c r="H34" s="6">
        <f>IF(C34="N","absent: record the reason in the dated copy",IF(ISNUMBER(G34),"closed","still to score"))</f>
        <v/>
      </c>
    </row>
    <row r="35">
      <c r="A35" s="6">
        <f>Seats!A35</f>
        <v/>
      </c>
      <c r="B35" s="6">
        <f>Seats!B35</f>
        <v/>
      </c>
      <c r="C35" s="6">
        <f>Seats!C35</f>
        <v/>
      </c>
      <c r="D35" s="6">
        <f>'Mini project'!F35</f>
        <v/>
      </c>
      <c r="E35" s="6">
        <f>'Mock R2'!M35</f>
        <v/>
      </c>
      <c r="F35" s="6">
        <f>GD!H35</f>
        <v/>
      </c>
      <c r="G35" s="6">
        <f>IF(C35="N","absent",IF(COUNT(D35:F35)&lt;3,"incomplete",SUM(D35:F35)))</f>
        <v/>
      </c>
      <c r="H35" s="6">
        <f>IF(C35="N","absent: record the reason in the dated copy",IF(ISNUMBER(G35),"closed","still to score"))</f>
        <v/>
      </c>
    </row>
    <row r="36">
      <c r="A36" s="6">
        <f>Seats!A36</f>
        <v/>
      </c>
      <c r="B36" s="6">
        <f>Seats!B36</f>
        <v/>
      </c>
      <c r="C36" s="6">
        <f>Seats!C36</f>
        <v/>
      </c>
      <c r="D36" s="6">
        <f>'Mini project'!F36</f>
        <v/>
      </c>
      <c r="E36" s="6">
        <f>'Mock R2'!M36</f>
        <v/>
      </c>
      <c r="F36" s="6">
        <f>GD!H36</f>
        <v/>
      </c>
      <c r="G36" s="6">
        <f>IF(C36="N","absent",IF(COUNT(D36:F36)&lt;3,"incomplete",SUM(D36:F36)))</f>
        <v/>
      </c>
      <c r="H36" s="6">
        <f>IF(C36="N","absent: record the reason in the dated copy",IF(ISNUMBER(G36),"closed","still to score"))</f>
        <v/>
      </c>
    </row>
    <row r="37">
      <c r="A37" s="6">
        <f>Seats!A37</f>
        <v/>
      </c>
      <c r="B37" s="6">
        <f>Seats!B37</f>
        <v/>
      </c>
      <c r="C37" s="6">
        <f>Seats!C37</f>
        <v/>
      </c>
      <c r="D37" s="6">
        <f>'Mini project'!F37</f>
        <v/>
      </c>
      <c r="E37" s="6">
        <f>'Mock R2'!M37</f>
        <v/>
      </c>
      <c r="F37" s="6">
        <f>GD!H37</f>
        <v/>
      </c>
      <c r="G37" s="6">
        <f>IF(C37="N","absent",IF(COUNT(D37:F37)&lt;3,"incomplete",SUM(D37:F37)))</f>
        <v/>
      </c>
      <c r="H37" s="6">
        <f>IF(C37="N","absent: record the reason in the dated copy",IF(ISNUMBER(G37),"closed","still to score"))</f>
        <v/>
      </c>
    </row>
    <row r="38">
      <c r="A38" s="6">
        <f>Seats!A38</f>
        <v/>
      </c>
      <c r="B38" s="6">
        <f>Seats!B38</f>
        <v/>
      </c>
      <c r="C38" s="6">
        <f>Seats!C38</f>
        <v/>
      </c>
      <c r="D38" s="6">
        <f>'Mini project'!F38</f>
        <v/>
      </c>
      <c r="E38" s="6">
        <f>'Mock R2'!M38</f>
        <v/>
      </c>
      <c r="F38" s="6">
        <f>GD!H38</f>
        <v/>
      </c>
      <c r="G38" s="6">
        <f>IF(C38="N","absent",IF(COUNT(D38:F38)&lt;3,"incomplete",SUM(D38:F38)))</f>
        <v/>
      </c>
      <c r="H38" s="6">
        <f>IF(C38="N","absent: record the reason in the dated copy",IF(ISNUMBER(G38),"closed","still to score"))</f>
        <v/>
      </c>
    </row>
    <row r="39">
      <c r="A39" s="6">
        <f>Seats!A39</f>
        <v/>
      </c>
      <c r="B39" s="6">
        <f>Seats!B39</f>
        <v/>
      </c>
      <c r="C39" s="6">
        <f>Seats!C39</f>
        <v/>
      </c>
      <c r="D39" s="6">
        <f>'Mini project'!F39</f>
        <v/>
      </c>
      <c r="E39" s="6">
        <f>'Mock R2'!M39</f>
        <v/>
      </c>
      <c r="F39" s="6">
        <f>GD!H39</f>
        <v/>
      </c>
      <c r="G39" s="6">
        <f>IF(C39="N","absent",IF(COUNT(D39:F39)&lt;3,"incomplete",SUM(D39:F39)))</f>
        <v/>
      </c>
      <c r="H39" s="6">
        <f>IF(C39="N","absent: record the reason in the dated copy",IF(ISNUMBER(G39),"closed","still to score"))</f>
        <v/>
      </c>
    </row>
    <row r="40">
      <c r="A40" s="6">
        <f>Seats!A40</f>
        <v/>
      </c>
      <c r="B40" s="6">
        <f>Seats!B40</f>
        <v/>
      </c>
      <c r="C40" s="6">
        <f>Seats!C40</f>
        <v/>
      </c>
      <c r="D40" s="6">
        <f>'Mini project'!F40</f>
        <v/>
      </c>
      <c r="E40" s="6">
        <f>'Mock R2'!M40</f>
        <v/>
      </c>
      <c r="F40" s="6">
        <f>GD!H40</f>
        <v/>
      </c>
      <c r="G40" s="6">
        <f>IF(C40="N","absent",IF(COUNT(D40:F40)&lt;3,"incomplete",SUM(D40:F40)))</f>
        <v/>
      </c>
      <c r="H40" s="6">
        <f>IF(C40="N","absent: record the reason in the dated copy",IF(ISNUMBER(G40),"closed","still to score"))</f>
        <v/>
      </c>
    </row>
    <row r="41">
      <c r="A41" s="6">
        <f>Seats!A41</f>
        <v/>
      </c>
      <c r="B41" s="6">
        <f>Seats!B41</f>
        <v/>
      </c>
      <c r="C41" s="6">
        <f>Seats!C41</f>
        <v/>
      </c>
      <c r="D41" s="6">
        <f>'Mini project'!F41</f>
        <v/>
      </c>
      <c r="E41" s="6">
        <f>'Mock R2'!M41</f>
        <v/>
      </c>
      <c r="F41" s="6">
        <f>GD!H41</f>
        <v/>
      </c>
      <c r="G41" s="6">
        <f>IF(C41="N","absent",IF(COUNT(D41:F41)&lt;3,"incomplete",SUM(D41:F41)))</f>
        <v/>
      </c>
      <c r="H41" s="6">
        <f>IF(C41="N","absent: record the reason in the dated copy",IF(ISNUMBER(G41),"closed","still to score"))</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4"/>
  <sheetViews>
    <sheetView workbookViewId="0">
      <selection pane="topRight"/>
      <selection pane="bottomLeft"/>
      <selection pane="bottomRight" activeCell="A1" sqref="A1"/>
    </sheetView>
  </sheetViews>
  <sheetFormatPr baseColWidth="8" defaultRowHeight="15"/>
  <cols>
    <col width="66" customWidth="1" min="1" max="1"/>
    <col width="60" customWidth="1" min="2" max="2"/>
  </cols>
  <sheetData>
    <row r="1">
      <c r="A1" s="4" t="inlineStr">
        <is>
          <t>Summary: is every learner in use scored, inside the rubric and inside the demo rule?</t>
        </is>
      </c>
    </row>
    <row r="2" ht="44" customHeight="1">
      <c r="A2" s="5" t="inlineStr">
        <is>
          <t>What</t>
        </is>
      </c>
      <c r="B2" s="5" t="inlineStr">
        <is>
          <t>Result</t>
        </is>
      </c>
    </row>
    <row r="3">
      <c r="A3" s="11" t="inlineStr">
        <is>
          <t>Seats in use</t>
        </is>
      </c>
      <c r="B3" s="7">
        <f>COUNTIF(Seats!C3:C41,"Y")</f>
        <v/>
      </c>
    </row>
    <row r="4">
      <c r="A4" s="11" t="inlineStr">
        <is>
          <t>Learners closed</t>
        </is>
      </c>
      <c r="B4" s="7">
        <f>COUNT(Closure!G3:G41)</f>
        <v/>
      </c>
    </row>
    <row r="5">
      <c r="A5" s="11" t="inlineStr">
        <is>
          <t>Groups with all four group criteria scored</t>
        </is>
      </c>
      <c r="B5" s="7">
        <f>COUNT(Groups!J3:J15)</f>
        <v/>
      </c>
    </row>
    <row r="6">
      <c r="A6" s="11" t="inlineStr">
        <is>
          <t>Scores above a maximum or below zero</t>
        </is>
      </c>
      <c r="B6" s="7">
        <f>COUNTIF(Groups!K3:K15,"above*")+COUNTIF('Mock R2'!N3:N41,"above*")+COUNTIF(GD!I3:I41,"above*")+COUNTIF('Mini project'!G3:G41,"above*")+COUNTIF('Mock R2'!N3:N41,"part B*")</f>
        <v/>
      </c>
    </row>
    <row r="7">
      <c r="A7" s="11" t="inlineStr">
        <is>
          <t>Group scores that break the demo rule</t>
        </is>
      </c>
      <c r="B7" s="7">
        <f>COUNTIF(Groups!K3:K15,"full marks*")</f>
        <v/>
      </c>
    </row>
    <row r="8">
      <c r="A8" s="11" t="inlineStr">
        <is>
          <t>Learner scores waiting for a demo in the reserve</t>
        </is>
      </c>
      <c r="B8" s="7">
        <f>COUNTIF('Mini project'!G3:G41,"score after*")</f>
        <v/>
      </c>
    </row>
    <row r="9">
      <c r="A9" s="11" t="inlineStr">
        <is>
          <t>Groups scored with no demo outcome or cold run recorded</t>
        </is>
      </c>
      <c r="B9" s="7">
        <f>COUNTIF(Groups!K3:K15,"record*")</f>
        <v/>
      </c>
    </row>
    <row r="10">
      <c r="A10" s="11" t="inlineStr">
        <is>
          <t>Learners needing a Friday retake booked</t>
        </is>
      </c>
      <c r="B10" s="7">
        <f>COUNTIF('Mock R2'!N3:N41,"book*")</f>
        <v/>
      </c>
    </row>
    <row r="11">
      <c r="A11" s="11" t="inlineStr">
        <is>
          <t>Rubric: mini project</t>
        </is>
      </c>
      <c r="B11" s="7">
        <f>Rubric!D19</f>
        <v/>
      </c>
    </row>
    <row r="12">
      <c r="A12" s="11" t="inlineStr">
        <is>
          <t>Rubric: Mock R2</t>
        </is>
      </c>
      <c r="B12" s="7">
        <f>Rubric!D21</f>
        <v/>
      </c>
    </row>
    <row r="13">
      <c r="A13" s="11" t="inlineStr">
        <is>
          <t>Rubric: GD</t>
        </is>
      </c>
      <c r="B13" s="7">
        <f>Rubric!D22</f>
        <v/>
      </c>
    </row>
    <row r="14">
      <c r="A14" s="12" t="inlineStr">
        <is>
          <t>Verdict</t>
        </is>
      </c>
      <c r="B14" s="13">
        <f>IF(B6&gt;0,B6&amp;" score(s) outside the rubric",IF(B7&gt;0,B7&amp;" score(s) break the demo rule",IF(B8&gt;0,B8&amp;" score(s) wait for a demo in the reserve",IF(B9&gt;0,B9&amp;" group(s) need a demo outcome or a cold run",IF(B10&gt;0,B10&amp;" learner(s) need a Friday retake booked",IF(B4=B3,"every learner in use is scored",B3-B4&amp;" learners still to score"))))))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2026-10-29T16:53:35Z</dcterms:created>
  <dcterms:modified xmlns:dcterms="http://purl.org/dc/terms/" xmlns:xsi="http://www.w3.org/2001/XMLSchema-instance" xsi:type="dcterms:W3CDTF">2026-10-29T16:53:35Z</dcterms:modified>
</cp:coreProperties>
</file>