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rders" sheetId="2" state="visible" r:id="rId2"/>
    <sheet xmlns:r="http://schemas.openxmlformats.org/officeDocument/2006/relationships" name="Pivot" sheetId="3" state="visible" r:id="rId3"/>
    <sheet xmlns:r="http://schemas.openxmlformats.org/officeDocument/2006/relationships" name="SUMIFS" sheetId="4" state="visible" r:id="rId4"/>
    <sheet xmlns:r="http://schemas.openxmlformats.org/officeDocument/2006/relationships" name="Check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color rgb="001A0F5C"/>
      <sz val="16"/>
    </font>
    <font>
      <name val="Arial"/>
      <i val="1"/>
      <color rgb="006B6690"/>
      <sz val="10"/>
    </font>
    <font>
      <name val="Arial"/>
      <b val="1"/>
      <color rgb="001A0F5C"/>
      <sz val="10"/>
    </font>
    <font>
      <name val="Arial"/>
      <color rgb="001A1440"/>
      <sz val="10"/>
    </font>
    <font>
      <name val="Arial"/>
      <b val="1"/>
      <color rgb="00FFFFFF"/>
      <sz val="10"/>
    </font>
  </fonts>
  <fills count="4">
    <fill>
      <patternFill/>
    </fill>
    <fill>
      <patternFill patternType="gray125"/>
    </fill>
    <fill>
      <patternFill patternType="solid">
        <fgColor rgb="001A0F5C"/>
      </patternFill>
    </fill>
    <fill>
      <patternFill patternType="solid">
        <fgColor rgb="00FFF4C2"/>
      </patternFill>
    </fill>
  </fills>
  <borders count="2">
    <border>
      <left/>
      <right/>
      <top/>
      <bottom/>
      <diagonal/>
    </border>
    <border>
      <left style="thin">
        <color rgb="00CFC9EE"/>
      </left>
      <right style="thin">
        <color rgb="00CFC9EE"/>
      </right>
      <top style="thin">
        <color rgb="00CFC9EE"/>
      </top>
      <bottom style="thin">
        <color rgb="00CFC9E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4" fillId="0" borderId="0" applyAlignment="1" pivotButton="0" quotePrefix="0" xfId="0">
      <alignment horizontal="center" vertical="top"/>
    </xf>
    <xf numFmtId="0" fontId="3" fillId="0" borderId="0" pivotButton="0" quotePrefix="0" xfId="0"/>
    <xf numFmtId="0" fontId="2" fillId="0" borderId="0" applyAlignment="1" pivotButton="0" quotePrefix="0" xfId="0">
      <alignment vertical="top" wrapText="1"/>
    </xf>
    <xf numFmtId="0" fontId="4" fillId="0" borderId="0" pivotButton="0" quotePrefix="0" xfId="0"/>
    <xf numFmtId="3" fontId="4" fillId="0" borderId="0" pivotButton="0" quotePrefix="0" xfId="0"/>
    <xf numFmtId="3" fontId="4" fillId="3" borderId="1" pivotButton="0" quotePrefix="0" xfId="0"/>
    <xf numFmtId="0" fontId="4" fillId="0" borderId="0" applyAlignment="1" pivotButton="0" quotePrefix="0" xfId="0">
      <alignment indent="1"/>
    </xf>
    <xf numFmtId="0" fontId="3" fillId="0"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rders" displayName="Orders" ref="A1:D11" headerRowCount="1">
  <autoFilter ref="A1:D11"/>
  <tableColumns count="4">
    <tableColumn id="1" name="order_id"/>
    <tableColumn id="2" name="tier"/>
    <tableColumn id="3" name="amount"/>
    <tableColumn id="4"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E23"/>
  <sheetViews>
    <sheetView workbookViewId="0">
      <pane ySplit="8" topLeftCell="A9" activePane="bottomLeft" state="frozen"/>
      <selection pane="bottomLeft" activeCell="A1" sqref="A1"/>
    </sheetView>
  </sheetViews>
  <sheetFormatPr baseColWidth="8" defaultRowHeight="15"/>
  <cols>
    <col width="6" customWidth="1" min="1" max="1"/>
    <col width="16" customWidth="1" min="2" max="2"/>
    <col width="52" customWidth="1" min="3" max="3"/>
    <col width="24" customWidth="1" min="4" max="4"/>
    <col width="44" customWidth="1" min="5" max="5"/>
  </cols>
  <sheetData>
    <row r="1">
      <c r="A1" s="1" t="inlineStr">
        <is>
          <t>Chapter 7 hands-on: the pivot that agrees with your notebook</t>
        </is>
      </c>
    </row>
    <row r="2">
      <c r="A2" s="2" t="inlineStr">
        <is>
          <t>Week 0 foundations guide, Chapter 7. Guided workbook, 45 minutes.</t>
        </is>
      </c>
    </row>
    <row r="3" ht="16" customHeight="1">
      <c r="A3" s="3" t="inlineStr">
        <is>
          <t>Meera's question: "Revenue fell from Q1 to Q2, where did it go?"</t>
        </is>
      </c>
    </row>
    <row r="4" ht="48" customHeight="1">
      <c r="A4" s="4" t="inlineStr">
        <is>
          <t>The chapter's moment is the Build 1 presentation in Week 3, when a panel member opens the group's numbers in a spreadsheet and asks why the pivot disagrees with the notebook. It should not, and this workbook is how you make sure: mini project 1's rows go into a Table, a PivotTable and a SUMIFS rebuild the revenue by tier, and the Checks sheet compares both with the totals the notebook printed.</t>
        </is>
      </c>
    </row>
    <row r="5" ht="20" customHeight="1">
      <c r="A5" s="4" t="inlineStr">
        <is>
          <t>Yellow cells are yours to fill. Every other cell is text or a formula that computes, and nothing in the workbook uses a macro.</t>
        </is>
      </c>
    </row>
    <row r="6" ht="62" customHeight="1">
      <c r="A6" s="4" t="inlineStr">
        <is>
          <t>The ten rows on the Orders sheet are the practice rows of the Chapter 1 guided exercise, constructed to mini project 1's spec: ten rows, three bad amounts and one cancelled order, none of them Kalpa's data. The notebook totals on the Checks sheet are what mini project 1's loop prints for them, Plus Rs 3,350 and Basic Rs 2,150, and the Chapter 6 pandas chain reaches the same two totals. To use your own, paste your ten rows into the Orders table and type your notebook's totals into the yellow cells on the Checks sheet.</t>
        </is>
      </c>
    </row>
    <row r="8">
      <c r="A8" s="5" t="inlineStr">
        <is>
          <t>Step</t>
        </is>
      </c>
      <c r="B8" s="5" t="inlineStr">
        <is>
          <t>Sheet</t>
        </is>
      </c>
      <c r="C8" s="5" t="inlineStr">
        <is>
          <t>What to do</t>
        </is>
      </c>
      <c r="D8" s="5" t="inlineStr">
        <is>
          <t>Minutes</t>
        </is>
      </c>
      <c r="E8" s="5" t="inlineStr">
        <is>
          <t>You are done when</t>
        </is>
      </c>
    </row>
    <row r="9" ht="58" customHeight="1">
      <c r="A9" s="3" t="n">
        <v>1</v>
      </c>
      <c r="B9" s="3" t="inlineStr">
        <is>
          <t>Read me</t>
        </is>
      </c>
      <c r="C9" s="4" t="inlineStr">
        <is>
          <t>Redraw the chapter's picture on paper from memory: the four questions from Meera's table and how SQL, pandas and Excel each spell them. Then compare your drawing with Figure 27 below.</t>
        </is>
      </c>
      <c r="D9" s="6" t="n">
        <v>4</v>
      </c>
      <c r="E9" s="4" t="inlineStr">
        <is>
          <t>your drawing has the four rows, with the PivotTable and SUMIFS in the Excel column.</t>
        </is>
      </c>
    </row>
    <row r="10" ht="58" customHeight="1">
      <c r="A10" s="3" t="n">
        <v>2</v>
      </c>
      <c r="B10" s="3" t="inlineStr">
        <is>
          <t>Orders</t>
        </is>
      </c>
      <c r="C10" s="4" t="inlineStr">
        <is>
          <t>Read the Table: which rows the notebook rejected, which order is cancelled, and which amounts are text. Then predict the Plus total the PivotTable will show and type it in the yellow prediction cell on the Pivot sheet.</t>
        </is>
      </c>
      <c r="D10" s="6" t="n">
        <v>4</v>
      </c>
      <c r="E10" s="4" t="inlineStr">
        <is>
          <t>your prediction is typed, before any pivot exists.</t>
        </is>
      </c>
    </row>
    <row r="11" ht="58" customHeight="1">
      <c r="A11" s="3" t="n">
        <v>3</v>
      </c>
      <c r="B11" s="3" t="inlineStr">
        <is>
          <t>Pivot</t>
        </is>
      </c>
      <c r="C11" s="4" t="inlineStr">
        <is>
          <t>Build the PivotTable by hand in the space the Pivot sheet sets aside, with tier in Rows, amount in Values and status in Filters set to paid, then type its two tier totals into the yellow cells.</t>
        </is>
      </c>
      <c r="D11" s="6" t="n">
        <v>10</v>
      </c>
      <c r="E11" s="4" t="inlineStr">
        <is>
          <t>both readings are typed and the Checks sheet reads matches beside each.</t>
        </is>
      </c>
    </row>
    <row r="12" ht="58" customHeight="1">
      <c r="A12" s="3" t="n">
        <v>4</v>
      </c>
      <c r="B12" s="3" t="inlineStr">
        <is>
          <t>SUMIFS</t>
        </is>
      </c>
      <c r="C12" s="4" t="inlineStr">
        <is>
          <t>Write the SUMIFS for Plus in the yellow cell, over whole columns like the two worked examples above it.</t>
        </is>
      </c>
      <c r="D12" s="6" t="n">
        <v>6</v>
      </c>
      <c r="E12" s="4" t="inlineStr">
        <is>
          <t>the Checks sheet reads matches beside SUMIFS, Plus.</t>
        </is>
      </c>
    </row>
    <row r="13" ht="58" customHeight="1">
      <c r="A13" s="3" t="n">
        <v>5</v>
      </c>
      <c r="B13" s="3" t="inlineStr">
        <is>
          <t>SUMIFS</t>
        </is>
      </c>
      <c r="C13" s="4" t="inlineStr">
        <is>
          <t>Trace the Plus SUMIFS by hand: for each of the ten rows, write what it adds, and 0 where it adds nothing. Do this before you open the Checks sheet.</t>
        </is>
      </c>
      <c r="D13" s="6" t="n">
        <v>7</v>
      </c>
      <c r="E13" s="4" t="inlineStr">
        <is>
          <t>the Checks sheet reads matches beside your trace.</t>
        </is>
      </c>
    </row>
    <row r="14" ht="58" customHeight="1">
      <c r="A14" s="3" t="n">
        <v>6</v>
      </c>
      <c r="B14" s="3" t="inlineStr">
        <is>
          <t>SUMIFS</t>
        </is>
      </c>
      <c r="C14" s="4" t="inlineStr">
        <is>
          <t>Break it on purpose: type the formula written over rows 2 to 10, the range that stops one row short, and read its verdict on the Checks sheet. Then read the fix under it.</t>
        </is>
      </c>
      <c r="D14" s="6" t="n">
        <v>7</v>
      </c>
      <c r="E14" s="4" t="inlineStr">
        <is>
          <t>you can say which order the short range misses and by how many rupees.</t>
        </is>
      </c>
    </row>
    <row r="15" ht="58" customHeight="1">
      <c r="A15" s="3" t="n">
        <v>7</v>
      </c>
      <c r="B15" s="3" t="inlineStr">
        <is>
          <t>Checks</t>
        </is>
      </c>
      <c r="C15" s="4" t="inlineStr">
        <is>
          <t>Read every verdict from the top, and the sentence at the bottom, which is the one Meera hears once everything agrees.</t>
        </is>
      </c>
      <c r="D15" s="6" t="n">
        <v>4</v>
      </c>
      <c r="E15" s="4" t="inlineStr">
        <is>
          <t>the sentence begins with Plus paid revenue.</t>
        </is>
      </c>
    </row>
    <row r="16" ht="58" customHeight="1">
      <c r="A16" s="3" t="n">
        <v>8</v>
      </c>
      <c r="B16" s="3" t="inlineStr">
        <is>
          <t>Your repository</t>
        </is>
      </c>
      <c r="C16" s="4" t="inlineStr">
        <is>
          <t>Take a screenshot of the PivotTable and put it in the w00-diagnostic-pandas README beside the pandas result, as the chapter asks.</t>
        </is>
      </c>
      <c r="D16" s="6" t="n">
        <v>3</v>
      </c>
      <c r="E16" s="4" t="inlineStr">
        <is>
          <t>the README shows the pivot and the pandas totals side by side.</t>
        </is>
      </c>
    </row>
    <row r="18">
      <c r="A18" s="7" t="inlineStr">
        <is>
          <t>Figure 27, to compare with your drawing: one question, three tools, and the operation is the same; only the spelling changes.</t>
        </is>
      </c>
    </row>
    <row r="19">
      <c r="A19" s="5" t="inlineStr"/>
      <c r="B19" s="5" t="inlineStr">
        <is>
          <t>Question</t>
        </is>
      </c>
      <c r="C19" s="5" t="inlineStr">
        <is>
          <t>SQL</t>
        </is>
      </c>
      <c r="D19" s="5" t="inlineStr">
        <is>
          <t>pandas</t>
        </is>
      </c>
      <c r="E19" s="5" t="inlineStr">
        <is>
          <t>Excel</t>
        </is>
      </c>
    </row>
    <row r="20" ht="28" customHeight="1">
      <c r="B20" s="4" t="inlineStr">
        <is>
          <t>Revenue per tier</t>
        </is>
      </c>
      <c r="C20" s="4" t="inlineStr">
        <is>
          <t>GROUP BY tier</t>
        </is>
      </c>
      <c r="D20" s="4" t="inlineStr">
        <is>
          <t>groupby('tier').sum()</t>
        </is>
      </c>
      <c r="E20" s="4" t="inlineStr">
        <is>
          <t>PivotTable, or SUMIFS</t>
        </is>
      </c>
    </row>
    <row r="21" ht="28" customHeight="1">
      <c r="B21" s="4" t="inlineStr">
        <is>
          <t>Paid orders only</t>
        </is>
      </c>
      <c r="C21" s="4" t="inlineStr">
        <is>
          <t>WHERE status='paid'</t>
        </is>
      </c>
      <c r="D21" s="4" t="inlineStr">
        <is>
          <t>df[df.status=='paid']</t>
        </is>
      </c>
      <c r="E21" s="4" t="inlineStr">
        <is>
          <t>filter, or SUMIFS criteria</t>
        </is>
      </c>
    </row>
    <row r="22" ht="28" customHeight="1">
      <c r="B22" s="4" t="inlineStr">
        <is>
          <t>Latest call per ticket</t>
        </is>
      </c>
      <c r="C22" s="4" t="inlineStr">
        <is>
          <t>ROW_NUMBER() OVER</t>
        </is>
      </c>
      <c r="D22" s="4" t="inlineStr">
        <is>
          <t>sort + drop_duplicates</t>
        </is>
      </c>
      <c r="E22" s="4" t="inlineStr">
        <is>
          <t>sort, then remove duplicates</t>
        </is>
      </c>
    </row>
    <row r="23" ht="28" customHeight="1">
      <c r="B23" s="4" t="inlineStr">
        <is>
          <t>Attach city to orders</t>
        </is>
      </c>
      <c r="C23" s="4" t="inlineStr">
        <is>
          <t>JOIN customers</t>
        </is>
      </c>
      <c r="D23" s="4" t="inlineStr">
        <is>
          <t>merge(customers)</t>
        </is>
      </c>
      <c r="E23" s="4" t="inlineStr">
        <is>
          <t>INDEX and MATCH, or XLOOKUP</t>
        </is>
      </c>
    </row>
  </sheetData>
  <mergeCells count="5">
    <mergeCell ref="A4:E4"/>
    <mergeCell ref="A5:E5"/>
    <mergeCell ref="A6:E6"/>
    <mergeCell ref="A18:E18"/>
    <mergeCell ref="A3:E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3" customWidth="1" min="5" max="5"/>
    <col width="72" customWidth="1" min="6" max="6"/>
  </cols>
  <sheetData>
    <row r="1" ht="28" customHeight="1">
      <c r="A1" s="7" t="inlineStr">
        <is>
          <t>order_id</t>
        </is>
      </c>
      <c r="B1" s="7" t="inlineStr">
        <is>
          <t>tier</t>
        </is>
      </c>
      <c r="C1" s="7" t="inlineStr">
        <is>
          <t>amount</t>
        </is>
      </c>
      <c r="D1" s="7" t="inlineStr">
        <is>
          <t>status</t>
        </is>
      </c>
      <c r="F1" s="8" t="inlineStr">
        <is>
          <t>Mini project 1's ten practice rows from the Chapter 1 guided exercise: three bad amounts and one cancelled order.</t>
        </is>
      </c>
    </row>
    <row r="2" ht="28" customHeight="1">
      <c r="A2" s="9" t="inlineStr">
        <is>
          <t>K-101</t>
        </is>
      </c>
      <c r="B2" s="9" t="inlineStr">
        <is>
          <t>Plus</t>
        </is>
      </c>
      <c r="C2" s="10" t="n">
        <v>1200</v>
      </c>
      <c r="D2" s="9" t="inlineStr">
        <is>
          <t>paid</t>
        </is>
      </c>
      <c r="F2" s="8" t="inlineStr">
        <is>
          <t>The amounts arrive as numbers except the three the notebook rejected: K-103's is the text n/a, K-107's is blank, and K-109's is the text Rs 900, which a person reads easily and SUMIFS skips.</t>
        </is>
      </c>
    </row>
    <row r="3" ht="28" customHeight="1">
      <c r="A3" s="9" t="inlineStr">
        <is>
          <t>K-102</t>
        </is>
      </c>
      <c r="B3" s="9" t="inlineStr">
        <is>
          <t>Basic</t>
        </is>
      </c>
      <c r="C3" s="10" t="n">
        <v>950</v>
      </c>
      <c r="D3" s="9" t="inlineStr">
        <is>
          <t>paid</t>
        </is>
      </c>
      <c r="F3" s="8" t="inlineStr">
        <is>
          <t>K-105 is cancelled, so every paid-only total leaves it out.</t>
        </is>
      </c>
    </row>
    <row r="4" ht="28" customHeight="1">
      <c r="A4" s="9" t="inlineStr">
        <is>
          <t>K-103</t>
        </is>
      </c>
      <c r="B4" s="9" t="inlineStr">
        <is>
          <t>Plus</t>
        </is>
      </c>
      <c r="C4" s="10" t="inlineStr">
        <is>
          <t>n/a</t>
        </is>
      </c>
      <c r="D4" s="9" t="inlineStr">
        <is>
          <t>paid</t>
        </is>
      </c>
      <c r="F4" s="8" t="inlineStr">
        <is>
          <t>To use your own rows, paste them inside this Table, which grows to take them.</t>
        </is>
      </c>
    </row>
    <row r="5">
      <c r="A5" s="9" t="inlineStr">
        <is>
          <t>K-104</t>
        </is>
      </c>
      <c r="B5" s="9" t="inlineStr">
        <is>
          <t>Basic</t>
        </is>
      </c>
      <c r="C5" s="10" t="n">
        <v>300</v>
      </c>
      <c r="D5" s="9" t="inlineStr">
        <is>
          <t>paid</t>
        </is>
      </c>
    </row>
    <row r="6">
      <c r="A6" s="9" t="inlineStr">
        <is>
          <t>K-105</t>
        </is>
      </c>
      <c r="B6" s="9" t="inlineStr">
        <is>
          <t>Plus</t>
        </is>
      </c>
      <c r="C6" s="10" t="n">
        <v>800</v>
      </c>
      <c r="D6" s="9" t="inlineStr">
        <is>
          <t>cancelled</t>
        </is>
      </c>
    </row>
    <row r="7">
      <c r="A7" s="9" t="inlineStr">
        <is>
          <t>K-106</t>
        </is>
      </c>
      <c r="B7" s="9" t="inlineStr">
        <is>
          <t>Basic</t>
        </is>
      </c>
      <c r="C7" s="10" t="n">
        <v>900</v>
      </c>
      <c r="D7" s="9" t="inlineStr">
        <is>
          <t>paid</t>
        </is>
      </c>
    </row>
    <row r="8">
      <c r="A8" s="9" t="inlineStr">
        <is>
          <t>K-107</t>
        </is>
      </c>
      <c r="B8" s="9" t="inlineStr">
        <is>
          <t>Plus</t>
        </is>
      </c>
      <c r="C8" s="10" t="n"/>
      <c r="D8" s="9" t="inlineStr">
        <is>
          <t>paid</t>
        </is>
      </c>
    </row>
    <row r="9">
      <c r="A9" s="9" t="inlineStr">
        <is>
          <t>K-108</t>
        </is>
      </c>
      <c r="B9" s="9" t="inlineStr">
        <is>
          <t>Plus</t>
        </is>
      </c>
      <c r="C9" s="10" t="n">
        <v>1200</v>
      </c>
      <c r="D9" s="9" t="inlineStr">
        <is>
          <t>paid</t>
        </is>
      </c>
    </row>
    <row r="10">
      <c r="A10" s="9" t="inlineStr">
        <is>
          <t>K-109</t>
        </is>
      </c>
      <c r="B10" s="9" t="inlineStr">
        <is>
          <t>Basic</t>
        </is>
      </c>
      <c r="C10" s="10" t="inlineStr">
        <is>
          <t>Rs 900</t>
        </is>
      </c>
      <c r="D10" s="9" t="inlineStr">
        <is>
          <t>paid</t>
        </is>
      </c>
    </row>
    <row r="11">
      <c r="A11" s="9" t="inlineStr">
        <is>
          <t>K-110</t>
        </is>
      </c>
      <c r="B11" s="9" t="inlineStr">
        <is>
          <t>Plus</t>
        </is>
      </c>
      <c r="C11" s="10" t="n">
        <v>950</v>
      </c>
      <c r="D11" s="9" t="inlineStr">
        <is>
          <t>paid</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15"/>
  <sheetViews>
    <sheetView workbookViewId="0">
      <selection activeCell="A1" sqref="A1"/>
    </sheetView>
  </sheetViews>
  <sheetFormatPr baseColWidth="8" defaultRowHeight="15"/>
  <cols>
    <col width="64" customWidth="1" min="1" max="1"/>
    <col width="14" customWidth="1" min="2" max="2"/>
    <col width="3" customWidth="1" min="3" max="3"/>
    <col width="3" customWidth="1" min="4" max="4"/>
    <col width="16" customWidth="1" min="5" max="5"/>
    <col width="16" customWidth="1" min="6" max="6"/>
  </cols>
  <sheetData>
    <row r="1">
      <c r="A1" s="1" t="inlineStr">
        <is>
          <t>Build the PivotTable by hand</t>
        </is>
      </c>
    </row>
    <row r="2">
      <c r="A2" s="2" t="inlineStr">
        <is>
          <t>A PivotTable is GROUP BY for people who will never see your code.</t>
        </is>
      </c>
    </row>
    <row r="4" ht="18" customHeight="1">
      <c r="A4" s="4" t="inlineStr">
        <is>
          <t>1. Click any cell inside the Orders table on the Orders sheet.</t>
        </is>
      </c>
    </row>
    <row r="5" ht="32" customHeight="1">
      <c r="A5" s="4" t="inlineStr">
        <is>
          <t>2. Insert, then PivotTable; choose Existing worksheet and click cell E13 on this sheet.</t>
        </is>
      </c>
    </row>
    <row r="6" ht="32" customHeight="1">
      <c r="A6" s="4" t="inlineStr">
        <is>
          <t>3. Tick tier into Rows and amount into Values, and drag status into Filters.</t>
        </is>
      </c>
    </row>
    <row r="7" ht="18" customHeight="1">
      <c r="A7" s="4" t="inlineStr">
        <is>
          <t>4. Set the status filter to paid.</t>
        </is>
      </c>
    </row>
    <row r="8" ht="46" customHeight="1">
      <c r="A8" s="4" t="inlineStr">
        <is>
          <t>5. If Values shows Count of amount, open its Value Field Settings and choose Sum; a column that holds text or blanks can make Count the default.</t>
        </is>
      </c>
    </row>
    <row r="9" ht="32" customHeight="1">
      <c r="A9" s="4" t="inlineStr">
        <is>
          <t>6. Read the two tier totals and type them into the yellow cells below.</t>
        </is>
      </c>
    </row>
    <row r="11">
      <c r="A11" s="3" t="inlineStr">
        <is>
          <t>Before you build it: the Plus total you predict the PivotTable will show</t>
        </is>
      </c>
      <c r="B11" s="11" t="n"/>
      <c r="E11" s="2" t="inlineStr">
        <is>
          <t>Your PivotTable goes here, with its top-left corner in E13.</t>
        </is>
      </c>
    </row>
    <row r="13">
      <c r="A13" s="5" t="inlineStr">
        <is>
          <t>Read your PivotTable: the total it shows</t>
        </is>
      </c>
      <c r="B13" s="5" t="inlineStr">
        <is>
          <t>Sum of amount</t>
        </is>
      </c>
    </row>
    <row r="14">
      <c r="A14" s="9" t="inlineStr">
        <is>
          <t>Plus</t>
        </is>
      </c>
      <c r="B14" s="11" t="n"/>
    </row>
    <row r="15">
      <c r="A15" s="9" t="inlineStr">
        <is>
          <t>Basic</t>
        </is>
      </c>
      <c r="B15" s="1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28"/>
  <sheetViews>
    <sheetView workbookViewId="0">
      <selection activeCell="A1" sqref="A1"/>
    </sheetView>
  </sheetViews>
  <sheetFormatPr baseColWidth="8" defaultRowHeight="15"/>
  <cols>
    <col width="44" customWidth="1" min="1" max="1"/>
    <col width="14" customWidth="1" min="2" max="2"/>
    <col width="12" customWidth="1" min="3" max="3"/>
    <col width="13" customWidth="1" min="4" max="4"/>
    <col width="22" customWidth="1" min="5" max="5"/>
  </cols>
  <sheetData>
    <row r="1">
      <c r="A1" s="1" t="inlineStr">
        <is>
          <t>SUMIFS: one cell you can point at</t>
        </is>
      </c>
    </row>
    <row r="2">
      <c r="A2" s="2" t="inlineStr">
        <is>
          <t>SUMIFS takes the range to add first, then pairs of a criteria range and its criteria; use SUMIFS everywhere, even for one criterion, so the order never changes.</t>
        </is>
      </c>
    </row>
    <row r="4">
      <c r="A4" s="5" t="inlineStr">
        <is>
          <t>What it adds</t>
        </is>
      </c>
      <c r="B4" s="5" t="inlineStr">
        <is>
          <t>Result</t>
        </is>
      </c>
    </row>
    <row r="5">
      <c r="A5" s="9" t="inlineStr">
        <is>
          <t>All tiers, paid (a worked example)</t>
        </is>
      </c>
      <c r="B5" s="10">
        <f>SUMIFS(Orders!C:C,Orders!D:D,"paid")</f>
        <v/>
      </c>
    </row>
    <row r="6">
      <c r="A6" s="9" t="inlineStr">
        <is>
          <t>Basic, paid (a worked example)</t>
        </is>
      </c>
      <c r="B6" s="10">
        <f>SUMIFS(Orders!C:C,Orders!B:B,"Basic",Orders!D:D,"paid")</f>
        <v/>
      </c>
    </row>
    <row r="7">
      <c r="A7" s="7" t="inlineStr">
        <is>
          <t>Plus, paid (yours to write)</t>
        </is>
      </c>
      <c r="B7" s="11" t="n"/>
    </row>
    <row r="8" ht="42" customHeight="1">
      <c r="A8" s="8" t="inlineStr">
        <is>
          <t>Click B5 or B6 to read how the worked examples are written. Write B7 the same way, over whole columns: the amount column to add, then the tier column with "Plus", then the status column with "paid". The chapter writes the same formula with the Table's column names, which grow with the Table in the same way.</t>
        </is>
      </c>
    </row>
    <row r="10">
      <c r="A10" s="7" t="inlineStr">
        <is>
          <t>Trace the Plus SUMIFS by hand, before you open the Checks sheet</t>
        </is>
      </c>
    </row>
    <row r="11" ht="28" customHeight="1">
      <c r="A11" s="8" t="inlineStr">
        <is>
          <t>For each row, write what the Plus SUMIFS adds from it: the amount when the tier is Plus, the status is paid and the amount is a number, and 0 otherwise.</t>
        </is>
      </c>
    </row>
    <row r="12">
      <c r="A12" s="5" t="inlineStr">
        <is>
          <t>order_id</t>
        </is>
      </c>
      <c r="B12" s="5" t="inlineStr">
        <is>
          <t>tier</t>
        </is>
      </c>
      <c r="C12" s="5" t="inlineStr">
        <is>
          <t>amount</t>
        </is>
      </c>
      <c r="D12" s="5" t="inlineStr">
        <is>
          <t>status</t>
        </is>
      </c>
      <c r="E12" s="5" t="inlineStr">
        <is>
          <t>what the Plus SUMIFS adds</t>
        </is>
      </c>
    </row>
    <row r="13">
      <c r="A13" s="9">
        <f>Orders!A2</f>
        <v/>
      </c>
      <c r="B13" s="9">
        <f>Orders!B2</f>
        <v/>
      </c>
      <c r="C13" s="10">
        <f>IF(Orders!C2="","",Orders!C2)</f>
        <v/>
      </c>
      <c r="D13" s="12">
        <f>Orders!D2</f>
        <v/>
      </c>
      <c r="E13" s="11" t="n"/>
    </row>
    <row r="14">
      <c r="A14" s="9">
        <f>Orders!A3</f>
        <v/>
      </c>
      <c r="B14" s="9">
        <f>Orders!B3</f>
        <v/>
      </c>
      <c r="C14" s="10">
        <f>IF(Orders!C3="","",Orders!C3)</f>
        <v/>
      </c>
      <c r="D14" s="12">
        <f>Orders!D3</f>
        <v/>
      </c>
      <c r="E14" s="11" t="n"/>
    </row>
    <row r="15">
      <c r="A15" s="9">
        <f>Orders!A4</f>
        <v/>
      </c>
      <c r="B15" s="9">
        <f>Orders!B4</f>
        <v/>
      </c>
      <c r="C15" s="10">
        <f>IF(Orders!C4="","",Orders!C4)</f>
        <v/>
      </c>
      <c r="D15" s="12">
        <f>Orders!D4</f>
        <v/>
      </c>
      <c r="E15" s="11" t="n"/>
    </row>
    <row r="16">
      <c r="A16" s="9">
        <f>Orders!A5</f>
        <v/>
      </c>
      <c r="B16" s="9">
        <f>Orders!B5</f>
        <v/>
      </c>
      <c r="C16" s="10">
        <f>IF(Orders!C5="","",Orders!C5)</f>
        <v/>
      </c>
      <c r="D16" s="12">
        <f>Orders!D5</f>
        <v/>
      </c>
      <c r="E16" s="11" t="n"/>
    </row>
    <row r="17">
      <c r="A17" s="9">
        <f>Orders!A6</f>
        <v/>
      </c>
      <c r="B17" s="9">
        <f>Orders!B6</f>
        <v/>
      </c>
      <c r="C17" s="10">
        <f>IF(Orders!C6="","",Orders!C6)</f>
        <v/>
      </c>
      <c r="D17" s="12">
        <f>Orders!D6</f>
        <v/>
      </c>
      <c r="E17" s="11" t="n"/>
    </row>
    <row r="18">
      <c r="A18" s="9">
        <f>Orders!A7</f>
        <v/>
      </c>
      <c r="B18" s="9">
        <f>Orders!B7</f>
        <v/>
      </c>
      <c r="C18" s="10">
        <f>IF(Orders!C7="","",Orders!C7)</f>
        <v/>
      </c>
      <c r="D18" s="12">
        <f>Orders!D7</f>
        <v/>
      </c>
      <c r="E18" s="11" t="n"/>
    </row>
    <row r="19">
      <c r="A19" s="9">
        <f>Orders!A8</f>
        <v/>
      </c>
      <c r="B19" s="9">
        <f>Orders!B8</f>
        <v/>
      </c>
      <c r="C19" s="10">
        <f>IF(Orders!C8="","",Orders!C8)</f>
        <v/>
      </c>
      <c r="D19" s="12">
        <f>Orders!D8</f>
        <v/>
      </c>
      <c r="E19" s="11" t="n"/>
    </row>
    <row r="20">
      <c r="A20" s="9">
        <f>Orders!A9</f>
        <v/>
      </c>
      <c r="B20" s="9">
        <f>Orders!B9</f>
        <v/>
      </c>
      <c r="C20" s="10">
        <f>IF(Orders!C9="","",Orders!C9)</f>
        <v/>
      </c>
      <c r="D20" s="12">
        <f>Orders!D9</f>
        <v/>
      </c>
      <c r="E20" s="11" t="n"/>
    </row>
    <row r="21">
      <c r="A21" s="9">
        <f>Orders!A10</f>
        <v/>
      </c>
      <c r="B21" s="9">
        <f>Orders!B10</f>
        <v/>
      </c>
      <c r="C21" s="10">
        <f>IF(Orders!C10="","",Orders!C10)</f>
        <v/>
      </c>
      <c r="D21" s="12">
        <f>Orders!D10</f>
        <v/>
      </c>
      <c r="E21" s="11" t="n"/>
    </row>
    <row r="22">
      <c r="A22" s="9">
        <f>Orders!A11</f>
        <v/>
      </c>
      <c r="B22" s="9">
        <f>Orders!B11</f>
        <v/>
      </c>
      <c r="C22" s="10">
        <f>IF(Orders!C11="","",Orders!C11)</f>
        <v/>
      </c>
      <c r="D22" s="12">
        <f>Orders!D11</f>
        <v/>
      </c>
      <c r="E22" s="11" t="n"/>
    </row>
    <row r="25">
      <c r="A25" s="7" t="inlineStr">
        <is>
          <t>Break it on purpose: the range that stops one row short</t>
        </is>
      </c>
    </row>
    <row r="26" ht="44" customHeight="1">
      <c r="A26" s="8" t="inlineStr">
        <is>
          <t>The hurried version was written over the rows on screen when the sheet held nine orders, rows 2 to 10, and the tenth order was pasted in below them later. Type it into B27 exactly as it stands here, then read its verdict on the Checks sheet: =SUMIFS(Orders!C2:C10,Orders!B2:B10,"Plus",Orders!D2:D10,"paid")</t>
        </is>
      </c>
    </row>
    <row r="27">
      <c r="A27" s="7" t="inlineStr">
        <is>
          <t>Plus, paid, over rows 2 to 10 only</t>
        </is>
      </c>
      <c r="B27" s="11" t="n"/>
    </row>
    <row r="28" ht="30" customHeight="1">
      <c r="A28" s="8" t="inlineStr">
        <is>
          <t>The fix is the formula in B7. Whole columns take in every row the Table gains, so an order pasted in later can never fall outside the total, and a PivotTable built on the Table grows with it in the same way.</t>
        </is>
      </c>
    </row>
  </sheetData>
  <mergeCells count="4">
    <mergeCell ref="A11:E11"/>
    <mergeCell ref="A28:E28"/>
    <mergeCell ref="A26:E26"/>
    <mergeCell ref="A8:E8"/>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32"/>
  <sheetViews>
    <sheetView workbookViewId="0">
      <pane ySplit="9" topLeftCell="A10" activePane="bottomLeft" state="frozen"/>
      <selection pane="bottomLeft" activeCell="A1" sqref="A1"/>
    </sheetView>
  </sheetViews>
  <sheetFormatPr baseColWidth="8" defaultRowHeight="15"/>
  <cols>
    <col width="50" customWidth="1" min="1" max="1"/>
    <col width="16" customWidth="1" min="2" max="2"/>
    <col width="16" customWidth="1" min="3" max="3"/>
    <col width="52" customWidth="1" min="4" max="4"/>
  </cols>
  <sheetData>
    <row r="1">
      <c r="A1" s="1" t="inlineStr">
        <is>
          <t>Checks: does the sheet agree with the notebook?</t>
        </is>
      </c>
    </row>
    <row r="2" ht="28" customHeight="1">
      <c r="A2" s="8" t="inlineStr">
        <is>
          <t>Every verdict computes: it reads matches when the two numbers agree, names the gap when they do not, and says what to fill first while its input is empty.</t>
        </is>
      </c>
    </row>
    <row r="4">
      <c r="A4" s="5" t="inlineStr">
        <is>
          <t>The totals your notebook printed</t>
        </is>
      </c>
      <c r="B4" s="5" t="inlineStr">
        <is>
          <t>Rupees</t>
        </is>
      </c>
    </row>
    <row r="5">
      <c r="A5" s="9" t="inlineStr">
        <is>
          <t>Plus</t>
        </is>
      </c>
      <c r="B5" s="11" t="n">
        <v>3350</v>
      </c>
    </row>
    <row r="6">
      <c r="A6" s="9" t="inlineStr">
        <is>
          <t>Basic</t>
        </is>
      </c>
      <c r="B6" s="11" t="n">
        <v>2150</v>
      </c>
    </row>
    <row r="7">
      <c r="A7" s="9" t="inlineStr">
        <is>
          <t>All tiers, the sum of the two</t>
        </is>
      </c>
      <c r="B7" s="10">
        <f>SUM(B5:B6)</f>
        <v/>
      </c>
    </row>
    <row r="9">
      <c r="A9" s="5" t="inlineStr">
        <is>
          <t>Check</t>
        </is>
      </c>
      <c r="B9" s="5" t="inlineStr">
        <is>
          <t>In this workbook</t>
        </is>
      </c>
      <c r="C9" s="5" t="inlineStr">
        <is>
          <t>In the notebook</t>
        </is>
      </c>
      <c r="D9" s="5" t="inlineStr">
        <is>
          <t>Verdict</t>
        </is>
      </c>
    </row>
    <row r="10">
      <c r="A10" s="9" t="inlineStr">
        <is>
          <t>SUMIFS, all tiers, paid (worked example)</t>
        </is>
      </c>
      <c r="B10" s="10">
        <f>IF(SUMIFS!B5="","",SUMIFS!B5)</f>
        <v/>
      </c>
      <c r="C10" s="10">
        <f>B7</f>
        <v/>
      </c>
      <c r="D10" s="13">
        <f>IF(SUMIFS!B5="","the worked example on the SUMIFS sheet is empty",IF(ABS(SUMIFS!B5-B7)&lt;0.5,"matches","Rs "&amp;ABS(SUMIFS!B5-B7)&amp;IF(SUMIFS!B5&lt;B7," short of"," above")&amp;" the notebook's Rs "&amp;B7))</f>
        <v/>
      </c>
    </row>
    <row r="11">
      <c r="A11" s="9" t="inlineStr">
        <is>
          <t>SUMIFS, Basic, paid (worked example)</t>
        </is>
      </c>
      <c r="B11" s="10">
        <f>IF(SUMIFS!B6="","",SUMIFS!B6)</f>
        <v/>
      </c>
      <c r="C11" s="10">
        <f>B6</f>
        <v/>
      </c>
      <c r="D11" s="13">
        <f>IF(SUMIFS!B6="","the worked example on the SUMIFS sheet is empty",IF(ABS(SUMIFS!B6-B6)&lt;0.5,"matches","Rs "&amp;ABS(SUMIFS!B6-B6)&amp;IF(SUMIFS!B6&lt;B6," short of"," above")&amp;" the notebook's Rs "&amp;B6))</f>
        <v/>
      </c>
    </row>
    <row r="12">
      <c r="A12" s="9" t="inlineStr">
        <is>
          <t>SUMIFS, Plus, paid (yours)</t>
        </is>
      </c>
      <c r="B12" s="10">
        <f>IF(SUMIFS!B7="","",SUMIFS!B7)</f>
        <v/>
      </c>
      <c r="C12" s="10">
        <f>B5</f>
        <v/>
      </c>
      <c r="D12" s="13">
        <f>IF(SUMIFS!B7="","write the Plus SUMIFS in B7 on the SUMIFS sheet first",IF(ABS(SUMIFS!B7-B5)&lt;0.5,"matches","Rs "&amp;ABS(SUMIFS!B7-B5)&amp;IF(SUMIFS!B7&lt;B5," short of"," above")&amp;" the notebook's Rs "&amp;B5))</f>
        <v/>
      </c>
    </row>
    <row r="13">
      <c r="A13" s="9" t="inlineStr">
        <is>
          <t>PivotTable, Plus</t>
        </is>
      </c>
      <c r="B13" s="10">
        <f>IF(Pivot!B14="","",Pivot!B14)</f>
        <v/>
      </c>
      <c r="C13" s="10">
        <f>B5</f>
        <v/>
      </c>
      <c r="D13" s="13">
        <f>IF(Pivot!B14="","type the pivot's Plus total on the Pivot sheet first",IF(ABS(Pivot!B14-B5)&lt;0.5,"matches","Rs "&amp;ABS(Pivot!B14-B5)&amp;IF(Pivot!B14&lt;B5," short of"," above")&amp;" the notebook's Rs "&amp;B5))</f>
        <v/>
      </c>
    </row>
    <row r="14">
      <c r="A14" s="9" t="inlineStr">
        <is>
          <t>PivotTable, Basic</t>
        </is>
      </c>
      <c r="B14" s="10">
        <f>IF(Pivot!B15="","",Pivot!B15)</f>
        <v/>
      </c>
      <c r="C14" s="10">
        <f>B6</f>
        <v/>
      </c>
      <c r="D14" s="13">
        <f>IF(Pivot!B15="","type the pivot's Basic total on the Pivot sheet first",IF(ABS(Pivot!B15-B6)&lt;0.5,"matches","Rs "&amp;ABS(Pivot!B15-B6)&amp;IF(Pivot!B15&lt;B6," short of"," above")&amp;" the notebook's Rs "&amp;B6))</f>
        <v/>
      </c>
    </row>
    <row r="15">
      <c r="A15" s="9" t="inlineStr">
        <is>
          <t>Your prediction of the pivot's Plus total</t>
        </is>
      </c>
      <c r="B15" s="10">
        <f>IF(Pivot!B11="","",Pivot!B11)</f>
        <v/>
      </c>
      <c r="C15" s="10">
        <f>B5</f>
        <v/>
      </c>
      <c r="D15" s="13">
        <f>IF(Pivot!B11="","type your prediction on the Pivot sheet first",IF(ABS(Pivot!B11-B5)&lt;0.5,"matches","Rs "&amp;ABS(Pivot!B11-B5)&amp;IF(Pivot!B11&lt;B5," short of"," above")&amp;" the notebook's Rs "&amp;B5))</f>
        <v/>
      </c>
    </row>
    <row r="16">
      <c r="A16" s="9" t="inlineStr">
        <is>
          <t>Your trace of the Plus SUMIFS, rows that agree</t>
        </is>
      </c>
      <c r="B16" s="9">
        <f>COUNTIFS(D23:D32,"yes")</f>
        <v/>
      </c>
      <c r="C16" s="9" t="n">
        <v>10</v>
      </c>
      <c r="D16" s="13">
        <f>IF((COUNTIFS(D23:D32,"yes")+COUNTIFS(D23:D32,"no"))=0,"fill the trace on the SUMIFS sheet first",IF((COUNTIFS(D23:D32,"yes")+COUNTIFS(D23:D32,"no"))&lt;10,"fill all 10 rows of the trace first: "&amp;(COUNTIFS(D23:D32,"yes")+COUNTIFS(D23:D32,"no"))&amp;" are filled",IF(COUNTIFS(D23:D32,"yes")=10,"matches",(10-COUNTIFS(D23:D32,"yes"))&amp;" of 10 rows differ; the rows marked no below show where")))</f>
        <v/>
      </c>
    </row>
    <row r="17">
      <c r="A17" s="9" t="inlineStr">
        <is>
          <t>The range that stops one row short (break it on purpose)</t>
        </is>
      </c>
      <c r="B17" s="10">
        <f>IF(SUMIFS!B27="","",SUMIFS!B27)</f>
        <v/>
      </c>
      <c r="C17" s="10">
        <f>B5</f>
        <v/>
      </c>
      <c r="D17" s="13">
        <f>IF(SUMIFS!B27="","type the formula from the break-it block on the SUMIFS sheet first",IF(ABS(SUMIFS!B27-B5)&lt;0.5,"matches","Rs "&amp;ABS(SUMIFS!B27-B5)&amp;IF(SUMIFS!B27&lt;B5," short of"," above")&amp;" the notebook's Rs "&amp;B5))</f>
        <v/>
      </c>
    </row>
    <row r="19" ht="44" customHeight="1">
      <c r="A19" s="3" t="inlineStr">
        <is>
          <t>The sentence Meera hears</t>
        </is>
      </c>
      <c r="B19" s="3">
        <f>IF(COUNTIFS(D10:D14,"matches")+IF(D16="matches",1,0)=6,"Plus paid revenue is Rs "&amp;B5&amp;" in the SUMIFS, the PivotTable and the notebook alike, and every tier agrees the same way, so the number Meera hears can be rebuilt in a sheet where she can see it.","Not ready to say to Meera: "&amp;(6-(COUNTIFS(D10:D14,"matches")+IF(D16="matches",1,0)))&amp;" of the six agreement checks above still differ or wait for you.")</f>
        <v/>
      </c>
    </row>
    <row r="21">
      <c r="A21" s="7" t="inlineStr">
        <is>
          <t>Your trace, row by row, against what the Plus SUMIFS adds from each row; a row shows once you have written yours</t>
        </is>
      </c>
    </row>
    <row r="22">
      <c r="A22" s="5" t="inlineStr">
        <is>
          <t>order_id</t>
        </is>
      </c>
      <c r="B22" s="5" t="inlineStr">
        <is>
          <t>the Plus SUMIFS adds</t>
        </is>
      </c>
      <c r="C22" s="5" t="inlineStr">
        <is>
          <t>you wrote</t>
        </is>
      </c>
      <c r="D22" s="5" t="inlineStr">
        <is>
          <t>agree</t>
        </is>
      </c>
    </row>
    <row r="23">
      <c r="A23" s="9">
        <f>Orders!A2</f>
        <v/>
      </c>
      <c r="B23" s="10">
        <f>IF(SUMIFS!E13="","",SUMIFS(Orders!C2,Orders!B2,"Plus",Orders!D2,"paid"))</f>
        <v/>
      </c>
      <c r="C23" s="10">
        <f>IF(SUMIFS!E13="","",SUMIFS!E13)</f>
        <v/>
      </c>
      <c r="D23" s="9">
        <f>IF(SUMIFS!E13="","",IF(ABS(SUMIFS!E13-B23)&lt;0.5,"yes","no"))</f>
        <v/>
      </c>
    </row>
    <row r="24">
      <c r="A24" s="9">
        <f>Orders!A3</f>
        <v/>
      </c>
      <c r="B24" s="10">
        <f>IF(SUMIFS!E14="","",SUMIFS(Orders!C3,Orders!B3,"Plus",Orders!D3,"paid"))</f>
        <v/>
      </c>
      <c r="C24" s="10">
        <f>IF(SUMIFS!E14="","",SUMIFS!E14)</f>
        <v/>
      </c>
      <c r="D24" s="9">
        <f>IF(SUMIFS!E14="","",IF(ABS(SUMIFS!E14-B24)&lt;0.5,"yes","no"))</f>
        <v/>
      </c>
    </row>
    <row r="25">
      <c r="A25" s="9">
        <f>Orders!A4</f>
        <v/>
      </c>
      <c r="B25" s="10">
        <f>IF(SUMIFS!E15="","",SUMIFS(Orders!C4,Orders!B4,"Plus",Orders!D4,"paid"))</f>
        <v/>
      </c>
      <c r="C25" s="10">
        <f>IF(SUMIFS!E15="","",SUMIFS!E15)</f>
        <v/>
      </c>
      <c r="D25" s="9">
        <f>IF(SUMIFS!E15="","",IF(ABS(SUMIFS!E15-B25)&lt;0.5,"yes","no"))</f>
        <v/>
      </c>
    </row>
    <row r="26">
      <c r="A26" s="9">
        <f>Orders!A5</f>
        <v/>
      </c>
      <c r="B26" s="10">
        <f>IF(SUMIFS!E16="","",SUMIFS(Orders!C5,Orders!B5,"Plus",Orders!D5,"paid"))</f>
        <v/>
      </c>
      <c r="C26" s="10">
        <f>IF(SUMIFS!E16="","",SUMIFS!E16)</f>
        <v/>
      </c>
      <c r="D26" s="9">
        <f>IF(SUMIFS!E16="","",IF(ABS(SUMIFS!E16-B26)&lt;0.5,"yes","no"))</f>
        <v/>
      </c>
    </row>
    <row r="27">
      <c r="A27" s="9">
        <f>Orders!A6</f>
        <v/>
      </c>
      <c r="B27" s="10">
        <f>IF(SUMIFS!E17="","",SUMIFS(Orders!C6,Orders!B6,"Plus",Orders!D6,"paid"))</f>
        <v/>
      </c>
      <c r="C27" s="10">
        <f>IF(SUMIFS!E17="","",SUMIFS!E17)</f>
        <v/>
      </c>
      <c r="D27" s="9">
        <f>IF(SUMIFS!E17="","",IF(ABS(SUMIFS!E17-B27)&lt;0.5,"yes","no"))</f>
        <v/>
      </c>
    </row>
    <row r="28">
      <c r="A28" s="9">
        <f>Orders!A7</f>
        <v/>
      </c>
      <c r="B28" s="10">
        <f>IF(SUMIFS!E18="","",SUMIFS(Orders!C7,Orders!B7,"Plus",Orders!D7,"paid"))</f>
        <v/>
      </c>
      <c r="C28" s="10">
        <f>IF(SUMIFS!E18="","",SUMIFS!E18)</f>
        <v/>
      </c>
      <c r="D28" s="9">
        <f>IF(SUMIFS!E18="","",IF(ABS(SUMIFS!E18-B28)&lt;0.5,"yes","no"))</f>
        <v/>
      </c>
    </row>
    <row r="29">
      <c r="A29" s="9">
        <f>Orders!A8</f>
        <v/>
      </c>
      <c r="B29" s="10">
        <f>IF(SUMIFS!E19="","",SUMIFS(Orders!C8,Orders!B8,"Plus",Orders!D8,"paid"))</f>
        <v/>
      </c>
      <c r="C29" s="10">
        <f>IF(SUMIFS!E19="","",SUMIFS!E19)</f>
        <v/>
      </c>
      <c r="D29" s="9">
        <f>IF(SUMIFS!E19="","",IF(ABS(SUMIFS!E19-B29)&lt;0.5,"yes","no"))</f>
        <v/>
      </c>
    </row>
    <row r="30">
      <c r="A30" s="9">
        <f>Orders!A9</f>
        <v/>
      </c>
      <c r="B30" s="10">
        <f>IF(SUMIFS!E20="","",SUMIFS(Orders!C9,Orders!B9,"Plus",Orders!D9,"paid"))</f>
        <v/>
      </c>
      <c r="C30" s="10">
        <f>IF(SUMIFS!E20="","",SUMIFS!E20)</f>
        <v/>
      </c>
      <c r="D30" s="9">
        <f>IF(SUMIFS!E20="","",IF(ABS(SUMIFS!E20-B30)&lt;0.5,"yes","no"))</f>
        <v/>
      </c>
    </row>
    <row r="31">
      <c r="A31" s="9">
        <f>Orders!A10</f>
        <v/>
      </c>
      <c r="B31" s="10">
        <f>IF(SUMIFS!E21="","",SUMIFS(Orders!C10,Orders!B10,"Plus",Orders!D10,"paid"))</f>
        <v/>
      </c>
      <c r="C31" s="10">
        <f>IF(SUMIFS!E21="","",SUMIFS!E21)</f>
        <v/>
      </c>
      <c r="D31" s="9">
        <f>IF(SUMIFS!E21="","",IF(ABS(SUMIFS!E21-B31)&lt;0.5,"yes","no"))</f>
        <v/>
      </c>
    </row>
    <row r="32">
      <c r="A32" s="9">
        <f>Orders!A11</f>
        <v/>
      </c>
      <c r="B32" s="10">
        <f>IF(SUMIFS!E22="","",SUMIFS(Orders!C11,Orders!B11,"Plus",Orders!D11,"paid"))</f>
        <v/>
      </c>
      <c r="C32" s="10">
        <f>IF(SUMIFS!E22="","",SUMIFS!E22)</f>
        <v/>
      </c>
      <c r="D32" s="9">
        <f>IF(SUMIFS!E22="","",IF(ABS(SUMIFS!E22-B32)&lt;0.5,"yes","no"))</f>
        <v/>
      </c>
    </row>
  </sheetData>
  <mergeCells count="2">
    <mergeCell ref="B19:D19"/>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2026-09-30T06:03:51Z</dcterms:created>
  <dcterms:modified xmlns:dcterms="http://purl.org/dc/terms/" xmlns:xsi="http://www.w3.org/2001/XMLSchema-instance" xsi:type="dcterms:W3CDTF">2026-09-30T06:03:51Z</dcterms:modified>
</cp:coreProperties>
</file>