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cores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Roo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C5850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0000FF"/>
      <sz val="10"/>
    </font>
  </fonts>
  <fills count="6">
    <fill>
      <patternFill/>
    </fill>
    <fill>
      <patternFill patternType="gray125"/>
    </fill>
    <fill>
      <patternFill patternType="solid">
        <fgColor rgb="002B4A7D"/>
      </patternFill>
    </fill>
    <fill>
      <patternFill patternType="solid">
        <fgColor rgb="00DCE6F5"/>
      </patternFill>
    </fill>
    <fill>
      <patternFill patternType="solid">
        <fgColor rgb="00EDEDE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5" fillId="4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wrapText="1"/>
    </xf>
    <xf numFmtId="0" fontId="5" fillId="5" borderId="1" pivotButton="0" quotePrefix="0" xfId="0"/>
    <xf numFmtId="0" fontId="4" fillId="0" borderId="0" pivotButton="0" quotePrefix="0" xfId="0"/>
    <xf numFmtId="0" fontId="5" fillId="0" borderId="0" pivotButton="0" quotePrefix="0" xfId="0"/>
    <xf numFmtId="9" fontId="6" fillId="5" borderId="0" pivotButton="0" quotePrefix="0" xfId="0"/>
    <xf numFmtId="0" fontId="3" fillId="2" borderId="0" pivotButton="0" quotePrefix="0" xfId="0"/>
    <xf numFmtId="9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Content team</author>
  </authors>
  <commentList>
    <comment ref="B9" authorId="0" shapeId="0">
      <text>
        <t>The Programme Head's rule for Wednesday: fewer than half the Python ticks joins the taught track. Change the share here and every track recalculates.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Week 0 diagnostic: the score workbook</t>
        </is>
      </c>
    </row>
    <row r="2">
      <c r="A2" s="2" t="inlineStr">
        <is>
          <t>TRAINER ONLY. For the Academic TA and the Support TA, who mark the four papers tonight.</t>
        </is>
      </c>
    </row>
    <row r="3">
      <c r="A3" s="3" t="inlineStr"/>
    </row>
    <row r="4">
      <c r="A4" s="4" t="inlineStr">
        <is>
          <t>Keep the filled copy on the programme's own drive and never in the repository: the repository is public, and a learner's name beside a score is personal data.</t>
        </is>
      </c>
    </row>
    <row r="5">
      <c r="A5" s="3" t="inlineStr"/>
    </row>
    <row r="6">
      <c r="A6" s="3" t="inlineStr">
        <is>
          <t>1. On Scores, type each learner's name, yes or no for sitting the paper, and Monday's self-rating letter for each topic.</t>
        </is>
      </c>
    </row>
    <row r="7">
      <c r="A7" s="3" t="inlineStr">
        <is>
          <t>2. Mark against answer-key/C2_W00_D02_diagnostic_key_TRAINER.md and type 1 or 0 in each tick column. A blank item is 0.</t>
        </is>
      </c>
    </row>
    <row r="8">
      <c r="A8" s="3" t="inlineStr">
        <is>
          <t>3. The ticks per paper, Wednesday's Python track and the line for the baseline card fill in themselves. Grey is the example row, which no count includes.</t>
        </is>
      </c>
    </row>
    <row r="9">
      <c r="A9" s="3" t="inlineStr">
        <is>
          <t>4. Room gives Wednesday's two track sizes, the make-up count and the most-missed ticks, which are where the brush-up starts.</t>
        </is>
      </c>
    </row>
    <row r="10">
      <c r="A10" s="3" t="inlineStr"/>
    </row>
    <row r="11">
      <c r="A11" s="3" t="inlineStr">
        <is>
          <t>Yellow cells are typed in. The one blue cell, Settings B9, is the track rule, and it is the only decision in the workbook.</t>
        </is>
      </c>
    </row>
    <row r="12">
      <c r="A12" s="4" t="inlineStr">
        <is>
          <t>A learner sees their own ticks only: never the track line, never a level label and never another learner's count.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45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9" customWidth="1" min="2" max="2"/>
    <col width="11" customWidth="1" min="3" max="3"/>
    <col width="11" customWidth="1" min="4" max="4"/>
    <col width="11" customWidth="1" min="5" max="5"/>
    <col width="11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10" customWidth="1" min="43" max="43"/>
    <col width="10" customWidth="1" min="44" max="44"/>
    <col width="10" customWidth="1" min="45" max="45"/>
    <col width="10" customWidth="1" min="46" max="46"/>
    <col width="14" customWidth="1" min="47" max="47"/>
    <col width="56" customWidth="1" min="48" max="48"/>
  </cols>
  <sheetData>
    <row r="1">
      <c r="A1" s="5" t="inlineStr">
        <is>
          <t>Week 0 diagnostic: ticks per learner</t>
        </is>
      </c>
    </row>
    <row r="2">
      <c r="A2" s="6" t="inlineStr">
        <is>
          <t>Yellow cells are typed in: sat the paper (yes or no), Monday's self-rating (A to D) and one tick per column, 1 or 0, from the key. Everything to the right recalculates.</t>
        </is>
      </c>
    </row>
    <row r="3">
      <c r="A3" s="7" t="n"/>
      <c r="B3" s="7" t="n"/>
      <c r="C3" s="7" t="n"/>
      <c r="D3" s="7" t="n"/>
      <c r="E3" s="7" t="n"/>
      <c r="F3" s="7" t="n"/>
      <c r="G3" s="8" t="inlineStr">
        <is>
          <t>Python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8" t="inlineStr">
        <is>
          <t>SQL</t>
        </is>
      </c>
      <c r="U3" s="7" t="n"/>
      <c r="V3" s="7" t="n"/>
      <c r="W3" s="7" t="n"/>
      <c r="X3" s="7" t="n"/>
      <c r="Y3" s="7" t="n"/>
      <c r="Z3" s="7" t="n"/>
      <c r="AA3" s="8" t="inlineStr">
        <is>
          <t>Statistics</t>
        </is>
      </c>
      <c r="AB3" s="7" t="n"/>
      <c r="AC3" s="7" t="n"/>
      <c r="AD3" s="7" t="n"/>
      <c r="AE3" s="7" t="n"/>
      <c r="AF3" s="7" t="n"/>
      <c r="AG3" s="7" t="n"/>
      <c r="AH3" s="7" t="n"/>
      <c r="AI3" s="8" t="inlineStr">
        <is>
          <t>Stating a problem</t>
        </is>
      </c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</row>
    <row r="4" ht="42" customHeight="1">
      <c r="A4" s="9" t="inlineStr">
        <is>
          <t>Learner</t>
        </is>
      </c>
      <c r="B4" s="9" t="inlineStr">
        <is>
          <t>Sat the paper</t>
        </is>
      </c>
      <c r="C4" s="9" t="inlineStr">
        <is>
          <t>Said on Monday: Python</t>
        </is>
      </c>
      <c r="D4" s="9" t="inlineStr">
        <is>
          <t>Said on Monday: SQL</t>
        </is>
      </c>
      <c r="E4" s="9" t="inlineStr">
        <is>
          <t>Said on Monday: Statistics</t>
        </is>
      </c>
      <c r="F4" s="9" t="inlineStr">
        <is>
          <t>Said on Monday: Stating a problem</t>
        </is>
      </c>
      <c r="G4" s="9" t="inlineStr">
        <is>
          <t>1</t>
        </is>
      </c>
      <c r="H4" s="9" t="inlineStr">
        <is>
          <t>2</t>
        </is>
      </c>
      <c r="I4" s="9" t="inlineStr">
        <is>
          <t>3</t>
        </is>
      </c>
      <c r="J4" s="9" t="inlineStr">
        <is>
          <t>4</t>
        </is>
      </c>
      <c r="K4" s="9" t="inlineStr">
        <is>
          <t>5</t>
        </is>
      </c>
      <c r="L4" s="9" t="inlineStr">
        <is>
          <t>6</t>
        </is>
      </c>
      <c r="M4" s="9" t="inlineStr">
        <is>
          <t>7</t>
        </is>
      </c>
      <c r="N4" s="9" t="inlineStr">
        <is>
          <t>8</t>
        </is>
      </c>
      <c r="O4" s="9" t="inlineStr">
        <is>
          <t>9</t>
        </is>
      </c>
      <c r="P4" s="9" t="inlineStr">
        <is>
          <t>10</t>
        </is>
      </c>
      <c r="Q4" s="9" t="inlineStr">
        <is>
          <t>11a</t>
        </is>
      </c>
      <c r="R4" s="9" t="inlineStr">
        <is>
          <t>11b</t>
        </is>
      </c>
      <c r="S4" s="9" t="inlineStr">
        <is>
          <t>11c</t>
        </is>
      </c>
      <c r="T4" s="9" t="inlineStr">
        <is>
          <t>12</t>
        </is>
      </c>
      <c r="U4" s="9" t="inlineStr">
        <is>
          <t>13</t>
        </is>
      </c>
      <c r="V4" s="9" t="inlineStr">
        <is>
          <t>14</t>
        </is>
      </c>
      <c r="W4" s="9" t="inlineStr">
        <is>
          <t>15</t>
        </is>
      </c>
      <c r="X4" s="9" t="inlineStr">
        <is>
          <t>16</t>
        </is>
      </c>
      <c r="Y4" s="9" t="inlineStr">
        <is>
          <t>17</t>
        </is>
      </c>
      <c r="Z4" s="9" t="inlineStr">
        <is>
          <t>18</t>
        </is>
      </c>
      <c r="AA4" s="9" t="inlineStr">
        <is>
          <t>19</t>
        </is>
      </c>
      <c r="AB4" s="9" t="inlineStr">
        <is>
          <t>20</t>
        </is>
      </c>
      <c r="AC4" s="9" t="inlineStr">
        <is>
          <t>21</t>
        </is>
      </c>
      <c r="AD4" s="9" t="inlineStr">
        <is>
          <t>22</t>
        </is>
      </c>
      <c r="AE4" s="9" t="inlineStr">
        <is>
          <t>23</t>
        </is>
      </c>
      <c r="AF4" s="9" t="inlineStr">
        <is>
          <t>24</t>
        </is>
      </c>
      <c r="AG4" s="9" t="inlineStr">
        <is>
          <t>25</t>
        </is>
      </c>
      <c r="AH4" s="9" t="inlineStr">
        <is>
          <t>26</t>
        </is>
      </c>
      <c r="AI4" s="9" t="inlineStr">
        <is>
          <t>27a</t>
        </is>
      </c>
      <c r="AJ4" s="9" t="inlineStr">
        <is>
          <t>27b</t>
        </is>
      </c>
      <c r="AK4" s="9" t="inlineStr">
        <is>
          <t>27c</t>
        </is>
      </c>
      <c r="AL4" s="9" t="inlineStr">
        <is>
          <t>27d</t>
        </is>
      </c>
      <c r="AM4" s="9" t="inlineStr">
        <is>
          <t>27e</t>
        </is>
      </c>
      <c r="AN4" s="9" t="inlineStr">
        <is>
          <t>28a</t>
        </is>
      </c>
      <c r="AO4" s="9" t="inlineStr">
        <is>
          <t>28b</t>
        </is>
      </c>
      <c r="AP4" s="9" t="inlineStr">
        <is>
          <t>28c</t>
        </is>
      </c>
      <c r="AQ4" s="9" t="inlineStr">
        <is>
          <t>Python ticks</t>
        </is>
      </c>
      <c r="AR4" s="9" t="inlineStr">
        <is>
          <t>SQL ticks</t>
        </is>
      </c>
      <c r="AS4" s="9" t="inlineStr">
        <is>
          <t>Statistics ticks</t>
        </is>
      </c>
      <c r="AT4" s="9" t="inlineStr">
        <is>
          <t>Stating a problem ticks</t>
        </is>
      </c>
      <c r="AU4" s="9" t="inlineStr">
        <is>
          <t>Wednesday's Python track</t>
        </is>
      </c>
      <c r="AV4" s="9" t="inlineStr">
        <is>
          <t>For the baseline card</t>
        </is>
      </c>
    </row>
    <row r="5">
      <c r="A5" s="10" t="inlineStr">
        <is>
          <t>Example, not counted</t>
        </is>
      </c>
      <c r="B5" s="10" t="inlineStr">
        <is>
          <t>yes</t>
        </is>
      </c>
      <c r="C5" s="10" t="inlineStr">
        <is>
          <t>B</t>
        </is>
      </c>
      <c r="D5" s="10" t="inlineStr">
        <is>
          <t>C</t>
        </is>
      </c>
      <c r="E5" s="10" t="inlineStr">
        <is>
          <t>B</t>
        </is>
      </c>
      <c r="F5" s="10" t="inlineStr">
        <is>
          <t>C</t>
        </is>
      </c>
      <c r="G5" s="10" t="n">
        <v>1</v>
      </c>
      <c r="H5" s="10" t="n">
        <v>1</v>
      </c>
      <c r="I5" s="10" t="n">
        <v>1</v>
      </c>
      <c r="J5" s="10" t="n">
        <v>1</v>
      </c>
      <c r="K5" s="10" t="n">
        <v>1</v>
      </c>
      <c r="L5" s="10" t="n">
        <v>0</v>
      </c>
      <c r="M5" s="10" t="n">
        <v>0</v>
      </c>
      <c r="N5" s="10" t="n">
        <v>0</v>
      </c>
      <c r="O5" s="10" t="n">
        <v>0</v>
      </c>
      <c r="P5" s="10" t="n">
        <v>0</v>
      </c>
      <c r="Q5" s="10" t="n">
        <v>1</v>
      </c>
      <c r="R5" s="10" t="n">
        <v>0</v>
      </c>
      <c r="S5" s="10" t="n">
        <v>0</v>
      </c>
      <c r="T5" s="10" t="n">
        <v>1</v>
      </c>
      <c r="U5" s="10" t="n">
        <v>1</v>
      </c>
      <c r="V5" s="10" t="n">
        <v>0</v>
      </c>
      <c r="W5" s="10" t="n">
        <v>0</v>
      </c>
      <c r="X5" s="10" t="n">
        <v>1</v>
      </c>
      <c r="Y5" s="10" t="n">
        <v>0</v>
      </c>
      <c r="Z5" s="10" t="n">
        <v>0</v>
      </c>
      <c r="AA5" s="10" t="n">
        <v>1</v>
      </c>
      <c r="AB5" s="10" t="n">
        <v>1</v>
      </c>
      <c r="AC5" s="10" t="n">
        <v>1</v>
      </c>
      <c r="AD5" s="10" t="n">
        <v>0</v>
      </c>
      <c r="AE5" s="10" t="n">
        <v>0</v>
      </c>
      <c r="AF5" s="10" t="n">
        <v>1</v>
      </c>
      <c r="AG5" s="10" t="n">
        <v>1</v>
      </c>
      <c r="AH5" s="10" t="n">
        <v>1</v>
      </c>
      <c r="AI5" s="10" t="n">
        <v>1</v>
      </c>
      <c r="AJ5" s="10" t="n">
        <v>1</v>
      </c>
      <c r="AK5" s="10" t="n">
        <v>1</v>
      </c>
      <c r="AL5" s="10" t="n">
        <v>0</v>
      </c>
      <c r="AM5" s="10" t="n">
        <v>0</v>
      </c>
      <c r="AN5" s="10" t="n">
        <v>1</v>
      </c>
      <c r="AO5" s="10" t="n">
        <v>0</v>
      </c>
      <c r="AP5" s="10" t="n">
        <v>0</v>
      </c>
      <c r="AQ5" s="11">
        <f>IF(COUNT(G5:S5)=0,"",SUM(G5:S5))</f>
        <v/>
      </c>
      <c r="AR5" s="11">
        <f>IF(COUNT(T5:Z5)=0,"",SUM(T5:Z5))</f>
        <v/>
      </c>
      <c r="AS5" s="11">
        <f>IF(COUNT(AA5:AH5)=0,"",SUM(AA5:AH5))</f>
        <v/>
      </c>
      <c r="AT5" s="11">
        <f>IF(COUNT(AI5:AP5)=0,"",SUM(AI5:AP5))</f>
        <v/>
      </c>
      <c r="AU5" s="11">
        <f>IF($B5="no","no paper yet",IF(AQ5="","",IF(AQ5&lt;Settings!$B$10,"taught","practice")))</f>
        <v/>
      </c>
      <c r="AV5" s="12">
        <f>IF(COUNT(AQ5:AT5)&lt;4,"","Python "&amp;AQ5&amp;" of "&amp;Settings!$B$4&amp;"; "&amp;"SQL "&amp;AR5&amp;" of "&amp;Settings!$B$5&amp;"; "&amp;"Statistics "&amp;AS5&amp;" of "&amp;Settings!$B$6&amp;"; "&amp;"Stating a problem "&amp;AT5&amp;" of "&amp;Settings!$B$7)</f>
        <v/>
      </c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3" t="n"/>
      <c r="AE6" s="13" t="n"/>
      <c r="AF6" s="13" t="n"/>
      <c r="AG6" s="13" t="n"/>
      <c r="AH6" s="13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1">
        <f>IF(COUNT(G6:S6)=0,"",SUM(G6:S6))</f>
        <v/>
      </c>
      <c r="AR6" s="11">
        <f>IF(COUNT(T6:Z6)=0,"",SUM(T6:Z6))</f>
        <v/>
      </c>
      <c r="AS6" s="11">
        <f>IF(COUNT(AA6:AH6)=0,"",SUM(AA6:AH6))</f>
        <v/>
      </c>
      <c r="AT6" s="11">
        <f>IF(COUNT(AI6:AP6)=0,"",SUM(AI6:AP6))</f>
        <v/>
      </c>
      <c r="AU6" s="11">
        <f>IF($B6="no","no paper yet",IF(AQ6="","",IF(AQ6&lt;Settings!$B$10,"taught","practice")))</f>
        <v/>
      </c>
      <c r="AV6" s="12">
        <f>IF(COUNT(AQ6:AT6)&lt;4,"","Python "&amp;AQ6&amp;" of "&amp;Settings!$B$4&amp;"; "&amp;"SQL "&amp;AR6&amp;" of "&amp;Settings!$B$5&amp;"; "&amp;"Statistics "&amp;AS6&amp;" of "&amp;Settings!$B$6&amp;"; "&amp;"Stating a problem "&amp;AT6&amp;" of "&amp;Settings!$B$7)</f>
        <v/>
      </c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  <c r="AE7" s="13" t="n"/>
      <c r="AF7" s="13" t="n"/>
      <c r="AG7" s="13" t="n"/>
      <c r="AH7" s="13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1">
        <f>IF(COUNT(G7:S7)=0,"",SUM(G7:S7))</f>
        <v/>
      </c>
      <c r="AR7" s="11">
        <f>IF(COUNT(T7:Z7)=0,"",SUM(T7:Z7))</f>
        <v/>
      </c>
      <c r="AS7" s="11">
        <f>IF(COUNT(AA7:AH7)=0,"",SUM(AA7:AH7))</f>
        <v/>
      </c>
      <c r="AT7" s="11">
        <f>IF(COUNT(AI7:AP7)=0,"",SUM(AI7:AP7))</f>
        <v/>
      </c>
      <c r="AU7" s="11">
        <f>IF($B7="no","no paper yet",IF(AQ7="","",IF(AQ7&lt;Settings!$B$10,"taught","practice")))</f>
        <v/>
      </c>
      <c r="AV7" s="12">
        <f>IF(COUNT(AQ7:AT7)&lt;4,"","Python "&amp;AQ7&amp;" of "&amp;Settings!$B$4&amp;"; "&amp;"SQL "&amp;AR7&amp;" of "&amp;Settings!$B$5&amp;"; "&amp;"Statistics "&amp;AS7&amp;" of "&amp;Settings!$B$6&amp;"; "&amp;"Stating a problem "&amp;AT7&amp;" of "&amp;Settings!$B$7)</f>
        <v/>
      </c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  <c r="AE8" s="13" t="n"/>
      <c r="AF8" s="13" t="n"/>
      <c r="AG8" s="13" t="n"/>
      <c r="AH8" s="13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1">
        <f>IF(COUNT(G8:S8)=0,"",SUM(G8:S8))</f>
        <v/>
      </c>
      <c r="AR8" s="11">
        <f>IF(COUNT(T8:Z8)=0,"",SUM(T8:Z8))</f>
        <v/>
      </c>
      <c r="AS8" s="11">
        <f>IF(COUNT(AA8:AH8)=0,"",SUM(AA8:AH8))</f>
        <v/>
      </c>
      <c r="AT8" s="11">
        <f>IF(COUNT(AI8:AP8)=0,"",SUM(AI8:AP8))</f>
        <v/>
      </c>
      <c r="AU8" s="11">
        <f>IF($B8="no","no paper yet",IF(AQ8="","",IF(AQ8&lt;Settings!$B$10,"taught","practice")))</f>
        <v/>
      </c>
      <c r="AV8" s="12">
        <f>IF(COUNT(AQ8:AT8)&lt;4,"","Python "&amp;AQ8&amp;" of "&amp;Settings!$B$4&amp;"; "&amp;"SQL "&amp;AR8&amp;" of "&amp;Settings!$B$5&amp;"; "&amp;"Statistics "&amp;AS8&amp;" of "&amp;Settings!$B$6&amp;"; "&amp;"Stating a problem "&amp;AT8&amp;" of "&amp;Settings!$B$7)</f>
        <v/>
      </c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  <c r="AE9" s="13" t="n"/>
      <c r="AF9" s="13" t="n"/>
      <c r="AG9" s="13" t="n"/>
      <c r="AH9" s="13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1">
        <f>IF(COUNT(G9:S9)=0,"",SUM(G9:S9))</f>
        <v/>
      </c>
      <c r="AR9" s="11">
        <f>IF(COUNT(T9:Z9)=0,"",SUM(T9:Z9))</f>
        <v/>
      </c>
      <c r="AS9" s="11">
        <f>IF(COUNT(AA9:AH9)=0,"",SUM(AA9:AH9))</f>
        <v/>
      </c>
      <c r="AT9" s="11">
        <f>IF(COUNT(AI9:AP9)=0,"",SUM(AI9:AP9))</f>
        <v/>
      </c>
      <c r="AU9" s="11">
        <f>IF($B9="no","no paper yet",IF(AQ9="","",IF(AQ9&lt;Settings!$B$10,"taught","practice")))</f>
        <v/>
      </c>
      <c r="AV9" s="12">
        <f>IF(COUNT(AQ9:AT9)&lt;4,"","Python "&amp;AQ9&amp;" of "&amp;Settings!$B$4&amp;"; "&amp;"SQL "&amp;AR9&amp;" of "&amp;Settings!$B$5&amp;"; "&amp;"Statistics "&amp;AS9&amp;" of "&amp;Settings!$B$6&amp;"; "&amp;"Stating a problem "&amp;AT9&amp;" of "&amp;Settings!$B$7)</f>
        <v/>
      </c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  <c r="AL10" s="13" t="n"/>
      <c r="AM10" s="13" t="n"/>
      <c r="AN10" s="13" t="n"/>
      <c r="AO10" s="13" t="n"/>
      <c r="AP10" s="13" t="n"/>
      <c r="AQ10" s="11">
        <f>IF(COUNT(G10:S10)=0,"",SUM(G10:S10))</f>
        <v/>
      </c>
      <c r="AR10" s="11">
        <f>IF(COUNT(T10:Z10)=0,"",SUM(T10:Z10))</f>
        <v/>
      </c>
      <c r="AS10" s="11">
        <f>IF(COUNT(AA10:AH10)=0,"",SUM(AA10:AH10))</f>
        <v/>
      </c>
      <c r="AT10" s="11">
        <f>IF(COUNT(AI10:AP10)=0,"",SUM(AI10:AP10))</f>
        <v/>
      </c>
      <c r="AU10" s="11">
        <f>IF($B10="no","no paper yet",IF(AQ10="","",IF(AQ10&lt;Settings!$B$10,"taught","practice")))</f>
        <v/>
      </c>
      <c r="AV10" s="12">
        <f>IF(COUNT(AQ10:AT10)&lt;4,"","Python "&amp;AQ10&amp;" of "&amp;Settings!$B$4&amp;"; "&amp;"SQL "&amp;AR10&amp;" of "&amp;Settings!$B$5&amp;"; "&amp;"Statistics "&amp;AS10&amp;" of "&amp;Settings!$B$6&amp;"; "&amp;"Stating a problem "&amp;AT10&amp;" of "&amp;Settings!$B$7)</f>
        <v/>
      </c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  <c r="AF11" s="13" t="n"/>
      <c r="AG11" s="13" t="n"/>
      <c r="AH11" s="13" t="n"/>
      <c r="AI11" s="13" t="n"/>
      <c r="AJ11" s="13" t="n"/>
      <c r="AK11" s="13" t="n"/>
      <c r="AL11" s="13" t="n"/>
      <c r="AM11" s="13" t="n"/>
      <c r="AN11" s="13" t="n"/>
      <c r="AO11" s="13" t="n"/>
      <c r="AP11" s="13" t="n"/>
      <c r="AQ11" s="11">
        <f>IF(COUNT(G11:S11)=0,"",SUM(G11:S11))</f>
        <v/>
      </c>
      <c r="AR11" s="11">
        <f>IF(COUNT(T11:Z11)=0,"",SUM(T11:Z11))</f>
        <v/>
      </c>
      <c r="AS11" s="11">
        <f>IF(COUNT(AA11:AH11)=0,"",SUM(AA11:AH11))</f>
        <v/>
      </c>
      <c r="AT11" s="11">
        <f>IF(COUNT(AI11:AP11)=0,"",SUM(AI11:AP11))</f>
        <v/>
      </c>
      <c r="AU11" s="11">
        <f>IF($B11="no","no paper yet",IF(AQ11="","",IF(AQ11&lt;Settings!$B$10,"taught","practice")))</f>
        <v/>
      </c>
      <c r="AV11" s="12">
        <f>IF(COUNT(AQ11:AT11)&lt;4,"","Python "&amp;AQ11&amp;" of "&amp;Settings!$B$4&amp;"; "&amp;"SQL "&amp;AR11&amp;" of "&amp;Settings!$B$5&amp;"; "&amp;"Statistics "&amp;AS11&amp;" of "&amp;Settings!$B$6&amp;"; "&amp;"Stating a problem "&amp;AT11&amp;" of "&amp;Settings!$B$7)</f>
        <v/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  <c r="AH12" s="13" t="n"/>
      <c r="AI12" s="13" t="n"/>
      <c r="AJ12" s="13" t="n"/>
      <c r="AK12" s="13" t="n"/>
      <c r="AL12" s="13" t="n"/>
      <c r="AM12" s="13" t="n"/>
      <c r="AN12" s="13" t="n"/>
      <c r="AO12" s="13" t="n"/>
      <c r="AP12" s="13" t="n"/>
      <c r="AQ12" s="11">
        <f>IF(COUNT(G12:S12)=0,"",SUM(G12:S12))</f>
        <v/>
      </c>
      <c r="AR12" s="11">
        <f>IF(COUNT(T12:Z12)=0,"",SUM(T12:Z12))</f>
        <v/>
      </c>
      <c r="AS12" s="11">
        <f>IF(COUNT(AA12:AH12)=0,"",SUM(AA12:AH12))</f>
        <v/>
      </c>
      <c r="AT12" s="11">
        <f>IF(COUNT(AI12:AP12)=0,"",SUM(AI12:AP12))</f>
        <v/>
      </c>
      <c r="AU12" s="11">
        <f>IF($B12="no","no paper yet",IF(AQ12="","",IF(AQ12&lt;Settings!$B$10,"taught","practice")))</f>
        <v/>
      </c>
      <c r="AV12" s="12">
        <f>IF(COUNT(AQ12:AT12)&lt;4,"","Python "&amp;AQ12&amp;" of "&amp;Settings!$B$4&amp;"; "&amp;"SQL "&amp;AR12&amp;" of "&amp;Settings!$B$5&amp;"; "&amp;"Statistics "&amp;AS12&amp;" of "&amp;Settings!$B$6&amp;"; "&amp;"Stating a problem "&amp;AT12&amp;" of "&amp;Settings!$B$7)</f>
        <v/>
      </c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3" t="n"/>
      <c r="AH13" s="13" t="n"/>
      <c r="AI13" s="13" t="n"/>
      <c r="AJ13" s="13" t="n"/>
      <c r="AK13" s="13" t="n"/>
      <c r="AL13" s="13" t="n"/>
      <c r="AM13" s="13" t="n"/>
      <c r="AN13" s="13" t="n"/>
      <c r="AO13" s="13" t="n"/>
      <c r="AP13" s="13" t="n"/>
      <c r="AQ13" s="11">
        <f>IF(COUNT(G13:S13)=0,"",SUM(G13:S13))</f>
        <v/>
      </c>
      <c r="AR13" s="11">
        <f>IF(COUNT(T13:Z13)=0,"",SUM(T13:Z13))</f>
        <v/>
      </c>
      <c r="AS13" s="11">
        <f>IF(COUNT(AA13:AH13)=0,"",SUM(AA13:AH13))</f>
        <v/>
      </c>
      <c r="AT13" s="11">
        <f>IF(COUNT(AI13:AP13)=0,"",SUM(AI13:AP13))</f>
        <v/>
      </c>
      <c r="AU13" s="11">
        <f>IF($B13="no","no paper yet",IF(AQ13="","",IF(AQ13&lt;Settings!$B$10,"taught","practice")))</f>
        <v/>
      </c>
      <c r="AV13" s="12">
        <f>IF(COUNT(AQ13:AT13)&lt;4,"","Python "&amp;AQ13&amp;" of "&amp;Settings!$B$4&amp;"; "&amp;"SQL "&amp;AR13&amp;" of "&amp;Settings!$B$5&amp;"; "&amp;"Statistics "&amp;AS13&amp;" of "&amp;Settings!$B$6&amp;"; "&amp;"Stating a problem "&amp;AT13&amp;" of "&amp;Settings!$B$7)</f>
        <v/>
      </c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  <c r="AF14" s="13" t="n"/>
      <c r="AG14" s="13" t="n"/>
      <c r="AH14" s="13" t="n"/>
      <c r="AI14" s="13" t="n"/>
      <c r="AJ14" s="13" t="n"/>
      <c r="AK14" s="13" t="n"/>
      <c r="AL14" s="13" t="n"/>
      <c r="AM14" s="13" t="n"/>
      <c r="AN14" s="13" t="n"/>
      <c r="AO14" s="13" t="n"/>
      <c r="AP14" s="13" t="n"/>
      <c r="AQ14" s="11">
        <f>IF(COUNT(G14:S14)=0,"",SUM(G14:S14))</f>
        <v/>
      </c>
      <c r="AR14" s="11">
        <f>IF(COUNT(T14:Z14)=0,"",SUM(T14:Z14))</f>
        <v/>
      </c>
      <c r="AS14" s="11">
        <f>IF(COUNT(AA14:AH14)=0,"",SUM(AA14:AH14))</f>
        <v/>
      </c>
      <c r="AT14" s="11">
        <f>IF(COUNT(AI14:AP14)=0,"",SUM(AI14:AP14))</f>
        <v/>
      </c>
      <c r="AU14" s="11">
        <f>IF($B14="no","no paper yet",IF(AQ14="","",IF(AQ14&lt;Settings!$B$10,"taught","practice")))</f>
        <v/>
      </c>
      <c r="AV14" s="12">
        <f>IF(COUNT(AQ14:AT14)&lt;4,"","Python "&amp;AQ14&amp;" of "&amp;Settings!$B$4&amp;"; "&amp;"SQL "&amp;AR14&amp;" of "&amp;Settings!$B$5&amp;"; "&amp;"Statistics "&amp;AS14&amp;" of "&amp;Settings!$B$6&amp;"; "&amp;"Stating a problem "&amp;AT14&amp;" of "&amp;Settings!$B$7)</f>
        <v/>
      </c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  <c r="AF15" s="13" t="n"/>
      <c r="AG15" s="13" t="n"/>
      <c r="AH15" s="13" t="n"/>
      <c r="AI15" s="13" t="n"/>
      <c r="AJ15" s="13" t="n"/>
      <c r="AK15" s="13" t="n"/>
      <c r="AL15" s="13" t="n"/>
      <c r="AM15" s="13" t="n"/>
      <c r="AN15" s="13" t="n"/>
      <c r="AO15" s="13" t="n"/>
      <c r="AP15" s="13" t="n"/>
      <c r="AQ15" s="11">
        <f>IF(COUNT(G15:S15)=0,"",SUM(G15:S15))</f>
        <v/>
      </c>
      <c r="AR15" s="11">
        <f>IF(COUNT(T15:Z15)=0,"",SUM(T15:Z15))</f>
        <v/>
      </c>
      <c r="AS15" s="11">
        <f>IF(COUNT(AA15:AH15)=0,"",SUM(AA15:AH15))</f>
        <v/>
      </c>
      <c r="AT15" s="11">
        <f>IF(COUNT(AI15:AP15)=0,"",SUM(AI15:AP15))</f>
        <v/>
      </c>
      <c r="AU15" s="11">
        <f>IF($B15="no","no paper yet",IF(AQ15="","",IF(AQ15&lt;Settings!$B$10,"taught","practice")))</f>
        <v/>
      </c>
      <c r="AV15" s="12">
        <f>IF(COUNT(AQ15:AT15)&lt;4,"","Python "&amp;AQ15&amp;" of "&amp;Settings!$B$4&amp;"; "&amp;"SQL "&amp;AR15&amp;" of "&amp;Settings!$B$5&amp;"; "&amp;"Statistics "&amp;AS15&amp;" of "&amp;Settings!$B$6&amp;"; "&amp;"Stating a problem "&amp;AT15&amp;" of "&amp;Settings!$B$7)</f>
        <v/>
      </c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  <c r="AF16" s="13" t="n"/>
      <c r="AG16" s="13" t="n"/>
      <c r="AH16" s="13" t="n"/>
      <c r="AI16" s="13" t="n"/>
      <c r="AJ16" s="13" t="n"/>
      <c r="AK16" s="13" t="n"/>
      <c r="AL16" s="13" t="n"/>
      <c r="AM16" s="13" t="n"/>
      <c r="AN16" s="13" t="n"/>
      <c r="AO16" s="13" t="n"/>
      <c r="AP16" s="13" t="n"/>
      <c r="AQ16" s="11">
        <f>IF(COUNT(G16:S16)=0,"",SUM(G16:S16))</f>
        <v/>
      </c>
      <c r="AR16" s="11">
        <f>IF(COUNT(T16:Z16)=0,"",SUM(T16:Z16))</f>
        <v/>
      </c>
      <c r="AS16" s="11">
        <f>IF(COUNT(AA16:AH16)=0,"",SUM(AA16:AH16))</f>
        <v/>
      </c>
      <c r="AT16" s="11">
        <f>IF(COUNT(AI16:AP16)=0,"",SUM(AI16:AP16))</f>
        <v/>
      </c>
      <c r="AU16" s="11">
        <f>IF($B16="no","no paper yet",IF(AQ16="","",IF(AQ16&lt;Settings!$B$10,"taught","practice")))</f>
        <v/>
      </c>
      <c r="AV16" s="12">
        <f>IF(COUNT(AQ16:AT16)&lt;4,"","Python "&amp;AQ16&amp;" of "&amp;Settings!$B$4&amp;"; "&amp;"SQL "&amp;AR16&amp;" of "&amp;Settings!$B$5&amp;"; "&amp;"Statistics "&amp;AS16&amp;" of "&amp;Settings!$B$6&amp;"; "&amp;"Stating a problem "&amp;AT16&amp;" of "&amp;Settings!$B$7)</f>
        <v/>
      </c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  <c r="AF17" s="13" t="n"/>
      <c r="AG17" s="13" t="n"/>
      <c r="AH17" s="13" t="n"/>
      <c r="AI17" s="13" t="n"/>
      <c r="AJ17" s="13" t="n"/>
      <c r="AK17" s="13" t="n"/>
      <c r="AL17" s="13" t="n"/>
      <c r="AM17" s="13" t="n"/>
      <c r="AN17" s="13" t="n"/>
      <c r="AO17" s="13" t="n"/>
      <c r="AP17" s="13" t="n"/>
      <c r="AQ17" s="11">
        <f>IF(COUNT(G17:S17)=0,"",SUM(G17:S17))</f>
        <v/>
      </c>
      <c r="AR17" s="11">
        <f>IF(COUNT(T17:Z17)=0,"",SUM(T17:Z17))</f>
        <v/>
      </c>
      <c r="AS17" s="11">
        <f>IF(COUNT(AA17:AH17)=0,"",SUM(AA17:AH17))</f>
        <v/>
      </c>
      <c r="AT17" s="11">
        <f>IF(COUNT(AI17:AP17)=0,"",SUM(AI17:AP17))</f>
        <v/>
      </c>
      <c r="AU17" s="11">
        <f>IF($B17="no","no paper yet",IF(AQ17="","",IF(AQ17&lt;Settings!$B$10,"taught","practice")))</f>
        <v/>
      </c>
      <c r="AV17" s="12">
        <f>IF(COUNT(AQ17:AT17)&lt;4,"","Python "&amp;AQ17&amp;" of "&amp;Settings!$B$4&amp;"; "&amp;"SQL "&amp;AR17&amp;" of "&amp;Settings!$B$5&amp;"; "&amp;"Statistics "&amp;AS17&amp;" of "&amp;Settings!$B$6&amp;"; "&amp;"Stating a problem "&amp;AT17&amp;" of "&amp;Settings!$B$7)</f>
        <v/>
      </c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3" t="n"/>
      <c r="AH18" s="13" t="n"/>
      <c r="AI18" s="13" t="n"/>
      <c r="AJ18" s="13" t="n"/>
      <c r="AK18" s="13" t="n"/>
      <c r="AL18" s="13" t="n"/>
      <c r="AM18" s="13" t="n"/>
      <c r="AN18" s="13" t="n"/>
      <c r="AO18" s="13" t="n"/>
      <c r="AP18" s="13" t="n"/>
      <c r="AQ18" s="11">
        <f>IF(COUNT(G18:S18)=0,"",SUM(G18:S18))</f>
        <v/>
      </c>
      <c r="AR18" s="11">
        <f>IF(COUNT(T18:Z18)=0,"",SUM(T18:Z18))</f>
        <v/>
      </c>
      <c r="AS18" s="11">
        <f>IF(COUNT(AA18:AH18)=0,"",SUM(AA18:AH18))</f>
        <v/>
      </c>
      <c r="AT18" s="11">
        <f>IF(COUNT(AI18:AP18)=0,"",SUM(AI18:AP18))</f>
        <v/>
      </c>
      <c r="AU18" s="11">
        <f>IF($B18="no","no paper yet",IF(AQ18="","",IF(AQ18&lt;Settings!$B$10,"taught","practice")))</f>
        <v/>
      </c>
      <c r="AV18" s="12">
        <f>IF(COUNT(AQ18:AT18)&lt;4,"","Python "&amp;AQ18&amp;" of "&amp;Settings!$B$4&amp;"; "&amp;"SQL "&amp;AR18&amp;" of "&amp;Settings!$B$5&amp;"; "&amp;"Statistics "&amp;AS18&amp;" of "&amp;Settings!$B$6&amp;"; "&amp;"Stating a problem "&amp;AT18&amp;" of "&amp;Settings!$B$7)</f>
        <v/>
      </c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  <c r="AF19" s="13" t="n"/>
      <c r="AG19" s="13" t="n"/>
      <c r="AH19" s="13" t="n"/>
      <c r="AI19" s="13" t="n"/>
      <c r="AJ19" s="13" t="n"/>
      <c r="AK19" s="13" t="n"/>
      <c r="AL19" s="13" t="n"/>
      <c r="AM19" s="13" t="n"/>
      <c r="AN19" s="13" t="n"/>
      <c r="AO19" s="13" t="n"/>
      <c r="AP19" s="13" t="n"/>
      <c r="AQ19" s="11">
        <f>IF(COUNT(G19:S19)=0,"",SUM(G19:S19))</f>
        <v/>
      </c>
      <c r="AR19" s="11">
        <f>IF(COUNT(T19:Z19)=0,"",SUM(T19:Z19))</f>
        <v/>
      </c>
      <c r="AS19" s="11">
        <f>IF(COUNT(AA19:AH19)=0,"",SUM(AA19:AH19))</f>
        <v/>
      </c>
      <c r="AT19" s="11">
        <f>IF(COUNT(AI19:AP19)=0,"",SUM(AI19:AP19))</f>
        <v/>
      </c>
      <c r="AU19" s="11">
        <f>IF($B19="no","no paper yet",IF(AQ19="","",IF(AQ19&lt;Settings!$B$10,"taught","practice")))</f>
        <v/>
      </c>
      <c r="AV19" s="12">
        <f>IF(COUNT(AQ19:AT19)&lt;4,"","Python "&amp;AQ19&amp;" of "&amp;Settings!$B$4&amp;"; "&amp;"SQL "&amp;AR19&amp;" of "&amp;Settings!$B$5&amp;"; "&amp;"Statistics "&amp;AS19&amp;" of "&amp;Settings!$B$6&amp;"; "&amp;"Stating a problem "&amp;AT19&amp;" of "&amp;Settings!$B$7)</f>
        <v/>
      </c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  <c r="AL20" s="13" t="n"/>
      <c r="AM20" s="13" t="n"/>
      <c r="AN20" s="13" t="n"/>
      <c r="AO20" s="13" t="n"/>
      <c r="AP20" s="13" t="n"/>
      <c r="AQ20" s="11">
        <f>IF(COUNT(G20:S20)=0,"",SUM(G20:S20))</f>
        <v/>
      </c>
      <c r="AR20" s="11">
        <f>IF(COUNT(T20:Z20)=0,"",SUM(T20:Z20))</f>
        <v/>
      </c>
      <c r="AS20" s="11">
        <f>IF(COUNT(AA20:AH20)=0,"",SUM(AA20:AH20))</f>
        <v/>
      </c>
      <c r="AT20" s="11">
        <f>IF(COUNT(AI20:AP20)=0,"",SUM(AI20:AP20))</f>
        <v/>
      </c>
      <c r="AU20" s="11">
        <f>IF($B20="no","no paper yet",IF(AQ20="","",IF(AQ20&lt;Settings!$B$10,"taught","practice")))</f>
        <v/>
      </c>
      <c r="AV20" s="12">
        <f>IF(COUNT(AQ20:AT20)&lt;4,"","Python "&amp;AQ20&amp;" of "&amp;Settings!$B$4&amp;"; "&amp;"SQL "&amp;AR20&amp;" of "&amp;Settings!$B$5&amp;"; "&amp;"Statistics "&amp;AS20&amp;" of "&amp;Settings!$B$6&amp;"; "&amp;"Stating a problem "&amp;AT20&amp;" of "&amp;Settings!$B$7)</f>
        <v/>
      </c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  <c r="AL21" s="13" t="n"/>
      <c r="AM21" s="13" t="n"/>
      <c r="AN21" s="13" t="n"/>
      <c r="AO21" s="13" t="n"/>
      <c r="AP21" s="13" t="n"/>
      <c r="AQ21" s="11">
        <f>IF(COUNT(G21:S21)=0,"",SUM(G21:S21))</f>
        <v/>
      </c>
      <c r="AR21" s="11">
        <f>IF(COUNT(T21:Z21)=0,"",SUM(T21:Z21))</f>
        <v/>
      </c>
      <c r="AS21" s="11">
        <f>IF(COUNT(AA21:AH21)=0,"",SUM(AA21:AH21))</f>
        <v/>
      </c>
      <c r="AT21" s="11">
        <f>IF(COUNT(AI21:AP21)=0,"",SUM(AI21:AP21))</f>
        <v/>
      </c>
      <c r="AU21" s="11">
        <f>IF($B21="no","no paper yet",IF(AQ21="","",IF(AQ21&lt;Settings!$B$10,"taught","practice")))</f>
        <v/>
      </c>
      <c r="AV21" s="12">
        <f>IF(COUNT(AQ21:AT21)&lt;4,"","Python "&amp;AQ21&amp;" of "&amp;Settings!$B$4&amp;"; "&amp;"SQL "&amp;AR21&amp;" of "&amp;Settings!$B$5&amp;"; "&amp;"Statistics "&amp;AS21&amp;" of "&amp;Settings!$B$6&amp;"; "&amp;"Stating a problem "&amp;AT21&amp;" of "&amp;Settings!$B$7)</f>
        <v/>
      </c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  <c r="AL22" s="13" t="n"/>
      <c r="AM22" s="13" t="n"/>
      <c r="AN22" s="13" t="n"/>
      <c r="AO22" s="13" t="n"/>
      <c r="AP22" s="13" t="n"/>
      <c r="AQ22" s="11">
        <f>IF(COUNT(G22:S22)=0,"",SUM(G22:S22))</f>
        <v/>
      </c>
      <c r="AR22" s="11">
        <f>IF(COUNT(T22:Z22)=0,"",SUM(T22:Z22))</f>
        <v/>
      </c>
      <c r="AS22" s="11">
        <f>IF(COUNT(AA22:AH22)=0,"",SUM(AA22:AH22))</f>
        <v/>
      </c>
      <c r="AT22" s="11">
        <f>IF(COUNT(AI22:AP22)=0,"",SUM(AI22:AP22))</f>
        <v/>
      </c>
      <c r="AU22" s="11">
        <f>IF($B22="no","no paper yet",IF(AQ22="","",IF(AQ22&lt;Settings!$B$10,"taught","practice")))</f>
        <v/>
      </c>
      <c r="AV22" s="12">
        <f>IF(COUNT(AQ22:AT22)&lt;4,"","Python "&amp;AQ22&amp;" of "&amp;Settings!$B$4&amp;"; "&amp;"SQL "&amp;AR22&amp;" of "&amp;Settings!$B$5&amp;"; "&amp;"Statistics "&amp;AS22&amp;" of "&amp;Settings!$B$6&amp;"; "&amp;"Stating a problem "&amp;AT22&amp;" of "&amp;Settings!$B$7)</f>
        <v/>
      </c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  <c r="AL23" s="13" t="n"/>
      <c r="AM23" s="13" t="n"/>
      <c r="AN23" s="13" t="n"/>
      <c r="AO23" s="13" t="n"/>
      <c r="AP23" s="13" t="n"/>
      <c r="AQ23" s="11">
        <f>IF(COUNT(G23:S23)=0,"",SUM(G23:S23))</f>
        <v/>
      </c>
      <c r="AR23" s="11">
        <f>IF(COUNT(T23:Z23)=0,"",SUM(T23:Z23))</f>
        <v/>
      </c>
      <c r="AS23" s="11">
        <f>IF(COUNT(AA23:AH23)=0,"",SUM(AA23:AH23))</f>
        <v/>
      </c>
      <c r="AT23" s="11">
        <f>IF(COUNT(AI23:AP23)=0,"",SUM(AI23:AP23))</f>
        <v/>
      </c>
      <c r="AU23" s="11">
        <f>IF($B23="no","no paper yet",IF(AQ23="","",IF(AQ23&lt;Settings!$B$10,"taught","practice")))</f>
        <v/>
      </c>
      <c r="AV23" s="12">
        <f>IF(COUNT(AQ23:AT23)&lt;4,"","Python "&amp;AQ23&amp;" of "&amp;Settings!$B$4&amp;"; "&amp;"SQL "&amp;AR23&amp;" of "&amp;Settings!$B$5&amp;"; "&amp;"Statistics "&amp;AS23&amp;" of "&amp;Settings!$B$6&amp;"; "&amp;"Stating a problem "&amp;AT23&amp;" of "&amp;Settings!$B$7)</f>
        <v/>
      </c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  <c r="AL24" s="13" t="n"/>
      <c r="AM24" s="13" t="n"/>
      <c r="AN24" s="13" t="n"/>
      <c r="AO24" s="13" t="n"/>
      <c r="AP24" s="13" t="n"/>
      <c r="AQ24" s="11">
        <f>IF(COUNT(G24:S24)=0,"",SUM(G24:S24))</f>
        <v/>
      </c>
      <c r="AR24" s="11">
        <f>IF(COUNT(T24:Z24)=0,"",SUM(T24:Z24))</f>
        <v/>
      </c>
      <c r="AS24" s="11">
        <f>IF(COUNT(AA24:AH24)=0,"",SUM(AA24:AH24))</f>
        <v/>
      </c>
      <c r="AT24" s="11">
        <f>IF(COUNT(AI24:AP24)=0,"",SUM(AI24:AP24))</f>
        <v/>
      </c>
      <c r="AU24" s="11">
        <f>IF($B24="no","no paper yet",IF(AQ24="","",IF(AQ24&lt;Settings!$B$10,"taught","practice")))</f>
        <v/>
      </c>
      <c r="AV24" s="12">
        <f>IF(COUNT(AQ24:AT24)&lt;4,"","Python "&amp;AQ24&amp;" of "&amp;Settings!$B$4&amp;"; "&amp;"SQL "&amp;AR24&amp;" of "&amp;Settings!$B$5&amp;"; "&amp;"Statistics "&amp;AS24&amp;" of "&amp;Settings!$B$6&amp;"; "&amp;"Stating a problem "&amp;AT24&amp;" of "&amp;Settings!$B$7)</f>
        <v/>
      </c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  <c r="AL25" s="13" t="n"/>
      <c r="AM25" s="13" t="n"/>
      <c r="AN25" s="13" t="n"/>
      <c r="AO25" s="13" t="n"/>
      <c r="AP25" s="13" t="n"/>
      <c r="AQ25" s="11">
        <f>IF(COUNT(G25:S25)=0,"",SUM(G25:S25))</f>
        <v/>
      </c>
      <c r="AR25" s="11">
        <f>IF(COUNT(T25:Z25)=0,"",SUM(T25:Z25))</f>
        <v/>
      </c>
      <c r="AS25" s="11">
        <f>IF(COUNT(AA25:AH25)=0,"",SUM(AA25:AH25))</f>
        <v/>
      </c>
      <c r="AT25" s="11">
        <f>IF(COUNT(AI25:AP25)=0,"",SUM(AI25:AP25))</f>
        <v/>
      </c>
      <c r="AU25" s="11">
        <f>IF($B25="no","no paper yet",IF(AQ25="","",IF(AQ25&lt;Settings!$B$10,"taught","practice")))</f>
        <v/>
      </c>
      <c r="AV25" s="12">
        <f>IF(COUNT(AQ25:AT25)&lt;4,"","Python "&amp;AQ25&amp;" of "&amp;Settings!$B$4&amp;"; "&amp;"SQL "&amp;AR25&amp;" of "&amp;Settings!$B$5&amp;"; "&amp;"Statistics "&amp;AS25&amp;" of "&amp;Settings!$B$6&amp;"; "&amp;"Stating a problem "&amp;AT25&amp;" of "&amp;Settings!$B$7)</f>
        <v/>
      </c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  <c r="AL26" s="13" t="n"/>
      <c r="AM26" s="13" t="n"/>
      <c r="AN26" s="13" t="n"/>
      <c r="AO26" s="13" t="n"/>
      <c r="AP26" s="13" t="n"/>
      <c r="AQ26" s="11">
        <f>IF(COUNT(G26:S26)=0,"",SUM(G26:S26))</f>
        <v/>
      </c>
      <c r="AR26" s="11">
        <f>IF(COUNT(T26:Z26)=0,"",SUM(T26:Z26))</f>
        <v/>
      </c>
      <c r="AS26" s="11">
        <f>IF(COUNT(AA26:AH26)=0,"",SUM(AA26:AH26))</f>
        <v/>
      </c>
      <c r="AT26" s="11">
        <f>IF(COUNT(AI26:AP26)=0,"",SUM(AI26:AP26))</f>
        <v/>
      </c>
      <c r="AU26" s="11">
        <f>IF($B26="no","no paper yet",IF(AQ26="","",IF(AQ26&lt;Settings!$B$10,"taught","practice")))</f>
        <v/>
      </c>
      <c r="AV26" s="12">
        <f>IF(COUNT(AQ26:AT26)&lt;4,"","Python "&amp;AQ26&amp;" of "&amp;Settings!$B$4&amp;"; "&amp;"SQL "&amp;AR26&amp;" of "&amp;Settings!$B$5&amp;"; "&amp;"Statistics "&amp;AS26&amp;" of "&amp;Settings!$B$6&amp;"; "&amp;"Stating a problem "&amp;AT26&amp;" of "&amp;Settings!$B$7)</f>
        <v/>
      </c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  <c r="AL27" s="13" t="n"/>
      <c r="AM27" s="13" t="n"/>
      <c r="AN27" s="13" t="n"/>
      <c r="AO27" s="13" t="n"/>
      <c r="AP27" s="13" t="n"/>
      <c r="AQ27" s="11">
        <f>IF(COUNT(G27:S27)=0,"",SUM(G27:S27))</f>
        <v/>
      </c>
      <c r="AR27" s="11">
        <f>IF(COUNT(T27:Z27)=0,"",SUM(T27:Z27))</f>
        <v/>
      </c>
      <c r="AS27" s="11">
        <f>IF(COUNT(AA27:AH27)=0,"",SUM(AA27:AH27))</f>
        <v/>
      </c>
      <c r="AT27" s="11">
        <f>IF(COUNT(AI27:AP27)=0,"",SUM(AI27:AP27))</f>
        <v/>
      </c>
      <c r="AU27" s="11">
        <f>IF($B27="no","no paper yet",IF(AQ27="","",IF(AQ27&lt;Settings!$B$10,"taught","practice")))</f>
        <v/>
      </c>
      <c r="AV27" s="12">
        <f>IF(COUNT(AQ27:AT27)&lt;4,"","Python "&amp;AQ27&amp;" of "&amp;Settings!$B$4&amp;"; "&amp;"SQL "&amp;AR27&amp;" of "&amp;Settings!$B$5&amp;"; "&amp;"Statistics "&amp;AS27&amp;" of "&amp;Settings!$B$6&amp;"; "&amp;"Stating a problem "&amp;AT27&amp;" of "&amp;Settings!$B$7)</f>
        <v/>
      </c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  <c r="AL28" s="13" t="n"/>
      <c r="AM28" s="13" t="n"/>
      <c r="AN28" s="13" t="n"/>
      <c r="AO28" s="13" t="n"/>
      <c r="AP28" s="13" t="n"/>
      <c r="AQ28" s="11">
        <f>IF(COUNT(G28:S28)=0,"",SUM(G28:S28))</f>
        <v/>
      </c>
      <c r="AR28" s="11">
        <f>IF(COUNT(T28:Z28)=0,"",SUM(T28:Z28))</f>
        <v/>
      </c>
      <c r="AS28" s="11">
        <f>IF(COUNT(AA28:AH28)=0,"",SUM(AA28:AH28))</f>
        <v/>
      </c>
      <c r="AT28" s="11">
        <f>IF(COUNT(AI28:AP28)=0,"",SUM(AI28:AP28))</f>
        <v/>
      </c>
      <c r="AU28" s="11">
        <f>IF($B28="no","no paper yet",IF(AQ28="","",IF(AQ28&lt;Settings!$B$10,"taught","practice")))</f>
        <v/>
      </c>
      <c r="AV28" s="12">
        <f>IF(COUNT(AQ28:AT28)&lt;4,"","Python "&amp;AQ28&amp;" of "&amp;Settings!$B$4&amp;"; "&amp;"SQL "&amp;AR28&amp;" of "&amp;Settings!$B$5&amp;"; "&amp;"Statistics "&amp;AS28&amp;" of "&amp;Settings!$B$6&amp;"; "&amp;"Stating a problem "&amp;AT28&amp;" of "&amp;Settings!$B$7)</f>
        <v/>
      </c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  <c r="AL29" s="13" t="n"/>
      <c r="AM29" s="13" t="n"/>
      <c r="AN29" s="13" t="n"/>
      <c r="AO29" s="13" t="n"/>
      <c r="AP29" s="13" t="n"/>
      <c r="AQ29" s="11">
        <f>IF(COUNT(G29:S29)=0,"",SUM(G29:S29))</f>
        <v/>
      </c>
      <c r="AR29" s="11">
        <f>IF(COUNT(T29:Z29)=0,"",SUM(T29:Z29))</f>
        <v/>
      </c>
      <c r="AS29" s="11">
        <f>IF(COUNT(AA29:AH29)=0,"",SUM(AA29:AH29))</f>
        <v/>
      </c>
      <c r="AT29" s="11">
        <f>IF(COUNT(AI29:AP29)=0,"",SUM(AI29:AP29))</f>
        <v/>
      </c>
      <c r="AU29" s="11">
        <f>IF($B29="no","no paper yet",IF(AQ29="","",IF(AQ29&lt;Settings!$B$10,"taught","practice")))</f>
        <v/>
      </c>
      <c r="AV29" s="12">
        <f>IF(COUNT(AQ29:AT29)&lt;4,"","Python "&amp;AQ29&amp;" of "&amp;Settings!$B$4&amp;"; "&amp;"SQL "&amp;AR29&amp;" of "&amp;Settings!$B$5&amp;"; "&amp;"Statistics "&amp;AS29&amp;" of "&amp;Settings!$B$6&amp;"; "&amp;"Stating a problem "&amp;AT29&amp;" of "&amp;Settings!$B$7)</f>
        <v/>
      </c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  <c r="AL30" s="13" t="n"/>
      <c r="AM30" s="13" t="n"/>
      <c r="AN30" s="13" t="n"/>
      <c r="AO30" s="13" t="n"/>
      <c r="AP30" s="13" t="n"/>
      <c r="AQ30" s="11">
        <f>IF(COUNT(G30:S30)=0,"",SUM(G30:S30))</f>
        <v/>
      </c>
      <c r="AR30" s="11">
        <f>IF(COUNT(T30:Z30)=0,"",SUM(T30:Z30))</f>
        <v/>
      </c>
      <c r="AS30" s="11">
        <f>IF(COUNT(AA30:AH30)=0,"",SUM(AA30:AH30))</f>
        <v/>
      </c>
      <c r="AT30" s="11">
        <f>IF(COUNT(AI30:AP30)=0,"",SUM(AI30:AP30))</f>
        <v/>
      </c>
      <c r="AU30" s="11">
        <f>IF($B30="no","no paper yet",IF(AQ30="","",IF(AQ30&lt;Settings!$B$10,"taught","practice")))</f>
        <v/>
      </c>
      <c r="AV30" s="12">
        <f>IF(COUNT(AQ30:AT30)&lt;4,"","Python "&amp;AQ30&amp;" of "&amp;Settings!$B$4&amp;"; "&amp;"SQL "&amp;AR30&amp;" of "&amp;Settings!$B$5&amp;"; "&amp;"Statistics "&amp;AS30&amp;" of "&amp;Settings!$B$6&amp;"; "&amp;"Stating a problem "&amp;AT30&amp;" of "&amp;Settings!$B$7)</f>
        <v/>
      </c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  <c r="AL31" s="13" t="n"/>
      <c r="AM31" s="13" t="n"/>
      <c r="AN31" s="13" t="n"/>
      <c r="AO31" s="13" t="n"/>
      <c r="AP31" s="13" t="n"/>
      <c r="AQ31" s="11">
        <f>IF(COUNT(G31:S31)=0,"",SUM(G31:S31))</f>
        <v/>
      </c>
      <c r="AR31" s="11">
        <f>IF(COUNT(T31:Z31)=0,"",SUM(T31:Z31))</f>
        <v/>
      </c>
      <c r="AS31" s="11">
        <f>IF(COUNT(AA31:AH31)=0,"",SUM(AA31:AH31))</f>
        <v/>
      </c>
      <c r="AT31" s="11">
        <f>IF(COUNT(AI31:AP31)=0,"",SUM(AI31:AP31))</f>
        <v/>
      </c>
      <c r="AU31" s="11">
        <f>IF($B31="no","no paper yet",IF(AQ31="","",IF(AQ31&lt;Settings!$B$10,"taught","practice")))</f>
        <v/>
      </c>
      <c r="AV31" s="12">
        <f>IF(COUNT(AQ31:AT31)&lt;4,"","Python "&amp;AQ31&amp;" of "&amp;Settings!$B$4&amp;"; "&amp;"SQL "&amp;AR31&amp;" of "&amp;Settings!$B$5&amp;"; "&amp;"Statistics "&amp;AS31&amp;" of "&amp;Settings!$B$6&amp;"; "&amp;"Stating a problem "&amp;AT31&amp;" of "&amp;Settings!$B$7)</f>
        <v/>
      </c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  <c r="AL32" s="13" t="n"/>
      <c r="AM32" s="13" t="n"/>
      <c r="AN32" s="13" t="n"/>
      <c r="AO32" s="13" t="n"/>
      <c r="AP32" s="13" t="n"/>
      <c r="AQ32" s="11">
        <f>IF(COUNT(G32:S32)=0,"",SUM(G32:S32))</f>
        <v/>
      </c>
      <c r="AR32" s="11">
        <f>IF(COUNT(T32:Z32)=0,"",SUM(T32:Z32))</f>
        <v/>
      </c>
      <c r="AS32" s="11">
        <f>IF(COUNT(AA32:AH32)=0,"",SUM(AA32:AH32))</f>
        <v/>
      </c>
      <c r="AT32" s="11">
        <f>IF(COUNT(AI32:AP32)=0,"",SUM(AI32:AP32))</f>
        <v/>
      </c>
      <c r="AU32" s="11">
        <f>IF($B32="no","no paper yet",IF(AQ32="","",IF(AQ32&lt;Settings!$B$10,"taught","practice")))</f>
        <v/>
      </c>
      <c r="AV32" s="12">
        <f>IF(COUNT(AQ32:AT32)&lt;4,"","Python "&amp;AQ32&amp;" of "&amp;Settings!$B$4&amp;"; "&amp;"SQL "&amp;AR32&amp;" of "&amp;Settings!$B$5&amp;"; "&amp;"Statistics "&amp;AS32&amp;" of "&amp;Settings!$B$6&amp;"; "&amp;"Stating a problem "&amp;AT32&amp;" of "&amp;Settings!$B$7)</f>
        <v/>
      </c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  <c r="AL33" s="13" t="n"/>
      <c r="AM33" s="13" t="n"/>
      <c r="AN33" s="13" t="n"/>
      <c r="AO33" s="13" t="n"/>
      <c r="AP33" s="13" t="n"/>
      <c r="AQ33" s="11">
        <f>IF(COUNT(G33:S33)=0,"",SUM(G33:S33))</f>
        <v/>
      </c>
      <c r="AR33" s="11">
        <f>IF(COUNT(T33:Z33)=0,"",SUM(T33:Z33))</f>
        <v/>
      </c>
      <c r="AS33" s="11">
        <f>IF(COUNT(AA33:AH33)=0,"",SUM(AA33:AH33))</f>
        <v/>
      </c>
      <c r="AT33" s="11">
        <f>IF(COUNT(AI33:AP33)=0,"",SUM(AI33:AP33))</f>
        <v/>
      </c>
      <c r="AU33" s="11">
        <f>IF($B33="no","no paper yet",IF(AQ33="","",IF(AQ33&lt;Settings!$B$10,"taught","practice")))</f>
        <v/>
      </c>
      <c r="AV33" s="12">
        <f>IF(COUNT(AQ33:AT33)&lt;4,"","Python "&amp;AQ33&amp;" of "&amp;Settings!$B$4&amp;"; "&amp;"SQL "&amp;AR33&amp;" of "&amp;Settings!$B$5&amp;"; "&amp;"Statistics "&amp;AS33&amp;" of "&amp;Settings!$B$6&amp;"; "&amp;"Stating a problem "&amp;AT33&amp;" of "&amp;Settings!$B$7)</f>
        <v/>
      </c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  <c r="AL34" s="13" t="n"/>
      <c r="AM34" s="13" t="n"/>
      <c r="AN34" s="13" t="n"/>
      <c r="AO34" s="13" t="n"/>
      <c r="AP34" s="13" t="n"/>
      <c r="AQ34" s="11">
        <f>IF(COUNT(G34:S34)=0,"",SUM(G34:S34))</f>
        <v/>
      </c>
      <c r="AR34" s="11">
        <f>IF(COUNT(T34:Z34)=0,"",SUM(T34:Z34))</f>
        <v/>
      </c>
      <c r="AS34" s="11">
        <f>IF(COUNT(AA34:AH34)=0,"",SUM(AA34:AH34))</f>
        <v/>
      </c>
      <c r="AT34" s="11">
        <f>IF(COUNT(AI34:AP34)=0,"",SUM(AI34:AP34))</f>
        <v/>
      </c>
      <c r="AU34" s="11">
        <f>IF($B34="no","no paper yet",IF(AQ34="","",IF(AQ34&lt;Settings!$B$10,"taught","practice")))</f>
        <v/>
      </c>
      <c r="AV34" s="12">
        <f>IF(COUNT(AQ34:AT34)&lt;4,"","Python "&amp;AQ34&amp;" of "&amp;Settings!$B$4&amp;"; "&amp;"SQL "&amp;AR34&amp;" of "&amp;Settings!$B$5&amp;"; "&amp;"Statistics "&amp;AS34&amp;" of "&amp;Settings!$B$6&amp;"; "&amp;"Stating a problem "&amp;AT34&amp;" of "&amp;Settings!$B$7)</f>
        <v/>
      </c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  <c r="AL35" s="13" t="n"/>
      <c r="AM35" s="13" t="n"/>
      <c r="AN35" s="13" t="n"/>
      <c r="AO35" s="13" t="n"/>
      <c r="AP35" s="13" t="n"/>
      <c r="AQ35" s="11">
        <f>IF(COUNT(G35:S35)=0,"",SUM(G35:S35))</f>
        <v/>
      </c>
      <c r="AR35" s="11">
        <f>IF(COUNT(T35:Z35)=0,"",SUM(T35:Z35))</f>
        <v/>
      </c>
      <c r="AS35" s="11">
        <f>IF(COUNT(AA35:AH35)=0,"",SUM(AA35:AH35))</f>
        <v/>
      </c>
      <c r="AT35" s="11">
        <f>IF(COUNT(AI35:AP35)=0,"",SUM(AI35:AP35))</f>
        <v/>
      </c>
      <c r="AU35" s="11">
        <f>IF($B35="no","no paper yet",IF(AQ35="","",IF(AQ35&lt;Settings!$B$10,"taught","practice")))</f>
        <v/>
      </c>
      <c r="AV35" s="12">
        <f>IF(COUNT(AQ35:AT35)&lt;4,"","Python "&amp;AQ35&amp;" of "&amp;Settings!$B$4&amp;"; "&amp;"SQL "&amp;AR35&amp;" of "&amp;Settings!$B$5&amp;"; "&amp;"Statistics "&amp;AS35&amp;" of "&amp;Settings!$B$6&amp;"; "&amp;"Stating a problem "&amp;AT35&amp;" of "&amp;Settings!$B$7)</f>
        <v/>
      </c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  <c r="AE36" s="13" t="n"/>
      <c r="AF36" s="13" t="n"/>
      <c r="AG36" s="13" t="n"/>
      <c r="AH36" s="13" t="n"/>
      <c r="AI36" s="13" t="n"/>
      <c r="AJ36" s="13" t="n"/>
      <c r="AK36" s="13" t="n"/>
      <c r="AL36" s="13" t="n"/>
      <c r="AM36" s="13" t="n"/>
      <c r="AN36" s="13" t="n"/>
      <c r="AO36" s="13" t="n"/>
      <c r="AP36" s="13" t="n"/>
      <c r="AQ36" s="11">
        <f>IF(COUNT(G36:S36)=0,"",SUM(G36:S36))</f>
        <v/>
      </c>
      <c r="AR36" s="11">
        <f>IF(COUNT(T36:Z36)=0,"",SUM(T36:Z36))</f>
        <v/>
      </c>
      <c r="AS36" s="11">
        <f>IF(COUNT(AA36:AH36)=0,"",SUM(AA36:AH36))</f>
        <v/>
      </c>
      <c r="AT36" s="11">
        <f>IF(COUNT(AI36:AP36)=0,"",SUM(AI36:AP36))</f>
        <v/>
      </c>
      <c r="AU36" s="11">
        <f>IF($B36="no","no paper yet",IF(AQ36="","",IF(AQ36&lt;Settings!$B$10,"taught","practice")))</f>
        <v/>
      </c>
      <c r="AV36" s="12">
        <f>IF(COUNT(AQ36:AT36)&lt;4,"","Python "&amp;AQ36&amp;" of "&amp;Settings!$B$4&amp;"; "&amp;"SQL "&amp;AR36&amp;" of "&amp;Settings!$B$5&amp;"; "&amp;"Statistics "&amp;AS36&amp;" of "&amp;Settings!$B$6&amp;"; "&amp;"Stating a problem "&amp;AT36&amp;" of "&amp;Settings!$B$7)</f>
        <v/>
      </c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  <c r="AE37" s="13" t="n"/>
      <c r="AF37" s="13" t="n"/>
      <c r="AG37" s="13" t="n"/>
      <c r="AH37" s="13" t="n"/>
      <c r="AI37" s="13" t="n"/>
      <c r="AJ37" s="13" t="n"/>
      <c r="AK37" s="13" t="n"/>
      <c r="AL37" s="13" t="n"/>
      <c r="AM37" s="13" t="n"/>
      <c r="AN37" s="13" t="n"/>
      <c r="AO37" s="13" t="n"/>
      <c r="AP37" s="13" t="n"/>
      <c r="AQ37" s="11">
        <f>IF(COUNT(G37:S37)=0,"",SUM(G37:S37))</f>
        <v/>
      </c>
      <c r="AR37" s="11">
        <f>IF(COUNT(T37:Z37)=0,"",SUM(T37:Z37))</f>
        <v/>
      </c>
      <c r="AS37" s="11">
        <f>IF(COUNT(AA37:AH37)=0,"",SUM(AA37:AH37))</f>
        <v/>
      </c>
      <c r="AT37" s="11">
        <f>IF(COUNT(AI37:AP37)=0,"",SUM(AI37:AP37))</f>
        <v/>
      </c>
      <c r="AU37" s="11">
        <f>IF($B37="no","no paper yet",IF(AQ37="","",IF(AQ37&lt;Settings!$B$10,"taught","practice")))</f>
        <v/>
      </c>
      <c r="AV37" s="12">
        <f>IF(COUNT(AQ37:AT37)&lt;4,"","Python "&amp;AQ37&amp;" of "&amp;Settings!$B$4&amp;"; "&amp;"SQL "&amp;AR37&amp;" of "&amp;Settings!$B$5&amp;"; "&amp;"Statistics "&amp;AS37&amp;" of "&amp;Settings!$B$6&amp;"; "&amp;"Stating a problem "&amp;AT37&amp;" of "&amp;Settings!$B$7)</f>
        <v/>
      </c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3" t="n"/>
      <c r="AD38" s="13" t="n"/>
      <c r="AE38" s="13" t="n"/>
      <c r="AF38" s="13" t="n"/>
      <c r="AG38" s="13" t="n"/>
      <c r="AH38" s="13" t="n"/>
      <c r="AI38" s="13" t="n"/>
      <c r="AJ38" s="13" t="n"/>
      <c r="AK38" s="13" t="n"/>
      <c r="AL38" s="13" t="n"/>
      <c r="AM38" s="13" t="n"/>
      <c r="AN38" s="13" t="n"/>
      <c r="AO38" s="13" t="n"/>
      <c r="AP38" s="13" t="n"/>
      <c r="AQ38" s="11">
        <f>IF(COUNT(G38:S38)=0,"",SUM(G38:S38))</f>
        <v/>
      </c>
      <c r="AR38" s="11">
        <f>IF(COUNT(T38:Z38)=0,"",SUM(T38:Z38))</f>
        <v/>
      </c>
      <c r="AS38" s="11">
        <f>IF(COUNT(AA38:AH38)=0,"",SUM(AA38:AH38))</f>
        <v/>
      </c>
      <c r="AT38" s="11">
        <f>IF(COUNT(AI38:AP38)=0,"",SUM(AI38:AP38))</f>
        <v/>
      </c>
      <c r="AU38" s="11">
        <f>IF($B38="no","no paper yet",IF(AQ38="","",IF(AQ38&lt;Settings!$B$10,"taught","practice")))</f>
        <v/>
      </c>
      <c r="AV38" s="12">
        <f>IF(COUNT(AQ38:AT38)&lt;4,"","Python "&amp;AQ38&amp;" of "&amp;Settings!$B$4&amp;"; "&amp;"SQL "&amp;AR38&amp;" of "&amp;Settings!$B$5&amp;"; "&amp;"Statistics "&amp;AS38&amp;" of "&amp;Settings!$B$6&amp;"; "&amp;"Stating a problem "&amp;AT38&amp;" of "&amp;Settings!$B$7)</f>
        <v/>
      </c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  <c r="AE39" s="13" t="n"/>
      <c r="AF39" s="13" t="n"/>
      <c r="AG39" s="13" t="n"/>
      <c r="AH39" s="13" t="n"/>
      <c r="AI39" s="13" t="n"/>
      <c r="AJ39" s="13" t="n"/>
      <c r="AK39" s="13" t="n"/>
      <c r="AL39" s="13" t="n"/>
      <c r="AM39" s="13" t="n"/>
      <c r="AN39" s="13" t="n"/>
      <c r="AO39" s="13" t="n"/>
      <c r="AP39" s="13" t="n"/>
      <c r="AQ39" s="11">
        <f>IF(COUNT(G39:S39)=0,"",SUM(G39:S39))</f>
        <v/>
      </c>
      <c r="AR39" s="11">
        <f>IF(COUNT(T39:Z39)=0,"",SUM(T39:Z39))</f>
        <v/>
      </c>
      <c r="AS39" s="11">
        <f>IF(COUNT(AA39:AH39)=0,"",SUM(AA39:AH39))</f>
        <v/>
      </c>
      <c r="AT39" s="11">
        <f>IF(COUNT(AI39:AP39)=0,"",SUM(AI39:AP39))</f>
        <v/>
      </c>
      <c r="AU39" s="11">
        <f>IF($B39="no","no paper yet",IF(AQ39="","",IF(AQ39&lt;Settings!$B$10,"taught","practice")))</f>
        <v/>
      </c>
      <c r="AV39" s="12">
        <f>IF(COUNT(AQ39:AT39)&lt;4,"","Python "&amp;AQ39&amp;" of "&amp;Settings!$B$4&amp;"; "&amp;"SQL "&amp;AR39&amp;" of "&amp;Settings!$B$5&amp;"; "&amp;"Statistics "&amp;AS39&amp;" of "&amp;Settings!$B$6&amp;"; "&amp;"Stating a problem "&amp;AT39&amp;" of "&amp;Settings!$B$7)</f>
        <v/>
      </c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3" t="n"/>
      <c r="AD40" s="13" t="n"/>
      <c r="AE40" s="13" t="n"/>
      <c r="AF40" s="13" t="n"/>
      <c r="AG40" s="13" t="n"/>
      <c r="AH40" s="13" t="n"/>
      <c r="AI40" s="13" t="n"/>
      <c r="AJ40" s="13" t="n"/>
      <c r="AK40" s="13" t="n"/>
      <c r="AL40" s="13" t="n"/>
      <c r="AM40" s="13" t="n"/>
      <c r="AN40" s="13" t="n"/>
      <c r="AO40" s="13" t="n"/>
      <c r="AP40" s="13" t="n"/>
      <c r="AQ40" s="11">
        <f>IF(COUNT(G40:S40)=0,"",SUM(G40:S40))</f>
        <v/>
      </c>
      <c r="AR40" s="11">
        <f>IF(COUNT(T40:Z40)=0,"",SUM(T40:Z40))</f>
        <v/>
      </c>
      <c r="AS40" s="11">
        <f>IF(COUNT(AA40:AH40)=0,"",SUM(AA40:AH40))</f>
        <v/>
      </c>
      <c r="AT40" s="11">
        <f>IF(COUNT(AI40:AP40)=0,"",SUM(AI40:AP40))</f>
        <v/>
      </c>
      <c r="AU40" s="11">
        <f>IF($B40="no","no paper yet",IF(AQ40="","",IF(AQ40&lt;Settings!$B$10,"taught","practice")))</f>
        <v/>
      </c>
      <c r="AV40" s="12">
        <f>IF(COUNT(AQ40:AT40)&lt;4,"","Python "&amp;AQ40&amp;" of "&amp;Settings!$B$4&amp;"; "&amp;"SQL "&amp;AR40&amp;" of "&amp;Settings!$B$5&amp;"; "&amp;"Statistics "&amp;AS40&amp;" of "&amp;Settings!$B$6&amp;"; "&amp;"Stating a problem "&amp;AT40&amp;" of "&amp;Settings!$B$7)</f>
        <v/>
      </c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3" t="n"/>
      <c r="AD41" s="13" t="n"/>
      <c r="AE41" s="13" t="n"/>
      <c r="AF41" s="13" t="n"/>
      <c r="AG41" s="13" t="n"/>
      <c r="AH41" s="13" t="n"/>
      <c r="AI41" s="13" t="n"/>
      <c r="AJ41" s="13" t="n"/>
      <c r="AK41" s="13" t="n"/>
      <c r="AL41" s="13" t="n"/>
      <c r="AM41" s="13" t="n"/>
      <c r="AN41" s="13" t="n"/>
      <c r="AO41" s="13" t="n"/>
      <c r="AP41" s="13" t="n"/>
      <c r="AQ41" s="11">
        <f>IF(COUNT(G41:S41)=0,"",SUM(G41:S41))</f>
        <v/>
      </c>
      <c r="AR41" s="11">
        <f>IF(COUNT(T41:Z41)=0,"",SUM(T41:Z41))</f>
        <v/>
      </c>
      <c r="AS41" s="11">
        <f>IF(COUNT(AA41:AH41)=0,"",SUM(AA41:AH41))</f>
        <v/>
      </c>
      <c r="AT41" s="11">
        <f>IF(COUNT(AI41:AP41)=0,"",SUM(AI41:AP41))</f>
        <v/>
      </c>
      <c r="AU41" s="11">
        <f>IF($B41="no","no paper yet",IF(AQ41="","",IF(AQ41&lt;Settings!$B$10,"taught","practice")))</f>
        <v/>
      </c>
      <c r="AV41" s="12">
        <f>IF(COUNT(AQ41:AT41)&lt;4,"","Python "&amp;AQ41&amp;" of "&amp;Settings!$B$4&amp;"; "&amp;"SQL "&amp;AR41&amp;" of "&amp;Settings!$B$5&amp;"; "&amp;"Statistics "&amp;AS41&amp;" of "&amp;Settings!$B$6&amp;"; "&amp;"Stating a problem "&amp;AT41&amp;" of "&amp;Settings!$B$7)</f>
        <v/>
      </c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  <c r="AA42" s="13" t="n"/>
      <c r="AB42" s="13" t="n"/>
      <c r="AC42" s="13" t="n"/>
      <c r="AD42" s="13" t="n"/>
      <c r="AE42" s="13" t="n"/>
      <c r="AF42" s="13" t="n"/>
      <c r="AG42" s="13" t="n"/>
      <c r="AH42" s="13" t="n"/>
      <c r="AI42" s="13" t="n"/>
      <c r="AJ42" s="13" t="n"/>
      <c r="AK42" s="13" t="n"/>
      <c r="AL42" s="13" t="n"/>
      <c r="AM42" s="13" t="n"/>
      <c r="AN42" s="13" t="n"/>
      <c r="AO42" s="13" t="n"/>
      <c r="AP42" s="13" t="n"/>
      <c r="AQ42" s="11">
        <f>IF(COUNT(G42:S42)=0,"",SUM(G42:S42))</f>
        <v/>
      </c>
      <c r="AR42" s="11">
        <f>IF(COUNT(T42:Z42)=0,"",SUM(T42:Z42))</f>
        <v/>
      </c>
      <c r="AS42" s="11">
        <f>IF(COUNT(AA42:AH42)=0,"",SUM(AA42:AH42))</f>
        <v/>
      </c>
      <c r="AT42" s="11">
        <f>IF(COUNT(AI42:AP42)=0,"",SUM(AI42:AP42))</f>
        <v/>
      </c>
      <c r="AU42" s="11">
        <f>IF($B42="no","no paper yet",IF(AQ42="","",IF(AQ42&lt;Settings!$B$10,"taught","practice")))</f>
        <v/>
      </c>
      <c r="AV42" s="12">
        <f>IF(COUNT(AQ42:AT42)&lt;4,"","Python "&amp;AQ42&amp;" of "&amp;Settings!$B$4&amp;"; "&amp;"SQL "&amp;AR42&amp;" of "&amp;Settings!$B$5&amp;"; "&amp;"Statistics "&amp;AS42&amp;" of "&amp;Settings!$B$6&amp;"; "&amp;"Stating a problem "&amp;AT42&amp;" of "&amp;Settings!$B$7)</f>
        <v/>
      </c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  <c r="AA43" s="13" t="n"/>
      <c r="AB43" s="13" t="n"/>
      <c r="AC43" s="13" t="n"/>
      <c r="AD43" s="13" t="n"/>
      <c r="AE43" s="13" t="n"/>
      <c r="AF43" s="13" t="n"/>
      <c r="AG43" s="13" t="n"/>
      <c r="AH43" s="13" t="n"/>
      <c r="AI43" s="13" t="n"/>
      <c r="AJ43" s="13" t="n"/>
      <c r="AK43" s="13" t="n"/>
      <c r="AL43" s="13" t="n"/>
      <c r="AM43" s="13" t="n"/>
      <c r="AN43" s="13" t="n"/>
      <c r="AO43" s="13" t="n"/>
      <c r="AP43" s="13" t="n"/>
      <c r="AQ43" s="11">
        <f>IF(COUNT(G43:S43)=0,"",SUM(G43:S43))</f>
        <v/>
      </c>
      <c r="AR43" s="11">
        <f>IF(COUNT(T43:Z43)=0,"",SUM(T43:Z43))</f>
        <v/>
      </c>
      <c r="AS43" s="11">
        <f>IF(COUNT(AA43:AH43)=0,"",SUM(AA43:AH43))</f>
        <v/>
      </c>
      <c r="AT43" s="11">
        <f>IF(COUNT(AI43:AP43)=0,"",SUM(AI43:AP43))</f>
        <v/>
      </c>
      <c r="AU43" s="11">
        <f>IF($B43="no","no paper yet",IF(AQ43="","",IF(AQ43&lt;Settings!$B$10,"taught","practice")))</f>
        <v/>
      </c>
      <c r="AV43" s="12">
        <f>IF(COUNT(AQ43:AT43)&lt;4,"","Python "&amp;AQ43&amp;" of "&amp;Settings!$B$4&amp;"; "&amp;"SQL "&amp;AR43&amp;" of "&amp;Settings!$B$5&amp;"; "&amp;"Statistics "&amp;AS43&amp;" of "&amp;Settings!$B$6&amp;"; "&amp;"Stating a problem "&amp;AT43&amp;" of "&amp;Settings!$B$7)</f>
        <v/>
      </c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  <c r="AA44" s="13" t="n"/>
      <c r="AB44" s="13" t="n"/>
      <c r="AC44" s="13" t="n"/>
      <c r="AD44" s="13" t="n"/>
      <c r="AE44" s="13" t="n"/>
      <c r="AF44" s="13" t="n"/>
      <c r="AG44" s="13" t="n"/>
      <c r="AH44" s="13" t="n"/>
      <c r="AI44" s="13" t="n"/>
      <c r="AJ44" s="13" t="n"/>
      <c r="AK44" s="13" t="n"/>
      <c r="AL44" s="13" t="n"/>
      <c r="AM44" s="13" t="n"/>
      <c r="AN44" s="13" t="n"/>
      <c r="AO44" s="13" t="n"/>
      <c r="AP44" s="13" t="n"/>
      <c r="AQ44" s="11">
        <f>IF(COUNT(G44:S44)=0,"",SUM(G44:S44))</f>
        <v/>
      </c>
      <c r="AR44" s="11">
        <f>IF(COUNT(T44:Z44)=0,"",SUM(T44:Z44))</f>
        <v/>
      </c>
      <c r="AS44" s="11">
        <f>IF(COUNT(AA44:AH44)=0,"",SUM(AA44:AH44))</f>
        <v/>
      </c>
      <c r="AT44" s="11">
        <f>IF(COUNT(AI44:AP44)=0,"",SUM(AI44:AP44))</f>
        <v/>
      </c>
      <c r="AU44" s="11">
        <f>IF($B44="no","no paper yet",IF(AQ44="","",IF(AQ44&lt;Settings!$B$10,"taught","practice")))</f>
        <v/>
      </c>
      <c r="AV44" s="12">
        <f>IF(COUNT(AQ44:AT44)&lt;4,"","Python "&amp;AQ44&amp;" of "&amp;Settings!$B$4&amp;"; "&amp;"SQL "&amp;AR44&amp;" of "&amp;Settings!$B$5&amp;"; "&amp;"Statistics "&amp;AS44&amp;" of "&amp;Settings!$B$6&amp;"; "&amp;"Stating a problem "&amp;AT44&amp;" of "&amp;Settings!$B$7)</f>
        <v/>
      </c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n"/>
      <c r="AC45" s="13" t="n"/>
      <c r="AD45" s="13" t="n"/>
      <c r="AE45" s="13" t="n"/>
      <c r="AF45" s="13" t="n"/>
      <c r="AG45" s="13" t="n"/>
      <c r="AH45" s="13" t="n"/>
      <c r="AI45" s="13" t="n"/>
      <c r="AJ45" s="13" t="n"/>
      <c r="AK45" s="13" t="n"/>
      <c r="AL45" s="13" t="n"/>
      <c r="AM45" s="13" t="n"/>
      <c r="AN45" s="13" t="n"/>
      <c r="AO45" s="13" t="n"/>
      <c r="AP45" s="13" t="n"/>
      <c r="AQ45" s="11">
        <f>IF(COUNT(G45:S45)=0,"",SUM(G45:S45))</f>
        <v/>
      </c>
      <c r="AR45" s="11">
        <f>IF(COUNT(T45:Z45)=0,"",SUM(T45:Z45))</f>
        <v/>
      </c>
      <c r="AS45" s="11">
        <f>IF(COUNT(AA45:AH45)=0,"",SUM(AA45:AH45))</f>
        <v/>
      </c>
      <c r="AT45" s="11">
        <f>IF(COUNT(AI45:AP45)=0,"",SUM(AI45:AP45))</f>
        <v/>
      </c>
      <c r="AU45" s="11">
        <f>IF($B45="no","no paper yet",IF(AQ45="","",IF(AQ45&lt;Settings!$B$10,"taught","practice")))</f>
        <v/>
      </c>
      <c r="AV45" s="12">
        <f>IF(COUNT(AQ45:AT45)&lt;4,"","Python "&amp;AQ45&amp;" of "&amp;Settings!$B$4&amp;"; "&amp;"SQL "&amp;AR45&amp;" of "&amp;Settings!$B$5&amp;"; "&amp;"Statistics "&amp;AS45&amp;" of "&amp;Settings!$B$6&amp;"; "&amp;"Stating a problem "&amp;AT45&amp;" of "&amp;Settings!$B$7)</f>
        <v/>
      </c>
    </row>
  </sheetData>
  <mergeCells count="4">
    <mergeCell ref="T3:Z3"/>
    <mergeCell ref="AA3:AH3"/>
    <mergeCell ref="G3:S3"/>
    <mergeCell ref="AI3:AP3"/>
  </mergeCells>
  <dataValidations count="3">
    <dataValidation sqref="B5:B45" showDropDown="0" showInputMessage="0" showErrorMessage="0" allowBlank="1" type="list">
      <formula1>"yes,no"</formula1>
    </dataValidation>
    <dataValidation sqref="C5:F45" showDropDown="0" showInputMessage="0" showErrorMessage="0" allowBlank="1" type="list">
      <formula1>"A,B,C,D"</formula1>
    </dataValidation>
    <dataValidation sqref="G5:AP45" showDropDown="0" showInputMessage="0" showErrorMessage="1" allowBlank="1" error="A tick is 1 and a cross is 0." type="whole" operator="between">
      <formula1>0</formula1>
      <formula2>1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6" customWidth="1" min="1" max="1"/>
    <col width="90" customWidth="1" min="2" max="2"/>
  </cols>
  <sheetData>
    <row r="1">
      <c r="A1" s="5" t="inlineStr">
        <is>
          <t>Settings</t>
        </is>
      </c>
    </row>
    <row r="2">
      <c r="A2" s="6" t="inlineStr">
        <is>
          <t>Only B9 is an input. The counts come from the grid's own columns.</t>
        </is>
      </c>
    </row>
    <row r="3">
      <c r="A3" s="14" t="inlineStr">
        <is>
          <t>Ticks on each paper</t>
        </is>
      </c>
    </row>
    <row r="4">
      <c r="A4" s="15" t="inlineStr">
        <is>
          <t>Python</t>
        </is>
      </c>
      <c r="B4" s="15">
        <f>COLUMNS(Scores!G4:S4)</f>
        <v/>
      </c>
    </row>
    <row r="5">
      <c r="A5" s="15" t="inlineStr">
        <is>
          <t>SQL</t>
        </is>
      </c>
      <c r="B5" s="15">
        <f>COLUMNS(Scores!T4:Z4)</f>
        <v/>
      </c>
    </row>
    <row r="6">
      <c r="A6" s="15" t="inlineStr">
        <is>
          <t>Statistics</t>
        </is>
      </c>
      <c r="B6" s="15">
        <f>COLUMNS(Scores!AA4:AH4)</f>
        <v/>
      </c>
    </row>
    <row r="7">
      <c r="A7" s="15" t="inlineStr">
        <is>
          <t>Stating a problem</t>
        </is>
      </c>
      <c r="B7" s="15">
        <f>COLUMNS(Scores!AI4:AP4)</f>
        <v/>
      </c>
    </row>
    <row r="8">
      <c r="A8" s="15" t="n"/>
      <c r="B8" s="15" t="n"/>
    </row>
    <row r="9">
      <c r="A9" s="15" t="inlineStr">
        <is>
          <t>Taught track below this share of the Python ticks</t>
        </is>
      </c>
      <c r="B9" s="16" t="n">
        <v>0.5</v>
      </c>
    </row>
    <row r="10">
      <c r="A10" s="15" t="inlineStr">
        <is>
          <t>The line, in Python ticks</t>
        </is>
      </c>
      <c r="B10" s="15">
        <f>B4*B9</f>
        <v/>
      </c>
    </row>
    <row r="11">
      <c r="A11" s="15" t="inlineStr">
        <is>
          <t>The rule as it reads</t>
        </is>
      </c>
      <c r="B11" s="15">
        <f>"A learner with "&amp;(ROUNDUP(B10,0)-1)&amp;" or fewer of the "&amp;B4&amp;" Python ticks joins the taught track; everyone else joins the practice track."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6" customWidth="1" min="3" max="3"/>
    <col width="16" customWidth="1" min="4" max="4"/>
    <col width="16" customWidth="1" min="5" max="5"/>
  </cols>
  <sheetData>
    <row r="1">
      <c r="A1" s="5" t="inlineStr">
        <is>
          <t>The room, for Wednesday morning</t>
        </is>
      </c>
    </row>
    <row r="2">
      <c r="A2" s="6" t="inlineStr">
        <is>
          <t>Counts leave out the example row. Share right is among the learners who sat the paper.</t>
        </is>
      </c>
    </row>
    <row r="4">
      <c r="A4" s="15" t="inlineStr">
        <is>
          <t>Sat the paper</t>
        </is>
      </c>
      <c r="B4" s="15">
        <f>COUNTIF(Scores!$B$6:$B$45,"yes")</f>
        <v/>
      </c>
    </row>
    <row r="5">
      <c r="A5" s="15" t="inlineStr">
        <is>
          <t>Missed it, so sit the make-up</t>
        </is>
      </c>
      <c r="B5" s="15">
        <f>COUNTIF(Scores!$B$6:$B$45,"no")</f>
        <v/>
      </c>
    </row>
    <row r="6">
      <c r="A6" s="15" t="inlineStr">
        <is>
          <t>Taught track</t>
        </is>
      </c>
      <c r="B6" s="15">
        <f>COUNTIFS(Scores!$B$6:$B$45,"yes",Scores!$AU$6:$AU$45,"taught")</f>
        <v/>
      </c>
    </row>
    <row r="7">
      <c r="A7" s="15" t="inlineStr">
        <is>
          <t>Practice track</t>
        </is>
      </c>
      <c r="B7" s="15">
        <f>COUNTIFS(Scores!$B$6:$B$45,"yes",Scores!$AU$6:$AU$45,"practice")</f>
        <v/>
      </c>
    </row>
    <row r="9">
      <c r="A9" s="17" t="inlineStr">
        <is>
          <t>Paper</t>
        </is>
      </c>
      <c r="B9" s="17" t="inlineStr">
        <is>
          <t>Share of its ticks earned</t>
        </is>
      </c>
    </row>
    <row r="10">
      <c r="A10" s="15" t="inlineStr">
        <is>
          <t>Python</t>
        </is>
      </c>
      <c r="B10" s="18">
        <f>IF($B$4=0,"",SUMIFS(Scores!AQ$6:AQ$45,Scores!$B$6:$B$45,"yes")/($B$4*Settings!$B$4))</f>
        <v/>
      </c>
    </row>
    <row r="11">
      <c r="A11" s="15" t="inlineStr">
        <is>
          <t>SQL</t>
        </is>
      </c>
      <c r="B11" s="18">
        <f>IF($B$4=0,"",SUMIFS(Scores!AR$6:AR$45,Scores!$B$6:$B$45,"yes")/($B$4*Settings!$B$5))</f>
        <v/>
      </c>
    </row>
    <row r="12">
      <c r="A12" s="15" t="inlineStr">
        <is>
          <t>Statistics</t>
        </is>
      </c>
      <c r="B12" s="18">
        <f>IF($B$4=0,"",SUMIFS(Scores!AS$6:AS$45,Scores!$B$6:$B$45,"yes")/($B$4*Settings!$B$6))</f>
        <v/>
      </c>
    </row>
    <row r="13">
      <c r="A13" s="15" t="inlineStr">
        <is>
          <t>Stating a problem</t>
        </is>
      </c>
      <c r="B13" s="18">
        <f>IF($B$4=0,"",SUMIFS(Scores!AT$6:AT$45,Scores!$B$6:$B$45,"yes")/($B$4*Settings!$B$7))</f>
        <v/>
      </c>
    </row>
    <row r="15">
      <c r="A15" s="17" t="inlineStr">
        <is>
          <t>Tick</t>
        </is>
      </c>
      <c r="B15" s="17" t="inlineStr">
        <is>
          <t>Paper</t>
        </is>
      </c>
      <c r="C15" s="17" t="inlineStr">
        <is>
          <t>Earned</t>
        </is>
      </c>
      <c r="D15" s="17" t="inlineStr">
        <is>
          <t>Share right</t>
        </is>
      </c>
      <c r="E15" s="17" t="inlineStr">
        <is>
          <t>Most missed first</t>
        </is>
      </c>
    </row>
    <row r="16">
      <c r="A16" s="15" t="inlineStr">
        <is>
          <t>1</t>
        </is>
      </c>
      <c r="B16" s="15" t="inlineStr">
        <is>
          <t>Python</t>
        </is>
      </c>
      <c r="C16" s="15">
        <f>COUNTIFS(Scores!$B$6:$B$45,"yes",Scores!G$6:G$45,1)</f>
        <v/>
      </c>
      <c r="D16" s="18">
        <f>IF($B$4=0,"",C16/$B$4)</f>
        <v/>
      </c>
      <c r="E16" s="15">
        <f>IF(D16="","",RANK(D16,$D$16:$D$51,1))</f>
        <v/>
      </c>
    </row>
    <row r="17">
      <c r="A17" s="15" t="inlineStr">
        <is>
          <t>2</t>
        </is>
      </c>
      <c r="B17" s="15" t="inlineStr">
        <is>
          <t>Python</t>
        </is>
      </c>
      <c r="C17" s="15">
        <f>COUNTIFS(Scores!$B$6:$B$45,"yes",Scores!H$6:H$45,1)</f>
        <v/>
      </c>
      <c r="D17" s="18">
        <f>IF($B$4=0,"",C17/$B$4)</f>
        <v/>
      </c>
      <c r="E17" s="15">
        <f>IF(D17="","",RANK(D17,$D$16:$D$51,1))</f>
        <v/>
      </c>
    </row>
    <row r="18">
      <c r="A18" s="15" t="inlineStr">
        <is>
          <t>3</t>
        </is>
      </c>
      <c r="B18" s="15" t="inlineStr">
        <is>
          <t>Python</t>
        </is>
      </c>
      <c r="C18" s="15">
        <f>COUNTIFS(Scores!$B$6:$B$45,"yes",Scores!I$6:I$45,1)</f>
        <v/>
      </c>
      <c r="D18" s="18">
        <f>IF($B$4=0,"",C18/$B$4)</f>
        <v/>
      </c>
      <c r="E18" s="15">
        <f>IF(D18="","",RANK(D18,$D$16:$D$51,1))</f>
        <v/>
      </c>
    </row>
    <row r="19">
      <c r="A19" s="15" t="inlineStr">
        <is>
          <t>4</t>
        </is>
      </c>
      <c r="B19" s="15" t="inlineStr">
        <is>
          <t>Python</t>
        </is>
      </c>
      <c r="C19" s="15">
        <f>COUNTIFS(Scores!$B$6:$B$45,"yes",Scores!J$6:J$45,1)</f>
        <v/>
      </c>
      <c r="D19" s="18">
        <f>IF($B$4=0,"",C19/$B$4)</f>
        <v/>
      </c>
      <c r="E19" s="15">
        <f>IF(D19="","",RANK(D19,$D$16:$D$51,1))</f>
        <v/>
      </c>
    </row>
    <row r="20">
      <c r="A20" s="15" t="inlineStr">
        <is>
          <t>5</t>
        </is>
      </c>
      <c r="B20" s="15" t="inlineStr">
        <is>
          <t>Python</t>
        </is>
      </c>
      <c r="C20" s="15">
        <f>COUNTIFS(Scores!$B$6:$B$45,"yes",Scores!K$6:K$45,1)</f>
        <v/>
      </c>
      <c r="D20" s="18">
        <f>IF($B$4=0,"",C20/$B$4)</f>
        <v/>
      </c>
      <c r="E20" s="15">
        <f>IF(D20="","",RANK(D20,$D$16:$D$51,1))</f>
        <v/>
      </c>
    </row>
    <row r="21">
      <c r="A21" s="15" t="inlineStr">
        <is>
          <t>6</t>
        </is>
      </c>
      <c r="B21" s="15" t="inlineStr">
        <is>
          <t>Python</t>
        </is>
      </c>
      <c r="C21" s="15">
        <f>COUNTIFS(Scores!$B$6:$B$45,"yes",Scores!L$6:L$45,1)</f>
        <v/>
      </c>
      <c r="D21" s="18">
        <f>IF($B$4=0,"",C21/$B$4)</f>
        <v/>
      </c>
      <c r="E21" s="15">
        <f>IF(D21="","",RANK(D21,$D$16:$D$51,1))</f>
        <v/>
      </c>
    </row>
    <row r="22">
      <c r="A22" s="15" t="inlineStr">
        <is>
          <t>7</t>
        </is>
      </c>
      <c r="B22" s="15" t="inlineStr">
        <is>
          <t>Python</t>
        </is>
      </c>
      <c r="C22" s="15">
        <f>COUNTIFS(Scores!$B$6:$B$45,"yes",Scores!M$6:M$45,1)</f>
        <v/>
      </c>
      <c r="D22" s="18">
        <f>IF($B$4=0,"",C22/$B$4)</f>
        <v/>
      </c>
      <c r="E22" s="15">
        <f>IF(D22="","",RANK(D22,$D$16:$D$51,1))</f>
        <v/>
      </c>
    </row>
    <row r="23">
      <c r="A23" s="15" t="inlineStr">
        <is>
          <t>8</t>
        </is>
      </c>
      <c r="B23" s="15" t="inlineStr">
        <is>
          <t>Python</t>
        </is>
      </c>
      <c r="C23" s="15">
        <f>COUNTIFS(Scores!$B$6:$B$45,"yes",Scores!N$6:N$45,1)</f>
        <v/>
      </c>
      <c r="D23" s="18">
        <f>IF($B$4=0,"",C23/$B$4)</f>
        <v/>
      </c>
      <c r="E23" s="15">
        <f>IF(D23="","",RANK(D23,$D$16:$D$51,1))</f>
        <v/>
      </c>
    </row>
    <row r="24">
      <c r="A24" s="15" t="inlineStr">
        <is>
          <t>9</t>
        </is>
      </c>
      <c r="B24" s="15" t="inlineStr">
        <is>
          <t>Python</t>
        </is>
      </c>
      <c r="C24" s="15">
        <f>COUNTIFS(Scores!$B$6:$B$45,"yes",Scores!O$6:O$45,1)</f>
        <v/>
      </c>
      <c r="D24" s="18">
        <f>IF($B$4=0,"",C24/$B$4)</f>
        <v/>
      </c>
      <c r="E24" s="15">
        <f>IF(D24="","",RANK(D24,$D$16:$D$51,1))</f>
        <v/>
      </c>
    </row>
    <row r="25">
      <c r="A25" s="15" t="inlineStr">
        <is>
          <t>10</t>
        </is>
      </c>
      <c r="B25" s="15" t="inlineStr">
        <is>
          <t>Python</t>
        </is>
      </c>
      <c r="C25" s="15">
        <f>COUNTIFS(Scores!$B$6:$B$45,"yes",Scores!P$6:P$45,1)</f>
        <v/>
      </c>
      <c r="D25" s="18">
        <f>IF($B$4=0,"",C25/$B$4)</f>
        <v/>
      </c>
      <c r="E25" s="15">
        <f>IF(D25="","",RANK(D25,$D$16:$D$51,1))</f>
        <v/>
      </c>
    </row>
    <row r="26">
      <c r="A26" s="15" t="inlineStr">
        <is>
          <t>11a</t>
        </is>
      </c>
      <c r="B26" s="15" t="inlineStr">
        <is>
          <t>Python</t>
        </is>
      </c>
      <c r="C26" s="15">
        <f>COUNTIFS(Scores!$B$6:$B$45,"yes",Scores!Q$6:Q$45,1)</f>
        <v/>
      </c>
      <c r="D26" s="18">
        <f>IF($B$4=0,"",C26/$B$4)</f>
        <v/>
      </c>
      <c r="E26" s="15">
        <f>IF(D26="","",RANK(D26,$D$16:$D$51,1))</f>
        <v/>
      </c>
    </row>
    <row r="27">
      <c r="A27" s="15" t="inlineStr">
        <is>
          <t>11b</t>
        </is>
      </c>
      <c r="B27" s="15" t="inlineStr">
        <is>
          <t>Python</t>
        </is>
      </c>
      <c r="C27" s="15">
        <f>COUNTIFS(Scores!$B$6:$B$45,"yes",Scores!R$6:R$45,1)</f>
        <v/>
      </c>
      <c r="D27" s="18">
        <f>IF($B$4=0,"",C27/$B$4)</f>
        <v/>
      </c>
      <c r="E27" s="15">
        <f>IF(D27="","",RANK(D27,$D$16:$D$51,1))</f>
        <v/>
      </c>
    </row>
    <row r="28">
      <c r="A28" s="15" t="inlineStr">
        <is>
          <t>11c</t>
        </is>
      </c>
      <c r="B28" s="15" t="inlineStr">
        <is>
          <t>Python</t>
        </is>
      </c>
      <c r="C28" s="15">
        <f>COUNTIFS(Scores!$B$6:$B$45,"yes",Scores!S$6:S$45,1)</f>
        <v/>
      </c>
      <c r="D28" s="18">
        <f>IF($B$4=0,"",C28/$B$4)</f>
        <v/>
      </c>
      <c r="E28" s="15">
        <f>IF(D28="","",RANK(D28,$D$16:$D$51,1))</f>
        <v/>
      </c>
    </row>
    <row r="29">
      <c r="A29" s="15" t="inlineStr">
        <is>
          <t>12</t>
        </is>
      </c>
      <c r="B29" s="15" t="inlineStr">
        <is>
          <t>SQL</t>
        </is>
      </c>
      <c r="C29" s="15">
        <f>COUNTIFS(Scores!$B$6:$B$45,"yes",Scores!T$6:T$45,1)</f>
        <v/>
      </c>
      <c r="D29" s="18">
        <f>IF($B$4=0,"",C29/$B$4)</f>
        <v/>
      </c>
      <c r="E29" s="15">
        <f>IF(D29="","",RANK(D29,$D$16:$D$51,1))</f>
        <v/>
      </c>
    </row>
    <row r="30">
      <c r="A30" s="15" t="inlineStr">
        <is>
          <t>13</t>
        </is>
      </c>
      <c r="B30" s="15" t="inlineStr">
        <is>
          <t>SQL</t>
        </is>
      </c>
      <c r="C30" s="15">
        <f>COUNTIFS(Scores!$B$6:$B$45,"yes",Scores!U$6:U$45,1)</f>
        <v/>
      </c>
      <c r="D30" s="18">
        <f>IF($B$4=0,"",C30/$B$4)</f>
        <v/>
      </c>
      <c r="E30" s="15">
        <f>IF(D30="","",RANK(D30,$D$16:$D$51,1))</f>
        <v/>
      </c>
    </row>
    <row r="31">
      <c r="A31" s="15" t="inlineStr">
        <is>
          <t>14</t>
        </is>
      </c>
      <c r="B31" s="15" t="inlineStr">
        <is>
          <t>SQL</t>
        </is>
      </c>
      <c r="C31" s="15">
        <f>COUNTIFS(Scores!$B$6:$B$45,"yes",Scores!V$6:V$45,1)</f>
        <v/>
      </c>
      <c r="D31" s="18">
        <f>IF($B$4=0,"",C31/$B$4)</f>
        <v/>
      </c>
      <c r="E31" s="15">
        <f>IF(D31="","",RANK(D31,$D$16:$D$51,1))</f>
        <v/>
      </c>
    </row>
    <row r="32">
      <c r="A32" s="15" t="inlineStr">
        <is>
          <t>15</t>
        </is>
      </c>
      <c r="B32" s="15" t="inlineStr">
        <is>
          <t>SQL</t>
        </is>
      </c>
      <c r="C32" s="15">
        <f>COUNTIFS(Scores!$B$6:$B$45,"yes",Scores!W$6:W$45,1)</f>
        <v/>
      </c>
      <c r="D32" s="18">
        <f>IF($B$4=0,"",C32/$B$4)</f>
        <v/>
      </c>
      <c r="E32" s="15">
        <f>IF(D32="","",RANK(D32,$D$16:$D$51,1))</f>
        <v/>
      </c>
    </row>
    <row r="33">
      <c r="A33" s="15" t="inlineStr">
        <is>
          <t>16</t>
        </is>
      </c>
      <c r="B33" s="15" t="inlineStr">
        <is>
          <t>SQL</t>
        </is>
      </c>
      <c r="C33" s="15">
        <f>COUNTIFS(Scores!$B$6:$B$45,"yes",Scores!X$6:X$45,1)</f>
        <v/>
      </c>
      <c r="D33" s="18">
        <f>IF($B$4=0,"",C33/$B$4)</f>
        <v/>
      </c>
      <c r="E33" s="15">
        <f>IF(D33="","",RANK(D33,$D$16:$D$51,1))</f>
        <v/>
      </c>
    </row>
    <row r="34">
      <c r="A34" s="15" t="inlineStr">
        <is>
          <t>17</t>
        </is>
      </c>
      <c r="B34" s="15" t="inlineStr">
        <is>
          <t>SQL</t>
        </is>
      </c>
      <c r="C34" s="15">
        <f>COUNTIFS(Scores!$B$6:$B$45,"yes",Scores!Y$6:Y$45,1)</f>
        <v/>
      </c>
      <c r="D34" s="18">
        <f>IF($B$4=0,"",C34/$B$4)</f>
        <v/>
      </c>
      <c r="E34" s="15">
        <f>IF(D34="","",RANK(D34,$D$16:$D$51,1))</f>
        <v/>
      </c>
    </row>
    <row r="35">
      <c r="A35" s="15" t="inlineStr">
        <is>
          <t>18</t>
        </is>
      </c>
      <c r="B35" s="15" t="inlineStr">
        <is>
          <t>SQL</t>
        </is>
      </c>
      <c r="C35" s="15">
        <f>COUNTIFS(Scores!$B$6:$B$45,"yes",Scores!Z$6:Z$45,1)</f>
        <v/>
      </c>
      <c r="D35" s="18">
        <f>IF($B$4=0,"",C35/$B$4)</f>
        <v/>
      </c>
      <c r="E35" s="15">
        <f>IF(D35="","",RANK(D35,$D$16:$D$51,1))</f>
        <v/>
      </c>
    </row>
    <row r="36">
      <c r="A36" s="15" t="inlineStr">
        <is>
          <t>19</t>
        </is>
      </c>
      <c r="B36" s="15" t="inlineStr">
        <is>
          <t>Statistics</t>
        </is>
      </c>
      <c r="C36" s="15">
        <f>COUNTIFS(Scores!$B$6:$B$45,"yes",Scores!AA$6:AA$45,1)</f>
        <v/>
      </c>
      <c r="D36" s="18">
        <f>IF($B$4=0,"",C36/$B$4)</f>
        <v/>
      </c>
      <c r="E36" s="15">
        <f>IF(D36="","",RANK(D36,$D$16:$D$51,1))</f>
        <v/>
      </c>
    </row>
    <row r="37">
      <c r="A37" s="15" t="inlineStr">
        <is>
          <t>20</t>
        </is>
      </c>
      <c r="B37" s="15" t="inlineStr">
        <is>
          <t>Statistics</t>
        </is>
      </c>
      <c r="C37" s="15">
        <f>COUNTIFS(Scores!$B$6:$B$45,"yes",Scores!AB$6:AB$45,1)</f>
        <v/>
      </c>
      <c r="D37" s="18">
        <f>IF($B$4=0,"",C37/$B$4)</f>
        <v/>
      </c>
      <c r="E37" s="15">
        <f>IF(D37="","",RANK(D37,$D$16:$D$51,1))</f>
        <v/>
      </c>
    </row>
    <row r="38">
      <c r="A38" s="15" t="inlineStr">
        <is>
          <t>21</t>
        </is>
      </c>
      <c r="B38" s="15" t="inlineStr">
        <is>
          <t>Statistics</t>
        </is>
      </c>
      <c r="C38" s="15">
        <f>COUNTIFS(Scores!$B$6:$B$45,"yes",Scores!AC$6:AC$45,1)</f>
        <v/>
      </c>
      <c r="D38" s="18">
        <f>IF($B$4=0,"",C38/$B$4)</f>
        <v/>
      </c>
      <c r="E38" s="15">
        <f>IF(D38="","",RANK(D38,$D$16:$D$51,1))</f>
        <v/>
      </c>
    </row>
    <row r="39">
      <c r="A39" s="15" t="inlineStr">
        <is>
          <t>22</t>
        </is>
      </c>
      <c r="B39" s="15" t="inlineStr">
        <is>
          <t>Statistics</t>
        </is>
      </c>
      <c r="C39" s="15">
        <f>COUNTIFS(Scores!$B$6:$B$45,"yes",Scores!AD$6:AD$45,1)</f>
        <v/>
      </c>
      <c r="D39" s="18">
        <f>IF($B$4=0,"",C39/$B$4)</f>
        <v/>
      </c>
      <c r="E39" s="15">
        <f>IF(D39="","",RANK(D39,$D$16:$D$51,1))</f>
        <v/>
      </c>
    </row>
    <row r="40">
      <c r="A40" s="15" t="inlineStr">
        <is>
          <t>23</t>
        </is>
      </c>
      <c r="B40" s="15" t="inlineStr">
        <is>
          <t>Statistics</t>
        </is>
      </c>
      <c r="C40" s="15">
        <f>COUNTIFS(Scores!$B$6:$B$45,"yes",Scores!AE$6:AE$45,1)</f>
        <v/>
      </c>
      <c r="D40" s="18">
        <f>IF($B$4=0,"",C40/$B$4)</f>
        <v/>
      </c>
      <c r="E40" s="15">
        <f>IF(D40="","",RANK(D40,$D$16:$D$51,1))</f>
        <v/>
      </c>
    </row>
    <row r="41">
      <c r="A41" s="15" t="inlineStr">
        <is>
          <t>24</t>
        </is>
      </c>
      <c r="B41" s="15" t="inlineStr">
        <is>
          <t>Statistics</t>
        </is>
      </c>
      <c r="C41" s="15">
        <f>COUNTIFS(Scores!$B$6:$B$45,"yes",Scores!AF$6:AF$45,1)</f>
        <v/>
      </c>
      <c r="D41" s="18">
        <f>IF($B$4=0,"",C41/$B$4)</f>
        <v/>
      </c>
      <c r="E41" s="15">
        <f>IF(D41="","",RANK(D41,$D$16:$D$51,1))</f>
        <v/>
      </c>
    </row>
    <row r="42">
      <c r="A42" s="15" t="inlineStr">
        <is>
          <t>25</t>
        </is>
      </c>
      <c r="B42" s="15" t="inlineStr">
        <is>
          <t>Statistics</t>
        </is>
      </c>
      <c r="C42" s="15">
        <f>COUNTIFS(Scores!$B$6:$B$45,"yes",Scores!AG$6:AG$45,1)</f>
        <v/>
      </c>
      <c r="D42" s="18">
        <f>IF($B$4=0,"",C42/$B$4)</f>
        <v/>
      </c>
      <c r="E42" s="15">
        <f>IF(D42="","",RANK(D42,$D$16:$D$51,1))</f>
        <v/>
      </c>
    </row>
    <row r="43">
      <c r="A43" s="15" t="inlineStr">
        <is>
          <t>26</t>
        </is>
      </c>
      <c r="B43" s="15" t="inlineStr">
        <is>
          <t>Statistics</t>
        </is>
      </c>
      <c r="C43" s="15">
        <f>COUNTIFS(Scores!$B$6:$B$45,"yes",Scores!AH$6:AH$45,1)</f>
        <v/>
      </c>
      <c r="D43" s="18">
        <f>IF($B$4=0,"",C43/$B$4)</f>
        <v/>
      </c>
      <c r="E43" s="15">
        <f>IF(D43="","",RANK(D43,$D$16:$D$51,1))</f>
        <v/>
      </c>
    </row>
    <row r="44">
      <c r="A44" s="15" t="inlineStr">
        <is>
          <t>27a</t>
        </is>
      </c>
      <c r="B44" s="15" t="inlineStr">
        <is>
          <t>Stating a problem</t>
        </is>
      </c>
      <c r="C44" s="15">
        <f>COUNTIFS(Scores!$B$6:$B$45,"yes",Scores!AI$6:AI$45,1)</f>
        <v/>
      </c>
      <c r="D44" s="18">
        <f>IF($B$4=0,"",C44/$B$4)</f>
        <v/>
      </c>
      <c r="E44" s="15">
        <f>IF(D44="","",RANK(D44,$D$16:$D$51,1))</f>
        <v/>
      </c>
    </row>
    <row r="45">
      <c r="A45" s="15" t="inlineStr">
        <is>
          <t>27b</t>
        </is>
      </c>
      <c r="B45" s="15" t="inlineStr">
        <is>
          <t>Stating a problem</t>
        </is>
      </c>
      <c r="C45" s="15">
        <f>COUNTIFS(Scores!$B$6:$B$45,"yes",Scores!AJ$6:AJ$45,1)</f>
        <v/>
      </c>
      <c r="D45" s="18">
        <f>IF($B$4=0,"",C45/$B$4)</f>
        <v/>
      </c>
      <c r="E45" s="15">
        <f>IF(D45="","",RANK(D45,$D$16:$D$51,1))</f>
        <v/>
      </c>
    </row>
    <row r="46">
      <c r="A46" s="15" t="inlineStr">
        <is>
          <t>27c</t>
        </is>
      </c>
      <c r="B46" s="15" t="inlineStr">
        <is>
          <t>Stating a problem</t>
        </is>
      </c>
      <c r="C46" s="15">
        <f>COUNTIFS(Scores!$B$6:$B$45,"yes",Scores!AK$6:AK$45,1)</f>
        <v/>
      </c>
      <c r="D46" s="18">
        <f>IF($B$4=0,"",C46/$B$4)</f>
        <v/>
      </c>
      <c r="E46" s="15">
        <f>IF(D46="","",RANK(D46,$D$16:$D$51,1))</f>
        <v/>
      </c>
    </row>
    <row r="47">
      <c r="A47" s="15" t="inlineStr">
        <is>
          <t>27d</t>
        </is>
      </c>
      <c r="B47" s="15" t="inlineStr">
        <is>
          <t>Stating a problem</t>
        </is>
      </c>
      <c r="C47" s="15">
        <f>COUNTIFS(Scores!$B$6:$B$45,"yes",Scores!AL$6:AL$45,1)</f>
        <v/>
      </c>
      <c r="D47" s="18">
        <f>IF($B$4=0,"",C47/$B$4)</f>
        <v/>
      </c>
      <c r="E47" s="15">
        <f>IF(D47="","",RANK(D47,$D$16:$D$51,1))</f>
        <v/>
      </c>
    </row>
    <row r="48">
      <c r="A48" s="15" t="inlineStr">
        <is>
          <t>27e</t>
        </is>
      </c>
      <c r="B48" s="15" t="inlineStr">
        <is>
          <t>Stating a problem</t>
        </is>
      </c>
      <c r="C48" s="15">
        <f>COUNTIFS(Scores!$B$6:$B$45,"yes",Scores!AM$6:AM$45,1)</f>
        <v/>
      </c>
      <c r="D48" s="18">
        <f>IF($B$4=0,"",C48/$B$4)</f>
        <v/>
      </c>
      <c r="E48" s="15">
        <f>IF(D48="","",RANK(D48,$D$16:$D$51,1))</f>
        <v/>
      </c>
    </row>
    <row r="49">
      <c r="A49" s="15" t="inlineStr">
        <is>
          <t>28a</t>
        </is>
      </c>
      <c r="B49" s="15" t="inlineStr">
        <is>
          <t>Stating a problem</t>
        </is>
      </c>
      <c r="C49" s="15">
        <f>COUNTIFS(Scores!$B$6:$B$45,"yes",Scores!AN$6:AN$45,1)</f>
        <v/>
      </c>
      <c r="D49" s="18">
        <f>IF($B$4=0,"",C49/$B$4)</f>
        <v/>
      </c>
      <c r="E49" s="15">
        <f>IF(D49="","",RANK(D49,$D$16:$D$51,1))</f>
        <v/>
      </c>
    </row>
    <row r="50">
      <c r="A50" s="15" t="inlineStr">
        <is>
          <t>28b</t>
        </is>
      </c>
      <c r="B50" s="15" t="inlineStr">
        <is>
          <t>Stating a problem</t>
        </is>
      </c>
      <c r="C50" s="15">
        <f>COUNTIFS(Scores!$B$6:$B$45,"yes",Scores!AO$6:AO$45,1)</f>
        <v/>
      </c>
      <c r="D50" s="18">
        <f>IF($B$4=0,"",C50/$B$4)</f>
        <v/>
      </c>
      <c r="E50" s="15">
        <f>IF(D50="","",RANK(D50,$D$16:$D$51,1))</f>
        <v/>
      </c>
    </row>
    <row r="51">
      <c r="A51" s="15" t="inlineStr">
        <is>
          <t>28c</t>
        </is>
      </c>
      <c r="B51" s="15" t="inlineStr">
        <is>
          <t>Stating a problem</t>
        </is>
      </c>
      <c r="C51" s="15">
        <f>COUNTIFS(Scores!$B$6:$B$45,"yes",Scores!AP$6:AP$45,1)</f>
        <v/>
      </c>
      <c r="D51" s="18">
        <f>IF($B$4=0,"",C51/$B$4)</f>
        <v/>
      </c>
      <c r="E51" s="15">
        <f>IF(D51="","",RANK(D51,$D$16:$D$51,1))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2026-09-28T03:40:02Z</dcterms:created>
  <dcterms:modified xmlns:dcterms="http://purl.org/dc/terms/" xmlns:xsi="http://www.w3.org/2001/XMLSchema-instance" xsi:type="dcterms:W3CDTF">2026-09-28T03:40:02Z</dcterms:modified>
</cp:coreProperties>
</file>