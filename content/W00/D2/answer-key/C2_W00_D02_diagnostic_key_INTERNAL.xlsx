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ey" sheetId="2" state="visible" r:id="rId4"/>
    <sheet name="Entry" sheetId="3" state="visible" r:id="rId5"/>
    <sheet name="Scoring" sheetId="4" state="visible" r:id="rId6"/>
    <sheet name="Profile" sheetId="5" state="visible" r:id="rId7"/>
  </sheets>
  <definedNames>
    <definedName function="false" hidden="false" name="Band2" vbProcedure="false">Dashboard!$C$12</definedName>
    <definedName function="false" hidden="false" name="Band3" vbProcedure="false">Dashboard!$C$13</definedName>
    <definedName function="false" hidden="false" name="Band4" vbProcedure="false">Dashboard!$C$14</definedName>
    <definedName function="false" hidden="false" name="PyCut" vbProcedure="false">Dashboard!$C$15</definedName>
    <definedName function="false" hidden="false" name="SqlCut" vbProcedure="false">Dashboard!$C$16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<sst xmlns="http://schemas.openxmlformats.org/spreadsheetml/2006/main" count="1132" uniqueCount="478">
  <si>
    <t xml:space="preserve">Baseline Diagnostic: key and cohort profile</t>
  </si>
  <si>
    <t xml:space="preserve">Cohort 2 | Week 0 | INTERNAL | built 28 Sep 2026 | every number below is a formula over the Entry tab</t>
  </si>
  <si>
    <t xml:space="preserve">Students entered</t>
  </si>
  <si>
    <t xml:space="preserve">Cohort mean, all 46 marks</t>
  </si>
  <si>
    <t xml:space="preserve">Python mean</t>
  </si>
  <si>
    <t xml:space="preserve">SQL mean</t>
  </si>
  <si>
    <t xml:space="preserve">Need full Python brush-up</t>
  </si>
  <si>
    <t xml:space="preserve">Need full SQL brush-up</t>
  </si>
  <si>
    <t xml:space="preserve">Mean over-claim (bands)</t>
  </si>
  <si>
    <t xml:space="preserve">Inputs</t>
  </si>
  <si>
    <t xml:space="preserve">Blue cells are the only ones to edit on this tab. Every profile and chart recalculates from them.</t>
  </si>
  <si>
    <t xml:space="preserve">Input</t>
  </si>
  <si>
    <t xml:space="preserve">Value</t>
  </si>
  <si>
    <t xml:space="preserve">What it drives</t>
  </si>
  <si>
    <t xml:space="preserve">Band 2 starts at (score %)</t>
  </si>
  <si>
    <t xml:space="preserve">Scored band 1 below this</t>
  </si>
  <si>
    <t xml:space="preserve">Band 3 starts at (score %)</t>
  </si>
  <si>
    <t xml:space="preserve">Scored band 2 up to this</t>
  </si>
  <si>
    <t xml:space="preserve">Band 4 starts at (score %)</t>
  </si>
  <si>
    <t xml:space="preserve">Scored band 3 up to this, band 4 from here</t>
  </si>
  <si>
    <t xml:space="preserve">Python full brush-up below (%)</t>
  </si>
  <si>
    <t xml:space="preserve">Profile column Python brush-up</t>
  </si>
  <si>
    <t xml:space="preserve">SQL full brush-up below (%)</t>
  </si>
  <si>
    <t xml:space="preserve">Profile column SQL brush-up</t>
  </si>
  <si>
    <t xml:space="preserve">Proposed defaults, this course's own construction; the one-to-one owner may move them before results are read.</t>
  </si>
  <si>
    <t xml:space="preserve">Cohort accuracy by section and tier</t>
  </si>
  <si>
    <t xml:space="preserve">Share of entered students answering correctly, averaged over the items in each cell. Tiers: L1 entry, L2 interview screen, L3 differentiator.</t>
  </si>
  <si>
    <t xml:space="preserve">Section</t>
  </si>
  <si>
    <t xml:space="preserve">L1</t>
  </si>
  <si>
    <t xml:space="preserve">L2</t>
  </si>
  <si>
    <t xml:space="preserve">L3</t>
  </si>
  <si>
    <t xml:space="preserve">All items</t>
  </si>
  <si>
    <t xml:space="preserve">Items</t>
  </si>
  <si>
    <t xml:space="preserve">A. Python</t>
  </si>
  <si>
    <t xml:space="preserve">B. SQL</t>
  </si>
  <si>
    <t xml:space="preserve">C. Numbers</t>
  </si>
  <si>
    <t xml:space="preserve">D. Case and scenarios</t>
  </si>
  <si>
    <t xml:space="preserve">E. Judgment</t>
  </si>
  <si>
    <t xml:space="preserve">GenAI-flavoured subset</t>
  </si>
  <si>
    <t xml:space="preserve">Claimed against scored</t>
  </si>
  <si>
    <t xml:space="preserve">Claimed is the self-rating on page one of the paper (1 to 4). Scored band maps each area's score to 1 to 4 using the inputs above. Gap above zero means the room rates itself higher than it scored.</t>
  </si>
  <si>
    <t xml:space="preserve">Area</t>
  </si>
  <si>
    <t xml:space="preserve">Mean claimed</t>
  </si>
  <si>
    <t xml:space="preserve">Mean scored band</t>
  </si>
  <si>
    <t xml:space="preserve">Gap</t>
  </si>
  <si>
    <t xml:space="preserve">Share over-claiming</t>
  </si>
  <si>
    <t xml:space="preserve">Share under-claiming</t>
  </si>
  <si>
    <t xml:space="preserve">Python</t>
  </si>
  <si>
    <t xml:space="preserve">SQL</t>
  </si>
  <si>
    <t xml:space="preserve">Numbers and reasoning</t>
  </si>
  <si>
    <t xml:space="preserve">Business problem</t>
  </si>
  <si>
    <t xml:space="preserve">LLM tools</t>
  </si>
  <si>
    <t xml:space="preserve">Where the room sits</t>
  </si>
  <si>
    <t xml:space="preserve">Students by total score band, all 46 marks.</t>
  </si>
  <si>
    <t xml:space="preserve">Band</t>
  </si>
  <si>
    <t xml:space="preserve">Students</t>
  </si>
  <si>
    <t xml:space="preserve">Below 40%</t>
  </si>
  <si>
    <t xml:space="preserve">40% to 60%</t>
  </si>
  <si>
    <t xml:space="preserve">60% to 80%</t>
  </si>
  <si>
    <t xml:space="preserve">80% and above</t>
  </si>
  <si>
    <t xml:space="preserve">Hardest eight items</t>
  </si>
  <si>
    <t xml:space="preserve">Lowest cohort accuracy first. An L1 item in this list is a prerequisite gap for the brush-up; an L3 item here is expected.</t>
  </si>
  <si>
    <t xml:space="preserve">Item</t>
  </si>
  <si>
    <t xml:space="preserve">Concept</t>
  </si>
  <si>
    <t xml:space="preserve">Tier</t>
  </si>
  <si>
    <t xml:space="preserve">Accuracy</t>
  </si>
  <si>
    <t xml:space="preserve">Key position audit</t>
  </si>
  <si>
    <t xml:space="preserve">How often each letter is the correct answer across Q1 to Q34. Balanced when the spread is one or less.</t>
  </si>
  <si>
    <t xml:space="preserve">Position</t>
  </si>
  <si>
    <t xml:space="preserve">A</t>
  </si>
  <si>
    <t xml:space="preserve">B</t>
  </si>
  <si>
    <t xml:space="preserve">C</t>
  </si>
  <si>
    <t xml:space="preserve">D</t>
  </si>
  <si>
    <t xml:space="preserve">Spread</t>
  </si>
  <si>
    <t xml:space="preserve">Times correct</t>
  </si>
  <si>
    <t xml:space="preserve">How this workbook is used</t>
  </si>
  <si>
    <t xml:space="preserve">1. Type each answer sheet into the Entry tab, one row per student: five self-ratings, Q1 to Q34 as letters, Q35 to Q40 as a best and a worst letter, R1 to R10 as numbers. A question the student left blank is typed as a dash.</t>
  </si>
  <si>
    <t xml:space="preserve">2. A row counts as entered only when every input cell is filled; a partly typed row shows Pending on the Profile tab and is left out of every average here.</t>
  </si>
  <si>
    <t xml:space="preserve">3. The Profile tab is the one-to-one sheet: section scores, tier scores, claimed against scored per area, and the brush-up call for Python and SQL.</t>
  </si>
  <si>
    <t xml:space="preserve">4. The Key tab holds the answer, the tier, the concept and the misconception each wrong option catches, so a wrong answer can be read as a specific gap rather than a mark lost.</t>
  </si>
  <si>
    <t xml:space="preserve">Answer key, tiers and misconception map</t>
  </si>
  <si>
    <t xml:space="preserve">Cohort 2 | Week 0 | INTERNAL | never printed for students | Accuracy columns read from the Scoring tab</t>
  </si>
  <si>
    <t xml:space="preserve">Section title</t>
  </si>
  <si>
    <t xml:space="preserve">Format shown to student</t>
  </si>
  <si>
    <t xml:space="preserve">GenAI flavour</t>
  </si>
  <si>
    <t xml:space="preserve">Interview tag</t>
  </si>
  <si>
    <t xml:space="preserve">Concept tested</t>
  </si>
  <si>
    <t xml:space="preserve">Key</t>
  </si>
  <si>
    <t xml:space="preserve">Best</t>
  </si>
  <si>
    <t xml:space="preserve">Worst</t>
  </si>
  <si>
    <t xml:space="preserve">What A catches</t>
  </si>
  <si>
    <t xml:space="preserve">What B catches</t>
  </si>
  <si>
    <t xml:space="preserve">What C catches</t>
  </si>
  <si>
    <t xml:space="preserve">What D catches</t>
  </si>
  <si>
    <t xml:space="preserve">Marks</t>
  </si>
  <si>
    <t xml:space="preserve">Entered</t>
  </si>
  <si>
    <t xml:space="preserve">Cohort accuracy</t>
  </si>
  <si>
    <t xml:space="preserve">Sort helper</t>
  </si>
  <si>
    <t xml:space="preserve">Q1</t>
  </si>
  <si>
    <t xml:space="preserve">Python for data and GenAI</t>
  </si>
  <si>
    <t xml:space="preserve">Predict the output</t>
  </si>
  <si>
    <t xml:space="preserve">No</t>
  </si>
  <si>
    <t xml:space="preserve">[S]</t>
  </si>
  <si>
    <t xml:space="preserve">Types do not convert on their own</t>
  </si>
  <si>
    <t xml:space="preserve">n/a</t>
  </si>
  <si>
    <t xml:space="preserve">Assumes strings become numbers on their own</t>
  </si>
  <si>
    <t xml:space="preserve">Assumes + on an int and a str concatenates</t>
  </si>
  <si>
    <t xml:space="preserve">Correct: total starts as int 0 and o is a str</t>
  </si>
  <si>
    <t xml:space="preserve">Thinks the loop does not execute</t>
  </si>
  <si>
    <t xml:space="preserve">Q2</t>
  </si>
  <si>
    <t xml:space="preserve">Spot the bug, if there is one</t>
  </si>
  <si>
    <t xml:space="preserve">Two names, one list</t>
  </si>
  <si>
    <t xml:space="preserve">Believes assignment copies</t>
  </si>
  <si>
    <t xml:space="preserve">Correct: the expectation was wrong, the code was not</t>
  </si>
  <si>
    <t xml:space="preserve">Believes a method call binds to the name, not the object</t>
  </si>
  <si>
    <t xml:space="preserve">Confuses sorted() with .sort() and with append</t>
  </si>
  <si>
    <t xml:space="preserve">Q3</t>
  </si>
  <si>
    <t xml:space="preserve">Trace the flow (pseudocode)</t>
  </si>
  <si>
    <t xml:space="preserve">Accumulator and running best, strict comparison on a tie</t>
  </si>
  <si>
    <t xml:space="preserve">Gives the tie to the later day; the comparison is strict</t>
  </si>
  <si>
    <t xml:space="preserve">Stops accumulating once the best is found</t>
  </si>
  <si>
    <t xml:space="preserve">Prints best_revenue instead of the running total</t>
  </si>
  <si>
    <t xml:space="preserve">Correct: strict &gt; keeps Wed on the tie; the total is 40+25+55+55</t>
  </si>
  <si>
    <t xml:space="preserve">Q4</t>
  </si>
  <si>
    <t xml:space="preserve">Yes</t>
  </si>
  <si>
    <t xml:space="preserve">Counting labels with dict.get</t>
  </si>
  <si>
    <t xml:space="preserve">Correct: three refund labels, three distinct keys</t>
  </si>
  <si>
    <t xml:space="preserve">Thinks len(count) counts the labels, not the keys</t>
  </si>
  <si>
    <t xml:space="preserve">Swaps the two values</t>
  </si>
  <si>
    <t xml:space="preserve">Thinks .get raises on a missing key</t>
  </si>
  <si>
    <t xml:space="preserve">Q5</t>
  </si>
  <si>
    <t xml:space="preserve">Fix the code</t>
  </si>
  <si>
    <t xml:space="preserve">[F]</t>
  </si>
  <si>
    <t xml:space="preserve">Reading a nested JSON response</t>
  </si>
  <si>
    <t xml:space="preserve">Puts the list index at the wrong level</t>
  </si>
  <si>
    <t xml:space="preserve">Correct: choices is a list, so index it first</t>
  </si>
  <si>
    <t xml:space="preserve">Treats a dict like an object with attributes</t>
  </si>
  <si>
    <t xml:space="preserve">Indexes the string, and still fails on the list</t>
  </si>
  <si>
    <t xml:space="preserve">Q6</t>
  </si>
  <si>
    <t xml:space="preserve">Truthiness drops zero as well as None</t>
  </si>
  <si>
    <t xml:space="preserve">Thinks only None is removed; the zero is removed too</t>
  </si>
  <si>
    <t xml:space="preserve">Thinks / on ints gives an int</t>
  </si>
  <si>
    <t xml:space="preserve">Missed that the comprehension filters</t>
  </si>
  <si>
    <t xml:space="preserve">Correct: 0 and None are both false, so two values are dropped</t>
  </si>
  <si>
    <t xml:space="preserve">Q7</t>
  </si>
  <si>
    <t xml:space="preserve">Which line</t>
  </si>
  <si>
    <t xml:space="preserve">Integer division hides the fraction</t>
  </si>
  <si>
    <t xml:space="preserve">Correct</t>
  </si>
  <si>
    <t xml:space="preserve">The two forms are equivalent</t>
  </si>
  <si>
    <t xml:space="preserve">Would double count</t>
  </si>
  <si>
    <t xml:space="preserve">Blames the tool rather than the code</t>
  </si>
  <si>
    <t xml:space="preserve">Q8</t>
  </si>
  <si>
    <t xml:space="preserve">A default argument is created once</t>
  </si>
  <si>
    <t xml:space="preserve">Believes the default list is made fresh on every call</t>
  </si>
  <si>
    <t xml:space="preserve">Believes return hands back a snapshot copy</t>
  </si>
  <si>
    <t xml:space="preserve">Correct: one default object, shared by both names</t>
  </si>
  <si>
    <t xml:space="preserve">Hedging when unsure; it does not</t>
  </si>
  <si>
    <t xml:space="preserve">Q9</t>
  </si>
  <si>
    <t xml:space="preserve">Defensive conversion: skip and count the bad rows</t>
  </si>
  <si>
    <t xml:space="preserve">Correct: every failure is caught and kept</t>
  </si>
  <si>
    <t xml:space="preserve">Skips a fixed list of bad strings; the next new one still crashes and nothing is counted</t>
  </si>
  <si>
    <t xml:space="preserve">Stops at the first bad row and drops every row after it</t>
  </si>
  <si>
    <t xml:space="preserve">Filters empty strings only; 'n/a' still crashes</t>
  </si>
  <si>
    <t xml:space="preserve">Q10</t>
  </si>
  <si>
    <t xml:space="preserve">Spot the bug</t>
  </si>
  <si>
    <t xml:space="preserve">sorted() on tuples orders by the first element</t>
  </si>
  <si>
    <t xml:space="preserve">Reverses the meaning of the last element</t>
  </si>
  <si>
    <t xml:space="preserve">Tuples sort fine</t>
  </si>
  <si>
    <t xml:space="preserve">Invents a string comparison that is not happening</t>
  </si>
  <si>
    <t xml:space="preserve">Q11</t>
  </si>
  <si>
    <t xml:space="preserve">[D]</t>
  </si>
  <si>
    <t xml:space="preserve">Braces inside a format template are placeholders</t>
  </si>
  <si>
    <t xml:space="preserve">Missed that the JSON braces are also parsed</t>
  </si>
  <si>
    <t xml:space="preserve">Correct: format() treats every {...} as a field</t>
  </si>
  <si>
    <t xml:space="preserve">Single quotes outside, double inside is valid</t>
  </si>
  <si>
    <t xml:space="preserve">Invents a partial fill; format() is all or nothing</t>
  </si>
  <si>
    <t xml:space="preserve">Q12</t>
  </si>
  <si>
    <t xml:space="preserve">A repeated inner list is one object</t>
  </si>
  <si>
    <t xml:space="preserve">Same trap: one inner list repeated</t>
  </si>
  <si>
    <t xml:space="preserve">list() copies the outer list only</t>
  </si>
  <si>
    <t xml:space="preserve">Correct: the comprehension builds a new inner list each time</t>
  </si>
  <si>
    <t xml:space="preserve">copy() is shallow; the inner list is still shared</t>
  </si>
  <si>
    <t xml:space="preserve">Q13</t>
  </si>
  <si>
    <t xml:space="preserve">SQL for data and GenAI</t>
  </si>
  <si>
    <t xml:space="preserve">Predict the result</t>
  </si>
  <si>
    <t xml:space="preserve">COUNT(*) against COUNT(column) with NULL</t>
  </si>
  <si>
    <t xml:space="preserve">Thinks COUNT(column) counts NULL rows</t>
  </si>
  <si>
    <t xml:space="preserve">Correct: COUNT(amount) skips the NULL; SUM ignores it</t>
  </si>
  <si>
    <t xml:space="preserve">Ignores the WHERE clause</t>
  </si>
  <si>
    <t xml:space="preserve">Thinks one NULL makes the SUM NULL</t>
  </si>
  <si>
    <t xml:space="preserve">Q14</t>
  </si>
  <si>
    <t xml:space="preserve">Fix the query</t>
  </si>
  <si>
    <t xml:space="preserve">Integer division in SQL</t>
  </si>
  <si>
    <t xml:space="preserve">Correct: one decimal operand stops the integer division</t>
  </si>
  <si>
    <t xml:space="preserve">Rounds a value that is already 0</t>
  </si>
  <si>
    <t xml:space="preserve">COUNT of an expression counts every non-null row, so 5/5</t>
  </si>
  <si>
    <t xml:space="preserve">Postgres has no AVG over a boolean; it errors</t>
  </si>
  <si>
    <t xml:space="preserve">Q15</t>
  </si>
  <si>
    <t xml:space="preserve">WHERE before grouping, HAVING after</t>
  </si>
  <si>
    <t xml:space="preserve">Counts the cancelled Plus order</t>
  </si>
  <si>
    <t xml:space="preserve">Ignores HAVING</t>
  </si>
  <si>
    <t xml:space="preserve">Alias belief; HAVING can repeat the aggregate</t>
  </si>
  <si>
    <t xml:space="preserve">Q16</t>
  </si>
  <si>
    <t xml:space="preserve">NULL in a comparison</t>
  </si>
  <si>
    <t xml:space="preserve">Both operators are valid</t>
  </si>
  <si>
    <t xml:space="preserve">COUNT(*) counts every row it receives</t>
  </si>
  <si>
    <t xml:space="preserve">Correct: three-valued logic</t>
  </si>
  <si>
    <t xml:space="preserve">Invents a filter that is not in the query</t>
  </si>
  <si>
    <t xml:space="preserve">Q17</t>
  </si>
  <si>
    <t xml:space="preserve">Spot the bug and fix it</t>
  </si>
  <si>
    <t xml:space="preserve">A WHERE on the right table turns a LEFT JOIN into an inner join</t>
  </si>
  <si>
    <t xml:space="preserve">Correct: WHERE discards the NULL rows the left join created</t>
  </si>
  <si>
    <t xml:space="preserve">Confuses the count bug with the row-loss bug</t>
  </si>
  <si>
    <t xml:space="preserve">Guesses at join direction</t>
  </si>
  <si>
    <t xml:space="preserve">Believes HAVING can bring back filtered rows</t>
  </si>
  <si>
    <t xml:space="preserve">Q18</t>
  </si>
  <si>
    <t xml:space="preserve">Aggregates cannot sit in WHERE</t>
  </si>
  <si>
    <t xml:space="preserve">Assumes WHERE can see the aggregate</t>
  </si>
  <si>
    <t xml:space="preserve">Invents a silent skip</t>
  </si>
  <si>
    <t xml:space="preserve">Invents a NULL evaluation</t>
  </si>
  <si>
    <t xml:space="preserve">Q19</t>
  </si>
  <si>
    <t xml:space="preserve">Latest row per group with ROW_NUMBER</t>
  </si>
  <si>
    <t xml:space="preserve">Reads DESC as ascending</t>
  </si>
  <si>
    <t xml:space="preserve">Missed the outer WHERE rn = 1</t>
  </si>
  <si>
    <t xml:space="preserve">Over-applies a true rule; the filter is in the outer query</t>
  </si>
  <si>
    <t xml:space="preserve">Correct: highest call_id per ticket</t>
  </si>
  <si>
    <t xml:space="preserve">Q20</t>
  </si>
  <si>
    <t xml:space="preserve">Join fan-out inflates a SUM</t>
  </si>
  <si>
    <t xml:space="preserve">Drops the two genuine 0.30 costs down to one; wrong for a different reason</t>
  </si>
  <si>
    <t xml:space="preserve">DISTINCT applies to the output rows, after the SUM</t>
  </si>
  <si>
    <t xml:space="preserve">Correct: fan-out from a one-to-many join</t>
  </si>
  <si>
    <t xml:space="preserve">No ticket is lost; the problem is duplication</t>
  </si>
  <si>
    <t xml:space="preserve">Q21</t>
  </si>
  <si>
    <t xml:space="preserve">Reason with numbers</t>
  </si>
  <si>
    <t xml:space="preserve">Ratios of percentage changes</t>
  </si>
  <si>
    <t xml:space="preserve">Subtracts the percentages</t>
  </si>
  <si>
    <t xml:space="preserve">Ignores the order-count change</t>
  </si>
  <si>
    <t xml:space="preserve">Reaches for data the question does not need</t>
  </si>
  <si>
    <t xml:space="preserve">Correct: 0.88 / 1.05 is about 0.84</t>
  </si>
  <si>
    <t xml:space="preserve">Q22</t>
  </si>
  <si>
    <t xml:space="preserve">Median against mean under one extreme value</t>
  </si>
  <si>
    <t xml:space="preserve">Uses the mean where one value dominates</t>
  </si>
  <si>
    <t xml:space="preserve">Avoids the decision the slide needs</t>
  </si>
  <si>
    <t xml:space="preserve">Invents a compromise statistic</t>
  </si>
  <si>
    <t xml:space="preserve">Q23</t>
  </si>
  <si>
    <t xml:space="preserve">Compare rates, not counts</t>
  </si>
  <si>
    <t xml:space="preserve">Compares counts with different denominators</t>
  </si>
  <si>
    <t xml:space="preserve">Correct: 150/5000 against 400/20000</t>
  </si>
  <si>
    <t xml:space="preserve">Assumes the sizes cancel</t>
  </si>
  <si>
    <t xml:space="preserve">Reaches for extra data; the question is about response</t>
  </si>
  <si>
    <t xml:space="preserve">Q24</t>
  </si>
  <si>
    <t xml:space="preserve">Two statements</t>
  </si>
  <si>
    <t xml:space="preserve">Percentage changes do not add</t>
  </si>
  <si>
    <t xml:space="preserve">1.1 x 0.9 is 0.99, so I is false</t>
  </si>
  <si>
    <t xml:space="preserve">I is false</t>
  </si>
  <si>
    <t xml:space="preserve">Correct: 0.5 x 2 is 1</t>
  </si>
  <si>
    <t xml:space="preserve">II is true</t>
  </si>
  <si>
    <t xml:space="preserve">Q25</t>
  </si>
  <si>
    <t xml:space="preserve">Small counts move for no reason</t>
  </si>
  <si>
    <t xml:space="preserve">Correct: 5 became 7</t>
  </si>
  <si>
    <t xml:space="preserve">Reads a relative change on a tiny base as a signal</t>
  </si>
  <si>
    <t xml:space="preserve">Arithmetic slip: 7/50 is 14 percent</t>
  </si>
  <si>
    <t xml:space="preserve">Refuses the judgment the numbers already allow</t>
  </si>
  <si>
    <t xml:space="preserve">Q26</t>
  </si>
  <si>
    <t xml:space="preserve">Base rates: precision from recall and prevalence</t>
  </si>
  <si>
    <t xml:space="preserve">Confuses recall with precision</t>
  </si>
  <si>
    <t xml:space="preserve">Picks a given number</t>
  </si>
  <si>
    <t xml:space="preserve">Picks the base rate</t>
  </si>
  <si>
    <t xml:space="preserve">Correct: 0.9 x 1 = 0.9 caught, out of 5 flagged</t>
  </si>
  <si>
    <t xml:space="preserve">Q27</t>
  </si>
  <si>
    <t xml:space="preserve">Mix shift can reverse a total</t>
  </si>
  <si>
    <t xml:space="preserve">Denies the mix effect</t>
  </si>
  <si>
    <t xml:space="preserve">Rounding cannot flip a direction in every city</t>
  </si>
  <si>
    <t xml:space="preserve">The total is made of the cities</t>
  </si>
  <si>
    <t xml:space="preserve">Q28</t>
  </si>
  <si>
    <t xml:space="preserve">Estimate</t>
  </si>
  <si>
    <t xml:space="preserve">Token economics, multi-step estimate</t>
  </si>
  <si>
    <t xml:space="preserve">Counts input tokens only</t>
  </si>
  <si>
    <t xml:space="preserve">Applies the output price to every token</t>
  </si>
  <si>
    <t xml:space="preserve">Correct: 36M x 40/M plus 6M x 160/M</t>
  </si>
  <si>
    <t xml:space="preserve">Decimal slip</t>
  </si>
  <si>
    <t xml:space="preserve">Q29</t>
  </si>
  <si>
    <t xml:space="preserve">Case and scenarios</t>
  </si>
  <si>
    <t xml:space="preserve">Case: Kalpa Retail, Q1 against Q2</t>
  </si>
  <si>
    <t xml:space="preserve">Which branch moved</t>
  </si>
  <si>
    <t xml:space="preserve">Correct: Plus lost 36 of a net 44</t>
  </si>
  <si>
    <t xml:space="preserve">Real but smaller: Basic lost 20</t>
  </si>
  <si>
    <t xml:space="preserve">Invents a link the table does not show</t>
  </si>
  <si>
    <t xml:space="preserve">Customers rose from 55,000 to 62,000</t>
  </si>
  <si>
    <t xml:space="preserve">Q30</t>
  </si>
  <si>
    <t xml:space="preserve">Test a hypothesis against the table</t>
  </si>
  <si>
    <t xml:space="preserve">Reads the Basic rise as proof of the source</t>
  </si>
  <si>
    <t xml:space="preserve">Unrelated evidence</t>
  </si>
  <si>
    <t xml:space="preserve">Correct: 10,000 in both quarters</t>
  </si>
  <si>
    <t xml:space="preserve">The table already carries the test</t>
  </si>
  <si>
    <t xml:space="preserve">Q31</t>
  </si>
  <si>
    <t xml:space="preserve">The fair comparison</t>
  </si>
  <si>
    <t xml:space="preserve">Before-and-after mixes the discount with everything else that changed</t>
  </si>
  <si>
    <t xml:space="preserve">Correct: like with like, same window</t>
  </si>
  <si>
    <t xml:space="preserve">Different tier, different behaviour</t>
  </si>
  <si>
    <t xml:space="preserve">Plan is a target, not a comparison group</t>
  </si>
  <si>
    <t xml:space="preserve">Q32</t>
  </si>
  <si>
    <t xml:space="preserve">Like-with-like windows before presenting</t>
  </si>
  <si>
    <t xml:space="preserve">Explains, but does not test, the finding</t>
  </si>
  <si>
    <t xml:space="preserve">Checks arithmetic, not the claim</t>
  </si>
  <si>
    <t xml:space="preserve">Describes the same numbers differently</t>
  </si>
  <si>
    <t xml:space="preserve">Correct: the window can create the whole fall</t>
  </si>
  <si>
    <t xml:space="preserve">Q33</t>
  </si>
  <si>
    <t xml:space="preserve">Scenario: LLM intuition</t>
  </si>
  <si>
    <t xml:space="preserve">Sampling variance and an under-specified prompt</t>
  </si>
  <si>
    <t xml:space="preserve">Calls carry no memory unless the history is sent</t>
  </si>
  <si>
    <t xml:space="preserve">Blames the data for a sampling effect</t>
  </si>
  <si>
    <t xml:space="preserve">Reaches for scale before fixing the prompt</t>
  </si>
  <si>
    <t xml:space="preserve">Q34</t>
  </si>
  <si>
    <t xml:space="preserve">A small hand-labelled set is the fastest trust check</t>
  </si>
  <si>
    <t xml:space="preserve">Self-reported confidence is not a check</t>
  </si>
  <si>
    <t xml:space="preserve">Correct: a small golden set</t>
  </si>
  <si>
    <t xml:space="preserve">Agreement between models is not accuracy</t>
  </si>
  <si>
    <t xml:space="preserve">Changes the input without measuring the output</t>
  </si>
  <si>
    <t xml:space="preserve">Q35</t>
  </si>
  <si>
    <t xml:space="preserve">E</t>
  </si>
  <si>
    <t xml:space="preserve">Judgment calls</t>
  </si>
  <si>
    <t xml:space="preserve">Best and worst</t>
  </si>
  <si>
    <t xml:space="preserve">J</t>
  </si>
  <si>
    <t xml:space="preserve">[SV]</t>
  </si>
  <si>
    <t xml:space="preserve">Disclosing an error you found yourself</t>
  </si>
  <si>
    <t xml:space="preserve">Worst: conceals a known error in a board figure</t>
  </si>
  <si>
    <t xml:space="preserve">Delays a correction you already have</t>
  </si>
  <si>
    <t xml:space="preserve">Passes the decision upward</t>
  </si>
  <si>
    <t xml:space="preserve">Q36</t>
  </si>
  <si>
    <t xml:space="preserve">Owning what you do not yet understand</t>
  </si>
  <si>
    <t xml:space="preserve">Delays, but stays honest</t>
  </si>
  <si>
    <t xml:space="preserve">Avoids the question</t>
  </si>
  <si>
    <t xml:space="preserve">Worst: misrepresents and compounds the gap</t>
  </si>
  <si>
    <t xml:space="preserve">Q37</t>
  </si>
  <si>
    <t xml:space="preserve">Taking criticism in front of others</t>
  </si>
  <si>
    <t xml:space="preserve">Leaves the panel with the doubt</t>
  </si>
  <si>
    <t xml:space="preserve">Worst: retaliation in front of the panel</t>
  </si>
  <si>
    <t xml:space="preserve">Defends before hearing the point</t>
  </si>
  <si>
    <t xml:space="preserve">Q38</t>
  </si>
  <si>
    <t xml:space="preserve">Deadline against a known defect</t>
  </si>
  <si>
    <t xml:space="preserve">Acceptable, but forfeits the deadline without need</t>
  </si>
  <si>
    <t xml:space="preserve">Worst: knowingly submits a wrong answer as right</t>
  </si>
  <si>
    <t xml:space="preserve">Hides the gap instead of naming it</t>
  </si>
  <si>
    <t xml:space="preserve">Q39</t>
  </si>
  <si>
    <t xml:space="preserve">Asking for help at the right time</t>
  </si>
  <si>
    <t xml:space="preserve">Fixes today, learns nothing</t>
  </si>
  <si>
    <t xml:space="preserve">Loses the whole day</t>
  </si>
  <si>
    <t xml:space="preserve">Worst: the exact habit the programme has to break</t>
  </si>
  <si>
    <t xml:space="preserve">Q40</t>
  </si>
  <si>
    <t xml:space="preserve">Holding a finding under pushback</t>
  </si>
  <si>
    <t xml:space="preserve">Worst: abandons the evidence</t>
  </si>
  <si>
    <t xml:space="preserve">Holds the finding but closes the conversation</t>
  </si>
  <si>
    <t xml:space="preserve">Skips the conversation that would settle it</t>
  </si>
  <si>
    <t xml:space="preserve">Answer sheet entry</t>
  </si>
  <si>
    <t xml:space="preserve">Cohort 2 | Week 0 | INTERNAL | type into the blue cells only; letters A to D, a dash for a question left blank, self-ratings 1 to 4, statements 1 to 5</t>
  </si>
  <si>
    <t xml:space="preserve">Self-rating, page one</t>
  </si>
  <si>
    <t xml:space="preserve">Sections A to D, one letter each</t>
  </si>
  <si>
    <t xml:space="preserve">Section E, best and worst</t>
  </si>
  <si>
    <t xml:space="preserve">Ten statements, 1 to 5</t>
  </si>
  <si>
    <t xml:space="preserve">Student ID</t>
  </si>
  <si>
    <t xml:space="preserve">Name</t>
  </si>
  <si>
    <t xml:space="preserve">Claimed: Python</t>
  </si>
  <si>
    <t xml:space="preserve">Claimed: SQL</t>
  </si>
  <si>
    <t xml:space="preserve">Claimed: Numbers and reasoning</t>
  </si>
  <si>
    <t xml:space="preserve">Claimed: Working an unfamiliar business problem</t>
  </si>
  <si>
    <t xml:space="preserve">Claimed: Using LLM tools for work</t>
  </si>
  <si>
    <t xml:space="preserve">Q35 best</t>
  </si>
  <si>
    <t xml:space="preserve">Q35 worst</t>
  </si>
  <si>
    <t xml:space="preserve">Q36 best</t>
  </si>
  <si>
    <t xml:space="preserve">Q36 worst</t>
  </si>
  <si>
    <t xml:space="preserve">Q37 best</t>
  </si>
  <si>
    <t xml:space="preserve">Q37 worst</t>
  </si>
  <si>
    <t xml:space="preserve">Q38 best</t>
  </si>
  <si>
    <t xml:space="preserve">Q38 worst</t>
  </si>
  <si>
    <t xml:space="preserve">Q39 best</t>
  </si>
  <si>
    <t xml:space="preserve">Q39 worst</t>
  </si>
  <si>
    <t xml:space="preserve">Q40 best</t>
  </si>
  <si>
    <t xml:space="preserve">Q40 worst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</si>
  <si>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</si>
  <si>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</si>
  <si>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</si>
  <si>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</si>
  <si>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</si>
  <si>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</si>
  <si>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</si>
  <si>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</si>
  <si>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</si>
  <si>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</si>
  <si>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S01</t>
  </si>
  <si>
    <t xml:space="preserve">TBD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</si>
  <si>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</si>
  <si>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</si>
  <si>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</si>
  <si>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</si>
  <si>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</si>
  <si>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</si>
  <si>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</si>
  <si>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</si>
  <si>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</si>
  <si>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</si>
  <si>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</si>
  <si>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</si>
  <si>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</si>
  <si>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</si>
  <si>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</si>
  <si>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</si>
  <si>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</si>
  <si>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</si>
  <si>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</si>
  <si>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</si>
  <si>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</si>
  <si>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</si>
  <si>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</si>
  <si>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</si>
  <si>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</si>
  <si>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</si>
  <si>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</si>
  <si>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</si>
  <si>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</si>
  <si>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</si>
  <si>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</si>
  <si>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</si>
  <si>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</si>
  <si>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</si>
  <si>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Example row, not counted anywhere: this is the format the entry expects.</t>
  </si>
  <si>
    <t xml:space="preserve">S00</t>
  </si>
  <si>
    <t xml:space="preserve">Example Student</t>
  </si>
  <si>
    <t xml:space="preserve">3</t>
  </si>
  <si>
    <t xml:space="preserve">2</t>
  </si>
  <si>
    <t xml:space="preserve">4</t>
  </si>
  <si>
    <t xml:space="preserve">-</t>
  </si>
  <si>
    <t xml:space="preserve">5</t>
  </si>
  <si>
    <t xml:space="preserve">GenAI</t>
  </si>
  <si>
    <t xml:space="preserve">Q35b</t>
  </si>
  <si>
    <t xml:space="preserve">Q35w</t>
  </si>
  <si>
    <t xml:space="preserve">Q36b</t>
  </si>
  <si>
    <t xml:space="preserve">Q36w</t>
  </si>
  <si>
    <t xml:space="preserve">Q37b</t>
  </si>
  <si>
    <t xml:space="preserve">Q37w</t>
  </si>
  <si>
    <t xml:space="preserve">Q38b</t>
  </si>
  <si>
    <t xml:space="preserve">Q38w</t>
  </si>
  <si>
    <t xml:space="preserve">Q39b</t>
  </si>
  <si>
    <t xml:space="preserve">Q39w</t>
  </si>
  <si>
    <t xml:space="preserve">Q40b</t>
  </si>
  <si>
    <t xml:space="preserve">Q40w</t>
  </si>
  <si>
    <t xml:space="preserve">Cohort accuracy, entered rows only</t>
  </si>
  <si>
    <t xml:space="preserve">Student profiles for the one-to-one</t>
  </si>
  <si>
    <t xml:space="preserve">Cohort 2 | Week 0 | INTERNAL | one row per student, every value a formula; Pending until the Entry row is complete</t>
  </si>
  <si>
    <t xml:space="preserve">Section scores</t>
  </si>
  <si>
    <t xml:space="preserve">By tier</t>
  </si>
  <si>
    <t xml:space="preserve">Claimed band against scored band (gap = claimed minus scored)</t>
  </si>
  <si>
    <t xml:space="preserve">Calls</t>
  </si>
  <si>
    <t xml:space="preserve">Python %</t>
  </si>
  <si>
    <t xml:space="preserve">SQL %</t>
  </si>
  <si>
    <t xml:space="preserve">Numbers %</t>
  </si>
  <si>
    <t xml:space="preserve">Case and scenario %</t>
  </si>
  <si>
    <t xml:space="preserve">Judgment %</t>
  </si>
  <si>
    <t xml:space="preserve">GenAI subset %</t>
  </si>
  <si>
    <t xml:space="preserve">Total %</t>
  </si>
  <si>
    <t xml:space="preserve">L1 %</t>
  </si>
  <si>
    <t xml:space="preserve">L2 %</t>
  </si>
  <si>
    <t xml:space="preserve">L3 %</t>
  </si>
  <si>
    <t xml:space="preserve">Python: claimed</t>
  </si>
  <si>
    <t xml:space="preserve">Python: gap</t>
  </si>
  <si>
    <t xml:space="preserve">SQL: claimed</t>
  </si>
  <si>
    <t xml:space="preserve">SQL: gap</t>
  </si>
  <si>
    <t xml:space="preserve">Numbers: claimed</t>
  </si>
  <si>
    <t xml:space="preserve">Numbers: gap</t>
  </si>
  <si>
    <t xml:space="preserve">Business: claimed</t>
  </si>
  <si>
    <t xml:space="preserve">Business: gap</t>
  </si>
  <si>
    <t xml:space="preserve">LLM: claimed</t>
  </si>
  <si>
    <t xml:space="preserve">LLM: gap</t>
  </si>
  <si>
    <t xml:space="preserve">Mean gap</t>
  </si>
  <si>
    <t xml:space="preserve">Python brush-up</t>
  </si>
  <si>
    <t xml:space="preserve">SQL brush-up</t>
  </si>
  <si>
    <t xml:space="preserve">Calibration</t>
  </si>
  <si>
    <t xml:space="preserve">Note for the one-to-one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</si>
</sst>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\+0.0;\-0.0;0.0"/>
    <numFmt numFmtId="168" formatCode="0.0"/>
    <numFmt numFmtId="169" formatCode="0.0000"/>
    <numFmt numFmtId="170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B37A33"/>
      <name val="Georgia"/>
      <family val="0"/>
      <charset val="1"/>
    </font>
    <font>
      <sz val="9"/>
      <color rgb="FF6B675E"/>
      <name val="Arial"/>
      <family val="0"/>
      <charset val="1"/>
    </font>
    <font>
      <sz val="8"/>
      <color rgb="FF6B675E"/>
      <name val="Arial"/>
      <family val="0"/>
      <charset val="1"/>
    </font>
    <font>
      <sz val="16"/>
      <color rgb="FF1C1B16"/>
      <name val="Georgia"/>
      <family val="0"/>
      <charset val="1"/>
    </font>
    <font>
      <sz val="13"/>
      <color rgb="FFB37A33"/>
      <name val="Georgia"/>
      <family val="0"/>
      <charset val="1"/>
    </font>
    <font>
      <b val="true"/>
      <sz val="9"/>
      <color rgb="FF1C1B16"/>
      <name val="Arial"/>
      <family val="0"/>
      <charset val="1"/>
    </font>
    <font>
      <sz val="9"/>
      <color rgb="FF1C1B16"/>
      <name val="Arial"/>
      <family val="0"/>
      <charset val="1"/>
    </font>
    <font>
      <sz val="9"/>
      <color rgb="FF1F4E9C"/>
      <name val="Arial"/>
      <family val="0"/>
      <charset val="1"/>
    </font>
    <font>
      <i val="true"/>
      <sz val="8"/>
      <color rgb="FF6B675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8"/>
      <color rgb="FF1C1B16"/>
      <name val="Arial"/>
      <family val="0"/>
      <charset val="1"/>
    </font>
    <font>
      <b val="true"/>
      <sz val="8"/>
      <color rgb="FF6B675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37A33"/>
        <bgColor rgb="FF8C8779"/>
      </patternFill>
    </fill>
    <fill>
      <patternFill patternType="solid">
        <fgColor rgb="FFF9F8F3"/>
        <bgColor rgb="FFFBF3E4"/>
      </patternFill>
    </fill>
    <fill>
      <patternFill patternType="solid">
        <fgColor rgb="FFEFE3CF"/>
        <bgColor rgb="FFD9D9D9"/>
      </patternFill>
    </fill>
    <fill>
      <patternFill patternType="solid">
        <fgColor rgb="FFFFFFFF"/>
        <bgColor rgb="FFF9F8F3"/>
      </patternFill>
    </fill>
    <fill>
      <patternFill patternType="solid">
        <fgColor rgb="FFFBF3E4"/>
        <bgColor rgb="FFF9F8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37A33"/>
      </bottom>
      <diagonal/>
    </border>
    <border diagonalUp="false" diagonalDown="false">
      <left style="thin">
        <color rgb="FFD5D0C4"/>
      </left>
      <right style="thin">
        <color rgb="FFD5D0C4"/>
      </right>
      <top style="thin">
        <color rgb="FFD5D0C4"/>
      </top>
      <bottom style="thin">
        <color rgb="FFD5D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6B2E"/>
        <sz val="9"/>
      </font>
    </dxf>
    <dxf>
      <font>
        <name val="Arial"/>
        <charset val="1"/>
        <family val="0"/>
        <b val="1"/>
        <color rgb="FF9C2B1F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2E"/>
      <rgbColor rgb="FF000080"/>
      <rgbColor rgb="FFB37A33"/>
      <rgbColor rgb="FF800080"/>
      <rgbColor rgb="FF008080"/>
      <rgbColor rgb="FFD5D0C4"/>
      <rgbColor rgb="FF878787"/>
      <rgbColor rgb="FF9999FF"/>
      <rgbColor rgb="FF993366"/>
      <rgbColor rgb="FFFBF3E4"/>
      <rgbColor rgb="FFF9F8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CF"/>
      <rgbColor rgb="FF3366FF"/>
      <rgbColor rgb="FF33CCCC"/>
      <rgbColor rgb="FF99CC00"/>
      <rgbColor rgb="FFFFCC00"/>
      <rgbColor rgb="FFFF9900"/>
      <rgbColor rgb="FFFF6600"/>
      <rgbColor rgb="FF6B675E"/>
      <rgbColor rgb="FF8C8779"/>
      <rgbColor rgb="FF003366"/>
      <rgbColor rgb="FF339966"/>
      <rgbColor rgb="FF003300"/>
      <rgbColor rgb="FF1C1B16"/>
      <rgbColor rgb="FF9C2B1F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Claimed against scored, mean band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Mean claimed</c:v>
                </c:pt>
              </c:strCache>
            </c:strRef>
          </c:tx>
          <c:spPr>
            <a:solidFill>
              <a:srgbClr val="b37a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Dashboard!$B$32:$B$36</c:f>
              <c:strCache>
                <c:ptCount val="5"/>
                <c:pt idx="0">
                  <c:v>Python</c:v>
                </c:pt>
                <c:pt idx="1">
                  <c:v>SQL</c:v>
                </c:pt>
                <c:pt idx="2">
                  <c:v>Numbers and reasoning</c:v>
                </c:pt>
                <c:pt idx="3">
                  <c:v>Business problem</c:v>
                </c:pt>
                <c:pt idx="4">
                  <c:v>LLM tools</c:v>
                </c:pt>
              </c:strCache>
            </c:strRef>
          </c:cat>
          <c:val>
            <c:numRef>
              <c:f>Dashboard!$C$32:$C$36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Dashboard!D31</c:f>
              <c:strCache>
                <c:ptCount val="1"/>
                <c:pt idx="0">
                  <c:v>Mean scored band</c:v>
                </c:pt>
              </c:strCache>
            </c:strRef>
          </c:tx>
          <c:spPr>
            <a:solidFill>
              <a:srgbClr val="8c87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Dashboard!$B$32:$B$36</c:f>
              <c:strCache>
                <c:ptCount val="5"/>
                <c:pt idx="0">
                  <c:v>Python</c:v>
                </c:pt>
                <c:pt idx="1">
                  <c:v>SQL</c:v>
                </c:pt>
                <c:pt idx="2">
                  <c:v>Numbers and reasoning</c:v>
                </c:pt>
                <c:pt idx="3">
                  <c:v>Business problem</c:v>
                </c:pt>
                <c:pt idx="4">
                  <c:v>LLM tools</c:v>
                </c:pt>
              </c:strCache>
            </c:strRef>
          </c:cat>
          <c:val>
            <c:numRef>
              <c:f>Dashboard!$D$32:$D$36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71706154"/>
        <c:axId val="5869140"/>
      </c:barChart>
      <c:catAx>
        <c:axId val="717061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9140"/>
        <c:crosses val="autoZero"/>
        <c:auto val="1"/>
        <c:lblAlgn val="ctr"/>
        <c:lblOffset val="100"/>
        <c:noMultiLvlLbl val="0"/>
      </c:catAx>
      <c:valAx>
        <c:axId val="5869140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Band (1 to 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06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Students by total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b37a33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Dashboard!$B$41:$B$44</c:f>
              <c:strCache>
                <c:ptCount val="4"/>
                <c:pt idx="0">
                  <c:v>Below 40%</c:v>
                </c:pt>
                <c:pt idx="1">
                  <c:v>40% to 60%</c:v>
                </c:pt>
                <c:pt idx="2">
                  <c:v>60% to 80%</c:v>
                </c:pt>
                <c:pt idx="3">
                  <c:v>80% and above</c:v>
                </c:pt>
              </c:strCache>
            </c:strRef>
          </c:cat>
          <c:val>
            <c:numRef>
              <c:f>Dashboard!$C$41:$C$44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3315718"/>
        <c:axId val="92506979"/>
      </c:barChart>
      <c:catAx>
        <c:axId val="833157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06979"/>
        <c:crosses val="autoZero"/>
        <c:auto val="1"/>
        <c:lblAlgn val="ctr"/>
        <c:lblOffset val="100"/>
        <c:noMultiLvlLbl val="0"/>
      </c:catAx>
      <c:valAx>
        <c:axId val="92506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15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Cohort accuracy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Dashboard!F21</c:f>
              <c:strCache>
                <c:ptCount val="1"/>
                <c:pt idx="0">
                  <c:v>All items</c:v>
                </c:pt>
              </c:strCache>
            </c:strRef>
          </c:tx>
          <c:spPr>
            <a:solidFill>
              <a:srgbClr val="b37a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Dashboard!$B$22:$B$27</c:f>
              <c:strCache>
                <c:ptCount val="6"/>
                <c:pt idx="0">
                  <c:v>A. Python</c:v>
                </c:pt>
                <c:pt idx="1">
                  <c:v>B. SQL</c:v>
                </c:pt>
                <c:pt idx="2">
                  <c:v>C. Numbers</c:v>
                </c:pt>
                <c:pt idx="3">
                  <c:v>D. Case and scenarios</c:v>
                </c:pt>
                <c:pt idx="4">
                  <c:v>E. Judgment</c:v>
                </c:pt>
                <c:pt idx="5">
                  <c:v>GenAI-flavoured subset</c:v>
                </c:pt>
              </c:strCache>
            </c:strRef>
          </c:cat>
          <c:val>
            <c:numRef>
              <c:f>Dashboard!$F$22:$F$27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48000124"/>
        <c:axId val="2913599"/>
      </c:barChart>
      <c:catAx>
        <c:axId val="480001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3599"/>
        <c:crosses val="autoZero"/>
        <c:auto val="1"/>
        <c:lblAlgn val="ctr"/>
        <c:lblOffset val="100"/>
        <c:noMultiLvlLbl val="0"/>
      </c:catAx>
      <c:valAx>
        <c:axId val="291359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001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134640</xdr:rowOff>
    </xdr:from>
    <xdr:to>
      <xdr:col>14</xdr:col>
      <xdr:colOff>543240</xdr:colOff>
      <xdr:row>20</xdr:row>
      <xdr:rowOff>317880</xdr:rowOff>
    </xdr:to>
    <xdr:graphicFrame>
      <xdr:nvGraphicFramePr>
        <xdr:cNvPr id="0" name="Chart 1"/>
        <xdr:cNvGraphicFramePr/>
      </xdr:nvGraphicFramePr>
      <xdr:xfrm>
        <a:off x="8387640" y="17622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25</xdr:row>
      <xdr:rowOff>105480</xdr:rowOff>
    </xdr:from>
    <xdr:to>
      <xdr:col>14</xdr:col>
      <xdr:colOff>543240</xdr:colOff>
      <xdr:row>39</xdr:row>
      <xdr:rowOff>97920</xdr:rowOff>
    </xdr:to>
    <xdr:graphicFrame>
      <xdr:nvGraphicFramePr>
        <xdr:cNvPr id="1" name="Chart 2"/>
        <xdr:cNvGraphicFramePr/>
      </xdr:nvGraphicFramePr>
      <xdr:xfrm>
        <a:off x="8387640" y="55720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43</xdr:row>
      <xdr:rowOff>75960</xdr:rowOff>
    </xdr:from>
    <xdr:to>
      <xdr:col>14</xdr:col>
      <xdr:colOff>543240</xdr:colOff>
      <xdr:row>57</xdr:row>
      <xdr:rowOff>83160</xdr:rowOff>
    </xdr:to>
    <xdr:graphicFrame>
      <xdr:nvGraphicFramePr>
        <xdr:cNvPr id="2" name="Chart 3"/>
        <xdr:cNvGraphicFramePr/>
      </xdr:nvGraphicFramePr>
      <xdr:xfrm>
        <a:off x="8387640" y="93819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7" min="3" style="1" width="17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3" min="10" style="1" width="12"/>
    <col collapsed="false" customWidth="true" hidden="false" outlineLevel="0" max="14" min="14" style="1" width="4"/>
    <col collapsed="false" customWidth="true" hidden="false" outlineLevel="0" max="15" min="15" style="1" width="30"/>
    <col collapsed="false" customWidth="true" hidden="false" outlineLevel="0" max="22" min="16" style="1" width="12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7.75" hidden="false" customHeight="true" outlineLevel="0" collapsed="false">
      <c r="A2" s="3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false" outlineLevel="0" collapsed="false">
      <c r="A3" s="3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9.4" hidden="false" customHeight="false" outlineLevel="0" collapsed="false">
      <c r="A5" s="3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3"/>
      <c r="I5" s="6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30" hidden="false" customHeight="true" outlineLevel="0" collapsed="false">
      <c r="A6" s="3"/>
      <c r="B6" s="7" t="n">
        <f aca="false">SUM(Scoring!BL7:BL41)</f>
        <v>0</v>
      </c>
      <c r="C6" s="8" t="str">
        <f aca="false">IFERROR(AVERAGE(Profile!J7:J41),"Pending")</f>
        <v>Pending</v>
      </c>
      <c r="D6" s="8" t="str">
        <f aca="false">IFERROR(AVERAGE(Profile!D7:D41),"Pending")</f>
        <v>Pending</v>
      </c>
      <c r="E6" s="8" t="str">
        <f aca="false">IFERROR(AVERAGE(Profile!E7:E41),"Pending")</f>
        <v>Pending</v>
      </c>
      <c r="F6" s="7" t="n">
        <f aca="false">COUNTIF(Profile!Y7:Y41,"Full")</f>
        <v>0</v>
      </c>
      <c r="G6" s="7" t="n">
        <f aca="false">COUNTIF(Profile!Z7:Z41,"Full")</f>
        <v>0</v>
      </c>
      <c r="H6" s="3"/>
      <c r="I6" s="9" t="str">
        <f aca="false">IFERROR(AVERAGE(Profile!X7:X41),"Pending")</f>
        <v>Pending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false" outlineLevel="0" collapsed="false">
      <c r="A7" s="3"/>
      <c r="B7" s="10"/>
      <c r="C7" s="10"/>
      <c r="D7" s="10"/>
      <c r="E7" s="10"/>
      <c r="F7" s="10"/>
      <c r="G7" s="10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6.15" hidden="false" customHeight="false" outlineLevel="0" collapsed="false">
      <c r="A9" s="3"/>
      <c r="B9" s="11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" hidden="false" customHeight="false" outlineLevel="0" collapsed="false">
      <c r="A10" s="3"/>
      <c r="B10" s="5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30" hidden="false" customHeight="true" outlineLevel="0" collapsed="false">
      <c r="A11" s="3"/>
      <c r="B11" s="12" t="s">
        <v>11</v>
      </c>
      <c r="C11" s="12" t="s">
        <v>12</v>
      </c>
      <c r="D11" s="12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true" outlineLevel="0" collapsed="false">
      <c r="A12" s="3"/>
      <c r="B12" s="13" t="s">
        <v>14</v>
      </c>
      <c r="C12" s="14" t="n">
        <v>0.35</v>
      </c>
      <c r="D12" s="13" t="s">
        <v>15</v>
      </c>
      <c r="E12" s="13"/>
      <c r="F12" s="1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true" outlineLevel="0" collapsed="false">
      <c r="A13" s="3"/>
      <c r="B13" s="13" t="s">
        <v>16</v>
      </c>
      <c r="C13" s="14" t="n">
        <v>0.6</v>
      </c>
      <c r="D13" s="13" t="s">
        <v>17</v>
      </c>
      <c r="E13" s="13"/>
      <c r="F13" s="1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" hidden="false" customHeight="true" outlineLevel="0" collapsed="false">
      <c r="A14" s="3"/>
      <c r="B14" s="13" t="s">
        <v>18</v>
      </c>
      <c r="C14" s="14" t="n">
        <v>0.8</v>
      </c>
      <c r="D14" s="13" t="s">
        <v>19</v>
      </c>
      <c r="E14" s="13"/>
      <c r="F14" s="1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true" outlineLevel="0" collapsed="false">
      <c r="A15" s="3"/>
      <c r="B15" s="13" t="s">
        <v>20</v>
      </c>
      <c r="C15" s="14" t="n">
        <v>0.5</v>
      </c>
      <c r="D15" s="13" t="s">
        <v>21</v>
      </c>
      <c r="E15" s="13"/>
      <c r="F15" s="1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true" outlineLevel="0" collapsed="false">
      <c r="A16" s="3"/>
      <c r="B16" s="13" t="s">
        <v>22</v>
      </c>
      <c r="C16" s="14" t="n">
        <v>0.5</v>
      </c>
      <c r="D16" s="13" t="s">
        <v>23</v>
      </c>
      <c r="E16" s="13"/>
      <c r="F16" s="1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false" outlineLevel="0" collapsed="false">
      <c r="A17" s="3"/>
      <c r="B17" s="15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6.15" hidden="false" customHeight="false" outlineLevel="0" collapsed="false">
      <c r="A19" s="3"/>
      <c r="B19" s="11" t="s">
        <v>25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false" outlineLevel="0" collapsed="false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30" hidden="false" customHeight="true" outlineLevel="0" collapsed="false">
      <c r="A21" s="3"/>
      <c r="B21" s="12" t="s">
        <v>27</v>
      </c>
      <c r="C21" s="12" t="s">
        <v>28</v>
      </c>
      <c r="D21" s="12" t="s">
        <v>29</v>
      </c>
      <c r="E21" s="12" t="s">
        <v>30</v>
      </c>
      <c r="F21" s="12" t="s">
        <v>31</v>
      </c>
      <c r="G21" s="12" t="s">
        <v>32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" hidden="false" customHeight="false" outlineLevel="0" collapsed="false">
      <c r="A22" s="3"/>
      <c r="B22" s="16" t="s">
        <v>33</v>
      </c>
      <c r="C22" s="17" t="str">
        <f aca="false">IFERROR(AVERAGEIFS(Scoring!$H$43:$BA$43,Scoring!$H$2:$BA$2,"A",Scoring!$H$4:$BA$4,"L1"),"n/a")</f>
        <v>n/a</v>
      </c>
      <c r="D22" s="17" t="str">
        <f aca="false">IFERROR(AVERAGEIFS(Scoring!$H$43:$BA$43,Scoring!$H$2:$BA$2,"A",Scoring!$H$4:$BA$4,"L2"),"n/a")</f>
        <v>n/a</v>
      </c>
      <c r="E22" s="17" t="str">
        <f aca="false">IFERROR(AVERAGEIFS(Scoring!$H$43:$BA$43,Scoring!$H$2:$BA$2,"A",Scoring!$H$4:$BA$4,"L3"),"n/a")</f>
        <v>n/a</v>
      </c>
      <c r="F22" s="17" t="str">
        <f aca="false">IFERROR(AVERAGEIFS(Scoring!$H$43:$BA$43,Scoring!$H$2:$BA$2,"A"),"Pending")</f>
        <v>Pending</v>
      </c>
      <c r="G22" s="18" t="n">
        <f aca="false">COUNTIF(Scoring!$H$2:$BA$2,"A")</f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" hidden="false" customHeight="false" outlineLevel="0" collapsed="false">
      <c r="A23" s="3"/>
      <c r="B23" s="16" t="s">
        <v>34</v>
      </c>
      <c r="C23" s="17" t="str">
        <f aca="false">IFERROR(AVERAGEIFS(Scoring!$H$43:$BA$43,Scoring!$H$2:$BA$2,"B",Scoring!$H$4:$BA$4,"L1"),"n/a")</f>
        <v>n/a</v>
      </c>
      <c r="D23" s="17" t="str">
        <f aca="false">IFERROR(AVERAGEIFS(Scoring!$H$43:$BA$43,Scoring!$H$2:$BA$2,"B",Scoring!$H$4:$BA$4,"L2"),"n/a")</f>
        <v>n/a</v>
      </c>
      <c r="E23" s="17" t="str">
        <f aca="false">IFERROR(AVERAGEIFS(Scoring!$H$43:$BA$43,Scoring!$H$2:$BA$2,"B",Scoring!$H$4:$BA$4,"L3"),"n/a")</f>
        <v>n/a</v>
      </c>
      <c r="F23" s="17" t="str">
        <f aca="false">IFERROR(AVERAGEIFS(Scoring!$H$43:$BA$43,Scoring!$H$2:$BA$2,"B"),"Pending")</f>
        <v>Pending</v>
      </c>
      <c r="G23" s="18" t="n">
        <f aca="false">COUNTIF(Scoring!$H$2:$BA$2,"B")</f>
        <v>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" hidden="false" customHeight="false" outlineLevel="0" collapsed="false">
      <c r="A24" s="3"/>
      <c r="B24" s="16" t="s">
        <v>35</v>
      </c>
      <c r="C24" s="17" t="str">
        <f aca="false">IFERROR(AVERAGEIFS(Scoring!$H$43:$BA$43,Scoring!$H$2:$BA$2,"C",Scoring!$H$4:$BA$4,"L1"),"n/a")</f>
        <v>n/a</v>
      </c>
      <c r="D24" s="17" t="str">
        <f aca="false">IFERROR(AVERAGEIFS(Scoring!$H$43:$BA$43,Scoring!$H$2:$BA$2,"C",Scoring!$H$4:$BA$4,"L2"),"n/a")</f>
        <v>n/a</v>
      </c>
      <c r="E24" s="17" t="str">
        <f aca="false">IFERROR(AVERAGEIFS(Scoring!$H$43:$BA$43,Scoring!$H$2:$BA$2,"C",Scoring!$H$4:$BA$4,"L3"),"n/a")</f>
        <v>n/a</v>
      </c>
      <c r="F24" s="17" t="str">
        <f aca="false">IFERROR(AVERAGEIFS(Scoring!$H$43:$BA$43,Scoring!$H$2:$BA$2,"C"),"Pending")</f>
        <v>Pending</v>
      </c>
      <c r="G24" s="18" t="n">
        <f aca="false">COUNTIF(Scoring!$H$2:$BA$2,"C")</f>
        <v>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" hidden="false" customHeight="false" outlineLevel="0" collapsed="false">
      <c r="A25" s="3"/>
      <c r="B25" s="16" t="s">
        <v>36</v>
      </c>
      <c r="C25" s="17" t="str">
        <f aca="false">IFERROR(AVERAGEIFS(Scoring!$H$43:$BA$43,Scoring!$H$2:$BA$2,"D",Scoring!$H$4:$BA$4,"L1"),"n/a")</f>
        <v>n/a</v>
      </c>
      <c r="D25" s="17" t="str">
        <f aca="false">IFERROR(AVERAGEIFS(Scoring!$H$43:$BA$43,Scoring!$H$2:$BA$2,"D",Scoring!$H$4:$BA$4,"L2"),"n/a")</f>
        <v>n/a</v>
      </c>
      <c r="E25" s="17" t="str">
        <f aca="false">IFERROR(AVERAGEIFS(Scoring!$H$43:$BA$43,Scoring!$H$2:$BA$2,"D",Scoring!$H$4:$BA$4,"L3"),"n/a")</f>
        <v>n/a</v>
      </c>
      <c r="F25" s="17" t="str">
        <f aca="false">IFERROR(AVERAGEIFS(Scoring!$H$43:$BA$43,Scoring!$H$2:$BA$2,"D"),"Pending")</f>
        <v>Pending</v>
      </c>
      <c r="G25" s="18" t="n">
        <f aca="false">COUNTIF(Scoring!$H$2:$BA$2,"D")</f>
        <v>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" hidden="false" customHeight="false" outlineLevel="0" collapsed="false">
      <c r="A26" s="3"/>
      <c r="B26" s="16" t="s">
        <v>37</v>
      </c>
      <c r="C26" s="17" t="str">
        <f aca="false">IFERROR(AVERAGEIFS(Scoring!$H$43:$BA$43,Scoring!$H$2:$BA$2,"E",Scoring!$H$4:$BA$4,"L1"),"n/a")</f>
        <v>n/a</v>
      </c>
      <c r="D26" s="17" t="str">
        <f aca="false">IFERROR(AVERAGEIFS(Scoring!$H$43:$BA$43,Scoring!$H$2:$BA$2,"E",Scoring!$H$4:$BA$4,"L2"),"n/a")</f>
        <v>n/a</v>
      </c>
      <c r="E26" s="17" t="str">
        <f aca="false">IFERROR(AVERAGEIFS(Scoring!$H$43:$BA$43,Scoring!$H$2:$BA$2,"E",Scoring!$H$4:$BA$4,"L3"),"n/a")</f>
        <v>n/a</v>
      </c>
      <c r="F26" s="17" t="str">
        <f aca="false">IFERROR(AVERAGEIFS(Scoring!$H$43:$BA$43,Scoring!$H$2:$BA$2,"E"),"Pending")</f>
        <v>Pending</v>
      </c>
      <c r="G26" s="18" t="n">
        <f aca="false">COUNTIF(Scoring!$H$2:$BA$2,"E")</f>
        <v>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" hidden="false" customHeight="false" outlineLevel="0" collapsed="false">
      <c r="A27" s="3"/>
      <c r="B27" s="16" t="s">
        <v>38</v>
      </c>
      <c r="C27" s="17" t="str">
        <f aca="false">IFERROR(AVERAGEIFS(Scoring!$H$43:$BA$43,Scoring!$H$5:$BA$5,1,Scoring!$H$4:$BA$4,"L1"),"n/a")</f>
        <v>n/a</v>
      </c>
      <c r="D27" s="17" t="str">
        <f aca="false">IFERROR(AVERAGEIFS(Scoring!$H$43:$BA$43,Scoring!$H$5:$BA$5,1,Scoring!$H$4:$BA$4,"L2"),"n/a")</f>
        <v>n/a</v>
      </c>
      <c r="E27" s="17" t="str">
        <f aca="false">IFERROR(AVERAGEIFS(Scoring!$H$43:$BA$43,Scoring!$H$5:$BA$5,1,Scoring!$H$4:$BA$4,"L3"),"n/a")</f>
        <v>n/a</v>
      </c>
      <c r="F27" s="17" t="str">
        <f aca="false">IFERROR(AVERAGEIFS(Scoring!$H$43:$BA$43,Scoring!$H$5:$BA$5,1),"Pending")</f>
        <v>Pending</v>
      </c>
      <c r="G27" s="18" t="n">
        <f aca="false">COUNTIF(Scoring!$H$5:$BA$5,1)</f>
        <v>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6.15" hidden="false" customHeight="false" outlineLevel="0" collapsed="false">
      <c r="A29" s="3"/>
      <c r="B29" s="11" t="s">
        <v>39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" hidden="false" customHeight="false" outlineLevel="0" collapsed="false">
      <c r="A30" s="3"/>
      <c r="B30" s="5" t="s">
        <v>40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30" hidden="false" customHeight="true" outlineLevel="0" collapsed="false">
      <c r="A31" s="3"/>
      <c r="B31" s="12" t="s">
        <v>41</v>
      </c>
      <c r="C31" s="12" t="s">
        <v>42</v>
      </c>
      <c r="D31" s="12" t="s">
        <v>43</v>
      </c>
      <c r="E31" s="12" t="s">
        <v>44</v>
      </c>
      <c r="F31" s="12" t="s">
        <v>45</v>
      </c>
      <c r="G31" s="12" t="s">
        <v>46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" hidden="false" customHeight="false" outlineLevel="0" collapsed="false">
      <c r="A32" s="3"/>
      <c r="B32" s="16" t="s">
        <v>47</v>
      </c>
      <c r="C32" s="19" t="str">
        <f aca="false">IFERROR(AVERAGE(Profile!N7:N41),"Pending")</f>
        <v>Pending</v>
      </c>
      <c r="D32" s="19" t="str">
        <f aca="false">IFERROR(C32-E32,"Pending")</f>
        <v>Pending</v>
      </c>
      <c r="E32" s="20" t="str">
        <f aca="false">IFERROR(AVERAGE(Profile!O7:O41),"Pending")</f>
        <v>Pending</v>
      </c>
      <c r="F32" s="17" t="str">
        <f aca="false">IFERROR(COUNTIF(Profile!O7:O41,"&gt;0")/COUNT(Profile!O7:O41),"Pending")</f>
        <v>Pending</v>
      </c>
      <c r="G32" s="17" t="str">
        <f aca="false">IFERROR(COUNTIF(Profile!O7:O41,"&lt;0")/COUNT(Profile!O7:O41),"Pending")</f>
        <v>Pending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" hidden="false" customHeight="false" outlineLevel="0" collapsed="false">
      <c r="A33" s="3"/>
      <c r="B33" s="16" t="s">
        <v>48</v>
      </c>
      <c r="C33" s="19" t="str">
        <f aca="false">IFERROR(AVERAGE(Profile!P7:P41),"Pending")</f>
        <v>Pending</v>
      </c>
      <c r="D33" s="19" t="str">
        <f aca="false">IFERROR(C33-E33,"Pending")</f>
        <v>Pending</v>
      </c>
      <c r="E33" s="20" t="str">
        <f aca="false">IFERROR(AVERAGE(Profile!Q7:Q41),"Pending")</f>
        <v>Pending</v>
      </c>
      <c r="F33" s="17" t="str">
        <f aca="false">IFERROR(COUNTIF(Profile!Q7:Q41,"&gt;0")/COUNT(Profile!Q7:Q41),"Pending")</f>
        <v>Pending</v>
      </c>
      <c r="G33" s="17" t="str">
        <f aca="false">IFERROR(COUNTIF(Profile!Q7:Q41,"&lt;0")/COUNT(Profile!Q7:Q41),"Pending")</f>
        <v>Pending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" hidden="false" customHeight="false" outlineLevel="0" collapsed="false">
      <c r="A34" s="3"/>
      <c r="B34" s="16" t="s">
        <v>49</v>
      </c>
      <c r="C34" s="19" t="str">
        <f aca="false">IFERROR(AVERAGE(Profile!R7:R41),"Pending")</f>
        <v>Pending</v>
      </c>
      <c r="D34" s="19" t="str">
        <f aca="false">IFERROR(C34-E34,"Pending")</f>
        <v>Pending</v>
      </c>
      <c r="E34" s="20" t="str">
        <f aca="false">IFERROR(AVERAGE(Profile!S7:S41),"Pending")</f>
        <v>Pending</v>
      </c>
      <c r="F34" s="17" t="str">
        <f aca="false">IFERROR(COUNTIF(Profile!S7:S41,"&gt;0")/COUNT(Profile!S7:S41),"Pending")</f>
        <v>Pending</v>
      </c>
      <c r="G34" s="17" t="str">
        <f aca="false">IFERROR(COUNTIF(Profile!S7:S41,"&lt;0")/COUNT(Profile!S7:S41),"Pending")</f>
        <v>Pending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" hidden="false" customHeight="false" outlineLevel="0" collapsed="false">
      <c r="A35" s="3"/>
      <c r="B35" s="16" t="s">
        <v>50</v>
      </c>
      <c r="C35" s="19" t="str">
        <f aca="false">IFERROR(AVERAGE(Profile!T7:T41),"Pending")</f>
        <v>Pending</v>
      </c>
      <c r="D35" s="19" t="str">
        <f aca="false">IFERROR(C35-E35,"Pending")</f>
        <v>Pending</v>
      </c>
      <c r="E35" s="20" t="str">
        <f aca="false">IFERROR(AVERAGE(Profile!U7:U41),"Pending")</f>
        <v>Pending</v>
      </c>
      <c r="F35" s="17" t="str">
        <f aca="false">IFERROR(COUNTIF(Profile!U7:U41,"&gt;0")/COUNT(Profile!U7:U41),"Pending")</f>
        <v>Pending</v>
      </c>
      <c r="G35" s="17" t="str">
        <f aca="false">IFERROR(COUNTIF(Profile!U7:U41,"&lt;0")/COUNT(Profile!U7:U41),"Pending")</f>
        <v>Pending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" hidden="false" customHeight="false" outlineLevel="0" collapsed="false">
      <c r="A36" s="3"/>
      <c r="B36" s="16" t="s">
        <v>51</v>
      </c>
      <c r="C36" s="19" t="str">
        <f aca="false">IFERROR(AVERAGE(Profile!V7:V41),"Pending")</f>
        <v>Pending</v>
      </c>
      <c r="D36" s="19" t="str">
        <f aca="false">IFERROR(C36-E36,"Pending")</f>
        <v>Pending</v>
      </c>
      <c r="E36" s="20" t="str">
        <f aca="false">IFERROR(AVERAGE(Profile!W7:W41),"Pending")</f>
        <v>Pending</v>
      </c>
      <c r="F36" s="17" t="str">
        <f aca="false">IFERROR(COUNTIF(Profile!W7:W41,"&gt;0")/COUNT(Profile!W7:W41),"Pending")</f>
        <v>Pending</v>
      </c>
      <c r="G36" s="17" t="str">
        <f aca="false">IFERROR(COUNTIF(Profile!W7:W41,"&lt;0")/COUNT(Profile!W7:W41),"Pending")</f>
        <v>Pending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6.15" hidden="false" customHeight="false" outlineLevel="0" collapsed="false">
      <c r="A38" s="3"/>
      <c r="B38" s="11" t="s">
        <v>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" hidden="false" customHeight="false" outlineLevel="0" collapsed="false">
      <c r="A39" s="3"/>
      <c r="B39" s="5" t="s">
        <v>53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30" hidden="false" customHeight="true" outlineLevel="0" collapsed="false">
      <c r="A40" s="3"/>
      <c r="B40" s="12" t="s">
        <v>54</v>
      </c>
      <c r="C40" s="12" t="s">
        <v>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" hidden="false" customHeight="false" outlineLevel="0" collapsed="false">
      <c r="A41" s="3"/>
      <c r="B41" s="13" t="s">
        <v>56</v>
      </c>
      <c r="C41" s="18" t="n">
        <f aca="false">COUNTIFS(Profile!$J$7:$J$41,"&lt;0.4")</f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" hidden="false" customHeight="false" outlineLevel="0" collapsed="false">
      <c r="A42" s="3"/>
      <c r="B42" s="13" t="s">
        <v>57</v>
      </c>
      <c r="C42" s="18" t="n">
        <f aca="false">COUNTIFS(Profile!$J$7:$J$41,"&gt;=0.4",Profile!$J$7:$J$41,"&lt;0.6")</f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" hidden="false" customHeight="false" outlineLevel="0" collapsed="false">
      <c r="A43" s="3"/>
      <c r="B43" s="13" t="s">
        <v>58</v>
      </c>
      <c r="C43" s="18" t="n">
        <f aca="false">COUNTIFS(Profile!$J$7:$J$41,"&gt;=0.6",Profile!$J$7:$J$41,"&lt;0.8")</f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" hidden="false" customHeight="false" outlineLevel="0" collapsed="false">
      <c r="A44" s="3"/>
      <c r="B44" s="13" t="s">
        <v>59</v>
      </c>
      <c r="C44" s="18" t="n">
        <f aca="false">COUNTIFS(Profile!$J$7:$J$41,"&gt;=0.8")</f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6.15" hidden="false" customHeight="false" outlineLevel="0" collapsed="false">
      <c r="A46" s="3"/>
      <c r="B46" s="11" t="s">
        <v>60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" hidden="false" customHeight="false" outlineLevel="0" collapsed="false">
      <c r="A47" s="3"/>
      <c r="B47" s="5" t="s">
        <v>61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30" hidden="false" customHeight="true" outlineLevel="0" collapsed="false">
      <c r="A48" s="3"/>
      <c r="B48" s="12" t="s">
        <v>62</v>
      </c>
      <c r="C48" s="12" t="s">
        <v>63</v>
      </c>
      <c r="D48" s="12" t="s">
        <v>27</v>
      </c>
      <c r="E48" s="12" t="s">
        <v>64</v>
      </c>
      <c r="F48" s="12" t="s">
        <v>65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" hidden="false" customHeight="false" outlineLevel="0" collapsed="false">
      <c r="A49" s="3"/>
      <c r="B49" s="21" t="str">
        <f aca="false">IFERROR(INDEX(Key!$A$6:$A$45,MATCH(SMALL(Key!$S$6:$S$45,1),Key!$S$6:$S$45,0)),"Pending")</f>
        <v>Pending</v>
      </c>
      <c r="C49" s="13" t="str">
        <f aca="false">IFERROR(INDEX(Key!$H$6:$H$45,MATCH(SMALL(Key!$S$6:$S$45,1),Key!$S$6:$S$45,0)),"")</f>
        <v/>
      </c>
      <c r="D49" s="13"/>
      <c r="E49" s="22" t="str">
        <f aca="false">IFERROR(INDEX(Key!$B$6:$B$45,MATCH(SMALL(Key!$S$6:$S$45,1),Key!$S$6:$S$45,0)),"")</f>
        <v/>
      </c>
      <c r="F49" s="22" t="str">
        <f aca="false">IFERROR(INDEX(Key!$E$6:$E$45,MATCH(SMALL(Key!$S$6:$S$45,1),Key!$S$6:$S$45,0)),"")</f>
        <v/>
      </c>
      <c r="G49" s="17" t="str">
        <f aca="false">IFERROR(INDEX(Key!$R$6:$R$45,MATCH(SMALL(Key!$S$6:$S$45,1),Key!$S$6:$S$45,0)),"")</f>
        <v/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" hidden="false" customHeight="false" outlineLevel="0" collapsed="false">
      <c r="A50" s="3"/>
      <c r="B50" s="21" t="str">
        <f aca="false">IFERROR(INDEX(Key!$A$6:$A$45,MATCH(SMALL(Key!$S$6:$S$45,2),Key!$S$6:$S$45,0)),"Pending")</f>
        <v>Pending</v>
      </c>
      <c r="C50" s="13" t="str">
        <f aca="false">IFERROR(INDEX(Key!$H$6:$H$45,MATCH(SMALL(Key!$S$6:$S$45,2),Key!$S$6:$S$45,0)),"")</f>
        <v/>
      </c>
      <c r="D50" s="13"/>
      <c r="E50" s="22" t="str">
        <f aca="false">IFERROR(INDEX(Key!$B$6:$B$45,MATCH(SMALL(Key!$S$6:$S$45,2),Key!$S$6:$S$45,0)),"")</f>
        <v/>
      </c>
      <c r="F50" s="22" t="str">
        <f aca="false">IFERROR(INDEX(Key!$E$6:$E$45,MATCH(SMALL(Key!$S$6:$S$45,2),Key!$S$6:$S$45,0)),"")</f>
        <v/>
      </c>
      <c r="G50" s="17" t="str">
        <f aca="false">IFERROR(INDEX(Key!$R$6:$R$45,MATCH(SMALL(Key!$S$6:$S$45,2),Key!$S$6:$S$45,0)),"")</f>
        <v/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" hidden="false" customHeight="false" outlineLevel="0" collapsed="false">
      <c r="A51" s="3"/>
      <c r="B51" s="21" t="str">
        <f aca="false">IFERROR(INDEX(Key!$A$6:$A$45,MATCH(SMALL(Key!$S$6:$S$45,3),Key!$S$6:$S$45,0)),"Pending")</f>
        <v>Pending</v>
      </c>
      <c r="C51" s="13" t="str">
        <f aca="false">IFERROR(INDEX(Key!$H$6:$H$45,MATCH(SMALL(Key!$S$6:$S$45,3),Key!$S$6:$S$45,0)),"")</f>
        <v/>
      </c>
      <c r="D51" s="13"/>
      <c r="E51" s="22" t="str">
        <f aca="false">IFERROR(INDEX(Key!$B$6:$B$45,MATCH(SMALL(Key!$S$6:$S$45,3),Key!$S$6:$S$45,0)),"")</f>
        <v/>
      </c>
      <c r="F51" s="22" t="str">
        <f aca="false">IFERROR(INDEX(Key!$E$6:$E$45,MATCH(SMALL(Key!$S$6:$S$45,3),Key!$S$6:$S$45,0)),"")</f>
        <v/>
      </c>
      <c r="G51" s="17" t="str">
        <f aca="false">IFERROR(INDEX(Key!$R$6:$R$45,MATCH(SMALL(Key!$S$6:$S$45,3),Key!$S$6:$S$45,0)),"")</f>
        <v/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" hidden="false" customHeight="false" outlineLevel="0" collapsed="false">
      <c r="A52" s="3"/>
      <c r="B52" s="21" t="str">
        <f aca="false">IFERROR(INDEX(Key!$A$6:$A$45,MATCH(SMALL(Key!$S$6:$S$45,4),Key!$S$6:$S$45,0)),"Pending")</f>
        <v>Pending</v>
      </c>
      <c r="C52" s="13" t="str">
        <f aca="false">IFERROR(INDEX(Key!$H$6:$H$45,MATCH(SMALL(Key!$S$6:$S$45,4),Key!$S$6:$S$45,0)),"")</f>
        <v/>
      </c>
      <c r="D52" s="13"/>
      <c r="E52" s="22" t="str">
        <f aca="false">IFERROR(INDEX(Key!$B$6:$B$45,MATCH(SMALL(Key!$S$6:$S$45,4),Key!$S$6:$S$45,0)),"")</f>
        <v/>
      </c>
      <c r="F52" s="22" t="str">
        <f aca="false">IFERROR(INDEX(Key!$E$6:$E$45,MATCH(SMALL(Key!$S$6:$S$45,4),Key!$S$6:$S$45,0)),"")</f>
        <v/>
      </c>
      <c r="G52" s="17" t="str">
        <f aca="false">IFERROR(INDEX(Key!$R$6:$R$45,MATCH(SMALL(Key!$S$6:$S$45,4),Key!$S$6:$S$45,0)),"")</f>
        <v/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" hidden="false" customHeight="false" outlineLevel="0" collapsed="false">
      <c r="A53" s="3"/>
      <c r="B53" s="21" t="str">
        <f aca="false">IFERROR(INDEX(Key!$A$6:$A$45,MATCH(SMALL(Key!$S$6:$S$45,5),Key!$S$6:$S$45,0)),"Pending")</f>
        <v>Pending</v>
      </c>
      <c r="C53" s="13" t="str">
        <f aca="false">IFERROR(INDEX(Key!$H$6:$H$45,MATCH(SMALL(Key!$S$6:$S$45,5),Key!$S$6:$S$45,0)),"")</f>
        <v/>
      </c>
      <c r="D53" s="13"/>
      <c r="E53" s="22" t="str">
        <f aca="false">IFERROR(INDEX(Key!$B$6:$B$45,MATCH(SMALL(Key!$S$6:$S$45,5),Key!$S$6:$S$45,0)),"")</f>
        <v/>
      </c>
      <c r="F53" s="22" t="str">
        <f aca="false">IFERROR(INDEX(Key!$E$6:$E$45,MATCH(SMALL(Key!$S$6:$S$45,5),Key!$S$6:$S$45,0)),"")</f>
        <v/>
      </c>
      <c r="G53" s="17" t="str">
        <f aca="false">IFERROR(INDEX(Key!$R$6:$R$45,MATCH(SMALL(Key!$S$6:$S$45,5),Key!$S$6:$S$45,0)),"")</f>
        <v/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" hidden="false" customHeight="false" outlineLevel="0" collapsed="false">
      <c r="A54" s="3"/>
      <c r="B54" s="21" t="str">
        <f aca="false">IFERROR(INDEX(Key!$A$6:$A$45,MATCH(SMALL(Key!$S$6:$S$45,6),Key!$S$6:$S$45,0)),"Pending")</f>
        <v>Pending</v>
      </c>
      <c r="C54" s="13" t="str">
        <f aca="false">IFERROR(INDEX(Key!$H$6:$H$45,MATCH(SMALL(Key!$S$6:$S$45,6),Key!$S$6:$S$45,0)),"")</f>
        <v/>
      </c>
      <c r="D54" s="13"/>
      <c r="E54" s="22" t="str">
        <f aca="false">IFERROR(INDEX(Key!$B$6:$B$45,MATCH(SMALL(Key!$S$6:$S$45,6),Key!$S$6:$S$45,0)),"")</f>
        <v/>
      </c>
      <c r="F54" s="22" t="str">
        <f aca="false">IFERROR(INDEX(Key!$E$6:$E$45,MATCH(SMALL(Key!$S$6:$S$45,6),Key!$S$6:$S$45,0)),"")</f>
        <v/>
      </c>
      <c r="G54" s="17" t="str">
        <f aca="false">IFERROR(INDEX(Key!$R$6:$R$45,MATCH(SMALL(Key!$S$6:$S$45,6),Key!$S$6:$S$45,0)),"")</f>
        <v/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" hidden="false" customHeight="false" outlineLevel="0" collapsed="false">
      <c r="A55" s="3"/>
      <c r="B55" s="21" t="str">
        <f aca="false">IFERROR(INDEX(Key!$A$6:$A$45,MATCH(SMALL(Key!$S$6:$S$45,7),Key!$S$6:$S$45,0)),"Pending")</f>
        <v>Pending</v>
      </c>
      <c r="C55" s="13" t="str">
        <f aca="false">IFERROR(INDEX(Key!$H$6:$H$45,MATCH(SMALL(Key!$S$6:$S$45,7),Key!$S$6:$S$45,0)),"")</f>
        <v/>
      </c>
      <c r="D55" s="13"/>
      <c r="E55" s="22" t="str">
        <f aca="false">IFERROR(INDEX(Key!$B$6:$B$45,MATCH(SMALL(Key!$S$6:$S$45,7),Key!$S$6:$S$45,0)),"")</f>
        <v/>
      </c>
      <c r="F55" s="22" t="str">
        <f aca="false">IFERROR(INDEX(Key!$E$6:$E$45,MATCH(SMALL(Key!$S$6:$S$45,7),Key!$S$6:$S$45,0)),"")</f>
        <v/>
      </c>
      <c r="G55" s="17" t="str">
        <f aca="false">IFERROR(INDEX(Key!$R$6:$R$45,MATCH(SMALL(Key!$S$6:$S$45,7),Key!$S$6:$S$45,0)),"")</f>
        <v/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" hidden="false" customHeight="false" outlineLevel="0" collapsed="false">
      <c r="A56" s="3"/>
      <c r="B56" s="21" t="str">
        <f aca="false">IFERROR(INDEX(Key!$A$6:$A$45,MATCH(SMALL(Key!$S$6:$S$45,8),Key!$S$6:$S$45,0)),"Pending")</f>
        <v>Pending</v>
      </c>
      <c r="C56" s="13" t="str">
        <f aca="false">IFERROR(INDEX(Key!$H$6:$H$45,MATCH(SMALL(Key!$S$6:$S$45,8),Key!$S$6:$S$45,0)),"")</f>
        <v/>
      </c>
      <c r="D56" s="13"/>
      <c r="E56" s="22" t="str">
        <f aca="false">IFERROR(INDEX(Key!$B$6:$B$45,MATCH(SMALL(Key!$S$6:$S$45,8),Key!$S$6:$S$45,0)),"")</f>
        <v/>
      </c>
      <c r="F56" s="22" t="str">
        <f aca="false">IFERROR(INDEX(Key!$E$6:$E$45,MATCH(SMALL(Key!$S$6:$S$45,8),Key!$S$6:$S$45,0)),"")</f>
        <v/>
      </c>
      <c r="G56" s="17" t="str">
        <f aca="false">IFERROR(INDEX(Key!$R$6:$R$45,MATCH(SMALL(Key!$S$6:$S$45,8),Key!$S$6:$S$45,0)),"")</f>
        <v/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6.15" hidden="false" customHeight="false" outlineLevel="0" collapsed="false">
      <c r="A58" s="3"/>
      <c r="B58" s="11" t="s">
        <v>66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" hidden="false" customHeight="false" outlineLevel="0" collapsed="false">
      <c r="A59" s="3"/>
      <c r="B59" s="5" t="s">
        <v>67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30" hidden="false" customHeight="true" outlineLevel="0" collapsed="false">
      <c r="A60" s="3"/>
      <c r="B60" s="12" t="s">
        <v>68</v>
      </c>
      <c r="C60" s="12" t="s">
        <v>69</v>
      </c>
      <c r="D60" s="12" t="s">
        <v>70</v>
      </c>
      <c r="E60" s="12" t="s">
        <v>71</v>
      </c>
      <c r="F60" s="12" t="s">
        <v>72</v>
      </c>
      <c r="G60" s="12" t="s">
        <v>73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" hidden="false" customHeight="false" outlineLevel="0" collapsed="false">
      <c r="A61" s="3"/>
      <c r="B61" s="16" t="s">
        <v>74</v>
      </c>
      <c r="C61" s="18" t="n">
        <f aca="false">COUNTIF(Key!$I$6:$I$39,"A")</f>
        <v>9</v>
      </c>
      <c r="D61" s="18" t="n">
        <f aca="false">COUNTIF(Key!$I$6:$I$39,"B")</f>
        <v>9</v>
      </c>
      <c r="E61" s="18" t="n">
        <f aca="false">COUNTIF(Key!$I$6:$I$39,"C")</f>
        <v>8</v>
      </c>
      <c r="F61" s="18" t="n">
        <f aca="false">COUNTIF(Key!$I$6:$I$39,"D")</f>
        <v>8</v>
      </c>
      <c r="G61" s="21" t="str">
        <f aca="false">IF(MAX(C61:F61)-MIN(C61:F61)&lt;=1,"Balanced","Check")</f>
        <v>Balanced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6.15" hidden="false" customHeight="false" outlineLevel="0" collapsed="false">
      <c r="A63" s="3"/>
      <c r="B63" s="11" t="s">
        <v>75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30" hidden="false" customHeight="true" outlineLevel="0" collapsed="false">
      <c r="A64" s="3"/>
      <c r="B64" s="23" t="s">
        <v>76</v>
      </c>
      <c r="C64" s="23"/>
      <c r="D64" s="23"/>
      <c r="E64" s="23"/>
      <c r="F64" s="2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30" hidden="false" customHeight="true" outlineLevel="0" collapsed="false">
      <c r="A65" s="3"/>
      <c r="B65" s="23" t="s">
        <v>77</v>
      </c>
      <c r="C65" s="23"/>
      <c r="D65" s="23"/>
      <c r="E65" s="23"/>
      <c r="F65" s="23"/>
      <c r="G65" s="2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30" hidden="false" customHeight="true" outlineLevel="0" collapsed="false">
      <c r="A66" s="3"/>
      <c r="B66" s="23" t="s">
        <v>78</v>
      </c>
      <c r="C66" s="23"/>
      <c r="D66" s="23"/>
      <c r="E66" s="23"/>
      <c r="F66" s="23"/>
      <c r="G66" s="2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30" hidden="false" customHeight="true" outlineLevel="0" collapsed="false">
      <c r="A67" s="3"/>
      <c r="B67" s="23" t="s">
        <v>79</v>
      </c>
      <c r="C67" s="23"/>
      <c r="D67" s="23"/>
      <c r="E67" s="23"/>
      <c r="F67" s="23"/>
      <c r="G67" s="2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</sheetData>
  <mergeCells count="17">
    <mergeCell ref="D12:F12"/>
    <mergeCell ref="D13:F13"/>
    <mergeCell ref="D14:F14"/>
    <mergeCell ref="D15:F15"/>
    <mergeCell ref="D16:F16"/>
    <mergeCell ref="C49:D49"/>
    <mergeCell ref="C50:D50"/>
    <mergeCell ref="C51:D51"/>
    <mergeCell ref="C52:D52"/>
    <mergeCell ref="C53:D53"/>
    <mergeCell ref="C54:D54"/>
    <mergeCell ref="C55:D55"/>
    <mergeCell ref="C56:D56"/>
    <mergeCell ref="B64:G64"/>
    <mergeCell ref="B65:G65"/>
    <mergeCell ref="B66:G66"/>
    <mergeCell ref="B67:G67"/>
  </mergeCells>
  <conditionalFormatting sqref="C22:F27">
    <cfRule type="colorScale" priority="2">
      <colorScale>
        <cfvo type="num" val="0.3"/>
        <cfvo type="num" val="0.6"/>
        <cfvo type="num" val="0.9"/>
        <color rgb="FFE8C9A6"/>
        <color rgb="FFF9F8F3"/>
        <color rgb="FFB9CDA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"/>
    <col collapsed="false" customWidth="true" hidden="false" outlineLevel="0" max="4" min="3" style="1" width="22"/>
    <col collapsed="false" customWidth="true" hidden="false" outlineLevel="0" max="5" min="5" style="1" width="6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34"/>
    <col collapsed="false" customWidth="true" hidden="false" outlineLevel="0" max="10" min="9" style="1" width="6"/>
    <col collapsed="false" customWidth="true" hidden="false" outlineLevel="0" max="11" min="11" style="1" width="7"/>
    <col collapsed="false" customWidth="true" hidden="false" outlineLevel="0" max="15" min="12" style="1" width="30"/>
    <col collapsed="false" customWidth="true" hidden="false" outlineLevel="0" max="16" min="16" style="1" width="6"/>
    <col collapsed="false" customWidth="true" hidden="false" outlineLevel="0" max="17" min="17" style="1" width="8"/>
    <col collapsed="false" customWidth="true" hidden="false" outlineLevel="0" max="18" min="18" style="1" width="10"/>
    <col collapsed="false" customWidth="true" hidden="false" outlineLevel="0" max="19" min="19" style="1" width="8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7.75" hidden="false" customHeight="true" outlineLevel="0" collapsed="false">
      <c r="A2" s="3"/>
      <c r="B2" s="4" t="s">
        <v>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false" outlineLevel="0" collapsed="false">
      <c r="A3" s="3"/>
      <c r="B3" s="5" t="s">
        <v>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30" hidden="false" customHeight="true" outlineLevel="0" collapsed="false">
      <c r="A5" s="12" t="s">
        <v>62</v>
      </c>
      <c r="B5" s="12" t="s">
        <v>27</v>
      </c>
      <c r="C5" s="12" t="s">
        <v>82</v>
      </c>
      <c r="D5" s="12" t="s">
        <v>83</v>
      </c>
      <c r="E5" s="12" t="s">
        <v>64</v>
      </c>
      <c r="F5" s="12" t="s">
        <v>84</v>
      </c>
      <c r="G5" s="12" t="s">
        <v>85</v>
      </c>
      <c r="H5" s="12" t="s">
        <v>86</v>
      </c>
      <c r="I5" s="12" t="s">
        <v>87</v>
      </c>
      <c r="J5" s="12" t="s">
        <v>88</v>
      </c>
      <c r="K5" s="12" t="s">
        <v>89</v>
      </c>
      <c r="L5" s="12" t="s">
        <v>90</v>
      </c>
      <c r="M5" s="12" t="s">
        <v>91</v>
      </c>
      <c r="N5" s="12" t="s">
        <v>92</v>
      </c>
      <c r="O5" s="12" t="s">
        <v>93</v>
      </c>
      <c r="P5" s="12" t="s">
        <v>94</v>
      </c>
      <c r="Q5" s="12" t="s">
        <v>95</v>
      </c>
      <c r="R5" s="12" t="s">
        <v>96</v>
      </c>
      <c r="S5" s="12" t="s">
        <v>97</v>
      </c>
      <c r="T5" s="3"/>
    </row>
    <row r="6" customFormat="false" ht="42" hidden="false" customHeight="true" outlineLevel="0" collapsed="false">
      <c r="A6" s="21" t="s">
        <v>98</v>
      </c>
      <c r="B6" s="22" t="s">
        <v>69</v>
      </c>
      <c r="C6" s="13" t="s">
        <v>99</v>
      </c>
      <c r="D6" s="13" t="s">
        <v>100</v>
      </c>
      <c r="E6" s="22" t="s">
        <v>28</v>
      </c>
      <c r="F6" s="22" t="s">
        <v>101</v>
      </c>
      <c r="G6" s="22" t="s">
        <v>102</v>
      </c>
      <c r="H6" s="13" t="s">
        <v>103</v>
      </c>
      <c r="I6" s="21" t="s">
        <v>71</v>
      </c>
      <c r="J6" s="21" t="s">
        <v>104</v>
      </c>
      <c r="K6" s="21" t="s">
        <v>104</v>
      </c>
      <c r="L6" s="13" t="s">
        <v>105</v>
      </c>
      <c r="M6" s="13" t="s">
        <v>106</v>
      </c>
      <c r="N6" s="13" t="s">
        <v>107</v>
      </c>
      <c r="O6" s="13" t="s">
        <v>108</v>
      </c>
      <c r="P6" s="18" t="n">
        <v>1</v>
      </c>
      <c r="Q6" s="18" t="n">
        <f aca="false">SUM(Scoring!$BL$7:$BL$41)</f>
        <v>0</v>
      </c>
      <c r="R6" s="17" t="str">
        <f aca="false">IF(Scoring!H43="","",Scoring!H43)</f>
        <v/>
      </c>
      <c r="S6" s="24" t="str">
        <f aca="false">IF(R6="","",R6+ROW()/100000)</f>
        <v/>
      </c>
      <c r="T6" s="3"/>
    </row>
    <row r="7" customFormat="false" ht="42" hidden="false" customHeight="true" outlineLevel="0" collapsed="false">
      <c r="A7" s="21" t="s">
        <v>109</v>
      </c>
      <c r="B7" s="22" t="s">
        <v>69</v>
      </c>
      <c r="C7" s="13" t="s">
        <v>99</v>
      </c>
      <c r="D7" s="13" t="s">
        <v>110</v>
      </c>
      <c r="E7" s="22" t="s">
        <v>28</v>
      </c>
      <c r="F7" s="22" t="s">
        <v>101</v>
      </c>
      <c r="G7" s="22" t="s">
        <v>102</v>
      </c>
      <c r="H7" s="13" t="s">
        <v>111</v>
      </c>
      <c r="I7" s="21" t="s">
        <v>70</v>
      </c>
      <c r="J7" s="21" t="s">
        <v>104</v>
      </c>
      <c r="K7" s="21" t="s">
        <v>104</v>
      </c>
      <c r="L7" s="13" t="s">
        <v>112</v>
      </c>
      <c r="M7" s="13" t="s">
        <v>113</v>
      </c>
      <c r="N7" s="13" t="s">
        <v>114</v>
      </c>
      <c r="O7" s="13" t="s">
        <v>115</v>
      </c>
      <c r="P7" s="18" t="n">
        <v>1</v>
      </c>
      <c r="Q7" s="18" t="n">
        <f aca="false">SUM(Scoring!$BL$7:$BL$41)</f>
        <v>0</v>
      </c>
      <c r="R7" s="17" t="str">
        <f aca="false">IF(Scoring!I43="","",Scoring!I43)</f>
        <v/>
      </c>
      <c r="S7" s="24" t="str">
        <f aca="false">IF(R7="","",R7+ROW()/100000)</f>
        <v/>
      </c>
      <c r="T7" s="3"/>
    </row>
    <row r="8" customFormat="false" ht="42" hidden="false" customHeight="true" outlineLevel="0" collapsed="false">
      <c r="A8" s="21" t="s">
        <v>116</v>
      </c>
      <c r="B8" s="22" t="s">
        <v>69</v>
      </c>
      <c r="C8" s="13" t="s">
        <v>99</v>
      </c>
      <c r="D8" s="13" t="s">
        <v>117</v>
      </c>
      <c r="E8" s="22" t="s">
        <v>28</v>
      </c>
      <c r="F8" s="22" t="s">
        <v>101</v>
      </c>
      <c r="G8" s="22" t="s">
        <v>102</v>
      </c>
      <c r="H8" s="13" t="s">
        <v>118</v>
      </c>
      <c r="I8" s="21" t="s">
        <v>72</v>
      </c>
      <c r="J8" s="21" t="s">
        <v>104</v>
      </c>
      <c r="K8" s="21" t="s">
        <v>104</v>
      </c>
      <c r="L8" s="13" t="s">
        <v>119</v>
      </c>
      <c r="M8" s="13" t="s">
        <v>120</v>
      </c>
      <c r="N8" s="13" t="s">
        <v>121</v>
      </c>
      <c r="O8" s="13" t="s">
        <v>122</v>
      </c>
      <c r="P8" s="18" t="n">
        <v>1</v>
      </c>
      <c r="Q8" s="18" t="n">
        <f aca="false">SUM(Scoring!$BL$7:$BL$41)</f>
        <v>0</v>
      </c>
      <c r="R8" s="17" t="str">
        <f aca="false">IF(Scoring!J43="","",Scoring!J43)</f>
        <v/>
      </c>
      <c r="S8" s="24" t="str">
        <f aca="false">IF(R8="","",R8+ROW()/100000)</f>
        <v/>
      </c>
      <c r="T8" s="3"/>
    </row>
    <row r="9" customFormat="false" ht="42" hidden="false" customHeight="true" outlineLevel="0" collapsed="false">
      <c r="A9" s="21" t="s">
        <v>123</v>
      </c>
      <c r="B9" s="22" t="s">
        <v>69</v>
      </c>
      <c r="C9" s="13" t="s">
        <v>99</v>
      </c>
      <c r="D9" s="13" t="s">
        <v>100</v>
      </c>
      <c r="E9" s="22" t="s">
        <v>28</v>
      </c>
      <c r="F9" s="22" t="s">
        <v>124</v>
      </c>
      <c r="G9" s="22" t="s">
        <v>102</v>
      </c>
      <c r="H9" s="13" t="s">
        <v>125</v>
      </c>
      <c r="I9" s="21" t="s">
        <v>69</v>
      </c>
      <c r="J9" s="21" t="s">
        <v>104</v>
      </c>
      <c r="K9" s="21" t="s">
        <v>104</v>
      </c>
      <c r="L9" s="13" t="s">
        <v>126</v>
      </c>
      <c r="M9" s="13" t="s">
        <v>127</v>
      </c>
      <c r="N9" s="13" t="s">
        <v>128</v>
      </c>
      <c r="O9" s="13" t="s">
        <v>129</v>
      </c>
      <c r="P9" s="18" t="n">
        <v>1</v>
      </c>
      <c r="Q9" s="18" t="n">
        <f aca="false">SUM(Scoring!$BL$7:$BL$41)</f>
        <v>0</v>
      </c>
      <c r="R9" s="17" t="str">
        <f aca="false">IF(Scoring!K43="","",Scoring!K43)</f>
        <v/>
      </c>
      <c r="S9" s="24" t="str">
        <f aca="false">IF(R9="","",R9+ROW()/100000)</f>
        <v/>
      </c>
      <c r="T9" s="3"/>
    </row>
    <row r="10" customFormat="false" ht="42" hidden="false" customHeight="true" outlineLevel="0" collapsed="false">
      <c r="A10" s="21" t="s">
        <v>130</v>
      </c>
      <c r="B10" s="22" t="s">
        <v>69</v>
      </c>
      <c r="C10" s="13" t="s">
        <v>99</v>
      </c>
      <c r="D10" s="13" t="s">
        <v>131</v>
      </c>
      <c r="E10" s="22" t="s">
        <v>28</v>
      </c>
      <c r="F10" s="22" t="s">
        <v>124</v>
      </c>
      <c r="G10" s="22" t="s">
        <v>132</v>
      </c>
      <c r="H10" s="13" t="s">
        <v>133</v>
      </c>
      <c r="I10" s="21" t="s">
        <v>70</v>
      </c>
      <c r="J10" s="21" t="s">
        <v>104</v>
      </c>
      <c r="K10" s="21" t="s">
        <v>104</v>
      </c>
      <c r="L10" s="13" t="s">
        <v>134</v>
      </c>
      <c r="M10" s="13" t="s">
        <v>135</v>
      </c>
      <c r="N10" s="13" t="s">
        <v>136</v>
      </c>
      <c r="O10" s="13" t="s">
        <v>137</v>
      </c>
      <c r="P10" s="18" t="n">
        <v>1</v>
      </c>
      <c r="Q10" s="18" t="n">
        <f aca="false">SUM(Scoring!$BL$7:$BL$41)</f>
        <v>0</v>
      </c>
      <c r="R10" s="17" t="str">
        <f aca="false">IF(Scoring!L43="","",Scoring!L43)</f>
        <v/>
      </c>
      <c r="S10" s="24" t="str">
        <f aca="false">IF(R10="","",R10+ROW()/100000)</f>
        <v/>
      </c>
      <c r="T10" s="3"/>
    </row>
    <row r="11" customFormat="false" ht="42" hidden="false" customHeight="true" outlineLevel="0" collapsed="false">
      <c r="A11" s="21" t="s">
        <v>138</v>
      </c>
      <c r="B11" s="22" t="s">
        <v>69</v>
      </c>
      <c r="C11" s="13" t="s">
        <v>99</v>
      </c>
      <c r="D11" s="13" t="s">
        <v>100</v>
      </c>
      <c r="E11" s="22" t="s">
        <v>29</v>
      </c>
      <c r="F11" s="22" t="s">
        <v>101</v>
      </c>
      <c r="G11" s="22" t="s">
        <v>132</v>
      </c>
      <c r="H11" s="13" t="s">
        <v>139</v>
      </c>
      <c r="I11" s="21" t="s">
        <v>72</v>
      </c>
      <c r="J11" s="21" t="s">
        <v>104</v>
      </c>
      <c r="K11" s="21" t="s">
        <v>104</v>
      </c>
      <c r="L11" s="13" t="s">
        <v>140</v>
      </c>
      <c r="M11" s="13" t="s">
        <v>141</v>
      </c>
      <c r="N11" s="13" t="s">
        <v>142</v>
      </c>
      <c r="O11" s="13" t="s">
        <v>143</v>
      </c>
      <c r="P11" s="18" t="n">
        <v>1</v>
      </c>
      <c r="Q11" s="18" t="n">
        <f aca="false">SUM(Scoring!$BL$7:$BL$41)</f>
        <v>0</v>
      </c>
      <c r="R11" s="17" t="str">
        <f aca="false">IF(Scoring!M43="","",Scoring!M43)</f>
        <v/>
      </c>
      <c r="S11" s="24" t="str">
        <f aca="false">IF(R11="","",R11+ROW()/100000)</f>
        <v/>
      </c>
      <c r="T11" s="3"/>
    </row>
    <row r="12" customFormat="false" ht="42" hidden="false" customHeight="true" outlineLevel="0" collapsed="false">
      <c r="A12" s="21" t="s">
        <v>144</v>
      </c>
      <c r="B12" s="22" t="s">
        <v>69</v>
      </c>
      <c r="C12" s="13" t="s">
        <v>99</v>
      </c>
      <c r="D12" s="13" t="s">
        <v>145</v>
      </c>
      <c r="E12" s="22" t="s">
        <v>29</v>
      </c>
      <c r="F12" s="22" t="s">
        <v>101</v>
      </c>
      <c r="G12" s="22" t="s">
        <v>132</v>
      </c>
      <c r="H12" s="13" t="s">
        <v>146</v>
      </c>
      <c r="I12" s="21" t="s">
        <v>69</v>
      </c>
      <c r="J12" s="21" t="s">
        <v>104</v>
      </c>
      <c r="K12" s="21" t="s">
        <v>104</v>
      </c>
      <c r="L12" s="13" t="s">
        <v>147</v>
      </c>
      <c r="M12" s="13" t="s">
        <v>148</v>
      </c>
      <c r="N12" s="13" t="s">
        <v>149</v>
      </c>
      <c r="O12" s="13" t="s">
        <v>150</v>
      </c>
      <c r="P12" s="18" t="n">
        <v>1</v>
      </c>
      <c r="Q12" s="18" t="n">
        <f aca="false">SUM(Scoring!$BL$7:$BL$41)</f>
        <v>0</v>
      </c>
      <c r="R12" s="17" t="str">
        <f aca="false">IF(Scoring!N43="","",Scoring!N43)</f>
        <v/>
      </c>
      <c r="S12" s="24" t="str">
        <f aca="false">IF(R12="","",R12+ROW()/100000)</f>
        <v/>
      </c>
      <c r="T12" s="3"/>
    </row>
    <row r="13" customFormat="false" ht="42" hidden="false" customHeight="true" outlineLevel="0" collapsed="false">
      <c r="A13" s="21" t="s">
        <v>151</v>
      </c>
      <c r="B13" s="22" t="s">
        <v>69</v>
      </c>
      <c r="C13" s="13" t="s">
        <v>99</v>
      </c>
      <c r="D13" s="13" t="s">
        <v>100</v>
      </c>
      <c r="E13" s="22" t="s">
        <v>29</v>
      </c>
      <c r="F13" s="22" t="s">
        <v>101</v>
      </c>
      <c r="G13" s="22" t="s">
        <v>132</v>
      </c>
      <c r="H13" s="13" t="s">
        <v>152</v>
      </c>
      <c r="I13" s="21" t="s">
        <v>71</v>
      </c>
      <c r="J13" s="21" t="s">
        <v>104</v>
      </c>
      <c r="K13" s="21" t="s">
        <v>104</v>
      </c>
      <c r="L13" s="13" t="s">
        <v>153</v>
      </c>
      <c r="M13" s="13" t="s">
        <v>154</v>
      </c>
      <c r="N13" s="13" t="s">
        <v>155</v>
      </c>
      <c r="O13" s="13" t="s">
        <v>156</v>
      </c>
      <c r="P13" s="18" t="n">
        <v>1</v>
      </c>
      <c r="Q13" s="18" t="n">
        <f aca="false">SUM(Scoring!$BL$7:$BL$41)</f>
        <v>0</v>
      </c>
      <c r="R13" s="17" t="str">
        <f aca="false">IF(Scoring!O43="","",Scoring!O43)</f>
        <v/>
      </c>
      <c r="S13" s="24" t="str">
        <f aca="false">IF(R13="","",R13+ROW()/100000)</f>
        <v/>
      </c>
      <c r="T13" s="3"/>
    </row>
    <row r="14" customFormat="false" ht="42" hidden="false" customHeight="true" outlineLevel="0" collapsed="false">
      <c r="A14" s="21" t="s">
        <v>157</v>
      </c>
      <c r="B14" s="22" t="s">
        <v>69</v>
      </c>
      <c r="C14" s="13" t="s">
        <v>99</v>
      </c>
      <c r="D14" s="13" t="s">
        <v>131</v>
      </c>
      <c r="E14" s="22" t="s">
        <v>29</v>
      </c>
      <c r="F14" s="22" t="s">
        <v>101</v>
      </c>
      <c r="G14" s="22" t="s">
        <v>132</v>
      </c>
      <c r="H14" s="13" t="s">
        <v>158</v>
      </c>
      <c r="I14" s="21" t="s">
        <v>69</v>
      </c>
      <c r="J14" s="21" t="s">
        <v>104</v>
      </c>
      <c r="K14" s="21" t="s">
        <v>104</v>
      </c>
      <c r="L14" s="13" t="s">
        <v>159</v>
      </c>
      <c r="M14" s="13" t="s">
        <v>160</v>
      </c>
      <c r="N14" s="13" t="s">
        <v>161</v>
      </c>
      <c r="O14" s="13" t="s">
        <v>162</v>
      </c>
      <c r="P14" s="18" t="n">
        <v>1</v>
      </c>
      <c r="Q14" s="18" t="n">
        <f aca="false">SUM(Scoring!$BL$7:$BL$41)</f>
        <v>0</v>
      </c>
      <c r="R14" s="17" t="str">
        <f aca="false">IF(Scoring!P43="","",Scoring!P43)</f>
        <v/>
      </c>
      <c r="S14" s="24" t="str">
        <f aca="false">IF(R14="","",R14+ROW()/100000)</f>
        <v/>
      </c>
      <c r="T14" s="3"/>
    </row>
    <row r="15" customFormat="false" ht="42" hidden="false" customHeight="true" outlineLevel="0" collapsed="false">
      <c r="A15" s="21" t="s">
        <v>163</v>
      </c>
      <c r="B15" s="22" t="s">
        <v>69</v>
      </c>
      <c r="C15" s="13" t="s">
        <v>99</v>
      </c>
      <c r="D15" s="13" t="s">
        <v>164</v>
      </c>
      <c r="E15" s="22" t="s">
        <v>29</v>
      </c>
      <c r="F15" s="22" t="s">
        <v>101</v>
      </c>
      <c r="G15" s="22" t="s">
        <v>132</v>
      </c>
      <c r="H15" s="13" t="s">
        <v>165</v>
      </c>
      <c r="I15" s="21" t="s">
        <v>72</v>
      </c>
      <c r="J15" s="21" t="s">
        <v>104</v>
      </c>
      <c r="K15" s="21" t="s">
        <v>104</v>
      </c>
      <c r="L15" s="13" t="s">
        <v>166</v>
      </c>
      <c r="M15" s="13" t="s">
        <v>167</v>
      </c>
      <c r="N15" s="13" t="s">
        <v>168</v>
      </c>
      <c r="O15" s="13" t="s">
        <v>147</v>
      </c>
      <c r="P15" s="18" t="n">
        <v>1</v>
      </c>
      <c r="Q15" s="18" t="n">
        <f aca="false">SUM(Scoring!$BL$7:$BL$41)</f>
        <v>0</v>
      </c>
      <c r="R15" s="17" t="str">
        <f aca="false">IF(Scoring!Q43="","",Scoring!Q43)</f>
        <v/>
      </c>
      <c r="S15" s="24" t="str">
        <f aca="false">IF(R15="","",R15+ROW()/100000)</f>
        <v/>
      </c>
      <c r="T15" s="3"/>
    </row>
    <row r="16" customFormat="false" ht="42" hidden="false" customHeight="true" outlineLevel="0" collapsed="false">
      <c r="A16" s="21" t="s">
        <v>169</v>
      </c>
      <c r="B16" s="22" t="s">
        <v>69</v>
      </c>
      <c r="C16" s="13" t="s">
        <v>99</v>
      </c>
      <c r="D16" s="13" t="s">
        <v>100</v>
      </c>
      <c r="E16" s="22" t="s">
        <v>30</v>
      </c>
      <c r="F16" s="22" t="s">
        <v>124</v>
      </c>
      <c r="G16" s="22" t="s">
        <v>170</v>
      </c>
      <c r="H16" s="13" t="s">
        <v>171</v>
      </c>
      <c r="I16" s="21" t="s">
        <v>70</v>
      </c>
      <c r="J16" s="21" t="s">
        <v>104</v>
      </c>
      <c r="K16" s="21" t="s">
        <v>104</v>
      </c>
      <c r="L16" s="13" t="s">
        <v>172</v>
      </c>
      <c r="M16" s="13" t="s">
        <v>173</v>
      </c>
      <c r="N16" s="13" t="s">
        <v>174</v>
      </c>
      <c r="O16" s="13" t="s">
        <v>175</v>
      </c>
      <c r="P16" s="18" t="n">
        <v>1</v>
      </c>
      <c r="Q16" s="18" t="n">
        <f aca="false">SUM(Scoring!$BL$7:$BL$41)</f>
        <v>0</v>
      </c>
      <c r="R16" s="17" t="str">
        <f aca="false">IF(Scoring!R43="","",Scoring!R43)</f>
        <v/>
      </c>
      <c r="S16" s="24" t="str">
        <f aca="false">IF(R16="","",R16+ROW()/100000)</f>
        <v/>
      </c>
      <c r="T16" s="3"/>
    </row>
    <row r="17" customFormat="false" ht="42" hidden="false" customHeight="true" outlineLevel="0" collapsed="false">
      <c r="A17" s="21" t="s">
        <v>176</v>
      </c>
      <c r="B17" s="22" t="s">
        <v>69</v>
      </c>
      <c r="C17" s="13" t="s">
        <v>99</v>
      </c>
      <c r="D17" s="13" t="s">
        <v>131</v>
      </c>
      <c r="E17" s="22" t="s">
        <v>30</v>
      </c>
      <c r="F17" s="22" t="s">
        <v>101</v>
      </c>
      <c r="G17" s="22" t="s">
        <v>170</v>
      </c>
      <c r="H17" s="13" t="s">
        <v>177</v>
      </c>
      <c r="I17" s="21" t="s">
        <v>71</v>
      </c>
      <c r="J17" s="21" t="s">
        <v>104</v>
      </c>
      <c r="K17" s="21" t="s">
        <v>104</v>
      </c>
      <c r="L17" s="13" t="s">
        <v>178</v>
      </c>
      <c r="M17" s="13" t="s">
        <v>179</v>
      </c>
      <c r="N17" s="13" t="s">
        <v>180</v>
      </c>
      <c r="O17" s="13" t="s">
        <v>181</v>
      </c>
      <c r="P17" s="18" t="n">
        <v>1</v>
      </c>
      <c r="Q17" s="18" t="n">
        <f aca="false">SUM(Scoring!$BL$7:$BL$41)</f>
        <v>0</v>
      </c>
      <c r="R17" s="17" t="str">
        <f aca="false">IF(Scoring!S43="","",Scoring!S43)</f>
        <v/>
      </c>
      <c r="S17" s="24" t="str">
        <f aca="false">IF(R17="","",R17+ROW()/100000)</f>
        <v/>
      </c>
      <c r="T17" s="3"/>
    </row>
    <row r="18" customFormat="false" ht="42" hidden="false" customHeight="true" outlineLevel="0" collapsed="false">
      <c r="A18" s="21" t="s">
        <v>182</v>
      </c>
      <c r="B18" s="22" t="s">
        <v>70</v>
      </c>
      <c r="C18" s="13" t="s">
        <v>183</v>
      </c>
      <c r="D18" s="13" t="s">
        <v>184</v>
      </c>
      <c r="E18" s="22" t="s">
        <v>28</v>
      </c>
      <c r="F18" s="22" t="s">
        <v>101</v>
      </c>
      <c r="G18" s="22" t="s">
        <v>102</v>
      </c>
      <c r="H18" s="13" t="s">
        <v>185</v>
      </c>
      <c r="I18" s="21" t="s">
        <v>70</v>
      </c>
      <c r="J18" s="21" t="s">
        <v>104</v>
      </c>
      <c r="K18" s="21" t="s">
        <v>104</v>
      </c>
      <c r="L18" s="13" t="s">
        <v>186</v>
      </c>
      <c r="M18" s="13" t="s">
        <v>187</v>
      </c>
      <c r="N18" s="13" t="s">
        <v>188</v>
      </c>
      <c r="O18" s="13" t="s">
        <v>189</v>
      </c>
      <c r="P18" s="18" t="n">
        <v>1</v>
      </c>
      <c r="Q18" s="18" t="n">
        <f aca="false">SUM(Scoring!$BL$7:$BL$41)</f>
        <v>0</v>
      </c>
      <c r="R18" s="17" t="str">
        <f aca="false">IF(Scoring!T43="","",Scoring!T43)</f>
        <v/>
      </c>
      <c r="S18" s="24" t="str">
        <f aca="false">IF(R18="","",R18+ROW()/100000)</f>
        <v/>
      </c>
      <c r="T18" s="3"/>
    </row>
    <row r="19" customFormat="false" ht="42" hidden="false" customHeight="true" outlineLevel="0" collapsed="false">
      <c r="A19" s="21" t="s">
        <v>190</v>
      </c>
      <c r="B19" s="22" t="s">
        <v>70</v>
      </c>
      <c r="C19" s="13" t="s">
        <v>183</v>
      </c>
      <c r="D19" s="13" t="s">
        <v>191</v>
      </c>
      <c r="E19" s="22" t="s">
        <v>28</v>
      </c>
      <c r="F19" s="22" t="s">
        <v>101</v>
      </c>
      <c r="G19" s="22" t="s">
        <v>102</v>
      </c>
      <c r="H19" s="13" t="s">
        <v>192</v>
      </c>
      <c r="I19" s="21" t="s">
        <v>69</v>
      </c>
      <c r="J19" s="21" t="s">
        <v>104</v>
      </c>
      <c r="K19" s="21" t="s">
        <v>104</v>
      </c>
      <c r="L19" s="13" t="s">
        <v>193</v>
      </c>
      <c r="M19" s="13" t="s">
        <v>194</v>
      </c>
      <c r="N19" s="13" t="s">
        <v>195</v>
      </c>
      <c r="O19" s="13" t="s">
        <v>196</v>
      </c>
      <c r="P19" s="18" t="n">
        <v>1</v>
      </c>
      <c r="Q19" s="18" t="n">
        <f aca="false">SUM(Scoring!$BL$7:$BL$41)</f>
        <v>0</v>
      </c>
      <c r="R19" s="17" t="str">
        <f aca="false">IF(Scoring!U43="","",Scoring!U43)</f>
        <v/>
      </c>
      <c r="S19" s="24" t="str">
        <f aca="false">IF(R19="","",R19+ROW()/100000)</f>
        <v/>
      </c>
      <c r="T19" s="3"/>
    </row>
    <row r="20" customFormat="false" ht="42" hidden="false" customHeight="true" outlineLevel="0" collapsed="false">
      <c r="A20" s="21" t="s">
        <v>197</v>
      </c>
      <c r="B20" s="22" t="s">
        <v>70</v>
      </c>
      <c r="C20" s="13" t="s">
        <v>183</v>
      </c>
      <c r="D20" s="13" t="s">
        <v>184</v>
      </c>
      <c r="E20" s="22" t="s">
        <v>28</v>
      </c>
      <c r="F20" s="22" t="s">
        <v>101</v>
      </c>
      <c r="G20" s="22" t="s">
        <v>102</v>
      </c>
      <c r="H20" s="13" t="s">
        <v>198</v>
      </c>
      <c r="I20" s="21" t="s">
        <v>72</v>
      </c>
      <c r="J20" s="21" t="s">
        <v>104</v>
      </c>
      <c r="K20" s="21" t="s">
        <v>104</v>
      </c>
      <c r="L20" s="13" t="s">
        <v>199</v>
      </c>
      <c r="M20" s="13" t="s">
        <v>200</v>
      </c>
      <c r="N20" s="13" t="s">
        <v>201</v>
      </c>
      <c r="O20" s="13" t="s">
        <v>147</v>
      </c>
      <c r="P20" s="18" t="n">
        <v>1</v>
      </c>
      <c r="Q20" s="18" t="n">
        <f aca="false">SUM(Scoring!$BL$7:$BL$41)</f>
        <v>0</v>
      </c>
      <c r="R20" s="17" t="str">
        <f aca="false">IF(Scoring!V43="","",Scoring!V43)</f>
        <v/>
      </c>
      <c r="S20" s="24" t="str">
        <f aca="false">IF(R20="","",R20+ROW()/100000)</f>
        <v/>
      </c>
      <c r="T20" s="3"/>
    </row>
    <row r="21" customFormat="false" ht="42" hidden="false" customHeight="true" outlineLevel="0" collapsed="false">
      <c r="A21" s="21" t="s">
        <v>202</v>
      </c>
      <c r="B21" s="22" t="s">
        <v>70</v>
      </c>
      <c r="C21" s="13" t="s">
        <v>183</v>
      </c>
      <c r="D21" s="13" t="s">
        <v>164</v>
      </c>
      <c r="E21" s="22" t="s">
        <v>29</v>
      </c>
      <c r="F21" s="22" t="s">
        <v>101</v>
      </c>
      <c r="G21" s="22" t="s">
        <v>132</v>
      </c>
      <c r="H21" s="13" t="s">
        <v>203</v>
      </c>
      <c r="I21" s="21" t="s">
        <v>71</v>
      </c>
      <c r="J21" s="21" t="s">
        <v>104</v>
      </c>
      <c r="K21" s="21" t="s">
        <v>104</v>
      </c>
      <c r="L21" s="13" t="s">
        <v>204</v>
      </c>
      <c r="M21" s="13" t="s">
        <v>205</v>
      </c>
      <c r="N21" s="13" t="s">
        <v>206</v>
      </c>
      <c r="O21" s="13" t="s">
        <v>207</v>
      </c>
      <c r="P21" s="18" t="n">
        <v>1</v>
      </c>
      <c r="Q21" s="18" t="n">
        <f aca="false">SUM(Scoring!$BL$7:$BL$41)</f>
        <v>0</v>
      </c>
      <c r="R21" s="17" t="str">
        <f aca="false">IF(Scoring!W43="","",Scoring!W43)</f>
        <v/>
      </c>
      <c r="S21" s="24" t="str">
        <f aca="false">IF(R21="","",R21+ROW()/100000)</f>
        <v/>
      </c>
      <c r="T21" s="3"/>
    </row>
    <row r="22" customFormat="false" ht="42" hidden="false" customHeight="true" outlineLevel="0" collapsed="false">
      <c r="A22" s="21" t="s">
        <v>208</v>
      </c>
      <c r="B22" s="22" t="s">
        <v>70</v>
      </c>
      <c r="C22" s="13" t="s">
        <v>183</v>
      </c>
      <c r="D22" s="13" t="s">
        <v>209</v>
      </c>
      <c r="E22" s="22" t="s">
        <v>29</v>
      </c>
      <c r="F22" s="22" t="s">
        <v>101</v>
      </c>
      <c r="G22" s="22" t="s">
        <v>132</v>
      </c>
      <c r="H22" s="13" t="s">
        <v>210</v>
      </c>
      <c r="I22" s="21" t="s">
        <v>69</v>
      </c>
      <c r="J22" s="21" t="s">
        <v>104</v>
      </c>
      <c r="K22" s="21" t="s">
        <v>104</v>
      </c>
      <c r="L22" s="13" t="s">
        <v>211</v>
      </c>
      <c r="M22" s="13" t="s">
        <v>212</v>
      </c>
      <c r="N22" s="13" t="s">
        <v>213</v>
      </c>
      <c r="O22" s="13" t="s">
        <v>214</v>
      </c>
      <c r="P22" s="18" t="n">
        <v>1</v>
      </c>
      <c r="Q22" s="18" t="n">
        <f aca="false">SUM(Scoring!$BL$7:$BL$41)</f>
        <v>0</v>
      </c>
      <c r="R22" s="17" t="str">
        <f aca="false">IF(Scoring!X43="","",Scoring!X43)</f>
        <v/>
      </c>
      <c r="S22" s="24" t="str">
        <f aca="false">IF(R22="","",R22+ROW()/100000)</f>
        <v/>
      </c>
      <c r="T22" s="3"/>
    </row>
    <row r="23" customFormat="false" ht="42" hidden="false" customHeight="true" outlineLevel="0" collapsed="false">
      <c r="A23" s="21" t="s">
        <v>215</v>
      </c>
      <c r="B23" s="22" t="s">
        <v>70</v>
      </c>
      <c r="C23" s="13" t="s">
        <v>183</v>
      </c>
      <c r="D23" s="13" t="s">
        <v>184</v>
      </c>
      <c r="E23" s="22" t="s">
        <v>29</v>
      </c>
      <c r="F23" s="22" t="s">
        <v>101</v>
      </c>
      <c r="G23" s="22" t="s">
        <v>132</v>
      </c>
      <c r="H23" s="13" t="s">
        <v>216</v>
      </c>
      <c r="I23" s="21" t="s">
        <v>70</v>
      </c>
      <c r="J23" s="21" t="s">
        <v>104</v>
      </c>
      <c r="K23" s="21" t="s">
        <v>104</v>
      </c>
      <c r="L23" s="13" t="s">
        <v>217</v>
      </c>
      <c r="M23" s="13" t="s">
        <v>147</v>
      </c>
      <c r="N23" s="13" t="s">
        <v>218</v>
      </c>
      <c r="O23" s="13" t="s">
        <v>219</v>
      </c>
      <c r="P23" s="18" t="n">
        <v>1</v>
      </c>
      <c r="Q23" s="18" t="n">
        <f aca="false">SUM(Scoring!$BL$7:$BL$41)</f>
        <v>0</v>
      </c>
      <c r="R23" s="17" t="str">
        <f aca="false">IF(Scoring!Y43="","",Scoring!Y43)</f>
        <v/>
      </c>
      <c r="S23" s="24" t="str">
        <f aca="false">IF(R23="","",R23+ROW()/100000)</f>
        <v/>
      </c>
      <c r="T23" s="3"/>
    </row>
    <row r="24" customFormat="false" ht="42" hidden="false" customHeight="true" outlineLevel="0" collapsed="false">
      <c r="A24" s="21" t="s">
        <v>220</v>
      </c>
      <c r="B24" s="22" t="s">
        <v>70</v>
      </c>
      <c r="C24" s="13" t="s">
        <v>183</v>
      </c>
      <c r="D24" s="13" t="s">
        <v>184</v>
      </c>
      <c r="E24" s="22" t="s">
        <v>29</v>
      </c>
      <c r="F24" s="22" t="s">
        <v>124</v>
      </c>
      <c r="G24" s="22" t="s">
        <v>132</v>
      </c>
      <c r="H24" s="13" t="s">
        <v>221</v>
      </c>
      <c r="I24" s="21" t="s">
        <v>72</v>
      </c>
      <c r="J24" s="21" t="s">
        <v>104</v>
      </c>
      <c r="K24" s="21" t="s">
        <v>104</v>
      </c>
      <c r="L24" s="13" t="s">
        <v>222</v>
      </c>
      <c r="M24" s="13" t="s">
        <v>223</v>
      </c>
      <c r="N24" s="13" t="s">
        <v>224</v>
      </c>
      <c r="O24" s="13" t="s">
        <v>225</v>
      </c>
      <c r="P24" s="18" t="n">
        <v>1</v>
      </c>
      <c r="Q24" s="18" t="n">
        <f aca="false">SUM(Scoring!$BL$7:$BL$41)</f>
        <v>0</v>
      </c>
      <c r="R24" s="17" t="str">
        <f aca="false">IF(Scoring!Z43="","",Scoring!Z43)</f>
        <v/>
      </c>
      <c r="S24" s="24" t="str">
        <f aca="false">IF(R24="","",R24+ROW()/100000)</f>
        <v/>
      </c>
      <c r="T24" s="3"/>
    </row>
    <row r="25" customFormat="false" ht="42" hidden="false" customHeight="true" outlineLevel="0" collapsed="false">
      <c r="A25" s="21" t="s">
        <v>226</v>
      </c>
      <c r="B25" s="22" t="s">
        <v>70</v>
      </c>
      <c r="C25" s="13" t="s">
        <v>183</v>
      </c>
      <c r="D25" s="13" t="s">
        <v>191</v>
      </c>
      <c r="E25" s="22" t="s">
        <v>30</v>
      </c>
      <c r="F25" s="22" t="s">
        <v>124</v>
      </c>
      <c r="G25" s="22" t="s">
        <v>170</v>
      </c>
      <c r="H25" s="13" t="s">
        <v>227</v>
      </c>
      <c r="I25" s="21" t="s">
        <v>71</v>
      </c>
      <c r="J25" s="21" t="s">
        <v>104</v>
      </c>
      <c r="K25" s="21" t="s">
        <v>104</v>
      </c>
      <c r="L25" s="13" t="s">
        <v>228</v>
      </c>
      <c r="M25" s="13" t="s">
        <v>229</v>
      </c>
      <c r="N25" s="13" t="s">
        <v>230</v>
      </c>
      <c r="O25" s="13" t="s">
        <v>231</v>
      </c>
      <c r="P25" s="18" t="n">
        <v>1</v>
      </c>
      <c r="Q25" s="18" t="n">
        <f aca="false">SUM(Scoring!$BL$7:$BL$41)</f>
        <v>0</v>
      </c>
      <c r="R25" s="17" t="str">
        <f aca="false">IF(Scoring!AA43="","",Scoring!AA43)</f>
        <v/>
      </c>
      <c r="S25" s="24" t="str">
        <f aca="false">IF(R25="","",R25+ROW()/100000)</f>
        <v/>
      </c>
      <c r="T25" s="3"/>
    </row>
    <row r="26" customFormat="false" ht="42" hidden="false" customHeight="true" outlineLevel="0" collapsed="false">
      <c r="A26" s="21" t="s">
        <v>232</v>
      </c>
      <c r="B26" s="22" t="s">
        <v>71</v>
      </c>
      <c r="C26" s="13" t="s">
        <v>49</v>
      </c>
      <c r="D26" s="13" t="s">
        <v>233</v>
      </c>
      <c r="E26" s="22" t="s">
        <v>28</v>
      </c>
      <c r="F26" s="22" t="s">
        <v>101</v>
      </c>
      <c r="G26" s="22" t="s">
        <v>102</v>
      </c>
      <c r="H26" s="13" t="s">
        <v>234</v>
      </c>
      <c r="I26" s="21" t="s">
        <v>72</v>
      </c>
      <c r="J26" s="21" t="s">
        <v>104</v>
      </c>
      <c r="K26" s="21" t="s">
        <v>104</v>
      </c>
      <c r="L26" s="13" t="s">
        <v>235</v>
      </c>
      <c r="M26" s="13" t="s">
        <v>236</v>
      </c>
      <c r="N26" s="13" t="s">
        <v>237</v>
      </c>
      <c r="O26" s="13" t="s">
        <v>238</v>
      </c>
      <c r="P26" s="18" t="n">
        <v>1</v>
      </c>
      <c r="Q26" s="18" t="n">
        <f aca="false">SUM(Scoring!$BL$7:$BL$41)</f>
        <v>0</v>
      </c>
      <c r="R26" s="17" t="str">
        <f aca="false">IF(Scoring!AB43="","",Scoring!AB43)</f>
        <v/>
      </c>
      <c r="S26" s="24" t="str">
        <f aca="false">IF(R26="","",R26+ROW()/100000)</f>
        <v/>
      </c>
      <c r="T26" s="3"/>
    </row>
    <row r="27" customFormat="false" ht="42" hidden="false" customHeight="true" outlineLevel="0" collapsed="false">
      <c r="A27" s="21" t="s">
        <v>239</v>
      </c>
      <c r="B27" s="22" t="s">
        <v>71</v>
      </c>
      <c r="C27" s="13" t="s">
        <v>49</v>
      </c>
      <c r="D27" s="13" t="s">
        <v>233</v>
      </c>
      <c r="E27" s="22" t="s">
        <v>28</v>
      </c>
      <c r="F27" s="22" t="s">
        <v>101</v>
      </c>
      <c r="G27" s="22" t="s">
        <v>102</v>
      </c>
      <c r="H27" s="13" t="s">
        <v>240</v>
      </c>
      <c r="I27" s="21" t="s">
        <v>69</v>
      </c>
      <c r="J27" s="21" t="s">
        <v>104</v>
      </c>
      <c r="K27" s="21" t="s">
        <v>104</v>
      </c>
      <c r="L27" s="13" t="s">
        <v>147</v>
      </c>
      <c r="M27" s="13" t="s">
        <v>241</v>
      </c>
      <c r="N27" s="13" t="s">
        <v>242</v>
      </c>
      <c r="O27" s="13" t="s">
        <v>243</v>
      </c>
      <c r="P27" s="18" t="n">
        <v>1</v>
      </c>
      <c r="Q27" s="18" t="n">
        <f aca="false">SUM(Scoring!$BL$7:$BL$41)</f>
        <v>0</v>
      </c>
      <c r="R27" s="17" t="str">
        <f aca="false">IF(Scoring!AC43="","",Scoring!AC43)</f>
        <v/>
      </c>
      <c r="S27" s="24" t="str">
        <f aca="false">IF(R27="","",R27+ROW()/100000)</f>
        <v/>
      </c>
      <c r="T27" s="3"/>
    </row>
    <row r="28" customFormat="false" ht="42" hidden="false" customHeight="true" outlineLevel="0" collapsed="false">
      <c r="A28" s="21" t="s">
        <v>244</v>
      </c>
      <c r="B28" s="22" t="s">
        <v>71</v>
      </c>
      <c r="C28" s="13" t="s">
        <v>49</v>
      </c>
      <c r="D28" s="13" t="s">
        <v>233</v>
      </c>
      <c r="E28" s="22" t="s">
        <v>28</v>
      </c>
      <c r="F28" s="22" t="s">
        <v>101</v>
      </c>
      <c r="G28" s="22" t="s">
        <v>102</v>
      </c>
      <c r="H28" s="13" t="s">
        <v>245</v>
      </c>
      <c r="I28" s="21" t="s">
        <v>70</v>
      </c>
      <c r="J28" s="21" t="s">
        <v>104</v>
      </c>
      <c r="K28" s="21" t="s">
        <v>104</v>
      </c>
      <c r="L28" s="13" t="s">
        <v>246</v>
      </c>
      <c r="M28" s="13" t="s">
        <v>247</v>
      </c>
      <c r="N28" s="13" t="s">
        <v>248</v>
      </c>
      <c r="O28" s="13" t="s">
        <v>249</v>
      </c>
      <c r="P28" s="18" t="n">
        <v>1</v>
      </c>
      <c r="Q28" s="18" t="n">
        <f aca="false">SUM(Scoring!$BL$7:$BL$41)</f>
        <v>0</v>
      </c>
      <c r="R28" s="17" t="str">
        <f aca="false">IF(Scoring!AD43="","",Scoring!AD43)</f>
        <v/>
      </c>
      <c r="S28" s="24" t="str">
        <f aca="false">IF(R28="","",R28+ROW()/100000)</f>
        <v/>
      </c>
      <c r="T28" s="3"/>
    </row>
    <row r="29" customFormat="false" ht="42" hidden="false" customHeight="true" outlineLevel="0" collapsed="false">
      <c r="A29" s="21" t="s">
        <v>250</v>
      </c>
      <c r="B29" s="22" t="s">
        <v>71</v>
      </c>
      <c r="C29" s="13" t="s">
        <v>49</v>
      </c>
      <c r="D29" s="13" t="s">
        <v>251</v>
      </c>
      <c r="E29" s="22" t="s">
        <v>29</v>
      </c>
      <c r="F29" s="22" t="s">
        <v>101</v>
      </c>
      <c r="G29" s="22" t="s">
        <v>132</v>
      </c>
      <c r="H29" s="13" t="s">
        <v>252</v>
      </c>
      <c r="I29" s="21" t="s">
        <v>71</v>
      </c>
      <c r="J29" s="21" t="s">
        <v>104</v>
      </c>
      <c r="K29" s="21" t="s">
        <v>104</v>
      </c>
      <c r="L29" s="13" t="s">
        <v>253</v>
      </c>
      <c r="M29" s="13" t="s">
        <v>254</v>
      </c>
      <c r="N29" s="13" t="s">
        <v>255</v>
      </c>
      <c r="O29" s="13" t="s">
        <v>256</v>
      </c>
      <c r="P29" s="18" t="n">
        <v>1</v>
      </c>
      <c r="Q29" s="18" t="n">
        <f aca="false">SUM(Scoring!$BL$7:$BL$41)</f>
        <v>0</v>
      </c>
      <c r="R29" s="17" t="str">
        <f aca="false">IF(Scoring!AE43="","",Scoring!AE43)</f>
        <v/>
      </c>
      <c r="S29" s="24" t="str">
        <f aca="false">IF(R29="","",R29+ROW()/100000)</f>
        <v/>
      </c>
      <c r="T29" s="3"/>
    </row>
    <row r="30" customFormat="false" ht="42" hidden="false" customHeight="true" outlineLevel="0" collapsed="false">
      <c r="A30" s="21" t="s">
        <v>257</v>
      </c>
      <c r="B30" s="22" t="s">
        <v>71</v>
      </c>
      <c r="C30" s="13" t="s">
        <v>49</v>
      </c>
      <c r="D30" s="13" t="s">
        <v>233</v>
      </c>
      <c r="E30" s="22" t="s">
        <v>29</v>
      </c>
      <c r="F30" s="22" t="s">
        <v>101</v>
      </c>
      <c r="G30" s="22" t="s">
        <v>132</v>
      </c>
      <c r="H30" s="13" t="s">
        <v>258</v>
      </c>
      <c r="I30" s="21" t="s">
        <v>69</v>
      </c>
      <c r="J30" s="21" t="s">
        <v>104</v>
      </c>
      <c r="K30" s="21" t="s">
        <v>104</v>
      </c>
      <c r="L30" s="13" t="s">
        <v>259</v>
      </c>
      <c r="M30" s="13" t="s">
        <v>260</v>
      </c>
      <c r="N30" s="13" t="s">
        <v>261</v>
      </c>
      <c r="O30" s="13" t="s">
        <v>262</v>
      </c>
      <c r="P30" s="18" t="n">
        <v>1</v>
      </c>
      <c r="Q30" s="18" t="n">
        <f aca="false">SUM(Scoring!$BL$7:$BL$41)</f>
        <v>0</v>
      </c>
      <c r="R30" s="17" t="str">
        <f aca="false">IF(Scoring!AF43="","",Scoring!AF43)</f>
        <v/>
      </c>
      <c r="S30" s="24" t="str">
        <f aca="false">IF(R30="","",R30+ROW()/100000)</f>
        <v/>
      </c>
      <c r="T30" s="3"/>
    </row>
    <row r="31" customFormat="false" ht="42" hidden="false" customHeight="true" outlineLevel="0" collapsed="false">
      <c r="A31" s="21" t="s">
        <v>263</v>
      </c>
      <c r="B31" s="22" t="s">
        <v>71</v>
      </c>
      <c r="C31" s="13" t="s">
        <v>49</v>
      </c>
      <c r="D31" s="13" t="s">
        <v>233</v>
      </c>
      <c r="E31" s="22" t="s">
        <v>29</v>
      </c>
      <c r="F31" s="22" t="s">
        <v>101</v>
      </c>
      <c r="G31" s="22" t="s">
        <v>132</v>
      </c>
      <c r="H31" s="13" t="s">
        <v>264</v>
      </c>
      <c r="I31" s="21" t="s">
        <v>72</v>
      </c>
      <c r="J31" s="21" t="s">
        <v>104</v>
      </c>
      <c r="K31" s="21" t="s">
        <v>104</v>
      </c>
      <c r="L31" s="13" t="s">
        <v>265</v>
      </c>
      <c r="M31" s="13" t="s">
        <v>266</v>
      </c>
      <c r="N31" s="13" t="s">
        <v>267</v>
      </c>
      <c r="O31" s="13" t="s">
        <v>268</v>
      </c>
      <c r="P31" s="18" t="n">
        <v>1</v>
      </c>
      <c r="Q31" s="18" t="n">
        <f aca="false">SUM(Scoring!$BL$7:$BL$41)</f>
        <v>0</v>
      </c>
      <c r="R31" s="17" t="str">
        <f aca="false">IF(Scoring!AG43="","",Scoring!AG43)</f>
        <v/>
      </c>
      <c r="S31" s="24" t="str">
        <f aca="false">IF(R31="","",R31+ROW()/100000)</f>
        <v/>
      </c>
      <c r="T31" s="3"/>
    </row>
    <row r="32" customFormat="false" ht="42" hidden="false" customHeight="true" outlineLevel="0" collapsed="false">
      <c r="A32" s="21" t="s">
        <v>269</v>
      </c>
      <c r="B32" s="22" t="s">
        <v>71</v>
      </c>
      <c r="C32" s="13" t="s">
        <v>49</v>
      </c>
      <c r="D32" s="13" t="s">
        <v>233</v>
      </c>
      <c r="E32" s="22" t="s">
        <v>30</v>
      </c>
      <c r="F32" s="22" t="s">
        <v>101</v>
      </c>
      <c r="G32" s="22" t="s">
        <v>170</v>
      </c>
      <c r="H32" s="13" t="s">
        <v>270</v>
      </c>
      <c r="I32" s="21" t="s">
        <v>70</v>
      </c>
      <c r="J32" s="21" t="s">
        <v>104</v>
      </c>
      <c r="K32" s="21" t="s">
        <v>104</v>
      </c>
      <c r="L32" s="13" t="s">
        <v>271</v>
      </c>
      <c r="M32" s="13" t="s">
        <v>147</v>
      </c>
      <c r="N32" s="13" t="s">
        <v>272</v>
      </c>
      <c r="O32" s="13" t="s">
        <v>273</v>
      </c>
      <c r="P32" s="18" t="n">
        <v>1</v>
      </c>
      <c r="Q32" s="18" t="n">
        <f aca="false">SUM(Scoring!$BL$7:$BL$41)</f>
        <v>0</v>
      </c>
      <c r="R32" s="17" t="str">
        <f aca="false">IF(Scoring!AH43="","",Scoring!AH43)</f>
        <v/>
      </c>
      <c r="S32" s="24" t="str">
        <f aca="false">IF(R32="","",R32+ROW()/100000)</f>
        <v/>
      </c>
      <c r="T32" s="3"/>
    </row>
    <row r="33" customFormat="false" ht="42" hidden="false" customHeight="true" outlineLevel="0" collapsed="false">
      <c r="A33" s="21" t="s">
        <v>274</v>
      </c>
      <c r="B33" s="22" t="s">
        <v>71</v>
      </c>
      <c r="C33" s="13" t="s">
        <v>49</v>
      </c>
      <c r="D33" s="13" t="s">
        <v>275</v>
      </c>
      <c r="E33" s="22" t="s">
        <v>30</v>
      </c>
      <c r="F33" s="22" t="s">
        <v>124</v>
      </c>
      <c r="G33" s="22" t="s">
        <v>170</v>
      </c>
      <c r="H33" s="13" t="s">
        <v>276</v>
      </c>
      <c r="I33" s="21" t="s">
        <v>71</v>
      </c>
      <c r="J33" s="21" t="s">
        <v>104</v>
      </c>
      <c r="K33" s="21" t="s">
        <v>104</v>
      </c>
      <c r="L33" s="13" t="s">
        <v>277</v>
      </c>
      <c r="M33" s="13" t="s">
        <v>278</v>
      </c>
      <c r="N33" s="13" t="s">
        <v>279</v>
      </c>
      <c r="O33" s="13" t="s">
        <v>280</v>
      </c>
      <c r="P33" s="18" t="n">
        <v>1</v>
      </c>
      <c r="Q33" s="18" t="n">
        <f aca="false">SUM(Scoring!$BL$7:$BL$41)</f>
        <v>0</v>
      </c>
      <c r="R33" s="17" t="str">
        <f aca="false">IF(Scoring!AI43="","",Scoring!AI43)</f>
        <v/>
      </c>
      <c r="S33" s="24" t="str">
        <f aca="false">IF(R33="","",R33+ROW()/100000)</f>
        <v/>
      </c>
      <c r="T33" s="3"/>
    </row>
    <row r="34" customFormat="false" ht="42" hidden="false" customHeight="true" outlineLevel="0" collapsed="false">
      <c r="A34" s="21" t="s">
        <v>281</v>
      </c>
      <c r="B34" s="22" t="s">
        <v>72</v>
      </c>
      <c r="C34" s="13" t="s">
        <v>282</v>
      </c>
      <c r="D34" s="13" t="s">
        <v>283</v>
      </c>
      <c r="E34" s="22" t="s">
        <v>28</v>
      </c>
      <c r="F34" s="22" t="s">
        <v>101</v>
      </c>
      <c r="G34" s="22" t="s">
        <v>102</v>
      </c>
      <c r="H34" s="13" t="s">
        <v>284</v>
      </c>
      <c r="I34" s="21" t="s">
        <v>69</v>
      </c>
      <c r="J34" s="21" t="s">
        <v>104</v>
      </c>
      <c r="K34" s="21" t="s">
        <v>104</v>
      </c>
      <c r="L34" s="13" t="s">
        <v>285</v>
      </c>
      <c r="M34" s="13" t="s">
        <v>286</v>
      </c>
      <c r="N34" s="13" t="s">
        <v>287</v>
      </c>
      <c r="O34" s="13" t="s">
        <v>288</v>
      </c>
      <c r="P34" s="18" t="n">
        <v>1</v>
      </c>
      <c r="Q34" s="18" t="n">
        <f aca="false">SUM(Scoring!$BL$7:$BL$41)</f>
        <v>0</v>
      </c>
      <c r="R34" s="17" t="str">
        <f aca="false">IF(Scoring!AJ43="","",Scoring!AJ43)</f>
        <v/>
      </c>
      <c r="S34" s="24" t="str">
        <f aca="false">IF(R34="","",R34+ROW()/100000)</f>
        <v/>
      </c>
      <c r="T34" s="3"/>
    </row>
    <row r="35" customFormat="false" ht="42" hidden="false" customHeight="true" outlineLevel="0" collapsed="false">
      <c r="A35" s="21" t="s">
        <v>289</v>
      </c>
      <c r="B35" s="22" t="s">
        <v>72</v>
      </c>
      <c r="C35" s="13" t="s">
        <v>282</v>
      </c>
      <c r="D35" s="13" t="s">
        <v>283</v>
      </c>
      <c r="E35" s="22" t="s">
        <v>29</v>
      </c>
      <c r="F35" s="22" t="s">
        <v>101</v>
      </c>
      <c r="G35" s="22" t="s">
        <v>132</v>
      </c>
      <c r="H35" s="13" t="s">
        <v>290</v>
      </c>
      <c r="I35" s="21" t="s">
        <v>71</v>
      </c>
      <c r="J35" s="21" t="s">
        <v>104</v>
      </c>
      <c r="K35" s="21" t="s">
        <v>104</v>
      </c>
      <c r="L35" s="13" t="s">
        <v>291</v>
      </c>
      <c r="M35" s="13" t="s">
        <v>292</v>
      </c>
      <c r="N35" s="13" t="s">
        <v>293</v>
      </c>
      <c r="O35" s="13" t="s">
        <v>294</v>
      </c>
      <c r="P35" s="18" t="n">
        <v>1</v>
      </c>
      <c r="Q35" s="18" t="n">
        <f aca="false">SUM(Scoring!$BL$7:$BL$41)</f>
        <v>0</v>
      </c>
      <c r="R35" s="17" t="str">
        <f aca="false">IF(Scoring!AK43="","",Scoring!AK43)</f>
        <v/>
      </c>
      <c r="S35" s="24" t="str">
        <f aca="false">IF(R35="","",R35+ROW()/100000)</f>
        <v/>
      </c>
      <c r="T35" s="3"/>
    </row>
    <row r="36" customFormat="false" ht="42" hidden="false" customHeight="true" outlineLevel="0" collapsed="false">
      <c r="A36" s="21" t="s">
        <v>295</v>
      </c>
      <c r="B36" s="22" t="s">
        <v>72</v>
      </c>
      <c r="C36" s="13" t="s">
        <v>282</v>
      </c>
      <c r="D36" s="13" t="s">
        <v>283</v>
      </c>
      <c r="E36" s="22" t="s">
        <v>29</v>
      </c>
      <c r="F36" s="22" t="s">
        <v>101</v>
      </c>
      <c r="G36" s="22" t="s">
        <v>132</v>
      </c>
      <c r="H36" s="13" t="s">
        <v>296</v>
      </c>
      <c r="I36" s="21" t="s">
        <v>70</v>
      </c>
      <c r="J36" s="21" t="s">
        <v>104</v>
      </c>
      <c r="K36" s="21" t="s">
        <v>104</v>
      </c>
      <c r="L36" s="13" t="s">
        <v>297</v>
      </c>
      <c r="M36" s="13" t="s">
        <v>298</v>
      </c>
      <c r="N36" s="13" t="s">
        <v>299</v>
      </c>
      <c r="O36" s="13" t="s">
        <v>300</v>
      </c>
      <c r="P36" s="18" t="n">
        <v>1</v>
      </c>
      <c r="Q36" s="18" t="n">
        <f aca="false">SUM(Scoring!$BL$7:$BL$41)</f>
        <v>0</v>
      </c>
      <c r="R36" s="17" t="str">
        <f aca="false">IF(Scoring!AL43="","",Scoring!AL43)</f>
        <v/>
      </c>
      <c r="S36" s="24" t="str">
        <f aca="false">IF(R36="","",R36+ROW()/100000)</f>
        <v/>
      </c>
      <c r="T36" s="3"/>
    </row>
    <row r="37" customFormat="false" ht="42" hidden="false" customHeight="true" outlineLevel="0" collapsed="false">
      <c r="A37" s="21" t="s">
        <v>301</v>
      </c>
      <c r="B37" s="22" t="s">
        <v>72</v>
      </c>
      <c r="C37" s="13" t="s">
        <v>282</v>
      </c>
      <c r="D37" s="13" t="s">
        <v>283</v>
      </c>
      <c r="E37" s="22" t="s">
        <v>30</v>
      </c>
      <c r="F37" s="22" t="s">
        <v>101</v>
      </c>
      <c r="G37" s="22" t="s">
        <v>170</v>
      </c>
      <c r="H37" s="13" t="s">
        <v>302</v>
      </c>
      <c r="I37" s="21" t="s">
        <v>72</v>
      </c>
      <c r="J37" s="21" t="s">
        <v>104</v>
      </c>
      <c r="K37" s="21" t="s">
        <v>104</v>
      </c>
      <c r="L37" s="13" t="s">
        <v>303</v>
      </c>
      <c r="M37" s="13" t="s">
        <v>304</v>
      </c>
      <c r="N37" s="13" t="s">
        <v>305</v>
      </c>
      <c r="O37" s="13" t="s">
        <v>306</v>
      </c>
      <c r="P37" s="18" t="n">
        <v>1</v>
      </c>
      <c r="Q37" s="18" t="n">
        <f aca="false">SUM(Scoring!$BL$7:$BL$41)</f>
        <v>0</v>
      </c>
      <c r="R37" s="17" t="str">
        <f aca="false">IF(Scoring!AM43="","",Scoring!AM43)</f>
        <v/>
      </c>
      <c r="S37" s="24" t="str">
        <f aca="false">IF(R37="","",R37+ROW()/100000)</f>
        <v/>
      </c>
      <c r="T37" s="3"/>
    </row>
    <row r="38" customFormat="false" ht="42" hidden="false" customHeight="true" outlineLevel="0" collapsed="false">
      <c r="A38" s="21" t="s">
        <v>307</v>
      </c>
      <c r="B38" s="22" t="s">
        <v>72</v>
      </c>
      <c r="C38" s="13" t="s">
        <v>282</v>
      </c>
      <c r="D38" s="13" t="s">
        <v>308</v>
      </c>
      <c r="E38" s="22" t="s">
        <v>29</v>
      </c>
      <c r="F38" s="22" t="s">
        <v>124</v>
      </c>
      <c r="G38" s="22" t="s">
        <v>132</v>
      </c>
      <c r="H38" s="13" t="s">
        <v>309</v>
      </c>
      <c r="I38" s="21" t="s">
        <v>69</v>
      </c>
      <c r="J38" s="21" t="s">
        <v>104</v>
      </c>
      <c r="K38" s="21" t="s">
        <v>104</v>
      </c>
      <c r="L38" s="13" t="s">
        <v>147</v>
      </c>
      <c r="M38" s="13" t="s">
        <v>310</v>
      </c>
      <c r="N38" s="13" t="s">
        <v>311</v>
      </c>
      <c r="O38" s="13" t="s">
        <v>312</v>
      </c>
      <c r="P38" s="18" t="n">
        <v>1</v>
      </c>
      <c r="Q38" s="18" t="n">
        <f aca="false">SUM(Scoring!$BL$7:$BL$41)</f>
        <v>0</v>
      </c>
      <c r="R38" s="17" t="str">
        <f aca="false">IF(Scoring!AN43="","",Scoring!AN43)</f>
        <v/>
      </c>
      <c r="S38" s="24" t="str">
        <f aca="false">IF(R38="","",R38+ROW()/100000)</f>
        <v/>
      </c>
      <c r="T38" s="3"/>
    </row>
    <row r="39" customFormat="false" ht="42" hidden="false" customHeight="true" outlineLevel="0" collapsed="false">
      <c r="A39" s="21" t="s">
        <v>313</v>
      </c>
      <c r="B39" s="22" t="s">
        <v>72</v>
      </c>
      <c r="C39" s="13" t="s">
        <v>282</v>
      </c>
      <c r="D39" s="13" t="s">
        <v>308</v>
      </c>
      <c r="E39" s="22" t="s">
        <v>30</v>
      </c>
      <c r="F39" s="22" t="s">
        <v>124</v>
      </c>
      <c r="G39" s="22" t="s">
        <v>170</v>
      </c>
      <c r="H39" s="13" t="s">
        <v>314</v>
      </c>
      <c r="I39" s="21" t="s">
        <v>70</v>
      </c>
      <c r="J39" s="21" t="s">
        <v>104</v>
      </c>
      <c r="K39" s="21" t="s">
        <v>104</v>
      </c>
      <c r="L39" s="13" t="s">
        <v>315</v>
      </c>
      <c r="M39" s="13" t="s">
        <v>316</v>
      </c>
      <c r="N39" s="13" t="s">
        <v>317</v>
      </c>
      <c r="O39" s="13" t="s">
        <v>318</v>
      </c>
      <c r="P39" s="18" t="n">
        <v>1</v>
      </c>
      <c r="Q39" s="18" t="n">
        <f aca="false">SUM(Scoring!$BL$7:$BL$41)</f>
        <v>0</v>
      </c>
      <c r="R39" s="17" t="str">
        <f aca="false">IF(Scoring!AO43="","",Scoring!AO43)</f>
        <v/>
      </c>
      <c r="S39" s="24" t="str">
        <f aca="false">IF(R39="","",R39+ROW()/100000)</f>
        <v/>
      </c>
      <c r="T39" s="3"/>
    </row>
    <row r="40" customFormat="false" ht="42" hidden="false" customHeight="true" outlineLevel="0" collapsed="false">
      <c r="A40" s="21" t="s">
        <v>319</v>
      </c>
      <c r="B40" s="22" t="s">
        <v>320</v>
      </c>
      <c r="C40" s="13" t="s">
        <v>321</v>
      </c>
      <c r="D40" s="13" t="s">
        <v>322</v>
      </c>
      <c r="E40" s="22" t="s">
        <v>323</v>
      </c>
      <c r="F40" s="22" t="s">
        <v>101</v>
      </c>
      <c r="G40" s="22" t="s">
        <v>324</v>
      </c>
      <c r="H40" s="13" t="s">
        <v>325</v>
      </c>
      <c r="I40" s="21" t="s">
        <v>104</v>
      </c>
      <c r="J40" s="21" t="s">
        <v>71</v>
      </c>
      <c r="K40" s="21" t="s">
        <v>69</v>
      </c>
      <c r="L40" s="13" t="s">
        <v>326</v>
      </c>
      <c r="M40" s="13" t="s">
        <v>327</v>
      </c>
      <c r="N40" s="13" t="s">
        <v>88</v>
      </c>
      <c r="O40" s="13" t="s">
        <v>328</v>
      </c>
      <c r="P40" s="18" t="n">
        <v>2</v>
      </c>
      <c r="Q40" s="18" t="n">
        <f aca="false">SUM(Scoring!$BL$7:$BL$41)</f>
        <v>0</v>
      </c>
      <c r="R40" s="17" t="str">
        <f aca="false">IF(Scoring!AP43="","",AVERAGE(Scoring!AP43,Scoring!AQ43))</f>
        <v/>
      </c>
      <c r="S40" s="24" t="str">
        <f aca="false">IF(R40="","",R40+ROW()/100000)</f>
        <v/>
      </c>
      <c r="T40" s="3"/>
    </row>
    <row r="41" customFormat="false" ht="42" hidden="false" customHeight="true" outlineLevel="0" collapsed="false">
      <c r="A41" s="21" t="s">
        <v>329</v>
      </c>
      <c r="B41" s="22" t="s">
        <v>320</v>
      </c>
      <c r="C41" s="13" t="s">
        <v>321</v>
      </c>
      <c r="D41" s="13" t="s">
        <v>322</v>
      </c>
      <c r="E41" s="22" t="s">
        <v>323</v>
      </c>
      <c r="F41" s="22" t="s">
        <v>124</v>
      </c>
      <c r="G41" s="22" t="s">
        <v>324</v>
      </c>
      <c r="H41" s="13" t="s">
        <v>330</v>
      </c>
      <c r="I41" s="21" t="s">
        <v>104</v>
      </c>
      <c r="J41" s="21" t="s">
        <v>70</v>
      </c>
      <c r="K41" s="21" t="s">
        <v>72</v>
      </c>
      <c r="L41" s="13" t="s">
        <v>331</v>
      </c>
      <c r="M41" s="13" t="s">
        <v>88</v>
      </c>
      <c r="N41" s="13" t="s">
        <v>332</v>
      </c>
      <c r="O41" s="13" t="s">
        <v>333</v>
      </c>
      <c r="P41" s="18" t="n">
        <v>2</v>
      </c>
      <c r="Q41" s="18" t="n">
        <f aca="false">SUM(Scoring!$BL$7:$BL$41)</f>
        <v>0</v>
      </c>
      <c r="R41" s="17" t="str">
        <f aca="false">IF(Scoring!AR43="","",AVERAGE(Scoring!AR43,Scoring!AS43))</f>
        <v/>
      </c>
      <c r="S41" s="24" t="str">
        <f aca="false">IF(R41="","",R41+ROW()/100000)</f>
        <v/>
      </c>
      <c r="T41" s="3"/>
    </row>
    <row r="42" customFormat="false" ht="42" hidden="false" customHeight="true" outlineLevel="0" collapsed="false">
      <c r="A42" s="21" t="s">
        <v>334</v>
      </c>
      <c r="B42" s="22" t="s">
        <v>320</v>
      </c>
      <c r="C42" s="13" t="s">
        <v>321</v>
      </c>
      <c r="D42" s="13" t="s">
        <v>322</v>
      </c>
      <c r="E42" s="22" t="s">
        <v>323</v>
      </c>
      <c r="F42" s="22" t="s">
        <v>101</v>
      </c>
      <c r="G42" s="22" t="s">
        <v>324</v>
      </c>
      <c r="H42" s="13" t="s">
        <v>335</v>
      </c>
      <c r="I42" s="21" t="s">
        <v>104</v>
      </c>
      <c r="J42" s="21" t="s">
        <v>72</v>
      </c>
      <c r="K42" s="21" t="s">
        <v>70</v>
      </c>
      <c r="L42" s="13" t="s">
        <v>336</v>
      </c>
      <c r="M42" s="13" t="s">
        <v>337</v>
      </c>
      <c r="N42" s="13" t="s">
        <v>338</v>
      </c>
      <c r="O42" s="13" t="s">
        <v>88</v>
      </c>
      <c r="P42" s="18" t="n">
        <v>2</v>
      </c>
      <c r="Q42" s="18" t="n">
        <f aca="false">SUM(Scoring!$BL$7:$BL$41)</f>
        <v>0</v>
      </c>
      <c r="R42" s="17" t="str">
        <f aca="false">IF(Scoring!AT43="","",AVERAGE(Scoring!AT43,Scoring!AU43))</f>
        <v/>
      </c>
      <c r="S42" s="24" t="str">
        <f aca="false">IF(R42="","",R42+ROW()/100000)</f>
        <v/>
      </c>
      <c r="T42" s="3"/>
    </row>
    <row r="43" customFormat="false" ht="42" hidden="false" customHeight="true" outlineLevel="0" collapsed="false">
      <c r="A43" s="21" t="s">
        <v>339</v>
      </c>
      <c r="B43" s="22" t="s">
        <v>320</v>
      </c>
      <c r="C43" s="13" t="s">
        <v>321</v>
      </c>
      <c r="D43" s="13" t="s">
        <v>322</v>
      </c>
      <c r="E43" s="22" t="s">
        <v>323</v>
      </c>
      <c r="F43" s="22" t="s">
        <v>101</v>
      </c>
      <c r="G43" s="22" t="s">
        <v>324</v>
      </c>
      <c r="H43" s="13" t="s">
        <v>340</v>
      </c>
      <c r="I43" s="21" t="s">
        <v>104</v>
      </c>
      <c r="J43" s="21" t="s">
        <v>69</v>
      </c>
      <c r="K43" s="21" t="s">
        <v>71</v>
      </c>
      <c r="L43" s="13" t="s">
        <v>88</v>
      </c>
      <c r="M43" s="13" t="s">
        <v>341</v>
      </c>
      <c r="N43" s="13" t="s">
        <v>342</v>
      </c>
      <c r="O43" s="13" t="s">
        <v>343</v>
      </c>
      <c r="P43" s="18" t="n">
        <v>2</v>
      </c>
      <c r="Q43" s="18" t="n">
        <f aca="false">SUM(Scoring!$BL$7:$BL$41)</f>
        <v>0</v>
      </c>
      <c r="R43" s="17" t="str">
        <f aca="false">IF(Scoring!AV43="","",AVERAGE(Scoring!AV43,Scoring!AW43))</f>
        <v/>
      </c>
      <c r="S43" s="24" t="str">
        <f aca="false">IF(R43="","",R43+ROW()/100000)</f>
        <v/>
      </c>
      <c r="T43" s="3"/>
    </row>
    <row r="44" customFormat="false" ht="42" hidden="false" customHeight="true" outlineLevel="0" collapsed="false">
      <c r="A44" s="21" t="s">
        <v>344</v>
      </c>
      <c r="B44" s="22" t="s">
        <v>320</v>
      </c>
      <c r="C44" s="13" t="s">
        <v>321</v>
      </c>
      <c r="D44" s="13" t="s">
        <v>322</v>
      </c>
      <c r="E44" s="22" t="s">
        <v>323</v>
      </c>
      <c r="F44" s="22" t="s">
        <v>101</v>
      </c>
      <c r="G44" s="22" t="s">
        <v>324</v>
      </c>
      <c r="H44" s="13" t="s">
        <v>345</v>
      </c>
      <c r="I44" s="21" t="s">
        <v>104</v>
      </c>
      <c r="J44" s="21" t="s">
        <v>71</v>
      </c>
      <c r="K44" s="21" t="s">
        <v>72</v>
      </c>
      <c r="L44" s="13" t="s">
        <v>346</v>
      </c>
      <c r="M44" s="13" t="s">
        <v>347</v>
      </c>
      <c r="N44" s="13" t="s">
        <v>88</v>
      </c>
      <c r="O44" s="13" t="s">
        <v>348</v>
      </c>
      <c r="P44" s="18" t="n">
        <v>2</v>
      </c>
      <c r="Q44" s="18" t="n">
        <f aca="false">SUM(Scoring!$BL$7:$BL$41)</f>
        <v>0</v>
      </c>
      <c r="R44" s="17" t="str">
        <f aca="false">IF(Scoring!AX43="","",AVERAGE(Scoring!AX43,Scoring!AY43))</f>
        <v/>
      </c>
      <c r="S44" s="24" t="str">
        <f aca="false">IF(R44="","",R44+ROW()/100000)</f>
        <v/>
      </c>
      <c r="T44" s="3"/>
    </row>
    <row r="45" customFormat="false" ht="42" hidden="false" customHeight="true" outlineLevel="0" collapsed="false">
      <c r="A45" s="21" t="s">
        <v>349</v>
      </c>
      <c r="B45" s="22" t="s">
        <v>320</v>
      </c>
      <c r="C45" s="13" t="s">
        <v>321</v>
      </c>
      <c r="D45" s="13" t="s">
        <v>322</v>
      </c>
      <c r="E45" s="22" t="s">
        <v>323</v>
      </c>
      <c r="F45" s="22" t="s">
        <v>101</v>
      </c>
      <c r="G45" s="22" t="s">
        <v>324</v>
      </c>
      <c r="H45" s="13" t="s">
        <v>350</v>
      </c>
      <c r="I45" s="21" t="s">
        <v>104</v>
      </c>
      <c r="J45" s="21" t="s">
        <v>70</v>
      </c>
      <c r="K45" s="21" t="s">
        <v>69</v>
      </c>
      <c r="L45" s="13" t="s">
        <v>351</v>
      </c>
      <c r="M45" s="13" t="s">
        <v>88</v>
      </c>
      <c r="N45" s="13" t="s">
        <v>352</v>
      </c>
      <c r="O45" s="13" t="s">
        <v>353</v>
      </c>
      <c r="P45" s="18" t="n">
        <v>2</v>
      </c>
      <c r="Q45" s="18" t="n">
        <f aca="false">SUM(Scoring!$BL$7:$BL$41)</f>
        <v>0</v>
      </c>
      <c r="R45" s="17" t="str">
        <f aca="false">IF(Scoring!AZ43="","",AVERAGE(Scoring!AZ43,Scoring!BA43))</f>
        <v/>
      </c>
      <c r="S45" s="24" t="str">
        <f aca="false">IF(R45="","",R45+ROW()/100000)</f>
        <v/>
      </c>
      <c r="T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</sheetData>
  <conditionalFormatting sqref="R6:R45">
    <cfRule type="colorScale" priority="2">
      <colorScale>
        <cfvo type="num" val="0.3"/>
        <cfvo type="num" val="0.6"/>
        <cfvo type="num" val="0.9"/>
        <color rgb="FFE8C9A6"/>
        <color rgb="FFF9F8F3"/>
        <color rgb="FFB9CDA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7" min="3" style="1" width="12"/>
    <col collapsed="false" customWidth="true" hidden="false" outlineLevel="0" max="53" min="8" style="1" width="6.51"/>
    <col collapsed="false" customWidth="true" hidden="false" outlineLevel="0" max="63" min="54" style="1" width="5"/>
    <col collapsed="false" customWidth="true" hidden="false" outlineLevel="0" max="64" min="64" style="1" width="9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27.75" hidden="false" customHeight="true" outlineLevel="0" collapsed="false">
      <c r="A2" s="3"/>
      <c r="B2" s="4" t="s">
        <v>354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customFormat="false" ht="15" hidden="false" customHeight="false" outlineLevel="0" collapsed="false">
      <c r="A3" s="3"/>
      <c r="B3" s="5" t="s">
        <v>355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customFormat="false" ht="15" hidden="false" customHeight="true" outlineLevel="0" collapsed="false">
      <c r="A5" s="3"/>
      <c r="B5" s="3"/>
      <c r="C5" s="25" t="s">
        <v>356</v>
      </c>
      <c r="D5" s="25"/>
      <c r="E5" s="25"/>
      <c r="F5" s="25"/>
      <c r="G5" s="25"/>
      <c r="H5" s="25" t="s">
        <v>357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 t="s">
        <v>358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 t="s">
        <v>359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3"/>
    </row>
    <row r="6" customFormat="false" ht="36" hidden="false" customHeight="true" outlineLevel="0" collapsed="false">
      <c r="A6" s="26" t="s">
        <v>360</v>
      </c>
      <c r="B6" s="26" t="s">
        <v>361</v>
      </c>
      <c r="C6" s="26" t="s">
        <v>362</v>
      </c>
      <c r="D6" s="26" t="s">
        <v>363</v>
      </c>
      <c r="E6" s="26" t="s">
        <v>364</v>
      </c>
      <c r="F6" s="26" t="s">
        <v>365</v>
      </c>
      <c r="G6" s="26" t="s">
        <v>366</v>
      </c>
      <c r="H6" s="26" t="s">
        <v>98</v>
      </c>
      <c r="I6" s="26" t="s">
        <v>109</v>
      </c>
      <c r="J6" s="26" t="s">
        <v>116</v>
      </c>
      <c r="K6" s="26" t="s">
        <v>123</v>
      </c>
      <c r="L6" s="26" t="s">
        <v>130</v>
      </c>
      <c r="M6" s="26" t="s">
        <v>138</v>
      </c>
      <c r="N6" s="26" t="s">
        <v>144</v>
      </c>
      <c r="O6" s="26" t="s">
        <v>151</v>
      </c>
      <c r="P6" s="26" t="s">
        <v>157</v>
      </c>
      <c r="Q6" s="26" t="s">
        <v>163</v>
      </c>
      <c r="R6" s="26" t="s">
        <v>169</v>
      </c>
      <c r="S6" s="26" t="s">
        <v>176</v>
      </c>
      <c r="T6" s="26" t="s">
        <v>182</v>
      </c>
      <c r="U6" s="26" t="s">
        <v>190</v>
      </c>
      <c r="V6" s="26" t="s">
        <v>197</v>
      </c>
      <c r="W6" s="26" t="s">
        <v>202</v>
      </c>
      <c r="X6" s="26" t="s">
        <v>208</v>
      </c>
      <c r="Y6" s="26" t="s">
        <v>215</v>
      </c>
      <c r="Z6" s="26" t="s">
        <v>220</v>
      </c>
      <c r="AA6" s="26" t="s">
        <v>226</v>
      </c>
      <c r="AB6" s="26" t="s">
        <v>232</v>
      </c>
      <c r="AC6" s="26" t="s">
        <v>239</v>
      </c>
      <c r="AD6" s="26" t="s">
        <v>244</v>
      </c>
      <c r="AE6" s="26" t="s">
        <v>250</v>
      </c>
      <c r="AF6" s="26" t="s">
        <v>257</v>
      </c>
      <c r="AG6" s="26" t="s">
        <v>263</v>
      </c>
      <c r="AH6" s="26" t="s">
        <v>269</v>
      </c>
      <c r="AI6" s="26" t="s">
        <v>274</v>
      </c>
      <c r="AJ6" s="26" t="s">
        <v>281</v>
      </c>
      <c r="AK6" s="26" t="s">
        <v>289</v>
      </c>
      <c r="AL6" s="26" t="s">
        <v>295</v>
      </c>
      <c r="AM6" s="26" t="s">
        <v>301</v>
      </c>
      <c r="AN6" s="26" t="s">
        <v>307</v>
      </c>
      <c r="AO6" s="26" t="s">
        <v>313</v>
      </c>
      <c r="AP6" s="26" t="s">
        <v>367</v>
      </c>
      <c r="AQ6" s="26" t="s">
        <v>368</v>
      </c>
      <c r="AR6" s="26" t="s">
        <v>369</v>
      </c>
      <c r="AS6" s="26" t="s">
        <v>370</v>
      </c>
      <c r="AT6" s="26" t="s">
        <v>371</v>
      </c>
      <c r="AU6" s="26" t="s">
        <v>372</v>
      </c>
      <c r="AV6" s="26" t="s">
        <v>373</v>
      </c>
      <c r="AW6" s="26" t="s">
        <v>374</v>
      </c>
      <c r="AX6" s="26" t="s">
        <v>375</v>
      </c>
      <c r="AY6" s="26" t="s">
        <v>376</v>
      </c>
      <c r="AZ6" s="26" t="s">
        <v>377</v>
      </c>
      <c r="BA6" s="26" t="s">
        <v>378</v>
      </c>
      <c r="BB6" s="26" t="s">
        <v>379</v>
      </c>
      <c r="BC6" s="26" t="s">
        <v>380</v>
      </c>
      <c r="BD6" s="26" t="s">
        <v>381</v>
      </c>
      <c r="BE6" s="26" t="s">
        <v>382</v>
      </c>
      <c r="BF6" s="26" t="s">
        <v>383</v>
      </c>
      <c r="BG6" s="26" t="s">
        <v>384</v>
      </c>
      <c r="BH6" s="26" t="s">
        <v>385</v>
      </c>
      <c r="BI6" s="26" t="s">
        <v>386</v>
      </c>
      <c r="BJ6" s="26" t="s">
        <v>387</v>
      </c>
      <c r="BK6" s="26" t="s">
        <v>388</v>
      </c>
      <c r="BL6" s="26" t="s">
        <v>95</v>
      </c>
      <c r="BM6" s="3"/>
    </row>
    <row r="7" customFormat="false" ht="15" hidden="false" customHeight="false" outlineLevel="0" collapsed="false">
      <c r="A7" s="21" t="s">
        <v>389</v>
      </c>
      <c r="B7" s="27" t="s">
        <v>390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1" t="str">
        <f aca="false">IF(COUNTBLANK(C7:BK7)=0,"Yes","Pending")</f>
        <v>Pending</v>
      </c>
      <c r="BM7" s="3"/>
    </row>
    <row r="8" customFormat="false" ht="15" hidden="false" customHeight="false" outlineLevel="0" collapsed="false">
      <c r="A8" s="21" t="s">
        <v>391</v>
      </c>
      <c r="B8" s="27" t="s">
        <v>390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1" t="str">
        <f aca="false">IF(COUNTBLANK(C8:BK8)=0,"Yes","Pending")</f>
        <v>Pending</v>
      </c>
      <c r="BM8" s="3"/>
    </row>
    <row r="9" customFormat="false" ht="15" hidden="false" customHeight="false" outlineLevel="0" collapsed="false">
      <c r="A9" s="21" t="s">
        <v>392</v>
      </c>
      <c r="B9" s="27" t="s">
        <v>390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1" t="str">
        <f aca="false">IF(COUNTBLANK(C9:BK9)=0,"Yes","Pending")</f>
        <v>Pending</v>
      </c>
      <c r="BM9" s="3"/>
    </row>
    <row r="10" customFormat="false" ht="15" hidden="false" customHeight="false" outlineLevel="0" collapsed="false">
      <c r="A10" s="21" t="s">
        <v>393</v>
      </c>
      <c r="B10" s="27" t="s">
        <v>390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1" t="str">
        <f aca="false">IF(COUNTBLANK(C10:BK10)=0,"Yes","Pending")</f>
        <v>Pending</v>
      </c>
      <c r="BM10" s="3"/>
    </row>
    <row r="11" customFormat="false" ht="15" hidden="false" customHeight="false" outlineLevel="0" collapsed="false">
      <c r="A11" s="21" t="s">
        <v>394</v>
      </c>
      <c r="B11" s="27" t="s">
        <v>390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1" t="str">
        <f aca="false">IF(COUNTBLANK(C11:BK11)=0,"Yes","Pending")</f>
        <v>Pending</v>
      </c>
      <c r="BM11" s="3"/>
    </row>
    <row r="12" customFormat="false" ht="15" hidden="false" customHeight="false" outlineLevel="0" collapsed="false">
      <c r="A12" s="21" t="s">
        <v>395</v>
      </c>
      <c r="B12" s="27" t="s">
        <v>390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1" t="str">
        <f aca="false">IF(COUNTBLANK(C12:BK12)=0,"Yes","Pending")</f>
        <v>Pending</v>
      </c>
      <c r="BM12" s="3"/>
    </row>
    <row r="13" customFormat="false" ht="15" hidden="false" customHeight="false" outlineLevel="0" collapsed="false">
      <c r="A13" s="21" t="s">
        <v>396</v>
      </c>
      <c r="B13" s="27" t="s">
        <v>390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1" t="str">
        <f aca="false">IF(COUNTBLANK(C13:BK13)=0,"Yes","Pending")</f>
        <v>Pending</v>
      </c>
      <c r="BM13" s="3"/>
    </row>
    <row r="14" customFormat="false" ht="15" hidden="false" customHeight="false" outlineLevel="0" collapsed="false">
      <c r="A14" s="21" t="s">
        <v>397</v>
      </c>
      <c r="B14" s="27" t="s">
        <v>390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1" t="str">
        <f aca="false">IF(COUNTBLANK(C14:BK14)=0,"Yes","Pending")</f>
        <v>Pending</v>
      </c>
      <c r="BM14" s="3"/>
    </row>
    <row r="15" customFormat="false" ht="15" hidden="false" customHeight="false" outlineLevel="0" collapsed="false">
      <c r="A15" s="21" t="s">
        <v>398</v>
      </c>
      <c r="B15" s="27" t="s">
        <v>390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1" t="str">
        <f aca="false">IF(COUNTBLANK(C15:BK15)=0,"Yes","Pending")</f>
        <v>Pending</v>
      </c>
      <c r="BM15" s="3"/>
    </row>
    <row r="16" customFormat="false" ht="15" hidden="false" customHeight="false" outlineLevel="0" collapsed="false">
      <c r="A16" s="21" t="s">
        <v>399</v>
      </c>
      <c r="B16" s="27" t="s">
        <v>390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1" t="str">
        <f aca="false">IF(COUNTBLANK(C16:BK16)=0,"Yes","Pending")</f>
        <v>Pending</v>
      </c>
      <c r="BM16" s="3"/>
    </row>
    <row r="17" customFormat="false" ht="15" hidden="false" customHeight="false" outlineLevel="0" collapsed="false">
      <c r="A17" s="21" t="s">
        <v>400</v>
      </c>
      <c r="B17" s="27" t="s">
        <v>390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1" t="str">
        <f aca="false">IF(COUNTBLANK(C17:BK17)=0,"Yes","Pending")</f>
        <v>Pending</v>
      </c>
      <c r="BM17" s="3"/>
    </row>
    <row r="18" customFormat="false" ht="15" hidden="false" customHeight="false" outlineLevel="0" collapsed="false">
      <c r="A18" s="21" t="s">
        <v>401</v>
      </c>
      <c r="B18" s="27" t="s">
        <v>390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1" t="str">
        <f aca="false">IF(COUNTBLANK(C18:BK18)=0,"Yes","Pending")</f>
        <v>Pending</v>
      </c>
      <c r="BM18" s="3"/>
    </row>
    <row r="19" customFormat="false" ht="15" hidden="false" customHeight="false" outlineLevel="0" collapsed="false">
      <c r="A19" s="21" t="s">
        <v>402</v>
      </c>
      <c r="B19" s="27" t="s">
        <v>390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1" t="str">
        <f aca="false">IF(COUNTBLANK(C19:BK19)=0,"Yes","Pending")</f>
        <v>Pending</v>
      </c>
      <c r="BM19" s="3"/>
    </row>
    <row r="20" customFormat="false" ht="15" hidden="false" customHeight="false" outlineLevel="0" collapsed="false">
      <c r="A20" s="21" t="s">
        <v>403</v>
      </c>
      <c r="B20" s="27" t="s">
        <v>390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1" t="str">
        <f aca="false">IF(COUNTBLANK(C20:BK20)=0,"Yes","Pending")</f>
        <v>Pending</v>
      </c>
      <c r="BM20" s="3"/>
    </row>
    <row r="21" customFormat="false" ht="15" hidden="false" customHeight="false" outlineLevel="0" collapsed="false">
      <c r="A21" s="21" t="s">
        <v>404</v>
      </c>
      <c r="B21" s="27" t="s">
        <v>390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1" t="str">
        <f aca="false">IF(COUNTBLANK(C21:BK21)=0,"Yes","Pending")</f>
        <v>Pending</v>
      </c>
      <c r="BM21" s="3"/>
    </row>
    <row r="22" customFormat="false" ht="15" hidden="false" customHeight="false" outlineLevel="0" collapsed="false">
      <c r="A22" s="21" t="s">
        <v>405</v>
      </c>
      <c r="B22" s="27" t="s">
        <v>390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1" t="str">
        <f aca="false">IF(COUNTBLANK(C22:BK22)=0,"Yes","Pending")</f>
        <v>Pending</v>
      </c>
      <c r="BM22" s="3"/>
    </row>
    <row r="23" customFormat="false" ht="15" hidden="false" customHeight="false" outlineLevel="0" collapsed="false">
      <c r="A23" s="21" t="s">
        <v>406</v>
      </c>
      <c r="B23" s="27" t="s">
        <v>390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1" t="str">
        <f aca="false">IF(COUNTBLANK(C23:BK23)=0,"Yes","Pending")</f>
        <v>Pending</v>
      </c>
      <c r="BM23" s="3"/>
    </row>
    <row r="24" customFormat="false" ht="15" hidden="false" customHeight="false" outlineLevel="0" collapsed="false">
      <c r="A24" s="21" t="s">
        <v>407</v>
      </c>
      <c r="B24" s="27" t="s">
        <v>390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1" t="str">
        <f aca="false">IF(COUNTBLANK(C24:BK24)=0,"Yes","Pending")</f>
        <v>Pending</v>
      </c>
      <c r="BM24" s="3"/>
    </row>
    <row r="25" customFormat="false" ht="15" hidden="false" customHeight="false" outlineLevel="0" collapsed="false">
      <c r="A25" s="21" t="s">
        <v>408</v>
      </c>
      <c r="B25" s="27" t="s">
        <v>390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1" t="str">
        <f aca="false">IF(COUNTBLANK(C25:BK25)=0,"Yes","Pending")</f>
        <v>Pending</v>
      </c>
      <c r="BM25" s="3"/>
    </row>
    <row r="26" customFormat="false" ht="15" hidden="false" customHeight="false" outlineLevel="0" collapsed="false">
      <c r="A26" s="21" t="s">
        <v>409</v>
      </c>
      <c r="B26" s="27" t="s">
        <v>390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1" t="str">
        <f aca="false">IF(COUNTBLANK(C26:BK26)=0,"Yes","Pending")</f>
        <v>Pending</v>
      </c>
      <c r="BM26" s="3"/>
    </row>
    <row r="27" customFormat="false" ht="15" hidden="false" customHeight="false" outlineLevel="0" collapsed="false">
      <c r="A27" s="21" t="s">
        <v>410</v>
      </c>
      <c r="B27" s="27" t="s">
        <v>390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1" t="str">
        <f aca="false">IF(COUNTBLANK(C27:BK27)=0,"Yes","Pending")</f>
        <v>Pending</v>
      </c>
      <c r="BM27" s="3"/>
    </row>
    <row r="28" customFormat="false" ht="15" hidden="false" customHeight="false" outlineLevel="0" collapsed="false">
      <c r="A28" s="21" t="s">
        <v>411</v>
      </c>
      <c r="B28" s="27" t="s">
        <v>390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1" t="str">
        <f aca="false">IF(COUNTBLANK(C28:BK28)=0,"Yes","Pending")</f>
        <v>Pending</v>
      </c>
      <c r="BM28" s="3"/>
    </row>
    <row r="29" customFormat="false" ht="15" hidden="false" customHeight="false" outlineLevel="0" collapsed="false">
      <c r="A29" s="21" t="s">
        <v>412</v>
      </c>
      <c r="B29" s="27" t="s">
        <v>390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1" t="str">
        <f aca="false">IF(COUNTBLANK(C29:BK29)=0,"Yes","Pending")</f>
        <v>Pending</v>
      </c>
      <c r="BM29" s="3"/>
    </row>
    <row r="30" customFormat="false" ht="15" hidden="false" customHeight="false" outlineLevel="0" collapsed="false">
      <c r="A30" s="21" t="s">
        <v>413</v>
      </c>
      <c r="B30" s="27" t="s">
        <v>390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1" t="str">
        <f aca="false">IF(COUNTBLANK(C30:BK30)=0,"Yes","Pending")</f>
        <v>Pending</v>
      </c>
      <c r="BM30" s="3"/>
    </row>
    <row r="31" customFormat="false" ht="15" hidden="false" customHeight="false" outlineLevel="0" collapsed="false">
      <c r="A31" s="21" t="s">
        <v>414</v>
      </c>
      <c r="B31" s="27" t="s">
        <v>390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1" t="str">
        <f aca="false">IF(COUNTBLANK(C31:BK31)=0,"Yes","Pending")</f>
        <v>Pending</v>
      </c>
      <c r="BM31" s="3"/>
    </row>
    <row r="32" customFormat="false" ht="15" hidden="false" customHeight="false" outlineLevel="0" collapsed="false">
      <c r="A32" s="21" t="s">
        <v>415</v>
      </c>
      <c r="B32" s="27" t="s">
        <v>390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1" t="str">
        <f aca="false">IF(COUNTBLANK(C32:BK32)=0,"Yes","Pending")</f>
        <v>Pending</v>
      </c>
      <c r="BM32" s="3"/>
    </row>
    <row r="33" customFormat="false" ht="15" hidden="false" customHeight="false" outlineLevel="0" collapsed="false">
      <c r="A33" s="21" t="s">
        <v>416</v>
      </c>
      <c r="B33" s="27" t="s">
        <v>390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1" t="str">
        <f aca="false">IF(COUNTBLANK(C33:BK33)=0,"Yes","Pending")</f>
        <v>Pending</v>
      </c>
      <c r="BM33" s="3"/>
    </row>
    <row r="34" customFormat="false" ht="15" hidden="false" customHeight="false" outlineLevel="0" collapsed="false">
      <c r="A34" s="21" t="s">
        <v>417</v>
      </c>
      <c r="B34" s="27" t="s">
        <v>390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1" t="str">
        <f aca="false">IF(COUNTBLANK(C34:BK34)=0,"Yes","Pending")</f>
        <v>Pending</v>
      </c>
      <c r="BM34" s="3"/>
    </row>
    <row r="35" customFormat="false" ht="15" hidden="false" customHeight="false" outlineLevel="0" collapsed="false">
      <c r="A35" s="21" t="s">
        <v>418</v>
      </c>
      <c r="B35" s="27" t="s">
        <v>390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1" t="str">
        <f aca="false">IF(COUNTBLANK(C35:BK35)=0,"Yes","Pending")</f>
        <v>Pending</v>
      </c>
      <c r="BM35" s="3"/>
    </row>
    <row r="36" customFormat="false" ht="15" hidden="false" customHeight="false" outlineLevel="0" collapsed="false">
      <c r="A36" s="21" t="s">
        <v>419</v>
      </c>
      <c r="B36" s="27" t="s">
        <v>390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1" t="str">
        <f aca="false">IF(COUNTBLANK(C36:BK36)=0,"Yes","Pending")</f>
        <v>Pending</v>
      </c>
      <c r="BM36" s="3"/>
    </row>
    <row r="37" customFormat="false" ht="15" hidden="false" customHeight="false" outlineLevel="0" collapsed="false">
      <c r="A37" s="21" t="s">
        <v>420</v>
      </c>
      <c r="B37" s="27" t="s">
        <v>390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1" t="str">
        <f aca="false">IF(COUNTBLANK(C37:BK37)=0,"Yes","Pending")</f>
        <v>Pending</v>
      </c>
      <c r="BM37" s="3"/>
    </row>
    <row r="38" customFormat="false" ht="15" hidden="false" customHeight="false" outlineLevel="0" collapsed="false">
      <c r="A38" s="21" t="s">
        <v>421</v>
      </c>
      <c r="B38" s="27" t="s">
        <v>390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1" t="str">
        <f aca="false">IF(COUNTBLANK(C38:BK38)=0,"Yes","Pending")</f>
        <v>Pending</v>
      </c>
      <c r="BM38" s="3"/>
    </row>
    <row r="39" customFormat="false" ht="15" hidden="false" customHeight="false" outlineLevel="0" collapsed="false">
      <c r="A39" s="21" t="s">
        <v>422</v>
      </c>
      <c r="B39" s="27" t="s">
        <v>390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1" t="str">
        <f aca="false">IF(COUNTBLANK(C39:BK39)=0,"Yes","Pending")</f>
        <v>Pending</v>
      </c>
      <c r="BM39" s="3"/>
    </row>
    <row r="40" customFormat="false" ht="15" hidden="false" customHeight="false" outlineLevel="0" collapsed="false">
      <c r="A40" s="21" t="s">
        <v>423</v>
      </c>
      <c r="B40" s="27" t="s">
        <v>390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1" t="str">
        <f aca="false">IF(COUNTBLANK(C40:BK40)=0,"Yes","Pending")</f>
        <v>Pending</v>
      </c>
      <c r="BM40" s="3"/>
    </row>
    <row r="41" customFormat="false" ht="15" hidden="false" customHeight="false" outlineLevel="0" collapsed="false">
      <c r="A41" s="21" t="s">
        <v>424</v>
      </c>
      <c r="B41" s="27" t="s">
        <v>390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1" t="str">
        <f aca="false">IF(COUNTBLANK(C41:BK41)=0,"Yes","Pending")</f>
        <v>Pending</v>
      </c>
      <c r="BM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customFormat="false" ht="15" hidden="false" customHeight="false" outlineLevel="0" collapsed="false">
      <c r="A43" s="15" t="s">
        <v>425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customFormat="false" ht="15" hidden="false" customHeight="false" outlineLevel="0" collapsed="false">
      <c r="A44" s="29" t="s">
        <v>426</v>
      </c>
      <c r="B44" s="29" t="s">
        <v>427</v>
      </c>
      <c r="C44" s="29" t="s">
        <v>428</v>
      </c>
      <c r="D44" s="29" t="s">
        <v>429</v>
      </c>
      <c r="E44" s="29" t="s">
        <v>428</v>
      </c>
      <c r="F44" s="29" t="s">
        <v>429</v>
      </c>
      <c r="G44" s="29" t="s">
        <v>430</v>
      </c>
      <c r="H44" s="29" t="s">
        <v>71</v>
      </c>
      <c r="I44" s="29" t="s">
        <v>70</v>
      </c>
      <c r="J44" s="29" t="s">
        <v>72</v>
      </c>
      <c r="K44" s="29" t="s">
        <v>69</v>
      </c>
      <c r="L44" s="29" t="s">
        <v>70</v>
      </c>
      <c r="M44" s="29" t="s">
        <v>72</v>
      </c>
      <c r="N44" s="29" t="s">
        <v>69</v>
      </c>
      <c r="O44" s="29" t="s">
        <v>71</v>
      </c>
      <c r="P44" s="29" t="s">
        <v>69</v>
      </c>
      <c r="Q44" s="29" t="s">
        <v>431</v>
      </c>
      <c r="R44" s="29" t="s">
        <v>70</v>
      </c>
      <c r="S44" s="29" t="s">
        <v>71</v>
      </c>
      <c r="T44" s="29" t="s">
        <v>70</v>
      </c>
      <c r="U44" s="29" t="s">
        <v>69</v>
      </c>
      <c r="V44" s="29" t="s">
        <v>72</v>
      </c>
      <c r="W44" s="29" t="s">
        <v>71</v>
      </c>
      <c r="X44" s="29" t="s">
        <v>69</v>
      </c>
      <c r="Y44" s="29" t="s">
        <v>70</v>
      </c>
      <c r="Z44" s="29" t="s">
        <v>72</v>
      </c>
      <c r="AA44" s="29" t="s">
        <v>71</v>
      </c>
      <c r="AB44" s="29" t="s">
        <v>72</v>
      </c>
      <c r="AC44" s="29" t="s">
        <v>69</v>
      </c>
      <c r="AD44" s="29" t="s">
        <v>70</v>
      </c>
      <c r="AE44" s="29" t="s">
        <v>71</v>
      </c>
      <c r="AF44" s="29" t="s">
        <v>69</v>
      </c>
      <c r="AG44" s="29" t="s">
        <v>72</v>
      </c>
      <c r="AH44" s="29" t="s">
        <v>70</v>
      </c>
      <c r="AI44" s="29" t="s">
        <v>71</v>
      </c>
      <c r="AJ44" s="29" t="s">
        <v>69</v>
      </c>
      <c r="AK44" s="29" t="s">
        <v>71</v>
      </c>
      <c r="AL44" s="29" t="s">
        <v>70</v>
      </c>
      <c r="AM44" s="29" t="s">
        <v>72</v>
      </c>
      <c r="AN44" s="29" t="s">
        <v>69</v>
      </c>
      <c r="AO44" s="29" t="s">
        <v>70</v>
      </c>
      <c r="AP44" s="29" t="s">
        <v>71</v>
      </c>
      <c r="AQ44" s="29" t="s">
        <v>69</v>
      </c>
      <c r="AR44" s="29" t="s">
        <v>70</v>
      </c>
      <c r="AS44" s="29" t="s">
        <v>72</v>
      </c>
      <c r="AT44" s="29" t="s">
        <v>72</v>
      </c>
      <c r="AU44" s="29" t="s">
        <v>70</v>
      </c>
      <c r="AV44" s="29" t="s">
        <v>69</v>
      </c>
      <c r="AW44" s="29" t="s">
        <v>71</v>
      </c>
      <c r="AX44" s="29" t="s">
        <v>71</v>
      </c>
      <c r="AY44" s="29" t="s">
        <v>72</v>
      </c>
      <c r="AZ44" s="29" t="s">
        <v>70</v>
      </c>
      <c r="BA44" s="29" t="s">
        <v>69</v>
      </c>
      <c r="BB44" s="29" t="s">
        <v>430</v>
      </c>
      <c r="BC44" s="29" t="s">
        <v>428</v>
      </c>
      <c r="BD44" s="29" t="s">
        <v>432</v>
      </c>
      <c r="BE44" s="29" t="s">
        <v>430</v>
      </c>
      <c r="BF44" s="29" t="s">
        <v>428</v>
      </c>
      <c r="BG44" s="29" t="s">
        <v>429</v>
      </c>
      <c r="BH44" s="29" t="s">
        <v>432</v>
      </c>
      <c r="BI44" s="29" t="s">
        <v>428</v>
      </c>
      <c r="BJ44" s="29" t="s">
        <v>429</v>
      </c>
      <c r="BK44" s="29" t="s">
        <v>432</v>
      </c>
    </row>
  </sheetData>
  <mergeCells count="4">
    <mergeCell ref="C5:G5"/>
    <mergeCell ref="H5:AO5"/>
    <mergeCell ref="AP5:BA5"/>
    <mergeCell ref="BB5:BK5"/>
  </mergeCells>
  <conditionalFormatting sqref="BL7:BL41">
    <cfRule type="cellIs" priority="2" operator="equal" aboveAverage="0" equalAverage="0" bottom="0" percent="0" rank="0" text="" dxfId="0">
      <formula>"Yes"</formula>
    </cfRule>
  </conditionalFormatting>
  <dataValidations count="3">
    <dataValidation allowBlank="true" errorStyle="stop" operator="between" showDropDown="false" showErrorMessage="false" showInputMessage="false" sqref="C7:G41" type="list">
      <formula1>"1,2,3,4,-"</formula1>
      <formula2>0</formula2>
    </dataValidation>
    <dataValidation allowBlank="true" errorStyle="stop" operator="between" showDropDown="false" showErrorMessage="false" showInputMessage="false" sqref="H7:BA41" type="list">
      <formula1>"A,B,C,D,-"</formula1>
      <formula2>0</formula2>
    </dataValidation>
    <dataValidation allowBlank="true" errorStyle="stop" operator="between" showDropDown="false" showErrorMessage="false" showInputMessage="false" sqref="BB7:BK41" type="list">
      <formula1>"1,2,3,4,5,-"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63" min="3" style="1" width="5.52"/>
    <col collapsed="false" customWidth="true" hidden="false" outlineLevel="0" max="64" min="64" style="1" width="8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27.75" hidden="false" customHeight="true" outlineLevel="0" collapsed="false">
      <c r="A2" s="3"/>
      <c r="B2" s="30" t="s">
        <v>27</v>
      </c>
      <c r="C2" s="3"/>
      <c r="D2" s="3"/>
      <c r="E2" s="3"/>
      <c r="F2" s="3"/>
      <c r="G2" s="3"/>
      <c r="H2" s="31" t="s">
        <v>69</v>
      </c>
      <c r="I2" s="31" t="s">
        <v>69</v>
      </c>
      <c r="J2" s="31" t="s">
        <v>69</v>
      </c>
      <c r="K2" s="31" t="s">
        <v>69</v>
      </c>
      <c r="L2" s="31" t="s">
        <v>69</v>
      </c>
      <c r="M2" s="31" t="s">
        <v>69</v>
      </c>
      <c r="N2" s="31" t="s">
        <v>69</v>
      </c>
      <c r="O2" s="31" t="s">
        <v>69</v>
      </c>
      <c r="P2" s="31" t="s">
        <v>69</v>
      </c>
      <c r="Q2" s="31" t="s">
        <v>69</v>
      </c>
      <c r="R2" s="31" t="s">
        <v>69</v>
      </c>
      <c r="S2" s="31" t="s">
        <v>69</v>
      </c>
      <c r="T2" s="31" t="s">
        <v>70</v>
      </c>
      <c r="U2" s="31" t="s">
        <v>70</v>
      </c>
      <c r="V2" s="31" t="s">
        <v>70</v>
      </c>
      <c r="W2" s="31" t="s">
        <v>70</v>
      </c>
      <c r="X2" s="31" t="s">
        <v>70</v>
      </c>
      <c r="Y2" s="31" t="s">
        <v>70</v>
      </c>
      <c r="Z2" s="31" t="s">
        <v>70</v>
      </c>
      <c r="AA2" s="31" t="s">
        <v>70</v>
      </c>
      <c r="AB2" s="31" t="s">
        <v>71</v>
      </c>
      <c r="AC2" s="31" t="s">
        <v>71</v>
      </c>
      <c r="AD2" s="31" t="s">
        <v>71</v>
      </c>
      <c r="AE2" s="31" t="s">
        <v>71</v>
      </c>
      <c r="AF2" s="31" t="s">
        <v>71</v>
      </c>
      <c r="AG2" s="31" t="s">
        <v>71</v>
      </c>
      <c r="AH2" s="31" t="s">
        <v>71</v>
      </c>
      <c r="AI2" s="31" t="s">
        <v>71</v>
      </c>
      <c r="AJ2" s="31" t="s">
        <v>72</v>
      </c>
      <c r="AK2" s="31" t="s">
        <v>72</v>
      </c>
      <c r="AL2" s="31" t="s">
        <v>72</v>
      </c>
      <c r="AM2" s="31" t="s">
        <v>72</v>
      </c>
      <c r="AN2" s="31" t="s">
        <v>72</v>
      </c>
      <c r="AO2" s="31" t="s">
        <v>72</v>
      </c>
      <c r="AP2" s="31" t="s">
        <v>320</v>
      </c>
      <c r="AQ2" s="31" t="s">
        <v>320</v>
      </c>
      <c r="AR2" s="31" t="s">
        <v>320</v>
      </c>
      <c r="AS2" s="31" t="s">
        <v>320</v>
      </c>
      <c r="AT2" s="31" t="s">
        <v>320</v>
      </c>
      <c r="AU2" s="31" t="s">
        <v>320</v>
      </c>
      <c r="AV2" s="31" t="s">
        <v>320</v>
      </c>
      <c r="AW2" s="31" t="s">
        <v>320</v>
      </c>
      <c r="AX2" s="31" t="s">
        <v>320</v>
      </c>
      <c r="AY2" s="31" t="s">
        <v>320</v>
      </c>
      <c r="AZ2" s="31" t="s">
        <v>320</v>
      </c>
      <c r="BA2" s="31" t="s">
        <v>320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customFormat="false" ht="15" hidden="false" customHeight="false" outlineLevel="0" collapsed="false">
      <c r="A3" s="3"/>
      <c r="B3" s="30" t="s">
        <v>87</v>
      </c>
      <c r="C3" s="3"/>
      <c r="D3" s="3"/>
      <c r="E3" s="3"/>
      <c r="F3" s="3"/>
      <c r="G3" s="3"/>
      <c r="H3" s="31" t="s">
        <v>71</v>
      </c>
      <c r="I3" s="31" t="s">
        <v>70</v>
      </c>
      <c r="J3" s="31" t="s">
        <v>72</v>
      </c>
      <c r="K3" s="31" t="s">
        <v>69</v>
      </c>
      <c r="L3" s="31" t="s">
        <v>70</v>
      </c>
      <c r="M3" s="31" t="s">
        <v>72</v>
      </c>
      <c r="N3" s="31" t="s">
        <v>69</v>
      </c>
      <c r="O3" s="31" t="s">
        <v>71</v>
      </c>
      <c r="P3" s="31" t="s">
        <v>69</v>
      </c>
      <c r="Q3" s="31" t="s">
        <v>72</v>
      </c>
      <c r="R3" s="31" t="s">
        <v>70</v>
      </c>
      <c r="S3" s="31" t="s">
        <v>71</v>
      </c>
      <c r="T3" s="31" t="s">
        <v>70</v>
      </c>
      <c r="U3" s="31" t="s">
        <v>69</v>
      </c>
      <c r="V3" s="31" t="s">
        <v>72</v>
      </c>
      <c r="W3" s="31" t="s">
        <v>71</v>
      </c>
      <c r="X3" s="31" t="s">
        <v>69</v>
      </c>
      <c r="Y3" s="31" t="s">
        <v>70</v>
      </c>
      <c r="Z3" s="31" t="s">
        <v>72</v>
      </c>
      <c r="AA3" s="31" t="s">
        <v>71</v>
      </c>
      <c r="AB3" s="31" t="s">
        <v>72</v>
      </c>
      <c r="AC3" s="31" t="s">
        <v>69</v>
      </c>
      <c r="AD3" s="31" t="s">
        <v>70</v>
      </c>
      <c r="AE3" s="31" t="s">
        <v>71</v>
      </c>
      <c r="AF3" s="31" t="s">
        <v>69</v>
      </c>
      <c r="AG3" s="31" t="s">
        <v>72</v>
      </c>
      <c r="AH3" s="31" t="s">
        <v>70</v>
      </c>
      <c r="AI3" s="31" t="s">
        <v>71</v>
      </c>
      <c r="AJ3" s="31" t="s">
        <v>69</v>
      </c>
      <c r="AK3" s="31" t="s">
        <v>71</v>
      </c>
      <c r="AL3" s="31" t="s">
        <v>70</v>
      </c>
      <c r="AM3" s="31" t="s">
        <v>72</v>
      </c>
      <c r="AN3" s="31" t="s">
        <v>69</v>
      </c>
      <c r="AO3" s="31" t="s">
        <v>70</v>
      </c>
      <c r="AP3" s="31" t="s">
        <v>71</v>
      </c>
      <c r="AQ3" s="31" t="s">
        <v>69</v>
      </c>
      <c r="AR3" s="31" t="s">
        <v>70</v>
      </c>
      <c r="AS3" s="31" t="s">
        <v>72</v>
      </c>
      <c r="AT3" s="31" t="s">
        <v>72</v>
      </c>
      <c r="AU3" s="31" t="s">
        <v>70</v>
      </c>
      <c r="AV3" s="31" t="s">
        <v>69</v>
      </c>
      <c r="AW3" s="31" t="s">
        <v>71</v>
      </c>
      <c r="AX3" s="31" t="s">
        <v>71</v>
      </c>
      <c r="AY3" s="31" t="s">
        <v>72</v>
      </c>
      <c r="AZ3" s="31" t="s">
        <v>70</v>
      </c>
      <c r="BA3" s="31" t="s">
        <v>69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customFormat="false" ht="15" hidden="false" customHeight="false" outlineLevel="0" collapsed="false">
      <c r="A4" s="3"/>
      <c r="B4" s="30" t="s">
        <v>64</v>
      </c>
      <c r="C4" s="3"/>
      <c r="D4" s="3"/>
      <c r="E4" s="3"/>
      <c r="F4" s="3"/>
      <c r="G4" s="3"/>
      <c r="H4" s="31" t="s">
        <v>28</v>
      </c>
      <c r="I4" s="31" t="s">
        <v>28</v>
      </c>
      <c r="J4" s="31" t="s">
        <v>28</v>
      </c>
      <c r="K4" s="31" t="s">
        <v>28</v>
      </c>
      <c r="L4" s="31" t="s">
        <v>28</v>
      </c>
      <c r="M4" s="31" t="s">
        <v>29</v>
      </c>
      <c r="N4" s="31" t="s">
        <v>29</v>
      </c>
      <c r="O4" s="31" t="s">
        <v>29</v>
      </c>
      <c r="P4" s="31" t="s">
        <v>29</v>
      </c>
      <c r="Q4" s="31" t="s">
        <v>29</v>
      </c>
      <c r="R4" s="31" t="s">
        <v>30</v>
      </c>
      <c r="S4" s="31" t="s">
        <v>30</v>
      </c>
      <c r="T4" s="31" t="s">
        <v>28</v>
      </c>
      <c r="U4" s="31" t="s">
        <v>28</v>
      </c>
      <c r="V4" s="31" t="s">
        <v>28</v>
      </c>
      <c r="W4" s="31" t="s">
        <v>29</v>
      </c>
      <c r="X4" s="31" t="s">
        <v>29</v>
      </c>
      <c r="Y4" s="31" t="s">
        <v>29</v>
      </c>
      <c r="Z4" s="31" t="s">
        <v>29</v>
      </c>
      <c r="AA4" s="31" t="s">
        <v>30</v>
      </c>
      <c r="AB4" s="31" t="s">
        <v>28</v>
      </c>
      <c r="AC4" s="31" t="s">
        <v>28</v>
      </c>
      <c r="AD4" s="31" t="s">
        <v>28</v>
      </c>
      <c r="AE4" s="31" t="s">
        <v>29</v>
      </c>
      <c r="AF4" s="31" t="s">
        <v>29</v>
      </c>
      <c r="AG4" s="31" t="s">
        <v>29</v>
      </c>
      <c r="AH4" s="31" t="s">
        <v>30</v>
      </c>
      <c r="AI4" s="31" t="s">
        <v>30</v>
      </c>
      <c r="AJ4" s="31" t="s">
        <v>28</v>
      </c>
      <c r="AK4" s="31" t="s">
        <v>29</v>
      </c>
      <c r="AL4" s="31" t="s">
        <v>29</v>
      </c>
      <c r="AM4" s="31" t="s">
        <v>30</v>
      </c>
      <c r="AN4" s="31" t="s">
        <v>29</v>
      </c>
      <c r="AO4" s="31" t="s">
        <v>30</v>
      </c>
      <c r="AP4" s="31" t="s">
        <v>323</v>
      </c>
      <c r="AQ4" s="31" t="s">
        <v>323</v>
      </c>
      <c r="AR4" s="31" t="s">
        <v>323</v>
      </c>
      <c r="AS4" s="31" t="s">
        <v>323</v>
      </c>
      <c r="AT4" s="31" t="s">
        <v>323</v>
      </c>
      <c r="AU4" s="31" t="s">
        <v>323</v>
      </c>
      <c r="AV4" s="31" t="s">
        <v>323</v>
      </c>
      <c r="AW4" s="31" t="s">
        <v>323</v>
      </c>
      <c r="AX4" s="31" t="s">
        <v>323</v>
      </c>
      <c r="AY4" s="31" t="s">
        <v>323</v>
      </c>
      <c r="AZ4" s="31" t="s">
        <v>323</v>
      </c>
      <c r="BA4" s="31" t="s">
        <v>323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customFormat="false" ht="15" hidden="false" customHeight="false" outlineLevel="0" collapsed="false">
      <c r="A5" s="3"/>
      <c r="B5" s="30" t="s">
        <v>433</v>
      </c>
      <c r="C5" s="3"/>
      <c r="D5" s="3"/>
      <c r="E5" s="3"/>
      <c r="F5" s="3"/>
      <c r="G5" s="3"/>
      <c r="H5" s="31" t="n">
        <v>0</v>
      </c>
      <c r="I5" s="31" t="n">
        <v>0</v>
      </c>
      <c r="J5" s="31" t="n">
        <v>0</v>
      </c>
      <c r="K5" s="31" t="n">
        <v>1</v>
      </c>
      <c r="L5" s="31" t="n">
        <v>1</v>
      </c>
      <c r="M5" s="31" t="n">
        <v>0</v>
      </c>
      <c r="N5" s="31" t="n">
        <v>0</v>
      </c>
      <c r="O5" s="31" t="n">
        <v>0</v>
      </c>
      <c r="P5" s="31" t="n">
        <v>0</v>
      </c>
      <c r="Q5" s="31" t="n">
        <v>0</v>
      </c>
      <c r="R5" s="31" t="n">
        <v>1</v>
      </c>
      <c r="S5" s="31" t="n">
        <v>0</v>
      </c>
      <c r="T5" s="31" t="n">
        <v>0</v>
      </c>
      <c r="U5" s="31" t="n">
        <v>0</v>
      </c>
      <c r="V5" s="31" t="n">
        <v>0</v>
      </c>
      <c r="W5" s="31" t="n">
        <v>0</v>
      </c>
      <c r="X5" s="31" t="n">
        <v>0</v>
      </c>
      <c r="Y5" s="31" t="n">
        <v>0</v>
      </c>
      <c r="Z5" s="31" t="n">
        <v>1</v>
      </c>
      <c r="AA5" s="31" t="n">
        <v>1</v>
      </c>
      <c r="AB5" s="31" t="n">
        <v>0</v>
      </c>
      <c r="AC5" s="31" t="n">
        <v>0</v>
      </c>
      <c r="AD5" s="31" t="n">
        <v>0</v>
      </c>
      <c r="AE5" s="31" t="n">
        <v>0</v>
      </c>
      <c r="AF5" s="31" t="n">
        <v>0</v>
      </c>
      <c r="AG5" s="31" t="n">
        <v>0</v>
      </c>
      <c r="AH5" s="31" t="n">
        <v>0</v>
      </c>
      <c r="AI5" s="31" t="n">
        <v>1</v>
      </c>
      <c r="AJ5" s="31" t="n">
        <v>0</v>
      </c>
      <c r="AK5" s="31" t="n">
        <v>0</v>
      </c>
      <c r="AL5" s="31" t="n">
        <v>0</v>
      </c>
      <c r="AM5" s="31" t="n">
        <v>0</v>
      </c>
      <c r="AN5" s="31" t="n">
        <v>1</v>
      </c>
      <c r="AO5" s="31" t="n">
        <v>1</v>
      </c>
      <c r="AP5" s="31" t="n">
        <v>0</v>
      </c>
      <c r="AQ5" s="31" t="n">
        <v>0</v>
      </c>
      <c r="AR5" s="31" t="n">
        <v>0</v>
      </c>
      <c r="AS5" s="31" t="n">
        <v>0</v>
      </c>
      <c r="AT5" s="31" t="n">
        <v>0</v>
      </c>
      <c r="AU5" s="31" t="n">
        <v>0</v>
      </c>
      <c r="AV5" s="31" t="n">
        <v>0</v>
      </c>
      <c r="AW5" s="31" t="n">
        <v>0</v>
      </c>
      <c r="AX5" s="31" t="n">
        <v>0</v>
      </c>
      <c r="AY5" s="31" t="n">
        <v>0</v>
      </c>
      <c r="AZ5" s="31" t="n">
        <v>0</v>
      </c>
      <c r="BA5" s="31" t="n">
        <v>0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customFormat="false" ht="15" hidden="false" customHeight="false" outlineLevel="0" collapsed="false">
      <c r="A6" s="26" t="s">
        <v>360</v>
      </c>
      <c r="B6" s="26" t="s">
        <v>361</v>
      </c>
      <c r="C6" s="26"/>
      <c r="D6" s="26"/>
      <c r="E6" s="26"/>
      <c r="F6" s="26"/>
      <c r="G6" s="26"/>
      <c r="H6" s="26" t="s">
        <v>98</v>
      </c>
      <c r="I6" s="26" t="s">
        <v>109</v>
      </c>
      <c r="J6" s="26" t="s">
        <v>116</v>
      </c>
      <c r="K6" s="26" t="s">
        <v>123</v>
      </c>
      <c r="L6" s="26" t="s">
        <v>130</v>
      </c>
      <c r="M6" s="26" t="s">
        <v>138</v>
      </c>
      <c r="N6" s="26" t="s">
        <v>144</v>
      </c>
      <c r="O6" s="26" t="s">
        <v>151</v>
      </c>
      <c r="P6" s="26" t="s">
        <v>157</v>
      </c>
      <c r="Q6" s="26" t="s">
        <v>163</v>
      </c>
      <c r="R6" s="26" t="s">
        <v>169</v>
      </c>
      <c r="S6" s="26" t="s">
        <v>176</v>
      </c>
      <c r="T6" s="26" t="s">
        <v>182</v>
      </c>
      <c r="U6" s="26" t="s">
        <v>190</v>
      </c>
      <c r="V6" s="26" t="s">
        <v>197</v>
      </c>
      <c r="W6" s="26" t="s">
        <v>202</v>
      </c>
      <c r="X6" s="26" t="s">
        <v>208</v>
      </c>
      <c r="Y6" s="26" t="s">
        <v>215</v>
      </c>
      <c r="Z6" s="26" t="s">
        <v>220</v>
      </c>
      <c r="AA6" s="26" t="s">
        <v>226</v>
      </c>
      <c r="AB6" s="26" t="s">
        <v>232</v>
      </c>
      <c r="AC6" s="26" t="s">
        <v>239</v>
      </c>
      <c r="AD6" s="26" t="s">
        <v>244</v>
      </c>
      <c r="AE6" s="26" t="s">
        <v>250</v>
      </c>
      <c r="AF6" s="26" t="s">
        <v>257</v>
      </c>
      <c r="AG6" s="26" t="s">
        <v>263</v>
      </c>
      <c r="AH6" s="26" t="s">
        <v>269</v>
      </c>
      <c r="AI6" s="26" t="s">
        <v>274</v>
      </c>
      <c r="AJ6" s="26" t="s">
        <v>281</v>
      </c>
      <c r="AK6" s="26" t="s">
        <v>289</v>
      </c>
      <c r="AL6" s="26" t="s">
        <v>295</v>
      </c>
      <c r="AM6" s="26" t="s">
        <v>301</v>
      </c>
      <c r="AN6" s="26" t="s">
        <v>307</v>
      </c>
      <c r="AO6" s="26" t="s">
        <v>313</v>
      </c>
      <c r="AP6" s="26" t="s">
        <v>434</v>
      </c>
      <c r="AQ6" s="26" t="s">
        <v>435</v>
      </c>
      <c r="AR6" s="26" t="s">
        <v>436</v>
      </c>
      <c r="AS6" s="26" t="s">
        <v>437</v>
      </c>
      <c r="AT6" s="26" t="s">
        <v>438</v>
      </c>
      <c r="AU6" s="26" t="s">
        <v>439</v>
      </c>
      <c r="AV6" s="26" t="s">
        <v>440</v>
      </c>
      <c r="AW6" s="26" t="s">
        <v>441</v>
      </c>
      <c r="AX6" s="26" t="s">
        <v>442</v>
      </c>
      <c r="AY6" s="26" t="s">
        <v>443</v>
      </c>
      <c r="AZ6" s="26" t="s">
        <v>444</v>
      </c>
      <c r="BA6" s="26" t="s">
        <v>445</v>
      </c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 t="s">
        <v>95</v>
      </c>
      <c r="BM6" s="3"/>
    </row>
    <row r="7" customFormat="false" ht="15" hidden="false" customHeight="false" outlineLevel="0" collapsed="false">
      <c r="A7" s="21" t="str">
        <f aca="false">Entry!A7</f>
        <v>S01</v>
      </c>
      <c r="B7" s="13" t="str">
        <f aca="false">Entry!B7</f>
        <v>TBD</v>
      </c>
      <c r="C7" s="3"/>
      <c r="D7" s="3"/>
      <c r="E7" s="3"/>
      <c r="F7" s="3"/>
      <c r="G7" s="3"/>
      <c r="H7" s="18" t="n">
        <f aca="false">IF(Entry!H7="",0,IF(Entry!H7=H$3,1,0))</f>
        <v>0</v>
      </c>
      <c r="I7" s="18" t="n">
        <f aca="false">IF(Entry!I7="",0,IF(Entry!I7=I$3,1,0))</f>
        <v>0</v>
      </c>
      <c r="J7" s="18" t="n">
        <f aca="false">IF(Entry!J7="",0,IF(Entry!J7=J$3,1,0))</f>
        <v>0</v>
      </c>
      <c r="K7" s="18" t="n">
        <f aca="false">IF(Entry!K7="",0,IF(Entry!K7=K$3,1,0))</f>
        <v>0</v>
      </c>
      <c r="L7" s="18" t="n">
        <f aca="false">IF(Entry!L7="",0,IF(Entry!L7=L$3,1,0))</f>
        <v>0</v>
      </c>
      <c r="M7" s="18" t="n">
        <f aca="false">IF(Entry!M7="",0,IF(Entry!M7=M$3,1,0))</f>
        <v>0</v>
      </c>
      <c r="N7" s="18" t="n">
        <f aca="false">IF(Entry!N7="",0,IF(Entry!N7=N$3,1,0))</f>
        <v>0</v>
      </c>
      <c r="O7" s="18" t="n">
        <f aca="false">IF(Entry!O7="",0,IF(Entry!O7=O$3,1,0))</f>
        <v>0</v>
      </c>
      <c r="P7" s="18" t="n">
        <f aca="false">IF(Entry!P7="",0,IF(Entry!P7=P$3,1,0))</f>
        <v>0</v>
      </c>
      <c r="Q7" s="18" t="n">
        <f aca="false">IF(Entry!Q7="",0,IF(Entry!Q7=Q$3,1,0))</f>
        <v>0</v>
      </c>
      <c r="R7" s="18" t="n">
        <f aca="false">IF(Entry!R7="",0,IF(Entry!R7=R$3,1,0))</f>
        <v>0</v>
      </c>
      <c r="S7" s="18" t="n">
        <f aca="false">IF(Entry!S7="",0,IF(Entry!S7=S$3,1,0))</f>
        <v>0</v>
      </c>
      <c r="T7" s="18" t="n">
        <f aca="false">IF(Entry!T7="",0,IF(Entry!T7=T$3,1,0))</f>
        <v>0</v>
      </c>
      <c r="U7" s="18" t="n">
        <f aca="false">IF(Entry!U7="",0,IF(Entry!U7=U$3,1,0))</f>
        <v>0</v>
      </c>
      <c r="V7" s="18" t="n">
        <f aca="false">IF(Entry!V7="",0,IF(Entry!V7=V$3,1,0))</f>
        <v>0</v>
      </c>
      <c r="W7" s="18" t="n">
        <f aca="false">IF(Entry!W7="",0,IF(Entry!W7=W$3,1,0))</f>
        <v>0</v>
      </c>
      <c r="X7" s="18" t="n">
        <f aca="false">IF(Entry!X7="",0,IF(Entry!X7=X$3,1,0))</f>
        <v>0</v>
      </c>
      <c r="Y7" s="18" t="n">
        <f aca="false">IF(Entry!Y7="",0,IF(Entry!Y7=Y$3,1,0))</f>
        <v>0</v>
      </c>
      <c r="Z7" s="18" t="n">
        <f aca="false">IF(Entry!Z7="",0,IF(Entry!Z7=Z$3,1,0))</f>
        <v>0</v>
      </c>
      <c r="AA7" s="18" t="n">
        <f aca="false">IF(Entry!AA7="",0,IF(Entry!AA7=AA$3,1,0))</f>
        <v>0</v>
      </c>
      <c r="AB7" s="18" t="n">
        <f aca="false">IF(Entry!AB7="",0,IF(Entry!AB7=AB$3,1,0))</f>
        <v>0</v>
      </c>
      <c r="AC7" s="18" t="n">
        <f aca="false">IF(Entry!AC7="",0,IF(Entry!AC7=AC$3,1,0))</f>
        <v>0</v>
      </c>
      <c r="AD7" s="18" t="n">
        <f aca="false">IF(Entry!AD7="",0,IF(Entry!AD7=AD$3,1,0))</f>
        <v>0</v>
      </c>
      <c r="AE7" s="18" t="n">
        <f aca="false">IF(Entry!AE7="",0,IF(Entry!AE7=AE$3,1,0))</f>
        <v>0</v>
      </c>
      <c r="AF7" s="18" t="n">
        <f aca="false">IF(Entry!AF7="",0,IF(Entry!AF7=AF$3,1,0))</f>
        <v>0</v>
      </c>
      <c r="AG7" s="18" t="n">
        <f aca="false">IF(Entry!AG7="",0,IF(Entry!AG7=AG$3,1,0))</f>
        <v>0</v>
      </c>
      <c r="AH7" s="18" t="n">
        <f aca="false">IF(Entry!AH7="",0,IF(Entry!AH7=AH$3,1,0))</f>
        <v>0</v>
      </c>
      <c r="AI7" s="18" t="n">
        <f aca="false">IF(Entry!AI7="",0,IF(Entry!AI7=AI$3,1,0))</f>
        <v>0</v>
      </c>
      <c r="AJ7" s="18" t="n">
        <f aca="false">IF(Entry!AJ7="",0,IF(Entry!AJ7=AJ$3,1,0))</f>
        <v>0</v>
      </c>
      <c r="AK7" s="18" t="n">
        <f aca="false">IF(Entry!AK7="",0,IF(Entry!AK7=AK$3,1,0))</f>
        <v>0</v>
      </c>
      <c r="AL7" s="18" t="n">
        <f aca="false">IF(Entry!AL7="",0,IF(Entry!AL7=AL$3,1,0))</f>
        <v>0</v>
      </c>
      <c r="AM7" s="18" t="n">
        <f aca="false">IF(Entry!AM7="",0,IF(Entry!AM7=AM$3,1,0))</f>
        <v>0</v>
      </c>
      <c r="AN7" s="18" t="n">
        <f aca="false">IF(Entry!AN7="",0,IF(Entry!AN7=AN$3,1,0))</f>
        <v>0</v>
      </c>
      <c r="AO7" s="18" t="n">
        <f aca="false">IF(Entry!AO7="",0,IF(Entry!AO7=AO$3,1,0))</f>
        <v>0</v>
      </c>
      <c r="AP7" s="18" t="n">
        <f aca="false">IF(Entry!AP7="",0,IF(Entry!AP7=AP$3,1,0))</f>
        <v>0</v>
      </c>
      <c r="AQ7" s="18" t="n">
        <f aca="false">IF(Entry!AQ7="",0,IF(Entry!AQ7=AQ$3,1,0))</f>
        <v>0</v>
      </c>
      <c r="AR7" s="18" t="n">
        <f aca="false">IF(Entry!AR7="",0,IF(Entry!AR7=AR$3,1,0))</f>
        <v>0</v>
      </c>
      <c r="AS7" s="18" t="n">
        <f aca="false">IF(Entry!AS7="",0,IF(Entry!AS7=AS$3,1,0))</f>
        <v>0</v>
      </c>
      <c r="AT7" s="18" t="n">
        <f aca="false">IF(Entry!AT7="",0,IF(Entry!AT7=AT$3,1,0))</f>
        <v>0</v>
      </c>
      <c r="AU7" s="18" t="n">
        <f aca="false">IF(Entry!AU7="",0,IF(Entry!AU7=AU$3,1,0))</f>
        <v>0</v>
      </c>
      <c r="AV7" s="18" t="n">
        <f aca="false">IF(Entry!AV7="",0,IF(Entry!AV7=AV$3,1,0))</f>
        <v>0</v>
      </c>
      <c r="AW7" s="18" t="n">
        <f aca="false">IF(Entry!AW7="",0,IF(Entry!AW7=AW$3,1,0))</f>
        <v>0</v>
      </c>
      <c r="AX7" s="18" t="n">
        <f aca="false">IF(Entry!AX7="",0,IF(Entry!AX7=AX$3,1,0))</f>
        <v>0</v>
      </c>
      <c r="AY7" s="18" t="n">
        <f aca="false">IF(Entry!AY7="",0,IF(Entry!AY7=AY$3,1,0))</f>
        <v>0</v>
      </c>
      <c r="AZ7" s="18" t="n">
        <f aca="false">IF(Entry!AZ7="",0,IF(Entry!AZ7=AZ$3,1,0))</f>
        <v>0</v>
      </c>
      <c r="BA7" s="18" t="n">
        <f aca="false">IF(Entry!BA7="",0,IF(Entry!BA7=BA$3,1,0))</f>
        <v>0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18" t="n">
        <f aca="false">IF(Entry!BL7="Yes",1,0)</f>
        <v>0</v>
      </c>
      <c r="BM7" s="3"/>
    </row>
    <row r="8" customFormat="false" ht="15" hidden="false" customHeight="false" outlineLevel="0" collapsed="false">
      <c r="A8" s="21" t="str">
        <f aca="false">Entry!A8</f>
        <v>S02</v>
      </c>
      <c r="B8" s="13" t="str">
        <f aca="false">Entry!B8</f>
        <v>TBD</v>
      </c>
      <c r="C8" s="3"/>
      <c r="D8" s="3"/>
      <c r="E8" s="3"/>
      <c r="F8" s="3"/>
      <c r="G8" s="3"/>
      <c r="H8" s="18" t="n">
        <f aca="false">IF(Entry!H8="",0,IF(Entry!H8=H$3,1,0))</f>
        <v>0</v>
      </c>
      <c r="I8" s="18" t="n">
        <f aca="false">IF(Entry!I8="",0,IF(Entry!I8=I$3,1,0))</f>
        <v>0</v>
      </c>
      <c r="J8" s="18" t="n">
        <f aca="false">IF(Entry!J8="",0,IF(Entry!J8=J$3,1,0))</f>
        <v>0</v>
      </c>
      <c r="K8" s="18" t="n">
        <f aca="false">IF(Entry!K8="",0,IF(Entry!K8=K$3,1,0))</f>
        <v>0</v>
      </c>
      <c r="L8" s="18" t="n">
        <f aca="false">IF(Entry!L8="",0,IF(Entry!L8=L$3,1,0))</f>
        <v>0</v>
      </c>
      <c r="M8" s="18" t="n">
        <f aca="false">IF(Entry!M8="",0,IF(Entry!M8=M$3,1,0))</f>
        <v>0</v>
      </c>
      <c r="N8" s="18" t="n">
        <f aca="false">IF(Entry!N8="",0,IF(Entry!N8=N$3,1,0))</f>
        <v>0</v>
      </c>
      <c r="O8" s="18" t="n">
        <f aca="false">IF(Entry!O8="",0,IF(Entry!O8=O$3,1,0))</f>
        <v>0</v>
      </c>
      <c r="P8" s="18" t="n">
        <f aca="false">IF(Entry!P8="",0,IF(Entry!P8=P$3,1,0))</f>
        <v>0</v>
      </c>
      <c r="Q8" s="18" t="n">
        <f aca="false">IF(Entry!Q8="",0,IF(Entry!Q8=Q$3,1,0))</f>
        <v>0</v>
      </c>
      <c r="R8" s="18" t="n">
        <f aca="false">IF(Entry!R8="",0,IF(Entry!R8=R$3,1,0))</f>
        <v>0</v>
      </c>
      <c r="S8" s="18" t="n">
        <f aca="false">IF(Entry!S8="",0,IF(Entry!S8=S$3,1,0))</f>
        <v>0</v>
      </c>
      <c r="T8" s="18" t="n">
        <f aca="false">IF(Entry!T8="",0,IF(Entry!T8=T$3,1,0))</f>
        <v>0</v>
      </c>
      <c r="U8" s="18" t="n">
        <f aca="false">IF(Entry!U8="",0,IF(Entry!U8=U$3,1,0))</f>
        <v>0</v>
      </c>
      <c r="V8" s="18" t="n">
        <f aca="false">IF(Entry!V8="",0,IF(Entry!V8=V$3,1,0))</f>
        <v>0</v>
      </c>
      <c r="W8" s="18" t="n">
        <f aca="false">IF(Entry!W8="",0,IF(Entry!W8=W$3,1,0))</f>
        <v>0</v>
      </c>
      <c r="X8" s="18" t="n">
        <f aca="false">IF(Entry!X8="",0,IF(Entry!X8=X$3,1,0))</f>
        <v>0</v>
      </c>
      <c r="Y8" s="18" t="n">
        <f aca="false">IF(Entry!Y8="",0,IF(Entry!Y8=Y$3,1,0))</f>
        <v>0</v>
      </c>
      <c r="Z8" s="18" t="n">
        <f aca="false">IF(Entry!Z8="",0,IF(Entry!Z8=Z$3,1,0))</f>
        <v>0</v>
      </c>
      <c r="AA8" s="18" t="n">
        <f aca="false">IF(Entry!AA8="",0,IF(Entry!AA8=AA$3,1,0))</f>
        <v>0</v>
      </c>
      <c r="AB8" s="18" t="n">
        <f aca="false">IF(Entry!AB8="",0,IF(Entry!AB8=AB$3,1,0))</f>
        <v>0</v>
      </c>
      <c r="AC8" s="18" t="n">
        <f aca="false">IF(Entry!AC8="",0,IF(Entry!AC8=AC$3,1,0))</f>
        <v>0</v>
      </c>
      <c r="AD8" s="18" t="n">
        <f aca="false">IF(Entry!AD8="",0,IF(Entry!AD8=AD$3,1,0))</f>
        <v>0</v>
      </c>
      <c r="AE8" s="18" t="n">
        <f aca="false">IF(Entry!AE8="",0,IF(Entry!AE8=AE$3,1,0))</f>
        <v>0</v>
      </c>
      <c r="AF8" s="18" t="n">
        <f aca="false">IF(Entry!AF8="",0,IF(Entry!AF8=AF$3,1,0))</f>
        <v>0</v>
      </c>
      <c r="AG8" s="18" t="n">
        <f aca="false">IF(Entry!AG8="",0,IF(Entry!AG8=AG$3,1,0))</f>
        <v>0</v>
      </c>
      <c r="AH8" s="18" t="n">
        <f aca="false">IF(Entry!AH8="",0,IF(Entry!AH8=AH$3,1,0))</f>
        <v>0</v>
      </c>
      <c r="AI8" s="18" t="n">
        <f aca="false">IF(Entry!AI8="",0,IF(Entry!AI8=AI$3,1,0))</f>
        <v>0</v>
      </c>
      <c r="AJ8" s="18" t="n">
        <f aca="false">IF(Entry!AJ8="",0,IF(Entry!AJ8=AJ$3,1,0))</f>
        <v>0</v>
      </c>
      <c r="AK8" s="18" t="n">
        <f aca="false">IF(Entry!AK8="",0,IF(Entry!AK8=AK$3,1,0))</f>
        <v>0</v>
      </c>
      <c r="AL8" s="18" t="n">
        <f aca="false">IF(Entry!AL8="",0,IF(Entry!AL8=AL$3,1,0))</f>
        <v>0</v>
      </c>
      <c r="AM8" s="18" t="n">
        <f aca="false">IF(Entry!AM8="",0,IF(Entry!AM8=AM$3,1,0))</f>
        <v>0</v>
      </c>
      <c r="AN8" s="18" t="n">
        <f aca="false">IF(Entry!AN8="",0,IF(Entry!AN8=AN$3,1,0))</f>
        <v>0</v>
      </c>
      <c r="AO8" s="18" t="n">
        <f aca="false">IF(Entry!AO8="",0,IF(Entry!AO8=AO$3,1,0))</f>
        <v>0</v>
      </c>
      <c r="AP8" s="18" t="n">
        <f aca="false">IF(Entry!AP8="",0,IF(Entry!AP8=AP$3,1,0))</f>
        <v>0</v>
      </c>
      <c r="AQ8" s="18" t="n">
        <f aca="false">IF(Entry!AQ8="",0,IF(Entry!AQ8=AQ$3,1,0))</f>
        <v>0</v>
      </c>
      <c r="AR8" s="18" t="n">
        <f aca="false">IF(Entry!AR8="",0,IF(Entry!AR8=AR$3,1,0))</f>
        <v>0</v>
      </c>
      <c r="AS8" s="18" t="n">
        <f aca="false">IF(Entry!AS8="",0,IF(Entry!AS8=AS$3,1,0))</f>
        <v>0</v>
      </c>
      <c r="AT8" s="18" t="n">
        <f aca="false">IF(Entry!AT8="",0,IF(Entry!AT8=AT$3,1,0))</f>
        <v>0</v>
      </c>
      <c r="AU8" s="18" t="n">
        <f aca="false">IF(Entry!AU8="",0,IF(Entry!AU8=AU$3,1,0))</f>
        <v>0</v>
      </c>
      <c r="AV8" s="18" t="n">
        <f aca="false">IF(Entry!AV8="",0,IF(Entry!AV8=AV$3,1,0))</f>
        <v>0</v>
      </c>
      <c r="AW8" s="18" t="n">
        <f aca="false">IF(Entry!AW8="",0,IF(Entry!AW8=AW$3,1,0))</f>
        <v>0</v>
      </c>
      <c r="AX8" s="18" t="n">
        <f aca="false">IF(Entry!AX8="",0,IF(Entry!AX8=AX$3,1,0))</f>
        <v>0</v>
      </c>
      <c r="AY8" s="18" t="n">
        <f aca="false">IF(Entry!AY8="",0,IF(Entry!AY8=AY$3,1,0))</f>
        <v>0</v>
      </c>
      <c r="AZ8" s="18" t="n">
        <f aca="false">IF(Entry!AZ8="",0,IF(Entry!AZ8=AZ$3,1,0))</f>
        <v>0</v>
      </c>
      <c r="BA8" s="18" t="n">
        <f aca="false">IF(Entry!BA8="",0,IF(Entry!BA8=BA$3,1,0))</f>
        <v>0</v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18" t="n">
        <f aca="false">IF(Entry!BL8="Yes",1,0)</f>
        <v>0</v>
      </c>
      <c r="BM8" s="3"/>
    </row>
    <row r="9" customFormat="false" ht="15" hidden="false" customHeight="false" outlineLevel="0" collapsed="false">
      <c r="A9" s="21" t="str">
        <f aca="false">Entry!A9</f>
        <v>S03</v>
      </c>
      <c r="B9" s="13" t="str">
        <f aca="false">Entry!B9</f>
        <v>TBD</v>
      </c>
      <c r="C9" s="3"/>
      <c r="D9" s="3"/>
      <c r="E9" s="3"/>
      <c r="F9" s="3"/>
      <c r="G9" s="3"/>
      <c r="H9" s="18" t="n">
        <f aca="false">IF(Entry!H9="",0,IF(Entry!H9=H$3,1,0))</f>
        <v>0</v>
      </c>
      <c r="I9" s="18" t="n">
        <f aca="false">IF(Entry!I9="",0,IF(Entry!I9=I$3,1,0))</f>
        <v>0</v>
      </c>
      <c r="J9" s="18" t="n">
        <f aca="false">IF(Entry!J9="",0,IF(Entry!J9=J$3,1,0))</f>
        <v>0</v>
      </c>
      <c r="K9" s="18" t="n">
        <f aca="false">IF(Entry!K9="",0,IF(Entry!K9=K$3,1,0))</f>
        <v>0</v>
      </c>
      <c r="L9" s="18" t="n">
        <f aca="false">IF(Entry!L9="",0,IF(Entry!L9=L$3,1,0))</f>
        <v>0</v>
      </c>
      <c r="M9" s="18" t="n">
        <f aca="false">IF(Entry!M9="",0,IF(Entry!M9=M$3,1,0))</f>
        <v>0</v>
      </c>
      <c r="N9" s="18" t="n">
        <f aca="false">IF(Entry!N9="",0,IF(Entry!N9=N$3,1,0))</f>
        <v>0</v>
      </c>
      <c r="O9" s="18" t="n">
        <f aca="false">IF(Entry!O9="",0,IF(Entry!O9=O$3,1,0))</f>
        <v>0</v>
      </c>
      <c r="P9" s="18" t="n">
        <f aca="false">IF(Entry!P9="",0,IF(Entry!P9=P$3,1,0))</f>
        <v>0</v>
      </c>
      <c r="Q9" s="18" t="n">
        <f aca="false">IF(Entry!Q9="",0,IF(Entry!Q9=Q$3,1,0))</f>
        <v>0</v>
      </c>
      <c r="R9" s="18" t="n">
        <f aca="false">IF(Entry!R9="",0,IF(Entry!R9=R$3,1,0))</f>
        <v>0</v>
      </c>
      <c r="S9" s="18" t="n">
        <f aca="false">IF(Entry!S9="",0,IF(Entry!S9=S$3,1,0))</f>
        <v>0</v>
      </c>
      <c r="T9" s="18" t="n">
        <f aca="false">IF(Entry!T9="",0,IF(Entry!T9=T$3,1,0))</f>
        <v>0</v>
      </c>
      <c r="U9" s="18" t="n">
        <f aca="false">IF(Entry!U9="",0,IF(Entry!U9=U$3,1,0))</f>
        <v>0</v>
      </c>
      <c r="V9" s="18" t="n">
        <f aca="false">IF(Entry!V9="",0,IF(Entry!V9=V$3,1,0))</f>
        <v>0</v>
      </c>
      <c r="W9" s="18" t="n">
        <f aca="false">IF(Entry!W9="",0,IF(Entry!W9=W$3,1,0))</f>
        <v>0</v>
      </c>
      <c r="X9" s="18" t="n">
        <f aca="false">IF(Entry!X9="",0,IF(Entry!X9=X$3,1,0))</f>
        <v>0</v>
      </c>
      <c r="Y9" s="18" t="n">
        <f aca="false">IF(Entry!Y9="",0,IF(Entry!Y9=Y$3,1,0))</f>
        <v>0</v>
      </c>
      <c r="Z9" s="18" t="n">
        <f aca="false">IF(Entry!Z9="",0,IF(Entry!Z9=Z$3,1,0))</f>
        <v>0</v>
      </c>
      <c r="AA9" s="18" t="n">
        <f aca="false">IF(Entry!AA9="",0,IF(Entry!AA9=AA$3,1,0))</f>
        <v>0</v>
      </c>
      <c r="AB9" s="18" t="n">
        <f aca="false">IF(Entry!AB9="",0,IF(Entry!AB9=AB$3,1,0))</f>
        <v>0</v>
      </c>
      <c r="AC9" s="18" t="n">
        <f aca="false">IF(Entry!AC9="",0,IF(Entry!AC9=AC$3,1,0))</f>
        <v>0</v>
      </c>
      <c r="AD9" s="18" t="n">
        <f aca="false">IF(Entry!AD9="",0,IF(Entry!AD9=AD$3,1,0))</f>
        <v>0</v>
      </c>
      <c r="AE9" s="18" t="n">
        <f aca="false">IF(Entry!AE9="",0,IF(Entry!AE9=AE$3,1,0))</f>
        <v>0</v>
      </c>
      <c r="AF9" s="18" t="n">
        <f aca="false">IF(Entry!AF9="",0,IF(Entry!AF9=AF$3,1,0))</f>
        <v>0</v>
      </c>
      <c r="AG9" s="18" t="n">
        <f aca="false">IF(Entry!AG9="",0,IF(Entry!AG9=AG$3,1,0))</f>
        <v>0</v>
      </c>
      <c r="AH9" s="18" t="n">
        <f aca="false">IF(Entry!AH9="",0,IF(Entry!AH9=AH$3,1,0))</f>
        <v>0</v>
      </c>
      <c r="AI9" s="18" t="n">
        <f aca="false">IF(Entry!AI9="",0,IF(Entry!AI9=AI$3,1,0))</f>
        <v>0</v>
      </c>
      <c r="AJ9" s="18" t="n">
        <f aca="false">IF(Entry!AJ9="",0,IF(Entry!AJ9=AJ$3,1,0))</f>
        <v>0</v>
      </c>
      <c r="AK9" s="18" t="n">
        <f aca="false">IF(Entry!AK9="",0,IF(Entry!AK9=AK$3,1,0))</f>
        <v>0</v>
      </c>
      <c r="AL9" s="18" t="n">
        <f aca="false">IF(Entry!AL9="",0,IF(Entry!AL9=AL$3,1,0))</f>
        <v>0</v>
      </c>
      <c r="AM9" s="18" t="n">
        <f aca="false">IF(Entry!AM9="",0,IF(Entry!AM9=AM$3,1,0))</f>
        <v>0</v>
      </c>
      <c r="AN9" s="18" t="n">
        <f aca="false">IF(Entry!AN9="",0,IF(Entry!AN9=AN$3,1,0))</f>
        <v>0</v>
      </c>
      <c r="AO9" s="18" t="n">
        <f aca="false">IF(Entry!AO9="",0,IF(Entry!AO9=AO$3,1,0))</f>
        <v>0</v>
      </c>
      <c r="AP9" s="18" t="n">
        <f aca="false">IF(Entry!AP9="",0,IF(Entry!AP9=AP$3,1,0))</f>
        <v>0</v>
      </c>
      <c r="AQ9" s="18" t="n">
        <f aca="false">IF(Entry!AQ9="",0,IF(Entry!AQ9=AQ$3,1,0))</f>
        <v>0</v>
      </c>
      <c r="AR9" s="18" t="n">
        <f aca="false">IF(Entry!AR9="",0,IF(Entry!AR9=AR$3,1,0))</f>
        <v>0</v>
      </c>
      <c r="AS9" s="18" t="n">
        <f aca="false">IF(Entry!AS9="",0,IF(Entry!AS9=AS$3,1,0))</f>
        <v>0</v>
      </c>
      <c r="AT9" s="18" t="n">
        <f aca="false">IF(Entry!AT9="",0,IF(Entry!AT9=AT$3,1,0))</f>
        <v>0</v>
      </c>
      <c r="AU9" s="18" t="n">
        <f aca="false">IF(Entry!AU9="",0,IF(Entry!AU9=AU$3,1,0))</f>
        <v>0</v>
      </c>
      <c r="AV9" s="18" t="n">
        <f aca="false">IF(Entry!AV9="",0,IF(Entry!AV9=AV$3,1,0))</f>
        <v>0</v>
      </c>
      <c r="AW9" s="18" t="n">
        <f aca="false">IF(Entry!AW9="",0,IF(Entry!AW9=AW$3,1,0))</f>
        <v>0</v>
      </c>
      <c r="AX9" s="18" t="n">
        <f aca="false">IF(Entry!AX9="",0,IF(Entry!AX9=AX$3,1,0))</f>
        <v>0</v>
      </c>
      <c r="AY9" s="18" t="n">
        <f aca="false">IF(Entry!AY9="",0,IF(Entry!AY9=AY$3,1,0))</f>
        <v>0</v>
      </c>
      <c r="AZ9" s="18" t="n">
        <f aca="false">IF(Entry!AZ9="",0,IF(Entry!AZ9=AZ$3,1,0))</f>
        <v>0</v>
      </c>
      <c r="BA9" s="18" t="n">
        <f aca="false">IF(Entry!BA9="",0,IF(Entry!BA9=BA$3,1,0))</f>
        <v>0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18" t="n">
        <f aca="false">IF(Entry!BL9="Yes",1,0)</f>
        <v>0</v>
      </c>
      <c r="BM9" s="3"/>
    </row>
    <row r="10" customFormat="false" ht="15" hidden="false" customHeight="false" outlineLevel="0" collapsed="false">
      <c r="A10" s="21" t="str">
        <f aca="false">Entry!A10</f>
        <v>S04</v>
      </c>
      <c r="B10" s="13" t="str">
        <f aca="false">Entry!B10</f>
        <v>TBD</v>
      </c>
      <c r="C10" s="3"/>
      <c r="D10" s="3"/>
      <c r="E10" s="3"/>
      <c r="F10" s="3"/>
      <c r="G10" s="3"/>
      <c r="H10" s="18" t="n">
        <f aca="false">IF(Entry!H10="",0,IF(Entry!H10=H$3,1,0))</f>
        <v>0</v>
      </c>
      <c r="I10" s="18" t="n">
        <f aca="false">IF(Entry!I10="",0,IF(Entry!I10=I$3,1,0))</f>
        <v>0</v>
      </c>
      <c r="J10" s="18" t="n">
        <f aca="false">IF(Entry!J10="",0,IF(Entry!J10=J$3,1,0))</f>
        <v>0</v>
      </c>
      <c r="K10" s="18" t="n">
        <f aca="false">IF(Entry!K10="",0,IF(Entry!K10=K$3,1,0))</f>
        <v>0</v>
      </c>
      <c r="L10" s="18" t="n">
        <f aca="false">IF(Entry!L10="",0,IF(Entry!L10=L$3,1,0))</f>
        <v>0</v>
      </c>
      <c r="M10" s="18" t="n">
        <f aca="false">IF(Entry!M10="",0,IF(Entry!M10=M$3,1,0))</f>
        <v>0</v>
      </c>
      <c r="N10" s="18" t="n">
        <f aca="false">IF(Entry!N10="",0,IF(Entry!N10=N$3,1,0))</f>
        <v>0</v>
      </c>
      <c r="O10" s="18" t="n">
        <f aca="false">IF(Entry!O10="",0,IF(Entry!O10=O$3,1,0))</f>
        <v>0</v>
      </c>
      <c r="P10" s="18" t="n">
        <f aca="false">IF(Entry!P10="",0,IF(Entry!P10=P$3,1,0))</f>
        <v>0</v>
      </c>
      <c r="Q10" s="18" t="n">
        <f aca="false">IF(Entry!Q10="",0,IF(Entry!Q10=Q$3,1,0))</f>
        <v>0</v>
      </c>
      <c r="R10" s="18" t="n">
        <f aca="false">IF(Entry!R10="",0,IF(Entry!R10=R$3,1,0))</f>
        <v>0</v>
      </c>
      <c r="S10" s="18" t="n">
        <f aca="false">IF(Entry!S10="",0,IF(Entry!S10=S$3,1,0))</f>
        <v>0</v>
      </c>
      <c r="T10" s="18" t="n">
        <f aca="false">IF(Entry!T10="",0,IF(Entry!T10=T$3,1,0))</f>
        <v>0</v>
      </c>
      <c r="U10" s="18" t="n">
        <f aca="false">IF(Entry!U10="",0,IF(Entry!U10=U$3,1,0))</f>
        <v>0</v>
      </c>
      <c r="V10" s="18" t="n">
        <f aca="false">IF(Entry!V10="",0,IF(Entry!V10=V$3,1,0))</f>
        <v>0</v>
      </c>
      <c r="W10" s="18" t="n">
        <f aca="false">IF(Entry!W10="",0,IF(Entry!W10=W$3,1,0))</f>
        <v>0</v>
      </c>
      <c r="X10" s="18" t="n">
        <f aca="false">IF(Entry!X10="",0,IF(Entry!X10=X$3,1,0))</f>
        <v>0</v>
      </c>
      <c r="Y10" s="18" t="n">
        <f aca="false">IF(Entry!Y10="",0,IF(Entry!Y10=Y$3,1,0))</f>
        <v>0</v>
      </c>
      <c r="Z10" s="18" t="n">
        <f aca="false">IF(Entry!Z10="",0,IF(Entry!Z10=Z$3,1,0))</f>
        <v>0</v>
      </c>
      <c r="AA10" s="18" t="n">
        <f aca="false">IF(Entry!AA10="",0,IF(Entry!AA10=AA$3,1,0))</f>
        <v>0</v>
      </c>
      <c r="AB10" s="18" t="n">
        <f aca="false">IF(Entry!AB10="",0,IF(Entry!AB10=AB$3,1,0))</f>
        <v>0</v>
      </c>
      <c r="AC10" s="18" t="n">
        <f aca="false">IF(Entry!AC10="",0,IF(Entry!AC10=AC$3,1,0))</f>
        <v>0</v>
      </c>
      <c r="AD10" s="18" t="n">
        <f aca="false">IF(Entry!AD10="",0,IF(Entry!AD10=AD$3,1,0))</f>
        <v>0</v>
      </c>
      <c r="AE10" s="18" t="n">
        <f aca="false">IF(Entry!AE10="",0,IF(Entry!AE10=AE$3,1,0))</f>
        <v>0</v>
      </c>
      <c r="AF10" s="18" t="n">
        <f aca="false">IF(Entry!AF10="",0,IF(Entry!AF10=AF$3,1,0))</f>
        <v>0</v>
      </c>
      <c r="AG10" s="18" t="n">
        <f aca="false">IF(Entry!AG10="",0,IF(Entry!AG10=AG$3,1,0))</f>
        <v>0</v>
      </c>
      <c r="AH10" s="18" t="n">
        <f aca="false">IF(Entry!AH10="",0,IF(Entry!AH10=AH$3,1,0))</f>
        <v>0</v>
      </c>
      <c r="AI10" s="18" t="n">
        <f aca="false">IF(Entry!AI10="",0,IF(Entry!AI10=AI$3,1,0))</f>
        <v>0</v>
      </c>
      <c r="AJ10" s="18" t="n">
        <f aca="false">IF(Entry!AJ10="",0,IF(Entry!AJ10=AJ$3,1,0))</f>
        <v>0</v>
      </c>
      <c r="AK10" s="18" t="n">
        <f aca="false">IF(Entry!AK10="",0,IF(Entry!AK10=AK$3,1,0))</f>
        <v>0</v>
      </c>
      <c r="AL10" s="18" t="n">
        <f aca="false">IF(Entry!AL10="",0,IF(Entry!AL10=AL$3,1,0))</f>
        <v>0</v>
      </c>
      <c r="AM10" s="18" t="n">
        <f aca="false">IF(Entry!AM10="",0,IF(Entry!AM10=AM$3,1,0))</f>
        <v>0</v>
      </c>
      <c r="AN10" s="18" t="n">
        <f aca="false">IF(Entry!AN10="",0,IF(Entry!AN10=AN$3,1,0))</f>
        <v>0</v>
      </c>
      <c r="AO10" s="18" t="n">
        <f aca="false">IF(Entry!AO10="",0,IF(Entry!AO10=AO$3,1,0))</f>
        <v>0</v>
      </c>
      <c r="AP10" s="18" t="n">
        <f aca="false">IF(Entry!AP10="",0,IF(Entry!AP10=AP$3,1,0))</f>
        <v>0</v>
      </c>
      <c r="AQ10" s="18" t="n">
        <f aca="false">IF(Entry!AQ10="",0,IF(Entry!AQ10=AQ$3,1,0))</f>
        <v>0</v>
      </c>
      <c r="AR10" s="18" t="n">
        <f aca="false">IF(Entry!AR10="",0,IF(Entry!AR10=AR$3,1,0))</f>
        <v>0</v>
      </c>
      <c r="AS10" s="18" t="n">
        <f aca="false">IF(Entry!AS10="",0,IF(Entry!AS10=AS$3,1,0))</f>
        <v>0</v>
      </c>
      <c r="AT10" s="18" t="n">
        <f aca="false">IF(Entry!AT10="",0,IF(Entry!AT10=AT$3,1,0))</f>
        <v>0</v>
      </c>
      <c r="AU10" s="18" t="n">
        <f aca="false">IF(Entry!AU10="",0,IF(Entry!AU10=AU$3,1,0))</f>
        <v>0</v>
      </c>
      <c r="AV10" s="18" t="n">
        <f aca="false">IF(Entry!AV10="",0,IF(Entry!AV10=AV$3,1,0))</f>
        <v>0</v>
      </c>
      <c r="AW10" s="18" t="n">
        <f aca="false">IF(Entry!AW10="",0,IF(Entry!AW10=AW$3,1,0))</f>
        <v>0</v>
      </c>
      <c r="AX10" s="18" t="n">
        <f aca="false">IF(Entry!AX10="",0,IF(Entry!AX10=AX$3,1,0))</f>
        <v>0</v>
      </c>
      <c r="AY10" s="18" t="n">
        <f aca="false">IF(Entry!AY10="",0,IF(Entry!AY10=AY$3,1,0))</f>
        <v>0</v>
      </c>
      <c r="AZ10" s="18" t="n">
        <f aca="false">IF(Entry!AZ10="",0,IF(Entry!AZ10=AZ$3,1,0))</f>
        <v>0</v>
      </c>
      <c r="BA10" s="18" t="n">
        <f aca="false">IF(Entry!BA10="",0,IF(Entry!BA10=BA$3,1,0))</f>
        <v>0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18" t="n">
        <f aca="false">IF(Entry!BL10="Yes",1,0)</f>
        <v>0</v>
      </c>
      <c r="BM10" s="3"/>
    </row>
    <row r="11" customFormat="false" ht="15" hidden="false" customHeight="false" outlineLevel="0" collapsed="false">
      <c r="A11" s="21" t="str">
        <f aca="false">Entry!A11</f>
        <v>S05</v>
      </c>
      <c r="B11" s="13" t="str">
        <f aca="false">Entry!B11</f>
        <v>TBD</v>
      </c>
      <c r="C11" s="3"/>
      <c r="D11" s="3"/>
      <c r="E11" s="3"/>
      <c r="F11" s="3"/>
      <c r="G11" s="3"/>
      <c r="H11" s="18" t="n">
        <f aca="false">IF(Entry!H11="",0,IF(Entry!H11=H$3,1,0))</f>
        <v>0</v>
      </c>
      <c r="I11" s="18" t="n">
        <f aca="false">IF(Entry!I11="",0,IF(Entry!I11=I$3,1,0))</f>
        <v>0</v>
      </c>
      <c r="J11" s="18" t="n">
        <f aca="false">IF(Entry!J11="",0,IF(Entry!J11=J$3,1,0))</f>
        <v>0</v>
      </c>
      <c r="K11" s="18" t="n">
        <f aca="false">IF(Entry!K11="",0,IF(Entry!K11=K$3,1,0))</f>
        <v>0</v>
      </c>
      <c r="L11" s="18" t="n">
        <f aca="false">IF(Entry!L11="",0,IF(Entry!L11=L$3,1,0))</f>
        <v>0</v>
      </c>
      <c r="M11" s="18" t="n">
        <f aca="false">IF(Entry!M11="",0,IF(Entry!M11=M$3,1,0))</f>
        <v>0</v>
      </c>
      <c r="N11" s="18" t="n">
        <f aca="false">IF(Entry!N11="",0,IF(Entry!N11=N$3,1,0))</f>
        <v>0</v>
      </c>
      <c r="O11" s="18" t="n">
        <f aca="false">IF(Entry!O11="",0,IF(Entry!O11=O$3,1,0))</f>
        <v>0</v>
      </c>
      <c r="P11" s="18" t="n">
        <f aca="false">IF(Entry!P11="",0,IF(Entry!P11=P$3,1,0))</f>
        <v>0</v>
      </c>
      <c r="Q11" s="18" t="n">
        <f aca="false">IF(Entry!Q11="",0,IF(Entry!Q11=Q$3,1,0))</f>
        <v>0</v>
      </c>
      <c r="R11" s="18" t="n">
        <f aca="false">IF(Entry!R11="",0,IF(Entry!R11=R$3,1,0))</f>
        <v>0</v>
      </c>
      <c r="S11" s="18" t="n">
        <f aca="false">IF(Entry!S11="",0,IF(Entry!S11=S$3,1,0))</f>
        <v>0</v>
      </c>
      <c r="T11" s="18" t="n">
        <f aca="false">IF(Entry!T11="",0,IF(Entry!T11=T$3,1,0))</f>
        <v>0</v>
      </c>
      <c r="U11" s="18" t="n">
        <f aca="false">IF(Entry!U11="",0,IF(Entry!U11=U$3,1,0))</f>
        <v>0</v>
      </c>
      <c r="V11" s="18" t="n">
        <f aca="false">IF(Entry!V11="",0,IF(Entry!V11=V$3,1,0))</f>
        <v>0</v>
      </c>
      <c r="W11" s="18" t="n">
        <f aca="false">IF(Entry!W11="",0,IF(Entry!W11=W$3,1,0))</f>
        <v>0</v>
      </c>
      <c r="X11" s="18" t="n">
        <f aca="false">IF(Entry!X11="",0,IF(Entry!X11=X$3,1,0))</f>
        <v>0</v>
      </c>
      <c r="Y11" s="18" t="n">
        <f aca="false">IF(Entry!Y11="",0,IF(Entry!Y11=Y$3,1,0))</f>
        <v>0</v>
      </c>
      <c r="Z11" s="18" t="n">
        <f aca="false">IF(Entry!Z11="",0,IF(Entry!Z11=Z$3,1,0))</f>
        <v>0</v>
      </c>
      <c r="AA11" s="18" t="n">
        <f aca="false">IF(Entry!AA11="",0,IF(Entry!AA11=AA$3,1,0))</f>
        <v>0</v>
      </c>
      <c r="AB11" s="18" t="n">
        <f aca="false">IF(Entry!AB11="",0,IF(Entry!AB11=AB$3,1,0))</f>
        <v>0</v>
      </c>
      <c r="AC11" s="18" t="n">
        <f aca="false">IF(Entry!AC11="",0,IF(Entry!AC11=AC$3,1,0))</f>
        <v>0</v>
      </c>
      <c r="AD11" s="18" t="n">
        <f aca="false">IF(Entry!AD11="",0,IF(Entry!AD11=AD$3,1,0))</f>
        <v>0</v>
      </c>
      <c r="AE11" s="18" t="n">
        <f aca="false">IF(Entry!AE11="",0,IF(Entry!AE11=AE$3,1,0))</f>
        <v>0</v>
      </c>
      <c r="AF11" s="18" t="n">
        <f aca="false">IF(Entry!AF11="",0,IF(Entry!AF11=AF$3,1,0))</f>
        <v>0</v>
      </c>
      <c r="AG11" s="18" t="n">
        <f aca="false">IF(Entry!AG11="",0,IF(Entry!AG11=AG$3,1,0))</f>
        <v>0</v>
      </c>
      <c r="AH11" s="18" t="n">
        <f aca="false">IF(Entry!AH11="",0,IF(Entry!AH11=AH$3,1,0))</f>
        <v>0</v>
      </c>
      <c r="AI11" s="18" t="n">
        <f aca="false">IF(Entry!AI11="",0,IF(Entry!AI11=AI$3,1,0))</f>
        <v>0</v>
      </c>
      <c r="AJ11" s="18" t="n">
        <f aca="false">IF(Entry!AJ11="",0,IF(Entry!AJ11=AJ$3,1,0))</f>
        <v>0</v>
      </c>
      <c r="AK11" s="18" t="n">
        <f aca="false">IF(Entry!AK11="",0,IF(Entry!AK11=AK$3,1,0))</f>
        <v>0</v>
      </c>
      <c r="AL11" s="18" t="n">
        <f aca="false">IF(Entry!AL11="",0,IF(Entry!AL11=AL$3,1,0))</f>
        <v>0</v>
      </c>
      <c r="AM11" s="18" t="n">
        <f aca="false">IF(Entry!AM11="",0,IF(Entry!AM11=AM$3,1,0))</f>
        <v>0</v>
      </c>
      <c r="AN11" s="18" t="n">
        <f aca="false">IF(Entry!AN11="",0,IF(Entry!AN11=AN$3,1,0))</f>
        <v>0</v>
      </c>
      <c r="AO11" s="18" t="n">
        <f aca="false">IF(Entry!AO11="",0,IF(Entry!AO11=AO$3,1,0))</f>
        <v>0</v>
      </c>
      <c r="AP11" s="18" t="n">
        <f aca="false">IF(Entry!AP11="",0,IF(Entry!AP11=AP$3,1,0))</f>
        <v>0</v>
      </c>
      <c r="AQ11" s="18" t="n">
        <f aca="false">IF(Entry!AQ11="",0,IF(Entry!AQ11=AQ$3,1,0))</f>
        <v>0</v>
      </c>
      <c r="AR11" s="18" t="n">
        <f aca="false">IF(Entry!AR11="",0,IF(Entry!AR11=AR$3,1,0))</f>
        <v>0</v>
      </c>
      <c r="AS11" s="18" t="n">
        <f aca="false">IF(Entry!AS11="",0,IF(Entry!AS11=AS$3,1,0))</f>
        <v>0</v>
      </c>
      <c r="AT11" s="18" t="n">
        <f aca="false">IF(Entry!AT11="",0,IF(Entry!AT11=AT$3,1,0))</f>
        <v>0</v>
      </c>
      <c r="AU11" s="18" t="n">
        <f aca="false">IF(Entry!AU11="",0,IF(Entry!AU11=AU$3,1,0))</f>
        <v>0</v>
      </c>
      <c r="AV11" s="18" t="n">
        <f aca="false">IF(Entry!AV11="",0,IF(Entry!AV11=AV$3,1,0))</f>
        <v>0</v>
      </c>
      <c r="AW11" s="18" t="n">
        <f aca="false">IF(Entry!AW11="",0,IF(Entry!AW11=AW$3,1,0))</f>
        <v>0</v>
      </c>
      <c r="AX11" s="18" t="n">
        <f aca="false">IF(Entry!AX11="",0,IF(Entry!AX11=AX$3,1,0))</f>
        <v>0</v>
      </c>
      <c r="AY11" s="18" t="n">
        <f aca="false">IF(Entry!AY11="",0,IF(Entry!AY11=AY$3,1,0))</f>
        <v>0</v>
      </c>
      <c r="AZ11" s="18" t="n">
        <f aca="false">IF(Entry!AZ11="",0,IF(Entry!AZ11=AZ$3,1,0))</f>
        <v>0</v>
      </c>
      <c r="BA11" s="18" t="n">
        <f aca="false">IF(Entry!BA11="",0,IF(Entry!BA11=BA$3,1,0))</f>
        <v>0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18" t="n">
        <f aca="false">IF(Entry!BL11="Yes",1,0)</f>
        <v>0</v>
      </c>
      <c r="BM11" s="3"/>
    </row>
    <row r="12" customFormat="false" ht="15" hidden="false" customHeight="false" outlineLevel="0" collapsed="false">
      <c r="A12" s="21" t="str">
        <f aca="false">Entry!A12</f>
        <v>S06</v>
      </c>
      <c r="B12" s="13" t="str">
        <f aca="false">Entry!B12</f>
        <v>TBD</v>
      </c>
      <c r="C12" s="3"/>
      <c r="D12" s="3"/>
      <c r="E12" s="3"/>
      <c r="F12" s="3"/>
      <c r="G12" s="3"/>
      <c r="H12" s="18" t="n">
        <f aca="false">IF(Entry!H12="",0,IF(Entry!H12=H$3,1,0))</f>
        <v>0</v>
      </c>
      <c r="I12" s="18" t="n">
        <f aca="false">IF(Entry!I12="",0,IF(Entry!I12=I$3,1,0))</f>
        <v>0</v>
      </c>
      <c r="J12" s="18" t="n">
        <f aca="false">IF(Entry!J12="",0,IF(Entry!J12=J$3,1,0))</f>
        <v>0</v>
      </c>
      <c r="K12" s="18" t="n">
        <f aca="false">IF(Entry!K12="",0,IF(Entry!K12=K$3,1,0))</f>
        <v>0</v>
      </c>
      <c r="L12" s="18" t="n">
        <f aca="false">IF(Entry!L12="",0,IF(Entry!L12=L$3,1,0))</f>
        <v>0</v>
      </c>
      <c r="M12" s="18" t="n">
        <f aca="false">IF(Entry!M12="",0,IF(Entry!M12=M$3,1,0))</f>
        <v>0</v>
      </c>
      <c r="N12" s="18" t="n">
        <f aca="false">IF(Entry!N12="",0,IF(Entry!N12=N$3,1,0))</f>
        <v>0</v>
      </c>
      <c r="O12" s="18" t="n">
        <f aca="false">IF(Entry!O12="",0,IF(Entry!O12=O$3,1,0))</f>
        <v>0</v>
      </c>
      <c r="P12" s="18" t="n">
        <f aca="false">IF(Entry!P12="",0,IF(Entry!P12=P$3,1,0))</f>
        <v>0</v>
      </c>
      <c r="Q12" s="18" t="n">
        <f aca="false">IF(Entry!Q12="",0,IF(Entry!Q12=Q$3,1,0))</f>
        <v>0</v>
      </c>
      <c r="R12" s="18" t="n">
        <f aca="false">IF(Entry!R12="",0,IF(Entry!R12=R$3,1,0))</f>
        <v>0</v>
      </c>
      <c r="S12" s="18" t="n">
        <f aca="false">IF(Entry!S12="",0,IF(Entry!S12=S$3,1,0))</f>
        <v>0</v>
      </c>
      <c r="T12" s="18" t="n">
        <f aca="false">IF(Entry!T12="",0,IF(Entry!T12=T$3,1,0))</f>
        <v>0</v>
      </c>
      <c r="U12" s="18" t="n">
        <f aca="false">IF(Entry!U12="",0,IF(Entry!U12=U$3,1,0))</f>
        <v>0</v>
      </c>
      <c r="V12" s="18" t="n">
        <f aca="false">IF(Entry!V12="",0,IF(Entry!V12=V$3,1,0))</f>
        <v>0</v>
      </c>
      <c r="W12" s="18" t="n">
        <f aca="false">IF(Entry!W12="",0,IF(Entry!W12=W$3,1,0))</f>
        <v>0</v>
      </c>
      <c r="X12" s="18" t="n">
        <f aca="false">IF(Entry!X12="",0,IF(Entry!X12=X$3,1,0))</f>
        <v>0</v>
      </c>
      <c r="Y12" s="18" t="n">
        <f aca="false">IF(Entry!Y12="",0,IF(Entry!Y12=Y$3,1,0))</f>
        <v>0</v>
      </c>
      <c r="Z12" s="18" t="n">
        <f aca="false">IF(Entry!Z12="",0,IF(Entry!Z12=Z$3,1,0))</f>
        <v>0</v>
      </c>
      <c r="AA12" s="18" t="n">
        <f aca="false">IF(Entry!AA12="",0,IF(Entry!AA12=AA$3,1,0))</f>
        <v>0</v>
      </c>
      <c r="AB12" s="18" t="n">
        <f aca="false">IF(Entry!AB12="",0,IF(Entry!AB12=AB$3,1,0))</f>
        <v>0</v>
      </c>
      <c r="AC12" s="18" t="n">
        <f aca="false">IF(Entry!AC12="",0,IF(Entry!AC12=AC$3,1,0))</f>
        <v>0</v>
      </c>
      <c r="AD12" s="18" t="n">
        <f aca="false">IF(Entry!AD12="",0,IF(Entry!AD12=AD$3,1,0))</f>
        <v>0</v>
      </c>
      <c r="AE12" s="18" t="n">
        <f aca="false">IF(Entry!AE12="",0,IF(Entry!AE12=AE$3,1,0))</f>
        <v>0</v>
      </c>
      <c r="AF12" s="18" t="n">
        <f aca="false">IF(Entry!AF12="",0,IF(Entry!AF12=AF$3,1,0))</f>
        <v>0</v>
      </c>
      <c r="AG12" s="18" t="n">
        <f aca="false">IF(Entry!AG12="",0,IF(Entry!AG12=AG$3,1,0))</f>
        <v>0</v>
      </c>
      <c r="AH12" s="18" t="n">
        <f aca="false">IF(Entry!AH12="",0,IF(Entry!AH12=AH$3,1,0))</f>
        <v>0</v>
      </c>
      <c r="AI12" s="18" t="n">
        <f aca="false">IF(Entry!AI12="",0,IF(Entry!AI12=AI$3,1,0))</f>
        <v>0</v>
      </c>
      <c r="AJ12" s="18" t="n">
        <f aca="false">IF(Entry!AJ12="",0,IF(Entry!AJ12=AJ$3,1,0))</f>
        <v>0</v>
      </c>
      <c r="AK12" s="18" t="n">
        <f aca="false">IF(Entry!AK12="",0,IF(Entry!AK12=AK$3,1,0))</f>
        <v>0</v>
      </c>
      <c r="AL12" s="18" t="n">
        <f aca="false">IF(Entry!AL12="",0,IF(Entry!AL12=AL$3,1,0))</f>
        <v>0</v>
      </c>
      <c r="AM12" s="18" t="n">
        <f aca="false">IF(Entry!AM12="",0,IF(Entry!AM12=AM$3,1,0))</f>
        <v>0</v>
      </c>
      <c r="AN12" s="18" t="n">
        <f aca="false">IF(Entry!AN12="",0,IF(Entry!AN12=AN$3,1,0))</f>
        <v>0</v>
      </c>
      <c r="AO12" s="18" t="n">
        <f aca="false">IF(Entry!AO12="",0,IF(Entry!AO12=AO$3,1,0))</f>
        <v>0</v>
      </c>
      <c r="AP12" s="18" t="n">
        <f aca="false">IF(Entry!AP12="",0,IF(Entry!AP12=AP$3,1,0))</f>
        <v>0</v>
      </c>
      <c r="AQ12" s="18" t="n">
        <f aca="false">IF(Entry!AQ12="",0,IF(Entry!AQ12=AQ$3,1,0))</f>
        <v>0</v>
      </c>
      <c r="AR12" s="18" t="n">
        <f aca="false">IF(Entry!AR12="",0,IF(Entry!AR12=AR$3,1,0))</f>
        <v>0</v>
      </c>
      <c r="AS12" s="18" t="n">
        <f aca="false">IF(Entry!AS12="",0,IF(Entry!AS12=AS$3,1,0))</f>
        <v>0</v>
      </c>
      <c r="AT12" s="18" t="n">
        <f aca="false">IF(Entry!AT12="",0,IF(Entry!AT12=AT$3,1,0))</f>
        <v>0</v>
      </c>
      <c r="AU12" s="18" t="n">
        <f aca="false">IF(Entry!AU12="",0,IF(Entry!AU12=AU$3,1,0))</f>
        <v>0</v>
      </c>
      <c r="AV12" s="18" t="n">
        <f aca="false">IF(Entry!AV12="",0,IF(Entry!AV12=AV$3,1,0))</f>
        <v>0</v>
      </c>
      <c r="AW12" s="18" t="n">
        <f aca="false">IF(Entry!AW12="",0,IF(Entry!AW12=AW$3,1,0))</f>
        <v>0</v>
      </c>
      <c r="AX12" s="18" t="n">
        <f aca="false">IF(Entry!AX12="",0,IF(Entry!AX12=AX$3,1,0))</f>
        <v>0</v>
      </c>
      <c r="AY12" s="18" t="n">
        <f aca="false">IF(Entry!AY12="",0,IF(Entry!AY12=AY$3,1,0))</f>
        <v>0</v>
      </c>
      <c r="AZ12" s="18" t="n">
        <f aca="false">IF(Entry!AZ12="",0,IF(Entry!AZ12=AZ$3,1,0))</f>
        <v>0</v>
      </c>
      <c r="BA12" s="18" t="n">
        <f aca="false">IF(Entry!BA12="",0,IF(Entry!BA12=BA$3,1,0))</f>
        <v>0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18" t="n">
        <f aca="false">IF(Entry!BL12="Yes",1,0)</f>
        <v>0</v>
      </c>
      <c r="BM12" s="3"/>
    </row>
    <row r="13" customFormat="false" ht="15" hidden="false" customHeight="false" outlineLevel="0" collapsed="false">
      <c r="A13" s="21" t="str">
        <f aca="false">Entry!A13</f>
        <v>S07</v>
      </c>
      <c r="B13" s="13" t="str">
        <f aca="false">Entry!B13</f>
        <v>TBD</v>
      </c>
      <c r="C13" s="3"/>
      <c r="D13" s="3"/>
      <c r="E13" s="3"/>
      <c r="F13" s="3"/>
      <c r="G13" s="3"/>
      <c r="H13" s="18" t="n">
        <f aca="false">IF(Entry!H13="",0,IF(Entry!H13=H$3,1,0))</f>
        <v>0</v>
      </c>
      <c r="I13" s="18" t="n">
        <f aca="false">IF(Entry!I13="",0,IF(Entry!I13=I$3,1,0))</f>
        <v>0</v>
      </c>
      <c r="J13" s="18" t="n">
        <f aca="false">IF(Entry!J13="",0,IF(Entry!J13=J$3,1,0))</f>
        <v>0</v>
      </c>
      <c r="K13" s="18" t="n">
        <f aca="false">IF(Entry!K13="",0,IF(Entry!K13=K$3,1,0))</f>
        <v>0</v>
      </c>
      <c r="L13" s="18" t="n">
        <f aca="false">IF(Entry!L13="",0,IF(Entry!L13=L$3,1,0))</f>
        <v>0</v>
      </c>
      <c r="M13" s="18" t="n">
        <f aca="false">IF(Entry!M13="",0,IF(Entry!M13=M$3,1,0))</f>
        <v>0</v>
      </c>
      <c r="N13" s="18" t="n">
        <f aca="false">IF(Entry!N13="",0,IF(Entry!N13=N$3,1,0))</f>
        <v>0</v>
      </c>
      <c r="O13" s="18" t="n">
        <f aca="false">IF(Entry!O13="",0,IF(Entry!O13=O$3,1,0))</f>
        <v>0</v>
      </c>
      <c r="P13" s="18" t="n">
        <f aca="false">IF(Entry!P13="",0,IF(Entry!P13=P$3,1,0))</f>
        <v>0</v>
      </c>
      <c r="Q13" s="18" t="n">
        <f aca="false">IF(Entry!Q13="",0,IF(Entry!Q13=Q$3,1,0))</f>
        <v>0</v>
      </c>
      <c r="R13" s="18" t="n">
        <f aca="false">IF(Entry!R13="",0,IF(Entry!R13=R$3,1,0))</f>
        <v>0</v>
      </c>
      <c r="S13" s="18" t="n">
        <f aca="false">IF(Entry!S13="",0,IF(Entry!S13=S$3,1,0))</f>
        <v>0</v>
      </c>
      <c r="T13" s="18" t="n">
        <f aca="false">IF(Entry!T13="",0,IF(Entry!T13=T$3,1,0))</f>
        <v>0</v>
      </c>
      <c r="U13" s="18" t="n">
        <f aca="false">IF(Entry!U13="",0,IF(Entry!U13=U$3,1,0))</f>
        <v>0</v>
      </c>
      <c r="V13" s="18" t="n">
        <f aca="false">IF(Entry!V13="",0,IF(Entry!V13=V$3,1,0))</f>
        <v>0</v>
      </c>
      <c r="W13" s="18" t="n">
        <f aca="false">IF(Entry!W13="",0,IF(Entry!W13=W$3,1,0))</f>
        <v>0</v>
      </c>
      <c r="X13" s="18" t="n">
        <f aca="false">IF(Entry!X13="",0,IF(Entry!X13=X$3,1,0))</f>
        <v>0</v>
      </c>
      <c r="Y13" s="18" t="n">
        <f aca="false">IF(Entry!Y13="",0,IF(Entry!Y13=Y$3,1,0))</f>
        <v>0</v>
      </c>
      <c r="Z13" s="18" t="n">
        <f aca="false">IF(Entry!Z13="",0,IF(Entry!Z13=Z$3,1,0))</f>
        <v>0</v>
      </c>
      <c r="AA13" s="18" t="n">
        <f aca="false">IF(Entry!AA13="",0,IF(Entry!AA13=AA$3,1,0))</f>
        <v>0</v>
      </c>
      <c r="AB13" s="18" t="n">
        <f aca="false">IF(Entry!AB13="",0,IF(Entry!AB13=AB$3,1,0))</f>
        <v>0</v>
      </c>
      <c r="AC13" s="18" t="n">
        <f aca="false">IF(Entry!AC13="",0,IF(Entry!AC13=AC$3,1,0))</f>
        <v>0</v>
      </c>
      <c r="AD13" s="18" t="n">
        <f aca="false">IF(Entry!AD13="",0,IF(Entry!AD13=AD$3,1,0))</f>
        <v>0</v>
      </c>
      <c r="AE13" s="18" t="n">
        <f aca="false">IF(Entry!AE13="",0,IF(Entry!AE13=AE$3,1,0))</f>
        <v>0</v>
      </c>
      <c r="AF13" s="18" t="n">
        <f aca="false">IF(Entry!AF13="",0,IF(Entry!AF13=AF$3,1,0))</f>
        <v>0</v>
      </c>
      <c r="AG13" s="18" t="n">
        <f aca="false">IF(Entry!AG13="",0,IF(Entry!AG13=AG$3,1,0))</f>
        <v>0</v>
      </c>
      <c r="AH13" s="18" t="n">
        <f aca="false">IF(Entry!AH13="",0,IF(Entry!AH13=AH$3,1,0))</f>
        <v>0</v>
      </c>
      <c r="AI13" s="18" t="n">
        <f aca="false">IF(Entry!AI13="",0,IF(Entry!AI13=AI$3,1,0))</f>
        <v>0</v>
      </c>
      <c r="AJ13" s="18" t="n">
        <f aca="false">IF(Entry!AJ13="",0,IF(Entry!AJ13=AJ$3,1,0))</f>
        <v>0</v>
      </c>
      <c r="AK13" s="18" t="n">
        <f aca="false">IF(Entry!AK13="",0,IF(Entry!AK13=AK$3,1,0))</f>
        <v>0</v>
      </c>
      <c r="AL13" s="18" t="n">
        <f aca="false">IF(Entry!AL13="",0,IF(Entry!AL13=AL$3,1,0))</f>
        <v>0</v>
      </c>
      <c r="AM13" s="18" t="n">
        <f aca="false">IF(Entry!AM13="",0,IF(Entry!AM13=AM$3,1,0))</f>
        <v>0</v>
      </c>
      <c r="AN13" s="18" t="n">
        <f aca="false">IF(Entry!AN13="",0,IF(Entry!AN13=AN$3,1,0))</f>
        <v>0</v>
      </c>
      <c r="AO13" s="18" t="n">
        <f aca="false">IF(Entry!AO13="",0,IF(Entry!AO13=AO$3,1,0))</f>
        <v>0</v>
      </c>
      <c r="AP13" s="18" t="n">
        <f aca="false">IF(Entry!AP13="",0,IF(Entry!AP13=AP$3,1,0))</f>
        <v>0</v>
      </c>
      <c r="AQ13" s="18" t="n">
        <f aca="false">IF(Entry!AQ13="",0,IF(Entry!AQ13=AQ$3,1,0))</f>
        <v>0</v>
      </c>
      <c r="AR13" s="18" t="n">
        <f aca="false">IF(Entry!AR13="",0,IF(Entry!AR13=AR$3,1,0))</f>
        <v>0</v>
      </c>
      <c r="AS13" s="18" t="n">
        <f aca="false">IF(Entry!AS13="",0,IF(Entry!AS13=AS$3,1,0))</f>
        <v>0</v>
      </c>
      <c r="AT13" s="18" t="n">
        <f aca="false">IF(Entry!AT13="",0,IF(Entry!AT13=AT$3,1,0))</f>
        <v>0</v>
      </c>
      <c r="AU13" s="18" t="n">
        <f aca="false">IF(Entry!AU13="",0,IF(Entry!AU13=AU$3,1,0))</f>
        <v>0</v>
      </c>
      <c r="AV13" s="18" t="n">
        <f aca="false">IF(Entry!AV13="",0,IF(Entry!AV13=AV$3,1,0))</f>
        <v>0</v>
      </c>
      <c r="AW13" s="18" t="n">
        <f aca="false">IF(Entry!AW13="",0,IF(Entry!AW13=AW$3,1,0))</f>
        <v>0</v>
      </c>
      <c r="AX13" s="18" t="n">
        <f aca="false">IF(Entry!AX13="",0,IF(Entry!AX13=AX$3,1,0))</f>
        <v>0</v>
      </c>
      <c r="AY13" s="18" t="n">
        <f aca="false">IF(Entry!AY13="",0,IF(Entry!AY13=AY$3,1,0))</f>
        <v>0</v>
      </c>
      <c r="AZ13" s="18" t="n">
        <f aca="false">IF(Entry!AZ13="",0,IF(Entry!AZ13=AZ$3,1,0))</f>
        <v>0</v>
      </c>
      <c r="BA13" s="18" t="n">
        <f aca="false">IF(Entry!BA13="",0,IF(Entry!BA13=BA$3,1,0))</f>
        <v>0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18" t="n">
        <f aca="false">IF(Entry!BL13="Yes",1,0)</f>
        <v>0</v>
      </c>
      <c r="BM13" s="3"/>
    </row>
    <row r="14" customFormat="false" ht="15" hidden="false" customHeight="false" outlineLevel="0" collapsed="false">
      <c r="A14" s="21" t="str">
        <f aca="false">Entry!A14</f>
        <v>S08</v>
      </c>
      <c r="B14" s="13" t="str">
        <f aca="false">Entry!B14</f>
        <v>TBD</v>
      </c>
      <c r="C14" s="3"/>
      <c r="D14" s="3"/>
      <c r="E14" s="3"/>
      <c r="F14" s="3"/>
      <c r="G14" s="3"/>
      <c r="H14" s="18" t="n">
        <f aca="false">IF(Entry!H14="",0,IF(Entry!H14=H$3,1,0))</f>
        <v>0</v>
      </c>
      <c r="I14" s="18" t="n">
        <f aca="false">IF(Entry!I14="",0,IF(Entry!I14=I$3,1,0))</f>
        <v>0</v>
      </c>
      <c r="J14" s="18" t="n">
        <f aca="false">IF(Entry!J14="",0,IF(Entry!J14=J$3,1,0))</f>
        <v>0</v>
      </c>
      <c r="K14" s="18" t="n">
        <f aca="false">IF(Entry!K14="",0,IF(Entry!K14=K$3,1,0))</f>
        <v>0</v>
      </c>
      <c r="L14" s="18" t="n">
        <f aca="false">IF(Entry!L14="",0,IF(Entry!L14=L$3,1,0))</f>
        <v>0</v>
      </c>
      <c r="M14" s="18" t="n">
        <f aca="false">IF(Entry!M14="",0,IF(Entry!M14=M$3,1,0))</f>
        <v>0</v>
      </c>
      <c r="N14" s="18" t="n">
        <f aca="false">IF(Entry!N14="",0,IF(Entry!N14=N$3,1,0))</f>
        <v>0</v>
      </c>
      <c r="O14" s="18" t="n">
        <f aca="false">IF(Entry!O14="",0,IF(Entry!O14=O$3,1,0))</f>
        <v>0</v>
      </c>
      <c r="P14" s="18" t="n">
        <f aca="false">IF(Entry!P14="",0,IF(Entry!P14=P$3,1,0))</f>
        <v>0</v>
      </c>
      <c r="Q14" s="18" t="n">
        <f aca="false">IF(Entry!Q14="",0,IF(Entry!Q14=Q$3,1,0))</f>
        <v>0</v>
      </c>
      <c r="R14" s="18" t="n">
        <f aca="false">IF(Entry!R14="",0,IF(Entry!R14=R$3,1,0))</f>
        <v>0</v>
      </c>
      <c r="S14" s="18" t="n">
        <f aca="false">IF(Entry!S14="",0,IF(Entry!S14=S$3,1,0))</f>
        <v>0</v>
      </c>
      <c r="T14" s="18" t="n">
        <f aca="false">IF(Entry!T14="",0,IF(Entry!T14=T$3,1,0))</f>
        <v>0</v>
      </c>
      <c r="U14" s="18" t="n">
        <f aca="false">IF(Entry!U14="",0,IF(Entry!U14=U$3,1,0))</f>
        <v>0</v>
      </c>
      <c r="V14" s="18" t="n">
        <f aca="false">IF(Entry!V14="",0,IF(Entry!V14=V$3,1,0))</f>
        <v>0</v>
      </c>
      <c r="W14" s="18" t="n">
        <f aca="false">IF(Entry!W14="",0,IF(Entry!W14=W$3,1,0))</f>
        <v>0</v>
      </c>
      <c r="X14" s="18" t="n">
        <f aca="false">IF(Entry!X14="",0,IF(Entry!X14=X$3,1,0))</f>
        <v>0</v>
      </c>
      <c r="Y14" s="18" t="n">
        <f aca="false">IF(Entry!Y14="",0,IF(Entry!Y14=Y$3,1,0))</f>
        <v>0</v>
      </c>
      <c r="Z14" s="18" t="n">
        <f aca="false">IF(Entry!Z14="",0,IF(Entry!Z14=Z$3,1,0))</f>
        <v>0</v>
      </c>
      <c r="AA14" s="18" t="n">
        <f aca="false">IF(Entry!AA14="",0,IF(Entry!AA14=AA$3,1,0))</f>
        <v>0</v>
      </c>
      <c r="AB14" s="18" t="n">
        <f aca="false">IF(Entry!AB14="",0,IF(Entry!AB14=AB$3,1,0))</f>
        <v>0</v>
      </c>
      <c r="AC14" s="18" t="n">
        <f aca="false">IF(Entry!AC14="",0,IF(Entry!AC14=AC$3,1,0))</f>
        <v>0</v>
      </c>
      <c r="AD14" s="18" t="n">
        <f aca="false">IF(Entry!AD14="",0,IF(Entry!AD14=AD$3,1,0))</f>
        <v>0</v>
      </c>
      <c r="AE14" s="18" t="n">
        <f aca="false">IF(Entry!AE14="",0,IF(Entry!AE14=AE$3,1,0))</f>
        <v>0</v>
      </c>
      <c r="AF14" s="18" t="n">
        <f aca="false">IF(Entry!AF14="",0,IF(Entry!AF14=AF$3,1,0))</f>
        <v>0</v>
      </c>
      <c r="AG14" s="18" t="n">
        <f aca="false">IF(Entry!AG14="",0,IF(Entry!AG14=AG$3,1,0))</f>
        <v>0</v>
      </c>
      <c r="AH14" s="18" t="n">
        <f aca="false">IF(Entry!AH14="",0,IF(Entry!AH14=AH$3,1,0))</f>
        <v>0</v>
      </c>
      <c r="AI14" s="18" t="n">
        <f aca="false">IF(Entry!AI14="",0,IF(Entry!AI14=AI$3,1,0))</f>
        <v>0</v>
      </c>
      <c r="AJ14" s="18" t="n">
        <f aca="false">IF(Entry!AJ14="",0,IF(Entry!AJ14=AJ$3,1,0))</f>
        <v>0</v>
      </c>
      <c r="AK14" s="18" t="n">
        <f aca="false">IF(Entry!AK14="",0,IF(Entry!AK14=AK$3,1,0))</f>
        <v>0</v>
      </c>
      <c r="AL14" s="18" t="n">
        <f aca="false">IF(Entry!AL14="",0,IF(Entry!AL14=AL$3,1,0))</f>
        <v>0</v>
      </c>
      <c r="AM14" s="18" t="n">
        <f aca="false">IF(Entry!AM14="",0,IF(Entry!AM14=AM$3,1,0))</f>
        <v>0</v>
      </c>
      <c r="AN14" s="18" t="n">
        <f aca="false">IF(Entry!AN14="",0,IF(Entry!AN14=AN$3,1,0))</f>
        <v>0</v>
      </c>
      <c r="AO14" s="18" t="n">
        <f aca="false">IF(Entry!AO14="",0,IF(Entry!AO14=AO$3,1,0))</f>
        <v>0</v>
      </c>
      <c r="AP14" s="18" t="n">
        <f aca="false">IF(Entry!AP14="",0,IF(Entry!AP14=AP$3,1,0))</f>
        <v>0</v>
      </c>
      <c r="AQ14" s="18" t="n">
        <f aca="false">IF(Entry!AQ14="",0,IF(Entry!AQ14=AQ$3,1,0))</f>
        <v>0</v>
      </c>
      <c r="AR14" s="18" t="n">
        <f aca="false">IF(Entry!AR14="",0,IF(Entry!AR14=AR$3,1,0))</f>
        <v>0</v>
      </c>
      <c r="AS14" s="18" t="n">
        <f aca="false">IF(Entry!AS14="",0,IF(Entry!AS14=AS$3,1,0))</f>
        <v>0</v>
      </c>
      <c r="AT14" s="18" t="n">
        <f aca="false">IF(Entry!AT14="",0,IF(Entry!AT14=AT$3,1,0))</f>
        <v>0</v>
      </c>
      <c r="AU14" s="18" t="n">
        <f aca="false">IF(Entry!AU14="",0,IF(Entry!AU14=AU$3,1,0))</f>
        <v>0</v>
      </c>
      <c r="AV14" s="18" t="n">
        <f aca="false">IF(Entry!AV14="",0,IF(Entry!AV14=AV$3,1,0))</f>
        <v>0</v>
      </c>
      <c r="AW14" s="18" t="n">
        <f aca="false">IF(Entry!AW14="",0,IF(Entry!AW14=AW$3,1,0))</f>
        <v>0</v>
      </c>
      <c r="AX14" s="18" t="n">
        <f aca="false">IF(Entry!AX14="",0,IF(Entry!AX14=AX$3,1,0))</f>
        <v>0</v>
      </c>
      <c r="AY14" s="18" t="n">
        <f aca="false">IF(Entry!AY14="",0,IF(Entry!AY14=AY$3,1,0))</f>
        <v>0</v>
      </c>
      <c r="AZ14" s="18" t="n">
        <f aca="false">IF(Entry!AZ14="",0,IF(Entry!AZ14=AZ$3,1,0))</f>
        <v>0</v>
      </c>
      <c r="BA14" s="18" t="n">
        <f aca="false">IF(Entry!BA14="",0,IF(Entry!BA14=BA$3,1,0))</f>
        <v>0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18" t="n">
        <f aca="false">IF(Entry!BL14="Yes",1,0)</f>
        <v>0</v>
      </c>
      <c r="BM14" s="3"/>
    </row>
    <row r="15" customFormat="false" ht="15" hidden="false" customHeight="false" outlineLevel="0" collapsed="false">
      <c r="A15" s="21" t="str">
        <f aca="false">Entry!A15</f>
        <v>S09</v>
      </c>
      <c r="B15" s="13" t="str">
        <f aca="false">Entry!B15</f>
        <v>TBD</v>
      </c>
      <c r="C15" s="3"/>
      <c r="D15" s="3"/>
      <c r="E15" s="3"/>
      <c r="F15" s="3"/>
      <c r="G15" s="3"/>
      <c r="H15" s="18" t="n">
        <f aca="false">IF(Entry!H15="",0,IF(Entry!H15=H$3,1,0))</f>
        <v>0</v>
      </c>
      <c r="I15" s="18" t="n">
        <f aca="false">IF(Entry!I15="",0,IF(Entry!I15=I$3,1,0))</f>
        <v>0</v>
      </c>
      <c r="J15" s="18" t="n">
        <f aca="false">IF(Entry!J15="",0,IF(Entry!J15=J$3,1,0))</f>
        <v>0</v>
      </c>
      <c r="K15" s="18" t="n">
        <f aca="false">IF(Entry!K15="",0,IF(Entry!K15=K$3,1,0))</f>
        <v>0</v>
      </c>
      <c r="L15" s="18" t="n">
        <f aca="false">IF(Entry!L15="",0,IF(Entry!L15=L$3,1,0))</f>
        <v>0</v>
      </c>
      <c r="M15" s="18" t="n">
        <f aca="false">IF(Entry!M15="",0,IF(Entry!M15=M$3,1,0))</f>
        <v>0</v>
      </c>
      <c r="N15" s="18" t="n">
        <f aca="false">IF(Entry!N15="",0,IF(Entry!N15=N$3,1,0))</f>
        <v>0</v>
      </c>
      <c r="O15" s="18" t="n">
        <f aca="false">IF(Entry!O15="",0,IF(Entry!O15=O$3,1,0))</f>
        <v>0</v>
      </c>
      <c r="P15" s="18" t="n">
        <f aca="false">IF(Entry!P15="",0,IF(Entry!P15=P$3,1,0))</f>
        <v>0</v>
      </c>
      <c r="Q15" s="18" t="n">
        <f aca="false">IF(Entry!Q15="",0,IF(Entry!Q15=Q$3,1,0))</f>
        <v>0</v>
      </c>
      <c r="R15" s="18" t="n">
        <f aca="false">IF(Entry!R15="",0,IF(Entry!R15=R$3,1,0))</f>
        <v>0</v>
      </c>
      <c r="S15" s="18" t="n">
        <f aca="false">IF(Entry!S15="",0,IF(Entry!S15=S$3,1,0))</f>
        <v>0</v>
      </c>
      <c r="T15" s="18" t="n">
        <f aca="false">IF(Entry!T15="",0,IF(Entry!T15=T$3,1,0))</f>
        <v>0</v>
      </c>
      <c r="U15" s="18" t="n">
        <f aca="false">IF(Entry!U15="",0,IF(Entry!U15=U$3,1,0))</f>
        <v>0</v>
      </c>
      <c r="V15" s="18" t="n">
        <f aca="false">IF(Entry!V15="",0,IF(Entry!V15=V$3,1,0))</f>
        <v>0</v>
      </c>
      <c r="W15" s="18" t="n">
        <f aca="false">IF(Entry!W15="",0,IF(Entry!W15=W$3,1,0))</f>
        <v>0</v>
      </c>
      <c r="X15" s="18" t="n">
        <f aca="false">IF(Entry!X15="",0,IF(Entry!X15=X$3,1,0))</f>
        <v>0</v>
      </c>
      <c r="Y15" s="18" t="n">
        <f aca="false">IF(Entry!Y15="",0,IF(Entry!Y15=Y$3,1,0))</f>
        <v>0</v>
      </c>
      <c r="Z15" s="18" t="n">
        <f aca="false">IF(Entry!Z15="",0,IF(Entry!Z15=Z$3,1,0))</f>
        <v>0</v>
      </c>
      <c r="AA15" s="18" t="n">
        <f aca="false">IF(Entry!AA15="",0,IF(Entry!AA15=AA$3,1,0))</f>
        <v>0</v>
      </c>
      <c r="AB15" s="18" t="n">
        <f aca="false">IF(Entry!AB15="",0,IF(Entry!AB15=AB$3,1,0))</f>
        <v>0</v>
      </c>
      <c r="AC15" s="18" t="n">
        <f aca="false">IF(Entry!AC15="",0,IF(Entry!AC15=AC$3,1,0))</f>
        <v>0</v>
      </c>
      <c r="AD15" s="18" t="n">
        <f aca="false">IF(Entry!AD15="",0,IF(Entry!AD15=AD$3,1,0))</f>
        <v>0</v>
      </c>
      <c r="AE15" s="18" t="n">
        <f aca="false">IF(Entry!AE15="",0,IF(Entry!AE15=AE$3,1,0))</f>
        <v>0</v>
      </c>
      <c r="AF15" s="18" t="n">
        <f aca="false">IF(Entry!AF15="",0,IF(Entry!AF15=AF$3,1,0))</f>
        <v>0</v>
      </c>
      <c r="AG15" s="18" t="n">
        <f aca="false">IF(Entry!AG15="",0,IF(Entry!AG15=AG$3,1,0))</f>
        <v>0</v>
      </c>
      <c r="AH15" s="18" t="n">
        <f aca="false">IF(Entry!AH15="",0,IF(Entry!AH15=AH$3,1,0))</f>
        <v>0</v>
      </c>
      <c r="AI15" s="18" t="n">
        <f aca="false">IF(Entry!AI15="",0,IF(Entry!AI15=AI$3,1,0))</f>
        <v>0</v>
      </c>
      <c r="AJ15" s="18" t="n">
        <f aca="false">IF(Entry!AJ15="",0,IF(Entry!AJ15=AJ$3,1,0))</f>
        <v>0</v>
      </c>
      <c r="AK15" s="18" t="n">
        <f aca="false">IF(Entry!AK15="",0,IF(Entry!AK15=AK$3,1,0))</f>
        <v>0</v>
      </c>
      <c r="AL15" s="18" t="n">
        <f aca="false">IF(Entry!AL15="",0,IF(Entry!AL15=AL$3,1,0))</f>
        <v>0</v>
      </c>
      <c r="AM15" s="18" t="n">
        <f aca="false">IF(Entry!AM15="",0,IF(Entry!AM15=AM$3,1,0))</f>
        <v>0</v>
      </c>
      <c r="AN15" s="18" t="n">
        <f aca="false">IF(Entry!AN15="",0,IF(Entry!AN15=AN$3,1,0))</f>
        <v>0</v>
      </c>
      <c r="AO15" s="18" t="n">
        <f aca="false">IF(Entry!AO15="",0,IF(Entry!AO15=AO$3,1,0))</f>
        <v>0</v>
      </c>
      <c r="AP15" s="18" t="n">
        <f aca="false">IF(Entry!AP15="",0,IF(Entry!AP15=AP$3,1,0))</f>
        <v>0</v>
      </c>
      <c r="AQ15" s="18" t="n">
        <f aca="false">IF(Entry!AQ15="",0,IF(Entry!AQ15=AQ$3,1,0))</f>
        <v>0</v>
      </c>
      <c r="AR15" s="18" t="n">
        <f aca="false">IF(Entry!AR15="",0,IF(Entry!AR15=AR$3,1,0))</f>
        <v>0</v>
      </c>
      <c r="AS15" s="18" t="n">
        <f aca="false">IF(Entry!AS15="",0,IF(Entry!AS15=AS$3,1,0))</f>
        <v>0</v>
      </c>
      <c r="AT15" s="18" t="n">
        <f aca="false">IF(Entry!AT15="",0,IF(Entry!AT15=AT$3,1,0))</f>
        <v>0</v>
      </c>
      <c r="AU15" s="18" t="n">
        <f aca="false">IF(Entry!AU15="",0,IF(Entry!AU15=AU$3,1,0))</f>
        <v>0</v>
      </c>
      <c r="AV15" s="18" t="n">
        <f aca="false">IF(Entry!AV15="",0,IF(Entry!AV15=AV$3,1,0))</f>
        <v>0</v>
      </c>
      <c r="AW15" s="18" t="n">
        <f aca="false">IF(Entry!AW15="",0,IF(Entry!AW15=AW$3,1,0))</f>
        <v>0</v>
      </c>
      <c r="AX15" s="18" t="n">
        <f aca="false">IF(Entry!AX15="",0,IF(Entry!AX15=AX$3,1,0))</f>
        <v>0</v>
      </c>
      <c r="AY15" s="18" t="n">
        <f aca="false">IF(Entry!AY15="",0,IF(Entry!AY15=AY$3,1,0))</f>
        <v>0</v>
      </c>
      <c r="AZ15" s="18" t="n">
        <f aca="false">IF(Entry!AZ15="",0,IF(Entry!AZ15=AZ$3,1,0))</f>
        <v>0</v>
      </c>
      <c r="BA15" s="18" t="n">
        <f aca="false">IF(Entry!BA15="",0,IF(Entry!BA15=BA$3,1,0))</f>
        <v>0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18" t="n">
        <f aca="false">IF(Entry!BL15="Yes",1,0)</f>
        <v>0</v>
      </c>
      <c r="BM15" s="3"/>
    </row>
    <row r="16" customFormat="false" ht="15" hidden="false" customHeight="false" outlineLevel="0" collapsed="false">
      <c r="A16" s="21" t="str">
        <f aca="false">Entry!A16</f>
        <v>S10</v>
      </c>
      <c r="B16" s="13" t="str">
        <f aca="false">Entry!B16</f>
        <v>TBD</v>
      </c>
      <c r="C16" s="3"/>
      <c r="D16" s="3"/>
      <c r="E16" s="3"/>
      <c r="F16" s="3"/>
      <c r="G16" s="3"/>
      <c r="H16" s="18" t="n">
        <f aca="false">IF(Entry!H16="",0,IF(Entry!H16=H$3,1,0))</f>
        <v>0</v>
      </c>
      <c r="I16" s="18" t="n">
        <f aca="false">IF(Entry!I16="",0,IF(Entry!I16=I$3,1,0))</f>
        <v>0</v>
      </c>
      <c r="J16" s="18" t="n">
        <f aca="false">IF(Entry!J16="",0,IF(Entry!J16=J$3,1,0))</f>
        <v>0</v>
      </c>
      <c r="K16" s="18" t="n">
        <f aca="false">IF(Entry!K16="",0,IF(Entry!K16=K$3,1,0))</f>
        <v>0</v>
      </c>
      <c r="L16" s="18" t="n">
        <f aca="false">IF(Entry!L16="",0,IF(Entry!L16=L$3,1,0))</f>
        <v>0</v>
      </c>
      <c r="M16" s="18" t="n">
        <f aca="false">IF(Entry!M16="",0,IF(Entry!M16=M$3,1,0))</f>
        <v>0</v>
      </c>
      <c r="N16" s="18" t="n">
        <f aca="false">IF(Entry!N16="",0,IF(Entry!N16=N$3,1,0))</f>
        <v>0</v>
      </c>
      <c r="O16" s="18" t="n">
        <f aca="false">IF(Entry!O16="",0,IF(Entry!O16=O$3,1,0))</f>
        <v>0</v>
      </c>
      <c r="P16" s="18" t="n">
        <f aca="false">IF(Entry!P16="",0,IF(Entry!P16=P$3,1,0))</f>
        <v>0</v>
      </c>
      <c r="Q16" s="18" t="n">
        <f aca="false">IF(Entry!Q16="",0,IF(Entry!Q16=Q$3,1,0))</f>
        <v>0</v>
      </c>
      <c r="R16" s="18" t="n">
        <f aca="false">IF(Entry!R16="",0,IF(Entry!R16=R$3,1,0))</f>
        <v>0</v>
      </c>
      <c r="S16" s="18" t="n">
        <f aca="false">IF(Entry!S16="",0,IF(Entry!S16=S$3,1,0))</f>
        <v>0</v>
      </c>
      <c r="T16" s="18" t="n">
        <f aca="false">IF(Entry!T16="",0,IF(Entry!T16=T$3,1,0))</f>
        <v>0</v>
      </c>
      <c r="U16" s="18" t="n">
        <f aca="false">IF(Entry!U16="",0,IF(Entry!U16=U$3,1,0))</f>
        <v>0</v>
      </c>
      <c r="V16" s="18" t="n">
        <f aca="false">IF(Entry!V16="",0,IF(Entry!V16=V$3,1,0))</f>
        <v>0</v>
      </c>
      <c r="W16" s="18" t="n">
        <f aca="false">IF(Entry!W16="",0,IF(Entry!W16=W$3,1,0))</f>
        <v>0</v>
      </c>
      <c r="X16" s="18" t="n">
        <f aca="false">IF(Entry!X16="",0,IF(Entry!X16=X$3,1,0))</f>
        <v>0</v>
      </c>
      <c r="Y16" s="18" t="n">
        <f aca="false">IF(Entry!Y16="",0,IF(Entry!Y16=Y$3,1,0))</f>
        <v>0</v>
      </c>
      <c r="Z16" s="18" t="n">
        <f aca="false">IF(Entry!Z16="",0,IF(Entry!Z16=Z$3,1,0))</f>
        <v>0</v>
      </c>
      <c r="AA16" s="18" t="n">
        <f aca="false">IF(Entry!AA16="",0,IF(Entry!AA16=AA$3,1,0))</f>
        <v>0</v>
      </c>
      <c r="AB16" s="18" t="n">
        <f aca="false">IF(Entry!AB16="",0,IF(Entry!AB16=AB$3,1,0))</f>
        <v>0</v>
      </c>
      <c r="AC16" s="18" t="n">
        <f aca="false">IF(Entry!AC16="",0,IF(Entry!AC16=AC$3,1,0))</f>
        <v>0</v>
      </c>
      <c r="AD16" s="18" t="n">
        <f aca="false">IF(Entry!AD16="",0,IF(Entry!AD16=AD$3,1,0))</f>
        <v>0</v>
      </c>
      <c r="AE16" s="18" t="n">
        <f aca="false">IF(Entry!AE16="",0,IF(Entry!AE16=AE$3,1,0))</f>
        <v>0</v>
      </c>
      <c r="AF16" s="18" t="n">
        <f aca="false">IF(Entry!AF16="",0,IF(Entry!AF16=AF$3,1,0))</f>
        <v>0</v>
      </c>
      <c r="AG16" s="18" t="n">
        <f aca="false">IF(Entry!AG16="",0,IF(Entry!AG16=AG$3,1,0))</f>
        <v>0</v>
      </c>
      <c r="AH16" s="18" t="n">
        <f aca="false">IF(Entry!AH16="",0,IF(Entry!AH16=AH$3,1,0))</f>
        <v>0</v>
      </c>
      <c r="AI16" s="18" t="n">
        <f aca="false">IF(Entry!AI16="",0,IF(Entry!AI16=AI$3,1,0))</f>
        <v>0</v>
      </c>
      <c r="AJ16" s="18" t="n">
        <f aca="false">IF(Entry!AJ16="",0,IF(Entry!AJ16=AJ$3,1,0))</f>
        <v>0</v>
      </c>
      <c r="AK16" s="18" t="n">
        <f aca="false">IF(Entry!AK16="",0,IF(Entry!AK16=AK$3,1,0))</f>
        <v>0</v>
      </c>
      <c r="AL16" s="18" t="n">
        <f aca="false">IF(Entry!AL16="",0,IF(Entry!AL16=AL$3,1,0))</f>
        <v>0</v>
      </c>
      <c r="AM16" s="18" t="n">
        <f aca="false">IF(Entry!AM16="",0,IF(Entry!AM16=AM$3,1,0))</f>
        <v>0</v>
      </c>
      <c r="AN16" s="18" t="n">
        <f aca="false">IF(Entry!AN16="",0,IF(Entry!AN16=AN$3,1,0))</f>
        <v>0</v>
      </c>
      <c r="AO16" s="18" t="n">
        <f aca="false">IF(Entry!AO16="",0,IF(Entry!AO16=AO$3,1,0))</f>
        <v>0</v>
      </c>
      <c r="AP16" s="18" t="n">
        <f aca="false">IF(Entry!AP16="",0,IF(Entry!AP16=AP$3,1,0))</f>
        <v>0</v>
      </c>
      <c r="AQ16" s="18" t="n">
        <f aca="false">IF(Entry!AQ16="",0,IF(Entry!AQ16=AQ$3,1,0))</f>
        <v>0</v>
      </c>
      <c r="AR16" s="18" t="n">
        <f aca="false">IF(Entry!AR16="",0,IF(Entry!AR16=AR$3,1,0))</f>
        <v>0</v>
      </c>
      <c r="AS16" s="18" t="n">
        <f aca="false">IF(Entry!AS16="",0,IF(Entry!AS16=AS$3,1,0))</f>
        <v>0</v>
      </c>
      <c r="AT16" s="18" t="n">
        <f aca="false">IF(Entry!AT16="",0,IF(Entry!AT16=AT$3,1,0))</f>
        <v>0</v>
      </c>
      <c r="AU16" s="18" t="n">
        <f aca="false">IF(Entry!AU16="",0,IF(Entry!AU16=AU$3,1,0))</f>
        <v>0</v>
      </c>
      <c r="AV16" s="18" t="n">
        <f aca="false">IF(Entry!AV16="",0,IF(Entry!AV16=AV$3,1,0))</f>
        <v>0</v>
      </c>
      <c r="AW16" s="18" t="n">
        <f aca="false">IF(Entry!AW16="",0,IF(Entry!AW16=AW$3,1,0))</f>
        <v>0</v>
      </c>
      <c r="AX16" s="18" t="n">
        <f aca="false">IF(Entry!AX16="",0,IF(Entry!AX16=AX$3,1,0))</f>
        <v>0</v>
      </c>
      <c r="AY16" s="18" t="n">
        <f aca="false">IF(Entry!AY16="",0,IF(Entry!AY16=AY$3,1,0))</f>
        <v>0</v>
      </c>
      <c r="AZ16" s="18" t="n">
        <f aca="false">IF(Entry!AZ16="",0,IF(Entry!AZ16=AZ$3,1,0))</f>
        <v>0</v>
      </c>
      <c r="BA16" s="18" t="n">
        <f aca="false">IF(Entry!BA16="",0,IF(Entry!BA16=BA$3,1,0))</f>
        <v>0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18" t="n">
        <f aca="false">IF(Entry!BL16="Yes",1,0)</f>
        <v>0</v>
      </c>
      <c r="BM16" s="3"/>
    </row>
    <row r="17" customFormat="false" ht="15" hidden="false" customHeight="false" outlineLevel="0" collapsed="false">
      <c r="A17" s="21" t="str">
        <f aca="false">Entry!A17</f>
        <v>S11</v>
      </c>
      <c r="B17" s="13" t="str">
        <f aca="false">Entry!B17</f>
        <v>TBD</v>
      </c>
      <c r="C17" s="3"/>
      <c r="D17" s="3"/>
      <c r="E17" s="3"/>
      <c r="F17" s="3"/>
      <c r="G17" s="3"/>
      <c r="H17" s="18" t="n">
        <f aca="false">IF(Entry!H17="",0,IF(Entry!H17=H$3,1,0))</f>
        <v>0</v>
      </c>
      <c r="I17" s="18" t="n">
        <f aca="false">IF(Entry!I17="",0,IF(Entry!I17=I$3,1,0))</f>
        <v>0</v>
      </c>
      <c r="J17" s="18" t="n">
        <f aca="false">IF(Entry!J17="",0,IF(Entry!J17=J$3,1,0))</f>
        <v>0</v>
      </c>
      <c r="K17" s="18" t="n">
        <f aca="false">IF(Entry!K17="",0,IF(Entry!K17=K$3,1,0))</f>
        <v>0</v>
      </c>
      <c r="L17" s="18" t="n">
        <f aca="false">IF(Entry!L17="",0,IF(Entry!L17=L$3,1,0))</f>
        <v>0</v>
      </c>
      <c r="M17" s="18" t="n">
        <f aca="false">IF(Entry!M17="",0,IF(Entry!M17=M$3,1,0))</f>
        <v>0</v>
      </c>
      <c r="N17" s="18" t="n">
        <f aca="false">IF(Entry!N17="",0,IF(Entry!N17=N$3,1,0))</f>
        <v>0</v>
      </c>
      <c r="O17" s="18" t="n">
        <f aca="false">IF(Entry!O17="",0,IF(Entry!O17=O$3,1,0))</f>
        <v>0</v>
      </c>
      <c r="P17" s="18" t="n">
        <f aca="false">IF(Entry!P17="",0,IF(Entry!P17=P$3,1,0))</f>
        <v>0</v>
      </c>
      <c r="Q17" s="18" t="n">
        <f aca="false">IF(Entry!Q17="",0,IF(Entry!Q17=Q$3,1,0))</f>
        <v>0</v>
      </c>
      <c r="R17" s="18" t="n">
        <f aca="false">IF(Entry!R17="",0,IF(Entry!R17=R$3,1,0))</f>
        <v>0</v>
      </c>
      <c r="S17" s="18" t="n">
        <f aca="false">IF(Entry!S17="",0,IF(Entry!S17=S$3,1,0))</f>
        <v>0</v>
      </c>
      <c r="T17" s="18" t="n">
        <f aca="false">IF(Entry!T17="",0,IF(Entry!T17=T$3,1,0))</f>
        <v>0</v>
      </c>
      <c r="U17" s="18" t="n">
        <f aca="false">IF(Entry!U17="",0,IF(Entry!U17=U$3,1,0))</f>
        <v>0</v>
      </c>
      <c r="V17" s="18" t="n">
        <f aca="false">IF(Entry!V17="",0,IF(Entry!V17=V$3,1,0))</f>
        <v>0</v>
      </c>
      <c r="W17" s="18" t="n">
        <f aca="false">IF(Entry!W17="",0,IF(Entry!W17=W$3,1,0))</f>
        <v>0</v>
      </c>
      <c r="X17" s="18" t="n">
        <f aca="false">IF(Entry!X17="",0,IF(Entry!X17=X$3,1,0))</f>
        <v>0</v>
      </c>
      <c r="Y17" s="18" t="n">
        <f aca="false">IF(Entry!Y17="",0,IF(Entry!Y17=Y$3,1,0))</f>
        <v>0</v>
      </c>
      <c r="Z17" s="18" t="n">
        <f aca="false">IF(Entry!Z17="",0,IF(Entry!Z17=Z$3,1,0))</f>
        <v>0</v>
      </c>
      <c r="AA17" s="18" t="n">
        <f aca="false">IF(Entry!AA17="",0,IF(Entry!AA17=AA$3,1,0))</f>
        <v>0</v>
      </c>
      <c r="AB17" s="18" t="n">
        <f aca="false">IF(Entry!AB17="",0,IF(Entry!AB17=AB$3,1,0))</f>
        <v>0</v>
      </c>
      <c r="AC17" s="18" t="n">
        <f aca="false">IF(Entry!AC17="",0,IF(Entry!AC17=AC$3,1,0))</f>
        <v>0</v>
      </c>
      <c r="AD17" s="18" t="n">
        <f aca="false">IF(Entry!AD17="",0,IF(Entry!AD17=AD$3,1,0))</f>
        <v>0</v>
      </c>
      <c r="AE17" s="18" t="n">
        <f aca="false">IF(Entry!AE17="",0,IF(Entry!AE17=AE$3,1,0))</f>
        <v>0</v>
      </c>
      <c r="AF17" s="18" t="n">
        <f aca="false">IF(Entry!AF17="",0,IF(Entry!AF17=AF$3,1,0))</f>
        <v>0</v>
      </c>
      <c r="AG17" s="18" t="n">
        <f aca="false">IF(Entry!AG17="",0,IF(Entry!AG17=AG$3,1,0))</f>
        <v>0</v>
      </c>
      <c r="AH17" s="18" t="n">
        <f aca="false">IF(Entry!AH17="",0,IF(Entry!AH17=AH$3,1,0))</f>
        <v>0</v>
      </c>
      <c r="AI17" s="18" t="n">
        <f aca="false">IF(Entry!AI17="",0,IF(Entry!AI17=AI$3,1,0))</f>
        <v>0</v>
      </c>
      <c r="AJ17" s="18" t="n">
        <f aca="false">IF(Entry!AJ17="",0,IF(Entry!AJ17=AJ$3,1,0))</f>
        <v>0</v>
      </c>
      <c r="AK17" s="18" t="n">
        <f aca="false">IF(Entry!AK17="",0,IF(Entry!AK17=AK$3,1,0))</f>
        <v>0</v>
      </c>
      <c r="AL17" s="18" t="n">
        <f aca="false">IF(Entry!AL17="",0,IF(Entry!AL17=AL$3,1,0))</f>
        <v>0</v>
      </c>
      <c r="AM17" s="18" t="n">
        <f aca="false">IF(Entry!AM17="",0,IF(Entry!AM17=AM$3,1,0))</f>
        <v>0</v>
      </c>
      <c r="AN17" s="18" t="n">
        <f aca="false">IF(Entry!AN17="",0,IF(Entry!AN17=AN$3,1,0))</f>
        <v>0</v>
      </c>
      <c r="AO17" s="18" t="n">
        <f aca="false">IF(Entry!AO17="",0,IF(Entry!AO17=AO$3,1,0))</f>
        <v>0</v>
      </c>
      <c r="AP17" s="18" t="n">
        <f aca="false">IF(Entry!AP17="",0,IF(Entry!AP17=AP$3,1,0))</f>
        <v>0</v>
      </c>
      <c r="AQ17" s="18" t="n">
        <f aca="false">IF(Entry!AQ17="",0,IF(Entry!AQ17=AQ$3,1,0))</f>
        <v>0</v>
      </c>
      <c r="AR17" s="18" t="n">
        <f aca="false">IF(Entry!AR17="",0,IF(Entry!AR17=AR$3,1,0))</f>
        <v>0</v>
      </c>
      <c r="AS17" s="18" t="n">
        <f aca="false">IF(Entry!AS17="",0,IF(Entry!AS17=AS$3,1,0))</f>
        <v>0</v>
      </c>
      <c r="AT17" s="18" t="n">
        <f aca="false">IF(Entry!AT17="",0,IF(Entry!AT17=AT$3,1,0))</f>
        <v>0</v>
      </c>
      <c r="AU17" s="18" t="n">
        <f aca="false">IF(Entry!AU17="",0,IF(Entry!AU17=AU$3,1,0))</f>
        <v>0</v>
      </c>
      <c r="AV17" s="18" t="n">
        <f aca="false">IF(Entry!AV17="",0,IF(Entry!AV17=AV$3,1,0))</f>
        <v>0</v>
      </c>
      <c r="AW17" s="18" t="n">
        <f aca="false">IF(Entry!AW17="",0,IF(Entry!AW17=AW$3,1,0))</f>
        <v>0</v>
      </c>
      <c r="AX17" s="18" t="n">
        <f aca="false">IF(Entry!AX17="",0,IF(Entry!AX17=AX$3,1,0))</f>
        <v>0</v>
      </c>
      <c r="AY17" s="18" t="n">
        <f aca="false">IF(Entry!AY17="",0,IF(Entry!AY17=AY$3,1,0))</f>
        <v>0</v>
      </c>
      <c r="AZ17" s="18" t="n">
        <f aca="false">IF(Entry!AZ17="",0,IF(Entry!AZ17=AZ$3,1,0))</f>
        <v>0</v>
      </c>
      <c r="BA17" s="18" t="n">
        <f aca="false">IF(Entry!BA17="",0,IF(Entry!BA17=BA$3,1,0))</f>
        <v>0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18" t="n">
        <f aca="false">IF(Entry!BL17="Yes",1,0)</f>
        <v>0</v>
      </c>
      <c r="BM17" s="3"/>
    </row>
    <row r="18" customFormat="false" ht="15" hidden="false" customHeight="false" outlineLevel="0" collapsed="false">
      <c r="A18" s="21" t="str">
        <f aca="false">Entry!A18</f>
        <v>S12</v>
      </c>
      <c r="B18" s="13" t="str">
        <f aca="false">Entry!B18</f>
        <v>TBD</v>
      </c>
      <c r="C18" s="3"/>
      <c r="D18" s="3"/>
      <c r="E18" s="3"/>
      <c r="F18" s="3"/>
      <c r="G18" s="3"/>
      <c r="H18" s="18" t="n">
        <f aca="false">IF(Entry!H18="",0,IF(Entry!H18=H$3,1,0))</f>
        <v>0</v>
      </c>
      <c r="I18" s="18" t="n">
        <f aca="false">IF(Entry!I18="",0,IF(Entry!I18=I$3,1,0))</f>
        <v>0</v>
      </c>
      <c r="J18" s="18" t="n">
        <f aca="false">IF(Entry!J18="",0,IF(Entry!J18=J$3,1,0))</f>
        <v>0</v>
      </c>
      <c r="K18" s="18" t="n">
        <f aca="false">IF(Entry!K18="",0,IF(Entry!K18=K$3,1,0))</f>
        <v>0</v>
      </c>
      <c r="L18" s="18" t="n">
        <f aca="false">IF(Entry!L18="",0,IF(Entry!L18=L$3,1,0))</f>
        <v>0</v>
      </c>
      <c r="M18" s="18" t="n">
        <f aca="false">IF(Entry!M18="",0,IF(Entry!M18=M$3,1,0))</f>
        <v>0</v>
      </c>
      <c r="N18" s="18" t="n">
        <f aca="false">IF(Entry!N18="",0,IF(Entry!N18=N$3,1,0))</f>
        <v>0</v>
      </c>
      <c r="O18" s="18" t="n">
        <f aca="false">IF(Entry!O18="",0,IF(Entry!O18=O$3,1,0))</f>
        <v>0</v>
      </c>
      <c r="P18" s="18" t="n">
        <f aca="false">IF(Entry!P18="",0,IF(Entry!P18=P$3,1,0))</f>
        <v>0</v>
      </c>
      <c r="Q18" s="18" t="n">
        <f aca="false">IF(Entry!Q18="",0,IF(Entry!Q18=Q$3,1,0))</f>
        <v>0</v>
      </c>
      <c r="R18" s="18" t="n">
        <f aca="false">IF(Entry!R18="",0,IF(Entry!R18=R$3,1,0))</f>
        <v>0</v>
      </c>
      <c r="S18" s="18" t="n">
        <f aca="false">IF(Entry!S18="",0,IF(Entry!S18=S$3,1,0))</f>
        <v>0</v>
      </c>
      <c r="T18" s="18" t="n">
        <f aca="false">IF(Entry!T18="",0,IF(Entry!T18=T$3,1,0))</f>
        <v>0</v>
      </c>
      <c r="U18" s="18" t="n">
        <f aca="false">IF(Entry!U18="",0,IF(Entry!U18=U$3,1,0))</f>
        <v>0</v>
      </c>
      <c r="V18" s="18" t="n">
        <f aca="false">IF(Entry!V18="",0,IF(Entry!V18=V$3,1,0))</f>
        <v>0</v>
      </c>
      <c r="W18" s="18" t="n">
        <f aca="false">IF(Entry!W18="",0,IF(Entry!W18=W$3,1,0))</f>
        <v>0</v>
      </c>
      <c r="X18" s="18" t="n">
        <f aca="false">IF(Entry!X18="",0,IF(Entry!X18=X$3,1,0))</f>
        <v>0</v>
      </c>
      <c r="Y18" s="18" t="n">
        <f aca="false">IF(Entry!Y18="",0,IF(Entry!Y18=Y$3,1,0))</f>
        <v>0</v>
      </c>
      <c r="Z18" s="18" t="n">
        <f aca="false">IF(Entry!Z18="",0,IF(Entry!Z18=Z$3,1,0))</f>
        <v>0</v>
      </c>
      <c r="AA18" s="18" t="n">
        <f aca="false">IF(Entry!AA18="",0,IF(Entry!AA18=AA$3,1,0))</f>
        <v>0</v>
      </c>
      <c r="AB18" s="18" t="n">
        <f aca="false">IF(Entry!AB18="",0,IF(Entry!AB18=AB$3,1,0))</f>
        <v>0</v>
      </c>
      <c r="AC18" s="18" t="n">
        <f aca="false">IF(Entry!AC18="",0,IF(Entry!AC18=AC$3,1,0))</f>
        <v>0</v>
      </c>
      <c r="AD18" s="18" t="n">
        <f aca="false">IF(Entry!AD18="",0,IF(Entry!AD18=AD$3,1,0))</f>
        <v>0</v>
      </c>
      <c r="AE18" s="18" t="n">
        <f aca="false">IF(Entry!AE18="",0,IF(Entry!AE18=AE$3,1,0))</f>
        <v>0</v>
      </c>
      <c r="AF18" s="18" t="n">
        <f aca="false">IF(Entry!AF18="",0,IF(Entry!AF18=AF$3,1,0))</f>
        <v>0</v>
      </c>
      <c r="AG18" s="18" t="n">
        <f aca="false">IF(Entry!AG18="",0,IF(Entry!AG18=AG$3,1,0))</f>
        <v>0</v>
      </c>
      <c r="AH18" s="18" t="n">
        <f aca="false">IF(Entry!AH18="",0,IF(Entry!AH18=AH$3,1,0))</f>
        <v>0</v>
      </c>
      <c r="AI18" s="18" t="n">
        <f aca="false">IF(Entry!AI18="",0,IF(Entry!AI18=AI$3,1,0))</f>
        <v>0</v>
      </c>
      <c r="AJ18" s="18" t="n">
        <f aca="false">IF(Entry!AJ18="",0,IF(Entry!AJ18=AJ$3,1,0))</f>
        <v>0</v>
      </c>
      <c r="AK18" s="18" t="n">
        <f aca="false">IF(Entry!AK18="",0,IF(Entry!AK18=AK$3,1,0))</f>
        <v>0</v>
      </c>
      <c r="AL18" s="18" t="n">
        <f aca="false">IF(Entry!AL18="",0,IF(Entry!AL18=AL$3,1,0))</f>
        <v>0</v>
      </c>
      <c r="AM18" s="18" t="n">
        <f aca="false">IF(Entry!AM18="",0,IF(Entry!AM18=AM$3,1,0))</f>
        <v>0</v>
      </c>
      <c r="AN18" s="18" t="n">
        <f aca="false">IF(Entry!AN18="",0,IF(Entry!AN18=AN$3,1,0))</f>
        <v>0</v>
      </c>
      <c r="AO18" s="18" t="n">
        <f aca="false">IF(Entry!AO18="",0,IF(Entry!AO18=AO$3,1,0))</f>
        <v>0</v>
      </c>
      <c r="AP18" s="18" t="n">
        <f aca="false">IF(Entry!AP18="",0,IF(Entry!AP18=AP$3,1,0))</f>
        <v>0</v>
      </c>
      <c r="AQ18" s="18" t="n">
        <f aca="false">IF(Entry!AQ18="",0,IF(Entry!AQ18=AQ$3,1,0))</f>
        <v>0</v>
      </c>
      <c r="AR18" s="18" t="n">
        <f aca="false">IF(Entry!AR18="",0,IF(Entry!AR18=AR$3,1,0))</f>
        <v>0</v>
      </c>
      <c r="AS18" s="18" t="n">
        <f aca="false">IF(Entry!AS18="",0,IF(Entry!AS18=AS$3,1,0))</f>
        <v>0</v>
      </c>
      <c r="AT18" s="18" t="n">
        <f aca="false">IF(Entry!AT18="",0,IF(Entry!AT18=AT$3,1,0))</f>
        <v>0</v>
      </c>
      <c r="AU18" s="18" t="n">
        <f aca="false">IF(Entry!AU18="",0,IF(Entry!AU18=AU$3,1,0))</f>
        <v>0</v>
      </c>
      <c r="AV18" s="18" t="n">
        <f aca="false">IF(Entry!AV18="",0,IF(Entry!AV18=AV$3,1,0))</f>
        <v>0</v>
      </c>
      <c r="AW18" s="18" t="n">
        <f aca="false">IF(Entry!AW18="",0,IF(Entry!AW18=AW$3,1,0))</f>
        <v>0</v>
      </c>
      <c r="AX18" s="18" t="n">
        <f aca="false">IF(Entry!AX18="",0,IF(Entry!AX18=AX$3,1,0))</f>
        <v>0</v>
      </c>
      <c r="AY18" s="18" t="n">
        <f aca="false">IF(Entry!AY18="",0,IF(Entry!AY18=AY$3,1,0))</f>
        <v>0</v>
      </c>
      <c r="AZ18" s="18" t="n">
        <f aca="false">IF(Entry!AZ18="",0,IF(Entry!AZ18=AZ$3,1,0))</f>
        <v>0</v>
      </c>
      <c r="BA18" s="18" t="n">
        <f aca="false">IF(Entry!BA18="",0,IF(Entry!BA18=BA$3,1,0))</f>
        <v>0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18" t="n">
        <f aca="false">IF(Entry!BL18="Yes",1,0)</f>
        <v>0</v>
      </c>
      <c r="BM18" s="3"/>
    </row>
    <row r="19" customFormat="false" ht="15" hidden="false" customHeight="false" outlineLevel="0" collapsed="false">
      <c r="A19" s="21" t="str">
        <f aca="false">Entry!A19</f>
        <v>S13</v>
      </c>
      <c r="B19" s="13" t="str">
        <f aca="false">Entry!B19</f>
        <v>TBD</v>
      </c>
      <c r="C19" s="3"/>
      <c r="D19" s="3"/>
      <c r="E19" s="3"/>
      <c r="F19" s="3"/>
      <c r="G19" s="3"/>
      <c r="H19" s="18" t="n">
        <f aca="false">IF(Entry!H19="",0,IF(Entry!H19=H$3,1,0))</f>
        <v>0</v>
      </c>
      <c r="I19" s="18" t="n">
        <f aca="false">IF(Entry!I19="",0,IF(Entry!I19=I$3,1,0))</f>
        <v>0</v>
      </c>
      <c r="J19" s="18" t="n">
        <f aca="false">IF(Entry!J19="",0,IF(Entry!J19=J$3,1,0))</f>
        <v>0</v>
      </c>
      <c r="K19" s="18" t="n">
        <f aca="false">IF(Entry!K19="",0,IF(Entry!K19=K$3,1,0))</f>
        <v>0</v>
      </c>
      <c r="L19" s="18" t="n">
        <f aca="false">IF(Entry!L19="",0,IF(Entry!L19=L$3,1,0))</f>
        <v>0</v>
      </c>
      <c r="M19" s="18" t="n">
        <f aca="false">IF(Entry!M19="",0,IF(Entry!M19=M$3,1,0))</f>
        <v>0</v>
      </c>
      <c r="N19" s="18" t="n">
        <f aca="false">IF(Entry!N19="",0,IF(Entry!N19=N$3,1,0))</f>
        <v>0</v>
      </c>
      <c r="O19" s="18" t="n">
        <f aca="false">IF(Entry!O19="",0,IF(Entry!O19=O$3,1,0))</f>
        <v>0</v>
      </c>
      <c r="P19" s="18" t="n">
        <f aca="false">IF(Entry!P19="",0,IF(Entry!P19=P$3,1,0))</f>
        <v>0</v>
      </c>
      <c r="Q19" s="18" t="n">
        <f aca="false">IF(Entry!Q19="",0,IF(Entry!Q19=Q$3,1,0))</f>
        <v>0</v>
      </c>
      <c r="R19" s="18" t="n">
        <f aca="false">IF(Entry!R19="",0,IF(Entry!R19=R$3,1,0))</f>
        <v>0</v>
      </c>
      <c r="S19" s="18" t="n">
        <f aca="false">IF(Entry!S19="",0,IF(Entry!S19=S$3,1,0))</f>
        <v>0</v>
      </c>
      <c r="T19" s="18" t="n">
        <f aca="false">IF(Entry!T19="",0,IF(Entry!T19=T$3,1,0))</f>
        <v>0</v>
      </c>
      <c r="U19" s="18" t="n">
        <f aca="false">IF(Entry!U19="",0,IF(Entry!U19=U$3,1,0))</f>
        <v>0</v>
      </c>
      <c r="V19" s="18" t="n">
        <f aca="false">IF(Entry!V19="",0,IF(Entry!V19=V$3,1,0))</f>
        <v>0</v>
      </c>
      <c r="W19" s="18" t="n">
        <f aca="false">IF(Entry!W19="",0,IF(Entry!W19=W$3,1,0))</f>
        <v>0</v>
      </c>
      <c r="X19" s="18" t="n">
        <f aca="false">IF(Entry!X19="",0,IF(Entry!X19=X$3,1,0))</f>
        <v>0</v>
      </c>
      <c r="Y19" s="18" t="n">
        <f aca="false">IF(Entry!Y19="",0,IF(Entry!Y19=Y$3,1,0))</f>
        <v>0</v>
      </c>
      <c r="Z19" s="18" t="n">
        <f aca="false">IF(Entry!Z19="",0,IF(Entry!Z19=Z$3,1,0))</f>
        <v>0</v>
      </c>
      <c r="AA19" s="18" t="n">
        <f aca="false">IF(Entry!AA19="",0,IF(Entry!AA19=AA$3,1,0))</f>
        <v>0</v>
      </c>
      <c r="AB19" s="18" t="n">
        <f aca="false">IF(Entry!AB19="",0,IF(Entry!AB19=AB$3,1,0))</f>
        <v>0</v>
      </c>
      <c r="AC19" s="18" t="n">
        <f aca="false">IF(Entry!AC19="",0,IF(Entry!AC19=AC$3,1,0))</f>
        <v>0</v>
      </c>
      <c r="AD19" s="18" t="n">
        <f aca="false">IF(Entry!AD19="",0,IF(Entry!AD19=AD$3,1,0))</f>
        <v>0</v>
      </c>
      <c r="AE19" s="18" t="n">
        <f aca="false">IF(Entry!AE19="",0,IF(Entry!AE19=AE$3,1,0))</f>
        <v>0</v>
      </c>
      <c r="AF19" s="18" t="n">
        <f aca="false">IF(Entry!AF19="",0,IF(Entry!AF19=AF$3,1,0))</f>
        <v>0</v>
      </c>
      <c r="AG19" s="18" t="n">
        <f aca="false">IF(Entry!AG19="",0,IF(Entry!AG19=AG$3,1,0))</f>
        <v>0</v>
      </c>
      <c r="AH19" s="18" t="n">
        <f aca="false">IF(Entry!AH19="",0,IF(Entry!AH19=AH$3,1,0))</f>
        <v>0</v>
      </c>
      <c r="AI19" s="18" t="n">
        <f aca="false">IF(Entry!AI19="",0,IF(Entry!AI19=AI$3,1,0))</f>
        <v>0</v>
      </c>
      <c r="AJ19" s="18" t="n">
        <f aca="false">IF(Entry!AJ19="",0,IF(Entry!AJ19=AJ$3,1,0))</f>
        <v>0</v>
      </c>
      <c r="AK19" s="18" t="n">
        <f aca="false">IF(Entry!AK19="",0,IF(Entry!AK19=AK$3,1,0))</f>
        <v>0</v>
      </c>
      <c r="AL19" s="18" t="n">
        <f aca="false">IF(Entry!AL19="",0,IF(Entry!AL19=AL$3,1,0))</f>
        <v>0</v>
      </c>
      <c r="AM19" s="18" t="n">
        <f aca="false">IF(Entry!AM19="",0,IF(Entry!AM19=AM$3,1,0))</f>
        <v>0</v>
      </c>
      <c r="AN19" s="18" t="n">
        <f aca="false">IF(Entry!AN19="",0,IF(Entry!AN19=AN$3,1,0))</f>
        <v>0</v>
      </c>
      <c r="AO19" s="18" t="n">
        <f aca="false">IF(Entry!AO19="",0,IF(Entry!AO19=AO$3,1,0))</f>
        <v>0</v>
      </c>
      <c r="AP19" s="18" t="n">
        <f aca="false">IF(Entry!AP19="",0,IF(Entry!AP19=AP$3,1,0))</f>
        <v>0</v>
      </c>
      <c r="AQ19" s="18" t="n">
        <f aca="false">IF(Entry!AQ19="",0,IF(Entry!AQ19=AQ$3,1,0))</f>
        <v>0</v>
      </c>
      <c r="AR19" s="18" t="n">
        <f aca="false">IF(Entry!AR19="",0,IF(Entry!AR19=AR$3,1,0))</f>
        <v>0</v>
      </c>
      <c r="AS19" s="18" t="n">
        <f aca="false">IF(Entry!AS19="",0,IF(Entry!AS19=AS$3,1,0))</f>
        <v>0</v>
      </c>
      <c r="AT19" s="18" t="n">
        <f aca="false">IF(Entry!AT19="",0,IF(Entry!AT19=AT$3,1,0))</f>
        <v>0</v>
      </c>
      <c r="AU19" s="18" t="n">
        <f aca="false">IF(Entry!AU19="",0,IF(Entry!AU19=AU$3,1,0))</f>
        <v>0</v>
      </c>
      <c r="AV19" s="18" t="n">
        <f aca="false">IF(Entry!AV19="",0,IF(Entry!AV19=AV$3,1,0))</f>
        <v>0</v>
      </c>
      <c r="AW19" s="18" t="n">
        <f aca="false">IF(Entry!AW19="",0,IF(Entry!AW19=AW$3,1,0))</f>
        <v>0</v>
      </c>
      <c r="AX19" s="18" t="n">
        <f aca="false">IF(Entry!AX19="",0,IF(Entry!AX19=AX$3,1,0))</f>
        <v>0</v>
      </c>
      <c r="AY19" s="18" t="n">
        <f aca="false">IF(Entry!AY19="",0,IF(Entry!AY19=AY$3,1,0))</f>
        <v>0</v>
      </c>
      <c r="AZ19" s="18" t="n">
        <f aca="false">IF(Entry!AZ19="",0,IF(Entry!AZ19=AZ$3,1,0))</f>
        <v>0</v>
      </c>
      <c r="BA19" s="18" t="n">
        <f aca="false">IF(Entry!BA19="",0,IF(Entry!BA19=BA$3,1,0))</f>
        <v>0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18" t="n">
        <f aca="false">IF(Entry!BL19="Yes",1,0)</f>
        <v>0</v>
      </c>
      <c r="BM19" s="3"/>
    </row>
    <row r="20" customFormat="false" ht="15" hidden="false" customHeight="false" outlineLevel="0" collapsed="false">
      <c r="A20" s="21" t="str">
        <f aca="false">Entry!A20</f>
        <v>S14</v>
      </c>
      <c r="B20" s="13" t="str">
        <f aca="false">Entry!B20</f>
        <v>TBD</v>
      </c>
      <c r="C20" s="3"/>
      <c r="D20" s="3"/>
      <c r="E20" s="3"/>
      <c r="F20" s="3"/>
      <c r="G20" s="3"/>
      <c r="H20" s="18" t="n">
        <f aca="false">IF(Entry!H20="",0,IF(Entry!H20=H$3,1,0))</f>
        <v>0</v>
      </c>
      <c r="I20" s="18" t="n">
        <f aca="false">IF(Entry!I20="",0,IF(Entry!I20=I$3,1,0))</f>
        <v>0</v>
      </c>
      <c r="J20" s="18" t="n">
        <f aca="false">IF(Entry!J20="",0,IF(Entry!J20=J$3,1,0))</f>
        <v>0</v>
      </c>
      <c r="K20" s="18" t="n">
        <f aca="false">IF(Entry!K20="",0,IF(Entry!K20=K$3,1,0))</f>
        <v>0</v>
      </c>
      <c r="L20" s="18" t="n">
        <f aca="false">IF(Entry!L20="",0,IF(Entry!L20=L$3,1,0))</f>
        <v>0</v>
      </c>
      <c r="M20" s="18" t="n">
        <f aca="false">IF(Entry!M20="",0,IF(Entry!M20=M$3,1,0))</f>
        <v>0</v>
      </c>
      <c r="N20" s="18" t="n">
        <f aca="false">IF(Entry!N20="",0,IF(Entry!N20=N$3,1,0))</f>
        <v>0</v>
      </c>
      <c r="O20" s="18" t="n">
        <f aca="false">IF(Entry!O20="",0,IF(Entry!O20=O$3,1,0))</f>
        <v>0</v>
      </c>
      <c r="P20" s="18" t="n">
        <f aca="false">IF(Entry!P20="",0,IF(Entry!P20=P$3,1,0))</f>
        <v>0</v>
      </c>
      <c r="Q20" s="18" t="n">
        <f aca="false">IF(Entry!Q20="",0,IF(Entry!Q20=Q$3,1,0))</f>
        <v>0</v>
      </c>
      <c r="R20" s="18" t="n">
        <f aca="false">IF(Entry!R20="",0,IF(Entry!R20=R$3,1,0))</f>
        <v>0</v>
      </c>
      <c r="S20" s="18" t="n">
        <f aca="false">IF(Entry!S20="",0,IF(Entry!S20=S$3,1,0))</f>
        <v>0</v>
      </c>
      <c r="T20" s="18" t="n">
        <f aca="false">IF(Entry!T20="",0,IF(Entry!T20=T$3,1,0))</f>
        <v>0</v>
      </c>
      <c r="U20" s="18" t="n">
        <f aca="false">IF(Entry!U20="",0,IF(Entry!U20=U$3,1,0))</f>
        <v>0</v>
      </c>
      <c r="V20" s="18" t="n">
        <f aca="false">IF(Entry!V20="",0,IF(Entry!V20=V$3,1,0))</f>
        <v>0</v>
      </c>
      <c r="W20" s="18" t="n">
        <f aca="false">IF(Entry!W20="",0,IF(Entry!W20=W$3,1,0))</f>
        <v>0</v>
      </c>
      <c r="X20" s="18" t="n">
        <f aca="false">IF(Entry!X20="",0,IF(Entry!X20=X$3,1,0))</f>
        <v>0</v>
      </c>
      <c r="Y20" s="18" t="n">
        <f aca="false">IF(Entry!Y20="",0,IF(Entry!Y20=Y$3,1,0))</f>
        <v>0</v>
      </c>
      <c r="Z20" s="18" t="n">
        <f aca="false">IF(Entry!Z20="",0,IF(Entry!Z20=Z$3,1,0))</f>
        <v>0</v>
      </c>
      <c r="AA20" s="18" t="n">
        <f aca="false">IF(Entry!AA20="",0,IF(Entry!AA20=AA$3,1,0))</f>
        <v>0</v>
      </c>
      <c r="AB20" s="18" t="n">
        <f aca="false">IF(Entry!AB20="",0,IF(Entry!AB20=AB$3,1,0))</f>
        <v>0</v>
      </c>
      <c r="AC20" s="18" t="n">
        <f aca="false">IF(Entry!AC20="",0,IF(Entry!AC20=AC$3,1,0))</f>
        <v>0</v>
      </c>
      <c r="AD20" s="18" t="n">
        <f aca="false">IF(Entry!AD20="",0,IF(Entry!AD20=AD$3,1,0))</f>
        <v>0</v>
      </c>
      <c r="AE20" s="18" t="n">
        <f aca="false">IF(Entry!AE20="",0,IF(Entry!AE20=AE$3,1,0))</f>
        <v>0</v>
      </c>
      <c r="AF20" s="18" t="n">
        <f aca="false">IF(Entry!AF20="",0,IF(Entry!AF20=AF$3,1,0))</f>
        <v>0</v>
      </c>
      <c r="AG20" s="18" t="n">
        <f aca="false">IF(Entry!AG20="",0,IF(Entry!AG20=AG$3,1,0))</f>
        <v>0</v>
      </c>
      <c r="AH20" s="18" t="n">
        <f aca="false">IF(Entry!AH20="",0,IF(Entry!AH20=AH$3,1,0))</f>
        <v>0</v>
      </c>
      <c r="AI20" s="18" t="n">
        <f aca="false">IF(Entry!AI20="",0,IF(Entry!AI20=AI$3,1,0))</f>
        <v>0</v>
      </c>
      <c r="AJ20" s="18" t="n">
        <f aca="false">IF(Entry!AJ20="",0,IF(Entry!AJ20=AJ$3,1,0))</f>
        <v>0</v>
      </c>
      <c r="AK20" s="18" t="n">
        <f aca="false">IF(Entry!AK20="",0,IF(Entry!AK20=AK$3,1,0))</f>
        <v>0</v>
      </c>
      <c r="AL20" s="18" t="n">
        <f aca="false">IF(Entry!AL20="",0,IF(Entry!AL20=AL$3,1,0))</f>
        <v>0</v>
      </c>
      <c r="AM20" s="18" t="n">
        <f aca="false">IF(Entry!AM20="",0,IF(Entry!AM20=AM$3,1,0))</f>
        <v>0</v>
      </c>
      <c r="AN20" s="18" t="n">
        <f aca="false">IF(Entry!AN20="",0,IF(Entry!AN20=AN$3,1,0))</f>
        <v>0</v>
      </c>
      <c r="AO20" s="18" t="n">
        <f aca="false">IF(Entry!AO20="",0,IF(Entry!AO20=AO$3,1,0))</f>
        <v>0</v>
      </c>
      <c r="AP20" s="18" t="n">
        <f aca="false">IF(Entry!AP20="",0,IF(Entry!AP20=AP$3,1,0))</f>
        <v>0</v>
      </c>
      <c r="AQ20" s="18" t="n">
        <f aca="false">IF(Entry!AQ20="",0,IF(Entry!AQ20=AQ$3,1,0))</f>
        <v>0</v>
      </c>
      <c r="AR20" s="18" t="n">
        <f aca="false">IF(Entry!AR20="",0,IF(Entry!AR20=AR$3,1,0))</f>
        <v>0</v>
      </c>
      <c r="AS20" s="18" t="n">
        <f aca="false">IF(Entry!AS20="",0,IF(Entry!AS20=AS$3,1,0))</f>
        <v>0</v>
      </c>
      <c r="AT20" s="18" t="n">
        <f aca="false">IF(Entry!AT20="",0,IF(Entry!AT20=AT$3,1,0))</f>
        <v>0</v>
      </c>
      <c r="AU20" s="18" t="n">
        <f aca="false">IF(Entry!AU20="",0,IF(Entry!AU20=AU$3,1,0))</f>
        <v>0</v>
      </c>
      <c r="AV20" s="18" t="n">
        <f aca="false">IF(Entry!AV20="",0,IF(Entry!AV20=AV$3,1,0))</f>
        <v>0</v>
      </c>
      <c r="AW20" s="18" t="n">
        <f aca="false">IF(Entry!AW20="",0,IF(Entry!AW20=AW$3,1,0))</f>
        <v>0</v>
      </c>
      <c r="AX20" s="18" t="n">
        <f aca="false">IF(Entry!AX20="",0,IF(Entry!AX20=AX$3,1,0))</f>
        <v>0</v>
      </c>
      <c r="AY20" s="18" t="n">
        <f aca="false">IF(Entry!AY20="",0,IF(Entry!AY20=AY$3,1,0))</f>
        <v>0</v>
      </c>
      <c r="AZ20" s="18" t="n">
        <f aca="false">IF(Entry!AZ20="",0,IF(Entry!AZ20=AZ$3,1,0))</f>
        <v>0</v>
      </c>
      <c r="BA20" s="18" t="n">
        <f aca="false">IF(Entry!BA20="",0,IF(Entry!BA20=BA$3,1,0))</f>
        <v>0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18" t="n">
        <f aca="false">IF(Entry!BL20="Yes",1,0)</f>
        <v>0</v>
      </c>
      <c r="BM20" s="3"/>
    </row>
    <row r="21" customFormat="false" ht="15" hidden="false" customHeight="false" outlineLevel="0" collapsed="false">
      <c r="A21" s="21" t="str">
        <f aca="false">Entry!A21</f>
        <v>S15</v>
      </c>
      <c r="B21" s="13" t="str">
        <f aca="false">Entry!B21</f>
        <v>TBD</v>
      </c>
      <c r="C21" s="3"/>
      <c r="D21" s="3"/>
      <c r="E21" s="3"/>
      <c r="F21" s="3"/>
      <c r="G21" s="3"/>
      <c r="H21" s="18" t="n">
        <f aca="false">IF(Entry!H21="",0,IF(Entry!H21=H$3,1,0))</f>
        <v>0</v>
      </c>
      <c r="I21" s="18" t="n">
        <f aca="false">IF(Entry!I21="",0,IF(Entry!I21=I$3,1,0))</f>
        <v>0</v>
      </c>
      <c r="J21" s="18" t="n">
        <f aca="false">IF(Entry!J21="",0,IF(Entry!J21=J$3,1,0))</f>
        <v>0</v>
      </c>
      <c r="K21" s="18" t="n">
        <f aca="false">IF(Entry!K21="",0,IF(Entry!K21=K$3,1,0))</f>
        <v>0</v>
      </c>
      <c r="L21" s="18" t="n">
        <f aca="false">IF(Entry!L21="",0,IF(Entry!L21=L$3,1,0))</f>
        <v>0</v>
      </c>
      <c r="M21" s="18" t="n">
        <f aca="false">IF(Entry!M21="",0,IF(Entry!M21=M$3,1,0))</f>
        <v>0</v>
      </c>
      <c r="N21" s="18" t="n">
        <f aca="false">IF(Entry!N21="",0,IF(Entry!N21=N$3,1,0))</f>
        <v>0</v>
      </c>
      <c r="O21" s="18" t="n">
        <f aca="false">IF(Entry!O21="",0,IF(Entry!O21=O$3,1,0))</f>
        <v>0</v>
      </c>
      <c r="P21" s="18" t="n">
        <f aca="false">IF(Entry!P21="",0,IF(Entry!P21=P$3,1,0))</f>
        <v>0</v>
      </c>
      <c r="Q21" s="18" t="n">
        <f aca="false">IF(Entry!Q21="",0,IF(Entry!Q21=Q$3,1,0))</f>
        <v>0</v>
      </c>
      <c r="R21" s="18" t="n">
        <f aca="false">IF(Entry!R21="",0,IF(Entry!R21=R$3,1,0))</f>
        <v>0</v>
      </c>
      <c r="S21" s="18" t="n">
        <f aca="false">IF(Entry!S21="",0,IF(Entry!S21=S$3,1,0))</f>
        <v>0</v>
      </c>
      <c r="T21" s="18" t="n">
        <f aca="false">IF(Entry!T21="",0,IF(Entry!T21=T$3,1,0))</f>
        <v>0</v>
      </c>
      <c r="U21" s="18" t="n">
        <f aca="false">IF(Entry!U21="",0,IF(Entry!U21=U$3,1,0))</f>
        <v>0</v>
      </c>
      <c r="V21" s="18" t="n">
        <f aca="false">IF(Entry!V21="",0,IF(Entry!V21=V$3,1,0))</f>
        <v>0</v>
      </c>
      <c r="W21" s="18" t="n">
        <f aca="false">IF(Entry!W21="",0,IF(Entry!W21=W$3,1,0))</f>
        <v>0</v>
      </c>
      <c r="X21" s="18" t="n">
        <f aca="false">IF(Entry!X21="",0,IF(Entry!X21=X$3,1,0))</f>
        <v>0</v>
      </c>
      <c r="Y21" s="18" t="n">
        <f aca="false">IF(Entry!Y21="",0,IF(Entry!Y21=Y$3,1,0))</f>
        <v>0</v>
      </c>
      <c r="Z21" s="18" t="n">
        <f aca="false">IF(Entry!Z21="",0,IF(Entry!Z21=Z$3,1,0))</f>
        <v>0</v>
      </c>
      <c r="AA21" s="18" t="n">
        <f aca="false">IF(Entry!AA21="",0,IF(Entry!AA21=AA$3,1,0))</f>
        <v>0</v>
      </c>
      <c r="AB21" s="18" t="n">
        <f aca="false">IF(Entry!AB21="",0,IF(Entry!AB21=AB$3,1,0))</f>
        <v>0</v>
      </c>
      <c r="AC21" s="18" t="n">
        <f aca="false">IF(Entry!AC21="",0,IF(Entry!AC21=AC$3,1,0))</f>
        <v>0</v>
      </c>
      <c r="AD21" s="18" t="n">
        <f aca="false">IF(Entry!AD21="",0,IF(Entry!AD21=AD$3,1,0))</f>
        <v>0</v>
      </c>
      <c r="AE21" s="18" t="n">
        <f aca="false">IF(Entry!AE21="",0,IF(Entry!AE21=AE$3,1,0))</f>
        <v>0</v>
      </c>
      <c r="AF21" s="18" t="n">
        <f aca="false">IF(Entry!AF21="",0,IF(Entry!AF21=AF$3,1,0))</f>
        <v>0</v>
      </c>
      <c r="AG21" s="18" t="n">
        <f aca="false">IF(Entry!AG21="",0,IF(Entry!AG21=AG$3,1,0))</f>
        <v>0</v>
      </c>
      <c r="AH21" s="18" t="n">
        <f aca="false">IF(Entry!AH21="",0,IF(Entry!AH21=AH$3,1,0))</f>
        <v>0</v>
      </c>
      <c r="AI21" s="18" t="n">
        <f aca="false">IF(Entry!AI21="",0,IF(Entry!AI21=AI$3,1,0))</f>
        <v>0</v>
      </c>
      <c r="AJ21" s="18" t="n">
        <f aca="false">IF(Entry!AJ21="",0,IF(Entry!AJ21=AJ$3,1,0))</f>
        <v>0</v>
      </c>
      <c r="AK21" s="18" t="n">
        <f aca="false">IF(Entry!AK21="",0,IF(Entry!AK21=AK$3,1,0))</f>
        <v>0</v>
      </c>
      <c r="AL21" s="18" t="n">
        <f aca="false">IF(Entry!AL21="",0,IF(Entry!AL21=AL$3,1,0))</f>
        <v>0</v>
      </c>
      <c r="AM21" s="18" t="n">
        <f aca="false">IF(Entry!AM21="",0,IF(Entry!AM21=AM$3,1,0))</f>
        <v>0</v>
      </c>
      <c r="AN21" s="18" t="n">
        <f aca="false">IF(Entry!AN21="",0,IF(Entry!AN21=AN$3,1,0))</f>
        <v>0</v>
      </c>
      <c r="AO21" s="18" t="n">
        <f aca="false">IF(Entry!AO21="",0,IF(Entry!AO21=AO$3,1,0))</f>
        <v>0</v>
      </c>
      <c r="AP21" s="18" t="n">
        <f aca="false">IF(Entry!AP21="",0,IF(Entry!AP21=AP$3,1,0))</f>
        <v>0</v>
      </c>
      <c r="AQ21" s="18" t="n">
        <f aca="false">IF(Entry!AQ21="",0,IF(Entry!AQ21=AQ$3,1,0))</f>
        <v>0</v>
      </c>
      <c r="AR21" s="18" t="n">
        <f aca="false">IF(Entry!AR21="",0,IF(Entry!AR21=AR$3,1,0))</f>
        <v>0</v>
      </c>
      <c r="AS21" s="18" t="n">
        <f aca="false">IF(Entry!AS21="",0,IF(Entry!AS21=AS$3,1,0))</f>
        <v>0</v>
      </c>
      <c r="AT21" s="18" t="n">
        <f aca="false">IF(Entry!AT21="",0,IF(Entry!AT21=AT$3,1,0))</f>
        <v>0</v>
      </c>
      <c r="AU21" s="18" t="n">
        <f aca="false">IF(Entry!AU21="",0,IF(Entry!AU21=AU$3,1,0))</f>
        <v>0</v>
      </c>
      <c r="AV21" s="18" t="n">
        <f aca="false">IF(Entry!AV21="",0,IF(Entry!AV21=AV$3,1,0))</f>
        <v>0</v>
      </c>
      <c r="AW21" s="18" t="n">
        <f aca="false">IF(Entry!AW21="",0,IF(Entry!AW21=AW$3,1,0))</f>
        <v>0</v>
      </c>
      <c r="AX21" s="18" t="n">
        <f aca="false">IF(Entry!AX21="",0,IF(Entry!AX21=AX$3,1,0))</f>
        <v>0</v>
      </c>
      <c r="AY21" s="18" t="n">
        <f aca="false">IF(Entry!AY21="",0,IF(Entry!AY21=AY$3,1,0))</f>
        <v>0</v>
      </c>
      <c r="AZ21" s="18" t="n">
        <f aca="false">IF(Entry!AZ21="",0,IF(Entry!AZ21=AZ$3,1,0))</f>
        <v>0</v>
      </c>
      <c r="BA21" s="18" t="n">
        <f aca="false">IF(Entry!BA21="",0,IF(Entry!BA21=BA$3,1,0))</f>
        <v>0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18" t="n">
        <f aca="false">IF(Entry!BL21="Yes",1,0)</f>
        <v>0</v>
      </c>
      <c r="BM21" s="3"/>
    </row>
    <row r="22" customFormat="false" ht="15" hidden="false" customHeight="false" outlineLevel="0" collapsed="false">
      <c r="A22" s="21" t="str">
        <f aca="false">Entry!A22</f>
        <v>S16</v>
      </c>
      <c r="B22" s="13" t="str">
        <f aca="false">Entry!B22</f>
        <v>TBD</v>
      </c>
      <c r="C22" s="3"/>
      <c r="D22" s="3"/>
      <c r="E22" s="3"/>
      <c r="F22" s="3"/>
      <c r="G22" s="3"/>
      <c r="H22" s="18" t="n">
        <f aca="false">IF(Entry!H22="",0,IF(Entry!H22=H$3,1,0))</f>
        <v>0</v>
      </c>
      <c r="I22" s="18" t="n">
        <f aca="false">IF(Entry!I22="",0,IF(Entry!I22=I$3,1,0))</f>
        <v>0</v>
      </c>
      <c r="J22" s="18" t="n">
        <f aca="false">IF(Entry!J22="",0,IF(Entry!J22=J$3,1,0))</f>
        <v>0</v>
      </c>
      <c r="K22" s="18" t="n">
        <f aca="false">IF(Entry!K22="",0,IF(Entry!K22=K$3,1,0))</f>
        <v>0</v>
      </c>
      <c r="L22" s="18" t="n">
        <f aca="false">IF(Entry!L22="",0,IF(Entry!L22=L$3,1,0))</f>
        <v>0</v>
      </c>
      <c r="M22" s="18" t="n">
        <f aca="false">IF(Entry!M22="",0,IF(Entry!M22=M$3,1,0))</f>
        <v>0</v>
      </c>
      <c r="N22" s="18" t="n">
        <f aca="false">IF(Entry!N22="",0,IF(Entry!N22=N$3,1,0))</f>
        <v>0</v>
      </c>
      <c r="O22" s="18" t="n">
        <f aca="false">IF(Entry!O22="",0,IF(Entry!O22=O$3,1,0))</f>
        <v>0</v>
      </c>
      <c r="P22" s="18" t="n">
        <f aca="false">IF(Entry!P22="",0,IF(Entry!P22=P$3,1,0))</f>
        <v>0</v>
      </c>
      <c r="Q22" s="18" t="n">
        <f aca="false">IF(Entry!Q22="",0,IF(Entry!Q22=Q$3,1,0))</f>
        <v>0</v>
      </c>
      <c r="R22" s="18" t="n">
        <f aca="false">IF(Entry!R22="",0,IF(Entry!R22=R$3,1,0))</f>
        <v>0</v>
      </c>
      <c r="S22" s="18" t="n">
        <f aca="false">IF(Entry!S22="",0,IF(Entry!S22=S$3,1,0))</f>
        <v>0</v>
      </c>
      <c r="T22" s="18" t="n">
        <f aca="false">IF(Entry!T22="",0,IF(Entry!T22=T$3,1,0))</f>
        <v>0</v>
      </c>
      <c r="U22" s="18" t="n">
        <f aca="false">IF(Entry!U22="",0,IF(Entry!U22=U$3,1,0))</f>
        <v>0</v>
      </c>
      <c r="V22" s="18" t="n">
        <f aca="false">IF(Entry!V22="",0,IF(Entry!V22=V$3,1,0))</f>
        <v>0</v>
      </c>
      <c r="W22" s="18" t="n">
        <f aca="false">IF(Entry!W22="",0,IF(Entry!W22=W$3,1,0))</f>
        <v>0</v>
      </c>
      <c r="X22" s="18" t="n">
        <f aca="false">IF(Entry!X22="",0,IF(Entry!X22=X$3,1,0))</f>
        <v>0</v>
      </c>
      <c r="Y22" s="18" t="n">
        <f aca="false">IF(Entry!Y22="",0,IF(Entry!Y22=Y$3,1,0))</f>
        <v>0</v>
      </c>
      <c r="Z22" s="18" t="n">
        <f aca="false">IF(Entry!Z22="",0,IF(Entry!Z22=Z$3,1,0))</f>
        <v>0</v>
      </c>
      <c r="AA22" s="18" t="n">
        <f aca="false">IF(Entry!AA22="",0,IF(Entry!AA22=AA$3,1,0))</f>
        <v>0</v>
      </c>
      <c r="AB22" s="18" t="n">
        <f aca="false">IF(Entry!AB22="",0,IF(Entry!AB22=AB$3,1,0))</f>
        <v>0</v>
      </c>
      <c r="AC22" s="18" t="n">
        <f aca="false">IF(Entry!AC22="",0,IF(Entry!AC22=AC$3,1,0))</f>
        <v>0</v>
      </c>
      <c r="AD22" s="18" t="n">
        <f aca="false">IF(Entry!AD22="",0,IF(Entry!AD22=AD$3,1,0))</f>
        <v>0</v>
      </c>
      <c r="AE22" s="18" t="n">
        <f aca="false">IF(Entry!AE22="",0,IF(Entry!AE22=AE$3,1,0))</f>
        <v>0</v>
      </c>
      <c r="AF22" s="18" t="n">
        <f aca="false">IF(Entry!AF22="",0,IF(Entry!AF22=AF$3,1,0))</f>
        <v>0</v>
      </c>
      <c r="AG22" s="18" t="n">
        <f aca="false">IF(Entry!AG22="",0,IF(Entry!AG22=AG$3,1,0))</f>
        <v>0</v>
      </c>
      <c r="AH22" s="18" t="n">
        <f aca="false">IF(Entry!AH22="",0,IF(Entry!AH22=AH$3,1,0))</f>
        <v>0</v>
      </c>
      <c r="AI22" s="18" t="n">
        <f aca="false">IF(Entry!AI22="",0,IF(Entry!AI22=AI$3,1,0))</f>
        <v>0</v>
      </c>
      <c r="AJ22" s="18" t="n">
        <f aca="false">IF(Entry!AJ22="",0,IF(Entry!AJ22=AJ$3,1,0))</f>
        <v>0</v>
      </c>
      <c r="AK22" s="18" t="n">
        <f aca="false">IF(Entry!AK22="",0,IF(Entry!AK22=AK$3,1,0))</f>
        <v>0</v>
      </c>
      <c r="AL22" s="18" t="n">
        <f aca="false">IF(Entry!AL22="",0,IF(Entry!AL22=AL$3,1,0))</f>
        <v>0</v>
      </c>
      <c r="AM22" s="18" t="n">
        <f aca="false">IF(Entry!AM22="",0,IF(Entry!AM22=AM$3,1,0))</f>
        <v>0</v>
      </c>
      <c r="AN22" s="18" t="n">
        <f aca="false">IF(Entry!AN22="",0,IF(Entry!AN22=AN$3,1,0))</f>
        <v>0</v>
      </c>
      <c r="AO22" s="18" t="n">
        <f aca="false">IF(Entry!AO22="",0,IF(Entry!AO22=AO$3,1,0))</f>
        <v>0</v>
      </c>
      <c r="AP22" s="18" t="n">
        <f aca="false">IF(Entry!AP22="",0,IF(Entry!AP22=AP$3,1,0))</f>
        <v>0</v>
      </c>
      <c r="AQ22" s="18" t="n">
        <f aca="false">IF(Entry!AQ22="",0,IF(Entry!AQ22=AQ$3,1,0))</f>
        <v>0</v>
      </c>
      <c r="AR22" s="18" t="n">
        <f aca="false">IF(Entry!AR22="",0,IF(Entry!AR22=AR$3,1,0))</f>
        <v>0</v>
      </c>
      <c r="AS22" s="18" t="n">
        <f aca="false">IF(Entry!AS22="",0,IF(Entry!AS22=AS$3,1,0))</f>
        <v>0</v>
      </c>
      <c r="AT22" s="18" t="n">
        <f aca="false">IF(Entry!AT22="",0,IF(Entry!AT22=AT$3,1,0))</f>
        <v>0</v>
      </c>
      <c r="AU22" s="18" t="n">
        <f aca="false">IF(Entry!AU22="",0,IF(Entry!AU22=AU$3,1,0))</f>
        <v>0</v>
      </c>
      <c r="AV22" s="18" t="n">
        <f aca="false">IF(Entry!AV22="",0,IF(Entry!AV22=AV$3,1,0))</f>
        <v>0</v>
      </c>
      <c r="AW22" s="18" t="n">
        <f aca="false">IF(Entry!AW22="",0,IF(Entry!AW22=AW$3,1,0))</f>
        <v>0</v>
      </c>
      <c r="AX22" s="18" t="n">
        <f aca="false">IF(Entry!AX22="",0,IF(Entry!AX22=AX$3,1,0))</f>
        <v>0</v>
      </c>
      <c r="AY22" s="18" t="n">
        <f aca="false">IF(Entry!AY22="",0,IF(Entry!AY22=AY$3,1,0))</f>
        <v>0</v>
      </c>
      <c r="AZ22" s="18" t="n">
        <f aca="false">IF(Entry!AZ22="",0,IF(Entry!AZ22=AZ$3,1,0))</f>
        <v>0</v>
      </c>
      <c r="BA22" s="18" t="n">
        <f aca="false">IF(Entry!BA22="",0,IF(Entry!BA22=BA$3,1,0))</f>
        <v>0</v>
      </c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18" t="n">
        <f aca="false">IF(Entry!BL22="Yes",1,0)</f>
        <v>0</v>
      </c>
      <c r="BM22" s="3"/>
    </row>
    <row r="23" customFormat="false" ht="15" hidden="false" customHeight="false" outlineLevel="0" collapsed="false">
      <c r="A23" s="21" t="str">
        <f aca="false">Entry!A23</f>
        <v>S17</v>
      </c>
      <c r="B23" s="13" t="str">
        <f aca="false">Entry!B23</f>
        <v>TBD</v>
      </c>
      <c r="C23" s="3"/>
      <c r="D23" s="3"/>
      <c r="E23" s="3"/>
      <c r="F23" s="3"/>
      <c r="G23" s="3"/>
      <c r="H23" s="18" t="n">
        <f aca="false">IF(Entry!H23="",0,IF(Entry!H23=H$3,1,0))</f>
        <v>0</v>
      </c>
      <c r="I23" s="18" t="n">
        <f aca="false">IF(Entry!I23="",0,IF(Entry!I23=I$3,1,0))</f>
        <v>0</v>
      </c>
      <c r="J23" s="18" t="n">
        <f aca="false">IF(Entry!J23="",0,IF(Entry!J23=J$3,1,0))</f>
        <v>0</v>
      </c>
      <c r="K23" s="18" t="n">
        <f aca="false">IF(Entry!K23="",0,IF(Entry!K23=K$3,1,0))</f>
        <v>0</v>
      </c>
      <c r="L23" s="18" t="n">
        <f aca="false">IF(Entry!L23="",0,IF(Entry!L23=L$3,1,0))</f>
        <v>0</v>
      </c>
      <c r="M23" s="18" t="n">
        <f aca="false">IF(Entry!M23="",0,IF(Entry!M23=M$3,1,0))</f>
        <v>0</v>
      </c>
      <c r="N23" s="18" t="n">
        <f aca="false">IF(Entry!N23="",0,IF(Entry!N23=N$3,1,0))</f>
        <v>0</v>
      </c>
      <c r="O23" s="18" t="n">
        <f aca="false">IF(Entry!O23="",0,IF(Entry!O23=O$3,1,0))</f>
        <v>0</v>
      </c>
      <c r="P23" s="18" t="n">
        <f aca="false">IF(Entry!P23="",0,IF(Entry!P23=P$3,1,0))</f>
        <v>0</v>
      </c>
      <c r="Q23" s="18" t="n">
        <f aca="false">IF(Entry!Q23="",0,IF(Entry!Q23=Q$3,1,0))</f>
        <v>0</v>
      </c>
      <c r="R23" s="18" t="n">
        <f aca="false">IF(Entry!R23="",0,IF(Entry!R23=R$3,1,0))</f>
        <v>0</v>
      </c>
      <c r="S23" s="18" t="n">
        <f aca="false">IF(Entry!S23="",0,IF(Entry!S23=S$3,1,0))</f>
        <v>0</v>
      </c>
      <c r="T23" s="18" t="n">
        <f aca="false">IF(Entry!T23="",0,IF(Entry!T23=T$3,1,0))</f>
        <v>0</v>
      </c>
      <c r="U23" s="18" t="n">
        <f aca="false">IF(Entry!U23="",0,IF(Entry!U23=U$3,1,0))</f>
        <v>0</v>
      </c>
      <c r="V23" s="18" t="n">
        <f aca="false">IF(Entry!V23="",0,IF(Entry!V23=V$3,1,0))</f>
        <v>0</v>
      </c>
      <c r="W23" s="18" t="n">
        <f aca="false">IF(Entry!W23="",0,IF(Entry!W23=W$3,1,0))</f>
        <v>0</v>
      </c>
      <c r="X23" s="18" t="n">
        <f aca="false">IF(Entry!X23="",0,IF(Entry!X23=X$3,1,0))</f>
        <v>0</v>
      </c>
      <c r="Y23" s="18" t="n">
        <f aca="false">IF(Entry!Y23="",0,IF(Entry!Y23=Y$3,1,0))</f>
        <v>0</v>
      </c>
      <c r="Z23" s="18" t="n">
        <f aca="false">IF(Entry!Z23="",0,IF(Entry!Z23=Z$3,1,0))</f>
        <v>0</v>
      </c>
      <c r="AA23" s="18" t="n">
        <f aca="false">IF(Entry!AA23="",0,IF(Entry!AA23=AA$3,1,0))</f>
        <v>0</v>
      </c>
      <c r="AB23" s="18" t="n">
        <f aca="false">IF(Entry!AB23="",0,IF(Entry!AB23=AB$3,1,0))</f>
        <v>0</v>
      </c>
      <c r="AC23" s="18" t="n">
        <f aca="false">IF(Entry!AC23="",0,IF(Entry!AC23=AC$3,1,0))</f>
        <v>0</v>
      </c>
      <c r="AD23" s="18" t="n">
        <f aca="false">IF(Entry!AD23="",0,IF(Entry!AD23=AD$3,1,0))</f>
        <v>0</v>
      </c>
      <c r="AE23" s="18" t="n">
        <f aca="false">IF(Entry!AE23="",0,IF(Entry!AE23=AE$3,1,0))</f>
        <v>0</v>
      </c>
      <c r="AF23" s="18" t="n">
        <f aca="false">IF(Entry!AF23="",0,IF(Entry!AF23=AF$3,1,0))</f>
        <v>0</v>
      </c>
      <c r="AG23" s="18" t="n">
        <f aca="false">IF(Entry!AG23="",0,IF(Entry!AG23=AG$3,1,0))</f>
        <v>0</v>
      </c>
      <c r="AH23" s="18" t="n">
        <f aca="false">IF(Entry!AH23="",0,IF(Entry!AH23=AH$3,1,0))</f>
        <v>0</v>
      </c>
      <c r="AI23" s="18" t="n">
        <f aca="false">IF(Entry!AI23="",0,IF(Entry!AI23=AI$3,1,0))</f>
        <v>0</v>
      </c>
      <c r="AJ23" s="18" t="n">
        <f aca="false">IF(Entry!AJ23="",0,IF(Entry!AJ23=AJ$3,1,0))</f>
        <v>0</v>
      </c>
      <c r="AK23" s="18" t="n">
        <f aca="false">IF(Entry!AK23="",0,IF(Entry!AK23=AK$3,1,0))</f>
        <v>0</v>
      </c>
      <c r="AL23" s="18" t="n">
        <f aca="false">IF(Entry!AL23="",0,IF(Entry!AL23=AL$3,1,0))</f>
        <v>0</v>
      </c>
      <c r="AM23" s="18" t="n">
        <f aca="false">IF(Entry!AM23="",0,IF(Entry!AM23=AM$3,1,0))</f>
        <v>0</v>
      </c>
      <c r="AN23" s="18" t="n">
        <f aca="false">IF(Entry!AN23="",0,IF(Entry!AN23=AN$3,1,0))</f>
        <v>0</v>
      </c>
      <c r="AO23" s="18" t="n">
        <f aca="false">IF(Entry!AO23="",0,IF(Entry!AO23=AO$3,1,0))</f>
        <v>0</v>
      </c>
      <c r="AP23" s="18" t="n">
        <f aca="false">IF(Entry!AP23="",0,IF(Entry!AP23=AP$3,1,0))</f>
        <v>0</v>
      </c>
      <c r="AQ23" s="18" t="n">
        <f aca="false">IF(Entry!AQ23="",0,IF(Entry!AQ23=AQ$3,1,0))</f>
        <v>0</v>
      </c>
      <c r="AR23" s="18" t="n">
        <f aca="false">IF(Entry!AR23="",0,IF(Entry!AR23=AR$3,1,0))</f>
        <v>0</v>
      </c>
      <c r="AS23" s="18" t="n">
        <f aca="false">IF(Entry!AS23="",0,IF(Entry!AS23=AS$3,1,0))</f>
        <v>0</v>
      </c>
      <c r="AT23" s="18" t="n">
        <f aca="false">IF(Entry!AT23="",0,IF(Entry!AT23=AT$3,1,0))</f>
        <v>0</v>
      </c>
      <c r="AU23" s="18" t="n">
        <f aca="false">IF(Entry!AU23="",0,IF(Entry!AU23=AU$3,1,0))</f>
        <v>0</v>
      </c>
      <c r="AV23" s="18" t="n">
        <f aca="false">IF(Entry!AV23="",0,IF(Entry!AV23=AV$3,1,0))</f>
        <v>0</v>
      </c>
      <c r="AW23" s="18" t="n">
        <f aca="false">IF(Entry!AW23="",0,IF(Entry!AW23=AW$3,1,0))</f>
        <v>0</v>
      </c>
      <c r="AX23" s="18" t="n">
        <f aca="false">IF(Entry!AX23="",0,IF(Entry!AX23=AX$3,1,0))</f>
        <v>0</v>
      </c>
      <c r="AY23" s="18" t="n">
        <f aca="false">IF(Entry!AY23="",0,IF(Entry!AY23=AY$3,1,0))</f>
        <v>0</v>
      </c>
      <c r="AZ23" s="18" t="n">
        <f aca="false">IF(Entry!AZ23="",0,IF(Entry!AZ23=AZ$3,1,0))</f>
        <v>0</v>
      </c>
      <c r="BA23" s="18" t="n">
        <f aca="false">IF(Entry!BA23="",0,IF(Entry!BA23=BA$3,1,0))</f>
        <v>0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18" t="n">
        <f aca="false">IF(Entry!BL23="Yes",1,0)</f>
        <v>0</v>
      </c>
      <c r="BM23" s="3"/>
    </row>
    <row r="24" customFormat="false" ht="15" hidden="false" customHeight="false" outlineLevel="0" collapsed="false">
      <c r="A24" s="21" t="str">
        <f aca="false">Entry!A24</f>
        <v>S18</v>
      </c>
      <c r="B24" s="13" t="str">
        <f aca="false">Entry!B24</f>
        <v>TBD</v>
      </c>
      <c r="C24" s="3"/>
      <c r="D24" s="3"/>
      <c r="E24" s="3"/>
      <c r="F24" s="3"/>
      <c r="G24" s="3"/>
      <c r="H24" s="18" t="n">
        <f aca="false">IF(Entry!H24="",0,IF(Entry!H24=H$3,1,0))</f>
        <v>0</v>
      </c>
      <c r="I24" s="18" t="n">
        <f aca="false">IF(Entry!I24="",0,IF(Entry!I24=I$3,1,0))</f>
        <v>0</v>
      </c>
      <c r="J24" s="18" t="n">
        <f aca="false">IF(Entry!J24="",0,IF(Entry!J24=J$3,1,0))</f>
        <v>0</v>
      </c>
      <c r="K24" s="18" t="n">
        <f aca="false">IF(Entry!K24="",0,IF(Entry!K24=K$3,1,0))</f>
        <v>0</v>
      </c>
      <c r="L24" s="18" t="n">
        <f aca="false">IF(Entry!L24="",0,IF(Entry!L24=L$3,1,0))</f>
        <v>0</v>
      </c>
      <c r="M24" s="18" t="n">
        <f aca="false">IF(Entry!M24="",0,IF(Entry!M24=M$3,1,0))</f>
        <v>0</v>
      </c>
      <c r="N24" s="18" t="n">
        <f aca="false">IF(Entry!N24="",0,IF(Entry!N24=N$3,1,0))</f>
        <v>0</v>
      </c>
      <c r="O24" s="18" t="n">
        <f aca="false">IF(Entry!O24="",0,IF(Entry!O24=O$3,1,0))</f>
        <v>0</v>
      </c>
      <c r="P24" s="18" t="n">
        <f aca="false">IF(Entry!P24="",0,IF(Entry!P24=P$3,1,0))</f>
        <v>0</v>
      </c>
      <c r="Q24" s="18" t="n">
        <f aca="false">IF(Entry!Q24="",0,IF(Entry!Q24=Q$3,1,0))</f>
        <v>0</v>
      </c>
      <c r="R24" s="18" t="n">
        <f aca="false">IF(Entry!R24="",0,IF(Entry!R24=R$3,1,0))</f>
        <v>0</v>
      </c>
      <c r="S24" s="18" t="n">
        <f aca="false">IF(Entry!S24="",0,IF(Entry!S24=S$3,1,0))</f>
        <v>0</v>
      </c>
      <c r="T24" s="18" t="n">
        <f aca="false">IF(Entry!T24="",0,IF(Entry!T24=T$3,1,0))</f>
        <v>0</v>
      </c>
      <c r="U24" s="18" t="n">
        <f aca="false">IF(Entry!U24="",0,IF(Entry!U24=U$3,1,0))</f>
        <v>0</v>
      </c>
      <c r="V24" s="18" t="n">
        <f aca="false">IF(Entry!V24="",0,IF(Entry!V24=V$3,1,0))</f>
        <v>0</v>
      </c>
      <c r="W24" s="18" t="n">
        <f aca="false">IF(Entry!W24="",0,IF(Entry!W24=W$3,1,0))</f>
        <v>0</v>
      </c>
      <c r="X24" s="18" t="n">
        <f aca="false">IF(Entry!X24="",0,IF(Entry!X24=X$3,1,0))</f>
        <v>0</v>
      </c>
      <c r="Y24" s="18" t="n">
        <f aca="false">IF(Entry!Y24="",0,IF(Entry!Y24=Y$3,1,0))</f>
        <v>0</v>
      </c>
      <c r="Z24" s="18" t="n">
        <f aca="false">IF(Entry!Z24="",0,IF(Entry!Z24=Z$3,1,0))</f>
        <v>0</v>
      </c>
      <c r="AA24" s="18" t="n">
        <f aca="false">IF(Entry!AA24="",0,IF(Entry!AA24=AA$3,1,0))</f>
        <v>0</v>
      </c>
      <c r="AB24" s="18" t="n">
        <f aca="false">IF(Entry!AB24="",0,IF(Entry!AB24=AB$3,1,0))</f>
        <v>0</v>
      </c>
      <c r="AC24" s="18" t="n">
        <f aca="false">IF(Entry!AC24="",0,IF(Entry!AC24=AC$3,1,0))</f>
        <v>0</v>
      </c>
      <c r="AD24" s="18" t="n">
        <f aca="false">IF(Entry!AD24="",0,IF(Entry!AD24=AD$3,1,0))</f>
        <v>0</v>
      </c>
      <c r="AE24" s="18" t="n">
        <f aca="false">IF(Entry!AE24="",0,IF(Entry!AE24=AE$3,1,0))</f>
        <v>0</v>
      </c>
      <c r="AF24" s="18" t="n">
        <f aca="false">IF(Entry!AF24="",0,IF(Entry!AF24=AF$3,1,0))</f>
        <v>0</v>
      </c>
      <c r="AG24" s="18" t="n">
        <f aca="false">IF(Entry!AG24="",0,IF(Entry!AG24=AG$3,1,0))</f>
        <v>0</v>
      </c>
      <c r="AH24" s="18" t="n">
        <f aca="false">IF(Entry!AH24="",0,IF(Entry!AH24=AH$3,1,0))</f>
        <v>0</v>
      </c>
      <c r="AI24" s="18" t="n">
        <f aca="false">IF(Entry!AI24="",0,IF(Entry!AI24=AI$3,1,0))</f>
        <v>0</v>
      </c>
      <c r="AJ24" s="18" t="n">
        <f aca="false">IF(Entry!AJ24="",0,IF(Entry!AJ24=AJ$3,1,0))</f>
        <v>0</v>
      </c>
      <c r="AK24" s="18" t="n">
        <f aca="false">IF(Entry!AK24="",0,IF(Entry!AK24=AK$3,1,0))</f>
        <v>0</v>
      </c>
      <c r="AL24" s="18" t="n">
        <f aca="false">IF(Entry!AL24="",0,IF(Entry!AL24=AL$3,1,0))</f>
        <v>0</v>
      </c>
      <c r="AM24" s="18" t="n">
        <f aca="false">IF(Entry!AM24="",0,IF(Entry!AM24=AM$3,1,0))</f>
        <v>0</v>
      </c>
      <c r="AN24" s="18" t="n">
        <f aca="false">IF(Entry!AN24="",0,IF(Entry!AN24=AN$3,1,0))</f>
        <v>0</v>
      </c>
      <c r="AO24" s="18" t="n">
        <f aca="false">IF(Entry!AO24="",0,IF(Entry!AO24=AO$3,1,0))</f>
        <v>0</v>
      </c>
      <c r="AP24" s="18" t="n">
        <f aca="false">IF(Entry!AP24="",0,IF(Entry!AP24=AP$3,1,0))</f>
        <v>0</v>
      </c>
      <c r="AQ24" s="18" t="n">
        <f aca="false">IF(Entry!AQ24="",0,IF(Entry!AQ24=AQ$3,1,0))</f>
        <v>0</v>
      </c>
      <c r="AR24" s="18" t="n">
        <f aca="false">IF(Entry!AR24="",0,IF(Entry!AR24=AR$3,1,0))</f>
        <v>0</v>
      </c>
      <c r="AS24" s="18" t="n">
        <f aca="false">IF(Entry!AS24="",0,IF(Entry!AS24=AS$3,1,0))</f>
        <v>0</v>
      </c>
      <c r="AT24" s="18" t="n">
        <f aca="false">IF(Entry!AT24="",0,IF(Entry!AT24=AT$3,1,0))</f>
        <v>0</v>
      </c>
      <c r="AU24" s="18" t="n">
        <f aca="false">IF(Entry!AU24="",0,IF(Entry!AU24=AU$3,1,0))</f>
        <v>0</v>
      </c>
      <c r="AV24" s="18" t="n">
        <f aca="false">IF(Entry!AV24="",0,IF(Entry!AV24=AV$3,1,0))</f>
        <v>0</v>
      </c>
      <c r="AW24" s="18" t="n">
        <f aca="false">IF(Entry!AW24="",0,IF(Entry!AW24=AW$3,1,0))</f>
        <v>0</v>
      </c>
      <c r="AX24" s="18" t="n">
        <f aca="false">IF(Entry!AX24="",0,IF(Entry!AX24=AX$3,1,0))</f>
        <v>0</v>
      </c>
      <c r="AY24" s="18" t="n">
        <f aca="false">IF(Entry!AY24="",0,IF(Entry!AY24=AY$3,1,0))</f>
        <v>0</v>
      </c>
      <c r="AZ24" s="18" t="n">
        <f aca="false">IF(Entry!AZ24="",0,IF(Entry!AZ24=AZ$3,1,0))</f>
        <v>0</v>
      </c>
      <c r="BA24" s="18" t="n">
        <f aca="false">IF(Entry!BA24="",0,IF(Entry!BA24=BA$3,1,0))</f>
        <v>0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18" t="n">
        <f aca="false">IF(Entry!BL24="Yes",1,0)</f>
        <v>0</v>
      </c>
      <c r="BM24" s="3"/>
    </row>
    <row r="25" customFormat="false" ht="15" hidden="false" customHeight="false" outlineLevel="0" collapsed="false">
      <c r="A25" s="21" t="str">
        <f aca="false">Entry!A25</f>
        <v>S19</v>
      </c>
      <c r="B25" s="13" t="str">
        <f aca="false">Entry!B25</f>
        <v>TBD</v>
      </c>
      <c r="C25" s="3"/>
      <c r="D25" s="3"/>
      <c r="E25" s="3"/>
      <c r="F25" s="3"/>
      <c r="G25" s="3"/>
      <c r="H25" s="18" t="n">
        <f aca="false">IF(Entry!H25="",0,IF(Entry!H25=H$3,1,0))</f>
        <v>0</v>
      </c>
      <c r="I25" s="18" t="n">
        <f aca="false">IF(Entry!I25="",0,IF(Entry!I25=I$3,1,0))</f>
        <v>0</v>
      </c>
      <c r="J25" s="18" t="n">
        <f aca="false">IF(Entry!J25="",0,IF(Entry!J25=J$3,1,0))</f>
        <v>0</v>
      </c>
      <c r="K25" s="18" t="n">
        <f aca="false">IF(Entry!K25="",0,IF(Entry!K25=K$3,1,0))</f>
        <v>0</v>
      </c>
      <c r="L25" s="18" t="n">
        <f aca="false">IF(Entry!L25="",0,IF(Entry!L25=L$3,1,0))</f>
        <v>0</v>
      </c>
      <c r="M25" s="18" t="n">
        <f aca="false">IF(Entry!M25="",0,IF(Entry!M25=M$3,1,0))</f>
        <v>0</v>
      </c>
      <c r="N25" s="18" t="n">
        <f aca="false">IF(Entry!N25="",0,IF(Entry!N25=N$3,1,0))</f>
        <v>0</v>
      </c>
      <c r="O25" s="18" t="n">
        <f aca="false">IF(Entry!O25="",0,IF(Entry!O25=O$3,1,0))</f>
        <v>0</v>
      </c>
      <c r="P25" s="18" t="n">
        <f aca="false">IF(Entry!P25="",0,IF(Entry!P25=P$3,1,0))</f>
        <v>0</v>
      </c>
      <c r="Q25" s="18" t="n">
        <f aca="false">IF(Entry!Q25="",0,IF(Entry!Q25=Q$3,1,0))</f>
        <v>0</v>
      </c>
      <c r="R25" s="18" t="n">
        <f aca="false">IF(Entry!R25="",0,IF(Entry!R25=R$3,1,0))</f>
        <v>0</v>
      </c>
      <c r="S25" s="18" t="n">
        <f aca="false">IF(Entry!S25="",0,IF(Entry!S25=S$3,1,0))</f>
        <v>0</v>
      </c>
      <c r="T25" s="18" t="n">
        <f aca="false">IF(Entry!T25="",0,IF(Entry!T25=T$3,1,0))</f>
        <v>0</v>
      </c>
      <c r="U25" s="18" t="n">
        <f aca="false">IF(Entry!U25="",0,IF(Entry!U25=U$3,1,0))</f>
        <v>0</v>
      </c>
      <c r="V25" s="18" t="n">
        <f aca="false">IF(Entry!V25="",0,IF(Entry!V25=V$3,1,0))</f>
        <v>0</v>
      </c>
      <c r="W25" s="18" t="n">
        <f aca="false">IF(Entry!W25="",0,IF(Entry!W25=W$3,1,0))</f>
        <v>0</v>
      </c>
      <c r="X25" s="18" t="n">
        <f aca="false">IF(Entry!X25="",0,IF(Entry!X25=X$3,1,0))</f>
        <v>0</v>
      </c>
      <c r="Y25" s="18" t="n">
        <f aca="false">IF(Entry!Y25="",0,IF(Entry!Y25=Y$3,1,0))</f>
        <v>0</v>
      </c>
      <c r="Z25" s="18" t="n">
        <f aca="false">IF(Entry!Z25="",0,IF(Entry!Z25=Z$3,1,0))</f>
        <v>0</v>
      </c>
      <c r="AA25" s="18" t="n">
        <f aca="false">IF(Entry!AA25="",0,IF(Entry!AA25=AA$3,1,0))</f>
        <v>0</v>
      </c>
      <c r="AB25" s="18" t="n">
        <f aca="false">IF(Entry!AB25="",0,IF(Entry!AB25=AB$3,1,0))</f>
        <v>0</v>
      </c>
      <c r="AC25" s="18" t="n">
        <f aca="false">IF(Entry!AC25="",0,IF(Entry!AC25=AC$3,1,0))</f>
        <v>0</v>
      </c>
      <c r="AD25" s="18" t="n">
        <f aca="false">IF(Entry!AD25="",0,IF(Entry!AD25=AD$3,1,0))</f>
        <v>0</v>
      </c>
      <c r="AE25" s="18" t="n">
        <f aca="false">IF(Entry!AE25="",0,IF(Entry!AE25=AE$3,1,0))</f>
        <v>0</v>
      </c>
      <c r="AF25" s="18" t="n">
        <f aca="false">IF(Entry!AF25="",0,IF(Entry!AF25=AF$3,1,0))</f>
        <v>0</v>
      </c>
      <c r="AG25" s="18" t="n">
        <f aca="false">IF(Entry!AG25="",0,IF(Entry!AG25=AG$3,1,0))</f>
        <v>0</v>
      </c>
      <c r="AH25" s="18" t="n">
        <f aca="false">IF(Entry!AH25="",0,IF(Entry!AH25=AH$3,1,0))</f>
        <v>0</v>
      </c>
      <c r="AI25" s="18" t="n">
        <f aca="false">IF(Entry!AI25="",0,IF(Entry!AI25=AI$3,1,0))</f>
        <v>0</v>
      </c>
      <c r="AJ25" s="18" t="n">
        <f aca="false">IF(Entry!AJ25="",0,IF(Entry!AJ25=AJ$3,1,0))</f>
        <v>0</v>
      </c>
      <c r="AK25" s="18" t="n">
        <f aca="false">IF(Entry!AK25="",0,IF(Entry!AK25=AK$3,1,0))</f>
        <v>0</v>
      </c>
      <c r="AL25" s="18" t="n">
        <f aca="false">IF(Entry!AL25="",0,IF(Entry!AL25=AL$3,1,0))</f>
        <v>0</v>
      </c>
      <c r="AM25" s="18" t="n">
        <f aca="false">IF(Entry!AM25="",0,IF(Entry!AM25=AM$3,1,0))</f>
        <v>0</v>
      </c>
      <c r="AN25" s="18" t="n">
        <f aca="false">IF(Entry!AN25="",0,IF(Entry!AN25=AN$3,1,0))</f>
        <v>0</v>
      </c>
      <c r="AO25" s="18" t="n">
        <f aca="false">IF(Entry!AO25="",0,IF(Entry!AO25=AO$3,1,0))</f>
        <v>0</v>
      </c>
      <c r="AP25" s="18" t="n">
        <f aca="false">IF(Entry!AP25="",0,IF(Entry!AP25=AP$3,1,0))</f>
        <v>0</v>
      </c>
      <c r="AQ25" s="18" t="n">
        <f aca="false">IF(Entry!AQ25="",0,IF(Entry!AQ25=AQ$3,1,0))</f>
        <v>0</v>
      </c>
      <c r="AR25" s="18" t="n">
        <f aca="false">IF(Entry!AR25="",0,IF(Entry!AR25=AR$3,1,0))</f>
        <v>0</v>
      </c>
      <c r="AS25" s="18" t="n">
        <f aca="false">IF(Entry!AS25="",0,IF(Entry!AS25=AS$3,1,0))</f>
        <v>0</v>
      </c>
      <c r="AT25" s="18" t="n">
        <f aca="false">IF(Entry!AT25="",0,IF(Entry!AT25=AT$3,1,0))</f>
        <v>0</v>
      </c>
      <c r="AU25" s="18" t="n">
        <f aca="false">IF(Entry!AU25="",0,IF(Entry!AU25=AU$3,1,0))</f>
        <v>0</v>
      </c>
      <c r="AV25" s="18" t="n">
        <f aca="false">IF(Entry!AV25="",0,IF(Entry!AV25=AV$3,1,0))</f>
        <v>0</v>
      </c>
      <c r="AW25" s="18" t="n">
        <f aca="false">IF(Entry!AW25="",0,IF(Entry!AW25=AW$3,1,0))</f>
        <v>0</v>
      </c>
      <c r="AX25" s="18" t="n">
        <f aca="false">IF(Entry!AX25="",0,IF(Entry!AX25=AX$3,1,0))</f>
        <v>0</v>
      </c>
      <c r="AY25" s="18" t="n">
        <f aca="false">IF(Entry!AY25="",0,IF(Entry!AY25=AY$3,1,0))</f>
        <v>0</v>
      </c>
      <c r="AZ25" s="18" t="n">
        <f aca="false">IF(Entry!AZ25="",0,IF(Entry!AZ25=AZ$3,1,0))</f>
        <v>0</v>
      </c>
      <c r="BA25" s="18" t="n">
        <f aca="false">IF(Entry!BA25="",0,IF(Entry!BA25=BA$3,1,0))</f>
        <v>0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18" t="n">
        <f aca="false">IF(Entry!BL25="Yes",1,0)</f>
        <v>0</v>
      </c>
      <c r="BM25" s="3"/>
    </row>
    <row r="26" customFormat="false" ht="15" hidden="false" customHeight="false" outlineLevel="0" collapsed="false">
      <c r="A26" s="21" t="str">
        <f aca="false">Entry!A26</f>
        <v>S20</v>
      </c>
      <c r="B26" s="13" t="str">
        <f aca="false">Entry!B26</f>
        <v>TBD</v>
      </c>
      <c r="C26" s="3"/>
      <c r="D26" s="3"/>
      <c r="E26" s="3"/>
      <c r="F26" s="3"/>
      <c r="G26" s="3"/>
      <c r="H26" s="18" t="n">
        <f aca="false">IF(Entry!H26="",0,IF(Entry!H26=H$3,1,0))</f>
        <v>0</v>
      </c>
      <c r="I26" s="18" t="n">
        <f aca="false">IF(Entry!I26="",0,IF(Entry!I26=I$3,1,0))</f>
        <v>0</v>
      </c>
      <c r="J26" s="18" t="n">
        <f aca="false">IF(Entry!J26="",0,IF(Entry!J26=J$3,1,0))</f>
        <v>0</v>
      </c>
      <c r="K26" s="18" t="n">
        <f aca="false">IF(Entry!K26="",0,IF(Entry!K26=K$3,1,0))</f>
        <v>0</v>
      </c>
      <c r="L26" s="18" t="n">
        <f aca="false">IF(Entry!L26="",0,IF(Entry!L26=L$3,1,0))</f>
        <v>0</v>
      </c>
      <c r="M26" s="18" t="n">
        <f aca="false">IF(Entry!M26="",0,IF(Entry!M26=M$3,1,0))</f>
        <v>0</v>
      </c>
      <c r="N26" s="18" t="n">
        <f aca="false">IF(Entry!N26="",0,IF(Entry!N26=N$3,1,0))</f>
        <v>0</v>
      </c>
      <c r="O26" s="18" t="n">
        <f aca="false">IF(Entry!O26="",0,IF(Entry!O26=O$3,1,0))</f>
        <v>0</v>
      </c>
      <c r="P26" s="18" t="n">
        <f aca="false">IF(Entry!P26="",0,IF(Entry!P26=P$3,1,0))</f>
        <v>0</v>
      </c>
      <c r="Q26" s="18" t="n">
        <f aca="false">IF(Entry!Q26="",0,IF(Entry!Q26=Q$3,1,0))</f>
        <v>0</v>
      </c>
      <c r="R26" s="18" t="n">
        <f aca="false">IF(Entry!R26="",0,IF(Entry!R26=R$3,1,0))</f>
        <v>0</v>
      </c>
      <c r="S26" s="18" t="n">
        <f aca="false">IF(Entry!S26="",0,IF(Entry!S26=S$3,1,0))</f>
        <v>0</v>
      </c>
      <c r="T26" s="18" t="n">
        <f aca="false">IF(Entry!T26="",0,IF(Entry!T26=T$3,1,0))</f>
        <v>0</v>
      </c>
      <c r="U26" s="18" t="n">
        <f aca="false">IF(Entry!U26="",0,IF(Entry!U26=U$3,1,0))</f>
        <v>0</v>
      </c>
      <c r="V26" s="18" t="n">
        <f aca="false">IF(Entry!V26="",0,IF(Entry!V26=V$3,1,0))</f>
        <v>0</v>
      </c>
      <c r="W26" s="18" t="n">
        <f aca="false">IF(Entry!W26="",0,IF(Entry!W26=W$3,1,0))</f>
        <v>0</v>
      </c>
      <c r="X26" s="18" t="n">
        <f aca="false">IF(Entry!X26="",0,IF(Entry!X26=X$3,1,0))</f>
        <v>0</v>
      </c>
      <c r="Y26" s="18" t="n">
        <f aca="false">IF(Entry!Y26="",0,IF(Entry!Y26=Y$3,1,0))</f>
        <v>0</v>
      </c>
      <c r="Z26" s="18" t="n">
        <f aca="false">IF(Entry!Z26="",0,IF(Entry!Z26=Z$3,1,0))</f>
        <v>0</v>
      </c>
      <c r="AA26" s="18" t="n">
        <f aca="false">IF(Entry!AA26="",0,IF(Entry!AA26=AA$3,1,0))</f>
        <v>0</v>
      </c>
      <c r="AB26" s="18" t="n">
        <f aca="false">IF(Entry!AB26="",0,IF(Entry!AB26=AB$3,1,0))</f>
        <v>0</v>
      </c>
      <c r="AC26" s="18" t="n">
        <f aca="false">IF(Entry!AC26="",0,IF(Entry!AC26=AC$3,1,0))</f>
        <v>0</v>
      </c>
      <c r="AD26" s="18" t="n">
        <f aca="false">IF(Entry!AD26="",0,IF(Entry!AD26=AD$3,1,0))</f>
        <v>0</v>
      </c>
      <c r="AE26" s="18" t="n">
        <f aca="false">IF(Entry!AE26="",0,IF(Entry!AE26=AE$3,1,0))</f>
        <v>0</v>
      </c>
      <c r="AF26" s="18" t="n">
        <f aca="false">IF(Entry!AF26="",0,IF(Entry!AF26=AF$3,1,0))</f>
        <v>0</v>
      </c>
      <c r="AG26" s="18" t="n">
        <f aca="false">IF(Entry!AG26="",0,IF(Entry!AG26=AG$3,1,0))</f>
        <v>0</v>
      </c>
      <c r="AH26" s="18" t="n">
        <f aca="false">IF(Entry!AH26="",0,IF(Entry!AH26=AH$3,1,0))</f>
        <v>0</v>
      </c>
      <c r="AI26" s="18" t="n">
        <f aca="false">IF(Entry!AI26="",0,IF(Entry!AI26=AI$3,1,0))</f>
        <v>0</v>
      </c>
      <c r="AJ26" s="18" t="n">
        <f aca="false">IF(Entry!AJ26="",0,IF(Entry!AJ26=AJ$3,1,0))</f>
        <v>0</v>
      </c>
      <c r="AK26" s="18" t="n">
        <f aca="false">IF(Entry!AK26="",0,IF(Entry!AK26=AK$3,1,0))</f>
        <v>0</v>
      </c>
      <c r="AL26" s="18" t="n">
        <f aca="false">IF(Entry!AL26="",0,IF(Entry!AL26=AL$3,1,0))</f>
        <v>0</v>
      </c>
      <c r="AM26" s="18" t="n">
        <f aca="false">IF(Entry!AM26="",0,IF(Entry!AM26=AM$3,1,0))</f>
        <v>0</v>
      </c>
      <c r="AN26" s="18" t="n">
        <f aca="false">IF(Entry!AN26="",0,IF(Entry!AN26=AN$3,1,0))</f>
        <v>0</v>
      </c>
      <c r="AO26" s="18" t="n">
        <f aca="false">IF(Entry!AO26="",0,IF(Entry!AO26=AO$3,1,0))</f>
        <v>0</v>
      </c>
      <c r="AP26" s="18" t="n">
        <f aca="false">IF(Entry!AP26="",0,IF(Entry!AP26=AP$3,1,0))</f>
        <v>0</v>
      </c>
      <c r="AQ26" s="18" t="n">
        <f aca="false">IF(Entry!AQ26="",0,IF(Entry!AQ26=AQ$3,1,0))</f>
        <v>0</v>
      </c>
      <c r="AR26" s="18" t="n">
        <f aca="false">IF(Entry!AR26="",0,IF(Entry!AR26=AR$3,1,0))</f>
        <v>0</v>
      </c>
      <c r="AS26" s="18" t="n">
        <f aca="false">IF(Entry!AS26="",0,IF(Entry!AS26=AS$3,1,0))</f>
        <v>0</v>
      </c>
      <c r="AT26" s="18" t="n">
        <f aca="false">IF(Entry!AT26="",0,IF(Entry!AT26=AT$3,1,0))</f>
        <v>0</v>
      </c>
      <c r="AU26" s="18" t="n">
        <f aca="false">IF(Entry!AU26="",0,IF(Entry!AU26=AU$3,1,0))</f>
        <v>0</v>
      </c>
      <c r="AV26" s="18" t="n">
        <f aca="false">IF(Entry!AV26="",0,IF(Entry!AV26=AV$3,1,0))</f>
        <v>0</v>
      </c>
      <c r="AW26" s="18" t="n">
        <f aca="false">IF(Entry!AW26="",0,IF(Entry!AW26=AW$3,1,0))</f>
        <v>0</v>
      </c>
      <c r="AX26" s="18" t="n">
        <f aca="false">IF(Entry!AX26="",0,IF(Entry!AX26=AX$3,1,0))</f>
        <v>0</v>
      </c>
      <c r="AY26" s="18" t="n">
        <f aca="false">IF(Entry!AY26="",0,IF(Entry!AY26=AY$3,1,0))</f>
        <v>0</v>
      </c>
      <c r="AZ26" s="18" t="n">
        <f aca="false">IF(Entry!AZ26="",0,IF(Entry!AZ26=AZ$3,1,0))</f>
        <v>0</v>
      </c>
      <c r="BA26" s="18" t="n">
        <f aca="false">IF(Entry!BA26="",0,IF(Entry!BA26=BA$3,1,0))</f>
        <v>0</v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18" t="n">
        <f aca="false">IF(Entry!BL26="Yes",1,0)</f>
        <v>0</v>
      </c>
      <c r="BM26" s="3"/>
    </row>
    <row r="27" customFormat="false" ht="15" hidden="false" customHeight="false" outlineLevel="0" collapsed="false">
      <c r="A27" s="21" t="str">
        <f aca="false">Entry!A27</f>
        <v>S21</v>
      </c>
      <c r="B27" s="13" t="str">
        <f aca="false">Entry!B27</f>
        <v>TBD</v>
      </c>
      <c r="C27" s="3"/>
      <c r="D27" s="3"/>
      <c r="E27" s="3"/>
      <c r="F27" s="3"/>
      <c r="G27" s="3"/>
      <c r="H27" s="18" t="n">
        <f aca="false">IF(Entry!H27="",0,IF(Entry!H27=H$3,1,0))</f>
        <v>0</v>
      </c>
      <c r="I27" s="18" t="n">
        <f aca="false">IF(Entry!I27="",0,IF(Entry!I27=I$3,1,0))</f>
        <v>0</v>
      </c>
      <c r="J27" s="18" t="n">
        <f aca="false">IF(Entry!J27="",0,IF(Entry!J27=J$3,1,0))</f>
        <v>0</v>
      </c>
      <c r="K27" s="18" t="n">
        <f aca="false">IF(Entry!K27="",0,IF(Entry!K27=K$3,1,0))</f>
        <v>0</v>
      </c>
      <c r="L27" s="18" t="n">
        <f aca="false">IF(Entry!L27="",0,IF(Entry!L27=L$3,1,0))</f>
        <v>0</v>
      </c>
      <c r="M27" s="18" t="n">
        <f aca="false">IF(Entry!M27="",0,IF(Entry!M27=M$3,1,0))</f>
        <v>0</v>
      </c>
      <c r="N27" s="18" t="n">
        <f aca="false">IF(Entry!N27="",0,IF(Entry!N27=N$3,1,0))</f>
        <v>0</v>
      </c>
      <c r="O27" s="18" t="n">
        <f aca="false">IF(Entry!O27="",0,IF(Entry!O27=O$3,1,0))</f>
        <v>0</v>
      </c>
      <c r="P27" s="18" t="n">
        <f aca="false">IF(Entry!P27="",0,IF(Entry!P27=P$3,1,0))</f>
        <v>0</v>
      </c>
      <c r="Q27" s="18" t="n">
        <f aca="false">IF(Entry!Q27="",0,IF(Entry!Q27=Q$3,1,0))</f>
        <v>0</v>
      </c>
      <c r="R27" s="18" t="n">
        <f aca="false">IF(Entry!R27="",0,IF(Entry!R27=R$3,1,0))</f>
        <v>0</v>
      </c>
      <c r="S27" s="18" t="n">
        <f aca="false">IF(Entry!S27="",0,IF(Entry!S27=S$3,1,0))</f>
        <v>0</v>
      </c>
      <c r="T27" s="18" t="n">
        <f aca="false">IF(Entry!T27="",0,IF(Entry!T27=T$3,1,0))</f>
        <v>0</v>
      </c>
      <c r="U27" s="18" t="n">
        <f aca="false">IF(Entry!U27="",0,IF(Entry!U27=U$3,1,0))</f>
        <v>0</v>
      </c>
      <c r="V27" s="18" t="n">
        <f aca="false">IF(Entry!V27="",0,IF(Entry!V27=V$3,1,0))</f>
        <v>0</v>
      </c>
      <c r="W27" s="18" t="n">
        <f aca="false">IF(Entry!W27="",0,IF(Entry!W27=W$3,1,0))</f>
        <v>0</v>
      </c>
      <c r="X27" s="18" t="n">
        <f aca="false">IF(Entry!X27="",0,IF(Entry!X27=X$3,1,0))</f>
        <v>0</v>
      </c>
      <c r="Y27" s="18" t="n">
        <f aca="false">IF(Entry!Y27="",0,IF(Entry!Y27=Y$3,1,0))</f>
        <v>0</v>
      </c>
      <c r="Z27" s="18" t="n">
        <f aca="false">IF(Entry!Z27="",0,IF(Entry!Z27=Z$3,1,0))</f>
        <v>0</v>
      </c>
      <c r="AA27" s="18" t="n">
        <f aca="false">IF(Entry!AA27="",0,IF(Entry!AA27=AA$3,1,0))</f>
        <v>0</v>
      </c>
      <c r="AB27" s="18" t="n">
        <f aca="false">IF(Entry!AB27="",0,IF(Entry!AB27=AB$3,1,0))</f>
        <v>0</v>
      </c>
      <c r="AC27" s="18" t="n">
        <f aca="false">IF(Entry!AC27="",0,IF(Entry!AC27=AC$3,1,0))</f>
        <v>0</v>
      </c>
      <c r="AD27" s="18" t="n">
        <f aca="false">IF(Entry!AD27="",0,IF(Entry!AD27=AD$3,1,0))</f>
        <v>0</v>
      </c>
      <c r="AE27" s="18" t="n">
        <f aca="false">IF(Entry!AE27="",0,IF(Entry!AE27=AE$3,1,0))</f>
        <v>0</v>
      </c>
      <c r="AF27" s="18" t="n">
        <f aca="false">IF(Entry!AF27="",0,IF(Entry!AF27=AF$3,1,0))</f>
        <v>0</v>
      </c>
      <c r="AG27" s="18" t="n">
        <f aca="false">IF(Entry!AG27="",0,IF(Entry!AG27=AG$3,1,0))</f>
        <v>0</v>
      </c>
      <c r="AH27" s="18" t="n">
        <f aca="false">IF(Entry!AH27="",0,IF(Entry!AH27=AH$3,1,0))</f>
        <v>0</v>
      </c>
      <c r="AI27" s="18" t="n">
        <f aca="false">IF(Entry!AI27="",0,IF(Entry!AI27=AI$3,1,0))</f>
        <v>0</v>
      </c>
      <c r="AJ27" s="18" t="n">
        <f aca="false">IF(Entry!AJ27="",0,IF(Entry!AJ27=AJ$3,1,0))</f>
        <v>0</v>
      </c>
      <c r="AK27" s="18" t="n">
        <f aca="false">IF(Entry!AK27="",0,IF(Entry!AK27=AK$3,1,0))</f>
        <v>0</v>
      </c>
      <c r="AL27" s="18" t="n">
        <f aca="false">IF(Entry!AL27="",0,IF(Entry!AL27=AL$3,1,0))</f>
        <v>0</v>
      </c>
      <c r="AM27" s="18" t="n">
        <f aca="false">IF(Entry!AM27="",0,IF(Entry!AM27=AM$3,1,0))</f>
        <v>0</v>
      </c>
      <c r="AN27" s="18" t="n">
        <f aca="false">IF(Entry!AN27="",0,IF(Entry!AN27=AN$3,1,0))</f>
        <v>0</v>
      </c>
      <c r="AO27" s="18" t="n">
        <f aca="false">IF(Entry!AO27="",0,IF(Entry!AO27=AO$3,1,0))</f>
        <v>0</v>
      </c>
      <c r="AP27" s="18" t="n">
        <f aca="false">IF(Entry!AP27="",0,IF(Entry!AP27=AP$3,1,0))</f>
        <v>0</v>
      </c>
      <c r="AQ27" s="18" t="n">
        <f aca="false">IF(Entry!AQ27="",0,IF(Entry!AQ27=AQ$3,1,0))</f>
        <v>0</v>
      </c>
      <c r="AR27" s="18" t="n">
        <f aca="false">IF(Entry!AR27="",0,IF(Entry!AR27=AR$3,1,0))</f>
        <v>0</v>
      </c>
      <c r="AS27" s="18" t="n">
        <f aca="false">IF(Entry!AS27="",0,IF(Entry!AS27=AS$3,1,0))</f>
        <v>0</v>
      </c>
      <c r="AT27" s="18" t="n">
        <f aca="false">IF(Entry!AT27="",0,IF(Entry!AT27=AT$3,1,0))</f>
        <v>0</v>
      </c>
      <c r="AU27" s="18" t="n">
        <f aca="false">IF(Entry!AU27="",0,IF(Entry!AU27=AU$3,1,0))</f>
        <v>0</v>
      </c>
      <c r="AV27" s="18" t="n">
        <f aca="false">IF(Entry!AV27="",0,IF(Entry!AV27=AV$3,1,0))</f>
        <v>0</v>
      </c>
      <c r="AW27" s="18" t="n">
        <f aca="false">IF(Entry!AW27="",0,IF(Entry!AW27=AW$3,1,0))</f>
        <v>0</v>
      </c>
      <c r="AX27" s="18" t="n">
        <f aca="false">IF(Entry!AX27="",0,IF(Entry!AX27=AX$3,1,0))</f>
        <v>0</v>
      </c>
      <c r="AY27" s="18" t="n">
        <f aca="false">IF(Entry!AY27="",0,IF(Entry!AY27=AY$3,1,0))</f>
        <v>0</v>
      </c>
      <c r="AZ27" s="18" t="n">
        <f aca="false">IF(Entry!AZ27="",0,IF(Entry!AZ27=AZ$3,1,0))</f>
        <v>0</v>
      </c>
      <c r="BA27" s="18" t="n">
        <f aca="false">IF(Entry!BA27="",0,IF(Entry!BA27=BA$3,1,0))</f>
        <v>0</v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18" t="n">
        <f aca="false">IF(Entry!BL27="Yes",1,0)</f>
        <v>0</v>
      </c>
      <c r="BM27" s="3"/>
    </row>
    <row r="28" customFormat="false" ht="15" hidden="false" customHeight="false" outlineLevel="0" collapsed="false">
      <c r="A28" s="21" t="str">
        <f aca="false">Entry!A28</f>
        <v>S22</v>
      </c>
      <c r="B28" s="13" t="str">
        <f aca="false">Entry!B28</f>
        <v>TBD</v>
      </c>
      <c r="C28" s="3"/>
      <c r="D28" s="3"/>
      <c r="E28" s="3"/>
      <c r="F28" s="3"/>
      <c r="G28" s="3"/>
      <c r="H28" s="18" t="n">
        <f aca="false">IF(Entry!H28="",0,IF(Entry!H28=H$3,1,0))</f>
        <v>0</v>
      </c>
      <c r="I28" s="18" t="n">
        <f aca="false">IF(Entry!I28="",0,IF(Entry!I28=I$3,1,0))</f>
        <v>0</v>
      </c>
      <c r="J28" s="18" t="n">
        <f aca="false">IF(Entry!J28="",0,IF(Entry!J28=J$3,1,0))</f>
        <v>0</v>
      </c>
      <c r="K28" s="18" t="n">
        <f aca="false">IF(Entry!K28="",0,IF(Entry!K28=K$3,1,0))</f>
        <v>0</v>
      </c>
      <c r="L28" s="18" t="n">
        <f aca="false">IF(Entry!L28="",0,IF(Entry!L28=L$3,1,0))</f>
        <v>0</v>
      </c>
      <c r="M28" s="18" t="n">
        <f aca="false">IF(Entry!M28="",0,IF(Entry!M28=M$3,1,0))</f>
        <v>0</v>
      </c>
      <c r="N28" s="18" t="n">
        <f aca="false">IF(Entry!N28="",0,IF(Entry!N28=N$3,1,0))</f>
        <v>0</v>
      </c>
      <c r="O28" s="18" t="n">
        <f aca="false">IF(Entry!O28="",0,IF(Entry!O28=O$3,1,0))</f>
        <v>0</v>
      </c>
      <c r="P28" s="18" t="n">
        <f aca="false">IF(Entry!P28="",0,IF(Entry!P28=P$3,1,0))</f>
        <v>0</v>
      </c>
      <c r="Q28" s="18" t="n">
        <f aca="false">IF(Entry!Q28="",0,IF(Entry!Q28=Q$3,1,0))</f>
        <v>0</v>
      </c>
      <c r="R28" s="18" t="n">
        <f aca="false">IF(Entry!R28="",0,IF(Entry!R28=R$3,1,0))</f>
        <v>0</v>
      </c>
      <c r="S28" s="18" t="n">
        <f aca="false">IF(Entry!S28="",0,IF(Entry!S28=S$3,1,0))</f>
        <v>0</v>
      </c>
      <c r="T28" s="18" t="n">
        <f aca="false">IF(Entry!T28="",0,IF(Entry!T28=T$3,1,0))</f>
        <v>0</v>
      </c>
      <c r="U28" s="18" t="n">
        <f aca="false">IF(Entry!U28="",0,IF(Entry!U28=U$3,1,0))</f>
        <v>0</v>
      </c>
      <c r="V28" s="18" t="n">
        <f aca="false">IF(Entry!V28="",0,IF(Entry!V28=V$3,1,0))</f>
        <v>0</v>
      </c>
      <c r="W28" s="18" t="n">
        <f aca="false">IF(Entry!W28="",0,IF(Entry!W28=W$3,1,0))</f>
        <v>0</v>
      </c>
      <c r="X28" s="18" t="n">
        <f aca="false">IF(Entry!X28="",0,IF(Entry!X28=X$3,1,0))</f>
        <v>0</v>
      </c>
      <c r="Y28" s="18" t="n">
        <f aca="false">IF(Entry!Y28="",0,IF(Entry!Y28=Y$3,1,0))</f>
        <v>0</v>
      </c>
      <c r="Z28" s="18" t="n">
        <f aca="false">IF(Entry!Z28="",0,IF(Entry!Z28=Z$3,1,0))</f>
        <v>0</v>
      </c>
      <c r="AA28" s="18" t="n">
        <f aca="false">IF(Entry!AA28="",0,IF(Entry!AA28=AA$3,1,0))</f>
        <v>0</v>
      </c>
      <c r="AB28" s="18" t="n">
        <f aca="false">IF(Entry!AB28="",0,IF(Entry!AB28=AB$3,1,0))</f>
        <v>0</v>
      </c>
      <c r="AC28" s="18" t="n">
        <f aca="false">IF(Entry!AC28="",0,IF(Entry!AC28=AC$3,1,0))</f>
        <v>0</v>
      </c>
      <c r="AD28" s="18" t="n">
        <f aca="false">IF(Entry!AD28="",0,IF(Entry!AD28=AD$3,1,0))</f>
        <v>0</v>
      </c>
      <c r="AE28" s="18" t="n">
        <f aca="false">IF(Entry!AE28="",0,IF(Entry!AE28=AE$3,1,0))</f>
        <v>0</v>
      </c>
      <c r="AF28" s="18" t="n">
        <f aca="false">IF(Entry!AF28="",0,IF(Entry!AF28=AF$3,1,0))</f>
        <v>0</v>
      </c>
      <c r="AG28" s="18" t="n">
        <f aca="false">IF(Entry!AG28="",0,IF(Entry!AG28=AG$3,1,0))</f>
        <v>0</v>
      </c>
      <c r="AH28" s="18" t="n">
        <f aca="false">IF(Entry!AH28="",0,IF(Entry!AH28=AH$3,1,0))</f>
        <v>0</v>
      </c>
      <c r="AI28" s="18" t="n">
        <f aca="false">IF(Entry!AI28="",0,IF(Entry!AI28=AI$3,1,0))</f>
        <v>0</v>
      </c>
      <c r="AJ28" s="18" t="n">
        <f aca="false">IF(Entry!AJ28="",0,IF(Entry!AJ28=AJ$3,1,0))</f>
        <v>0</v>
      </c>
      <c r="AK28" s="18" t="n">
        <f aca="false">IF(Entry!AK28="",0,IF(Entry!AK28=AK$3,1,0))</f>
        <v>0</v>
      </c>
      <c r="AL28" s="18" t="n">
        <f aca="false">IF(Entry!AL28="",0,IF(Entry!AL28=AL$3,1,0))</f>
        <v>0</v>
      </c>
      <c r="AM28" s="18" t="n">
        <f aca="false">IF(Entry!AM28="",0,IF(Entry!AM28=AM$3,1,0))</f>
        <v>0</v>
      </c>
      <c r="AN28" s="18" t="n">
        <f aca="false">IF(Entry!AN28="",0,IF(Entry!AN28=AN$3,1,0))</f>
        <v>0</v>
      </c>
      <c r="AO28" s="18" t="n">
        <f aca="false">IF(Entry!AO28="",0,IF(Entry!AO28=AO$3,1,0))</f>
        <v>0</v>
      </c>
      <c r="AP28" s="18" t="n">
        <f aca="false">IF(Entry!AP28="",0,IF(Entry!AP28=AP$3,1,0))</f>
        <v>0</v>
      </c>
      <c r="AQ28" s="18" t="n">
        <f aca="false">IF(Entry!AQ28="",0,IF(Entry!AQ28=AQ$3,1,0))</f>
        <v>0</v>
      </c>
      <c r="AR28" s="18" t="n">
        <f aca="false">IF(Entry!AR28="",0,IF(Entry!AR28=AR$3,1,0))</f>
        <v>0</v>
      </c>
      <c r="AS28" s="18" t="n">
        <f aca="false">IF(Entry!AS28="",0,IF(Entry!AS28=AS$3,1,0))</f>
        <v>0</v>
      </c>
      <c r="AT28" s="18" t="n">
        <f aca="false">IF(Entry!AT28="",0,IF(Entry!AT28=AT$3,1,0))</f>
        <v>0</v>
      </c>
      <c r="AU28" s="18" t="n">
        <f aca="false">IF(Entry!AU28="",0,IF(Entry!AU28=AU$3,1,0))</f>
        <v>0</v>
      </c>
      <c r="AV28" s="18" t="n">
        <f aca="false">IF(Entry!AV28="",0,IF(Entry!AV28=AV$3,1,0))</f>
        <v>0</v>
      </c>
      <c r="AW28" s="18" t="n">
        <f aca="false">IF(Entry!AW28="",0,IF(Entry!AW28=AW$3,1,0))</f>
        <v>0</v>
      </c>
      <c r="AX28" s="18" t="n">
        <f aca="false">IF(Entry!AX28="",0,IF(Entry!AX28=AX$3,1,0))</f>
        <v>0</v>
      </c>
      <c r="AY28" s="18" t="n">
        <f aca="false">IF(Entry!AY28="",0,IF(Entry!AY28=AY$3,1,0))</f>
        <v>0</v>
      </c>
      <c r="AZ28" s="18" t="n">
        <f aca="false">IF(Entry!AZ28="",0,IF(Entry!AZ28=AZ$3,1,0))</f>
        <v>0</v>
      </c>
      <c r="BA28" s="18" t="n">
        <f aca="false">IF(Entry!BA28="",0,IF(Entry!BA28=BA$3,1,0))</f>
        <v>0</v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18" t="n">
        <f aca="false">IF(Entry!BL28="Yes",1,0)</f>
        <v>0</v>
      </c>
      <c r="BM28" s="3"/>
    </row>
    <row r="29" customFormat="false" ht="15" hidden="false" customHeight="false" outlineLevel="0" collapsed="false">
      <c r="A29" s="21" t="str">
        <f aca="false">Entry!A29</f>
        <v>S23</v>
      </c>
      <c r="B29" s="13" t="str">
        <f aca="false">Entry!B29</f>
        <v>TBD</v>
      </c>
      <c r="C29" s="3"/>
      <c r="D29" s="3"/>
      <c r="E29" s="3"/>
      <c r="F29" s="3"/>
      <c r="G29" s="3"/>
      <c r="H29" s="18" t="n">
        <f aca="false">IF(Entry!H29="",0,IF(Entry!H29=H$3,1,0))</f>
        <v>0</v>
      </c>
      <c r="I29" s="18" t="n">
        <f aca="false">IF(Entry!I29="",0,IF(Entry!I29=I$3,1,0))</f>
        <v>0</v>
      </c>
      <c r="J29" s="18" t="n">
        <f aca="false">IF(Entry!J29="",0,IF(Entry!J29=J$3,1,0))</f>
        <v>0</v>
      </c>
      <c r="K29" s="18" t="n">
        <f aca="false">IF(Entry!K29="",0,IF(Entry!K29=K$3,1,0))</f>
        <v>0</v>
      </c>
      <c r="L29" s="18" t="n">
        <f aca="false">IF(Entry!L29="",0,IF(Entry!L29=L$3,1,0))</f>
        <v>0</v>
      </c>
      <c r="M29" s="18" t="n">
        <f aca="false">IF(Entry!M29="",0,IF(Entry!M29=M$3,1,0))</f>
        <v>0</v>
      </c>
      <c r="N29" s="18" t="n">
        <f aca="false">IF(Entry!N29="",0,IF(Entry!N29=N$3,1,0))</f>
        <v>0</v>
      </c>
      <c r="O29" s="18" t="n">
        <f aca="false">IF(Entry!O29="",0,IF(Entry!O29=O$3,1,0))</f>
        <v>0</v>
      </c>
      <c r="P29" s="18" t="n">
        <f aca="false">IF(Entry!P29="",0,IF(Entry!P29=P$3,1,0))</f>
        <v>0</v>
      </c>
      <c r="Q29" s="18" t="n">
        <f aca="false">IF(Entry!Q29="",0,IF(Entry!Q29=Q$3,1,0))</f>
        <v>0</v>
      </c>
      <c r="R29" s="18" t="n">
        <f aca="false">IF(Entry!R29="",0,IF(Entry!R29=R$3,1,0))</f>
        <v>0</v>
      </c>
      <c r="S29" s="18" t="n">
        <f aca="false">IF(Entry!S29="",0,IF(Entry!S29=S$3,1,0))</f>
        <v>0</v>
      </c>
      <c r="T29" s="18" t="n">
        <f aca="false">IF(Entry!T29="",0,IF(Entry!T29=T$3,1,0))</f>
        <v>0</v>
      </c>
      <c r="U29" s="18" t="n">
        <f aca="false">IF(Entry!U29="",0,IF(Entry!U29=U$3,1,0))</f>
        <v>0</v>
      </c>
      <c r="V29" s="18" t="n">
        <f aca="false">IF(Entry!V29="",0,IF(Entry!V29=V$3,1,0))</f>
        <v>0</v>
      </c>
      <c r="W29" s="18" t="n">
        <f aca="false">IF(Entry!W29="",0,IF(Entry!W29=W$3,1,0))</f>
        <v>0</v>
      </c>
      <c r="X29" s="18" t="n">
        <f aca="false">IF(Entry!X29="",0,IF(Entry!X29=X$3,1,0))</f>
        <v>0</v>
      </c>
      <c r="Y29" s="18" t="n">
        <f aca="false">IF(Entry!Y29="",0,IF(Entry!Y29=Y$3,1,0))</f>
        <v>0</v>
      </c>
      <c r="Z29" s="18" t="n">
        <f aca="false">IF(Entry!Z29="",0,IF(Entry!Z29=Z$3,1,0))</f>
        <v>0</v>
      </c>
      <c r="AA29" s="18" t="n">
        <f aca="false">IF(Entry!AA29="",0,IF(Entry!AA29=AA$3,1,0))</f>
        <v>0</v>
      </c>
      <c r="AB29" s="18" t="n">
        <f aca="false">IF(Entry!AB29="",0,IF(Entry!AB29=AB$3,1,0))</f>
        <v>0</v>
      </c>
      <c r="AC29" s="18" t="n">
        <f aca="false">IF(Entry!AC29="",0,IF(Entry!AC29=AC$3,1,0))</f>
        <v>0</v>
      </c>
      <c r="AD29" s="18" t="n">
        <f aca="false">IF(Entry!AD29="",0,IF(Entry!AD29=AD$3,1,0))</f>
        <v>0</v>
      </c>
      <c r="AE29" s="18" t="n">
        <f aca="false">IF(Entry!AE29="",0,IF(Entry!AE29=AE$3,1,0))</f>
        <v>0</v>
      </c>
      <c r="AF29" s="18" t="n">
        <f aca="false">IF(Entry!AF29="",0,IF(Entry!AF29=AF$3,1,0))</f>
        <v>0</v>
      </c>
      <c r="AG29" s="18" t="n">
        <f aca="false">IF(Entry!AG29="",0,IF(Entry!AG29=AG$3,1,0))</f>
        <v>0</v>
      </c>
      <c r="AH29" s="18" t="n">
        <f aca="false">IF(Entry!AH29="",0,IF(Entry!AH29=AH$3,1,0))</f>
        <v>0</v>
      </c>
      <c r="AI29" s="18" t="n">
        <f aca="false">IF(Entry!AI29="",0,IF(Entry!AI29=AI$3,1,0))</f>
        <v>0</v>
      </c>
      <c r="AJ29" s="18" t="n">
        <f aca="false">IF(Entry!AJ29="",0,IF(Entry!AJ29=AJ$3,1,0))</f>
        <v>0</v>
      </c>
      <c r="AK29" s="18" t="n">
        <f aca="false">IF(Entry!AK29="",0,IF(Entry!AK29=AK$3,1,0))</f>
        <v>0</v>
      </c>
      <c r="AL29" s="18" t="n">
        <f aca="false">IF(Entry!AL29="",0,IF(Entry!AL29=AL$3,1,0))</f>
        <v>0</v>
      </c>
      <c r="AM29" s="18" t="n">
        <f aca="false">IF(Entry!AM29="",0,IF(Entry!AM29=AM$3,1,0))</f>
        <v>0</v>
      </c>
      <c r="AN29" s="18" t="n">
        <f aca="false">IF(Entry!AN29="",0,IF(Entry!AN29=AN$3,1,0))</f>
        <v>0</v>
      </c>
      <c r="AO29" s="18" t="n">
        <f aca="false">IF(Entry!AO29="",0,IF(Entry!AO29=AO$3,1,0))</f>
        <v>0</v>
      </c>
      <c r="AP29" s="18" t="n">
        <f aca="false">IF(Entry!AP29="",0,IF(Entry!AP29=AP$3,1,0))</f>
        <v>0</v>
      </c>
      <c r="AQ29" s="18" t="n">
        <f aca="false">IF(Entry!AQ29="",0,IF(Entry!AQ29=AQ$3,1,0))</f>
        <v>0</v>
      </c>
      <c r="AR29" s="18" t="n">
        <f aca="false">IF(Entry!AR29="",0,IF(Entry!AR29=AR$3,1,0))</f>
        <v>0</v>
      </c>
      <c r="AS29" s="18" t="n">
        <f aca="false">IF(Entry!AS29="",0,IF(Entry!AS29=AS$3,1,0))</f>
        <v>0</v>
      </c>
      <c r="AT29" s="18" t="n">
        <f aca="false">IF(Entry!AT29="",0,IF(Entry!AT29=AT$3,1,0))</f>
        <v>0</v>
      </c>
      <c r="AU29" s="18" t="n">
        <f aca="false">IF(Entry!AU29="",0,IF(Entry!AU29=AU$3,1,0))</f>
        <v>0</v>
      </c>
      <c r="AV29" s="18" t="n">
        <f aca="false">IF(Entry!AV29="",0,IF(Entry!AV29=AV$3,1,0))</f>
        <v>0</v>
      </c>
      <c r="AW29" s="18" t="n">
        <f aca="false">IF(Entry!AW29="",0,IF(Entry!AW29=AW$3,1,0))</f>
        <v>0</v>
      </c>
      <c r="AX29" s="18" t="n">
        <f aca="false">IF(Entry!AX29="",0,IF(Entry!AX29=AX$3,1,0))</f>
        <v>0</v>
      </c>
      <c r="AY29" s="18" t="n">
        <f aca="false">IF(Entry!AY29="",0,IF(Entry!AY29=AY$3,1,0))</f>
        <v>0</v>
      </c>
      <c r="AZ29" s="18" t="n">
        <f aca="false">IF(Entry!AZ29="",0,IF(Entry!AZ29=AZ$3,1,0))</f>
        <v>0</v>
      </c>
      <c r="BA29" s="18" t="n">
        <f aca="false">IF(Entry!BA29="",0,IF(Entry!BA29=BA$3,1,0))</f>
        <v>0</v>
      </c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18" t="n">
        <f aca="false">IF(Entry!BL29="Yes",1,0)</f>
        <v>0</v>
      </c>
      <c r="BM29" s="3"/>
    </row>
    <row r="30" customFormat="false" ht="15" hidden="false" customHeight="false" outlineLevel="0" collapsed="false">
      <c r="A30" s="21" t="str">
        <f aca="false">Entry!A30</f>
        <v>S24</v>
      </c>
      <c r="B30" s="13" t="str">
        <f aca="false">Entry!B30</f>
        <v>TBD</v>
      </c>
      <c r="C30" s="3"/>
      <c r="D30" s="3"/>
      <c r="E30" s="3"/>
      <c r="F30" s="3"/>
      <c r="G30" s="3"/>
      <c r="H30" s="18" t="n">
        <f aca="false">IF(Entry!H30="",0,IF(Entry!H30=H$3,1,0))</f>
        <v>0</v>
      </c>
      <c r="I30" s="18" t="n">
        <f aca="false">IF(Entry!I30="",0,IF(Entry!I30=I$3,1,0))</f>
        <v>0</v>
      </c>
      <c r="J30" s="18" t="n">
        <f aca="false">IF(Entry!J30="",0,IF(Entry!J30=J$3,1,0))</f>
        <v>0</v>
      </c>
      <c r="K30" s="18" t="n">
        <f aca="false">IF(Entry!K30="",0,IF(Entry!K30=K$3,1,0))</f>
        <v>0</v>
      </c>
      <c r="L30" s="18" t="n">
        <f aca="false">IF(Entry!L30="",0,IF(Entry!L30=L$3,1,0))</f>
        <v>0</v>
      </c>
      <c r="M30" s="18" t="n">
        <f aca="false">IF(Entry!M30="",0,IF(Entry!M30=M$3,1,0))</f>
        <v>0</v>
      </c>
      <c r="N30" s="18" t="n">
        <f aca="false">IF(Entry!N30="",0,IF(Entry!N30=N$3,1,0))</f>
        <v>0</v>
      </c>
      <c r="O30" s="18" t="n">
        <f aca="false">IF(Entry!O30="",0,IF(Entry!O30=O$3,1,0))</f>
        <v>0</v>
      </c>
      <c r="P30" s="18" t="n">
        <f aca="false">IF(Entry!P30="",0,IF(Entry!P30=P$3,1,0))</f>
        <v>0</v>
      </c>
      <c r="Q30" s="18" t="n">
        <f aca="false">IF(Entry!Q30="",0,IF(Entry!Q30=Q$3,1,0))</f>
        <v>0</v>
      </c>
      <c r="R30" s="18" t="n">
        <f aca="false">IF(Entry!R30="",0,IF(Entry!R30=R$3,1,0))</f>
        <v>0</v>
      </c>
      <c r="S30" s="18" t="n">
        <f aca="false">IF(Entry!S30="",0,IF(Entry!S30=S$3,1,0))</f>
        <v>0</v>
      </c>
      <c r="T30" s="18" t="n">
        <f aca="false">IF(Entry!T30="",0,IF(Entry!T30=T$3,1,0))</f>
        <v>0</v>
      </c>
      <c r="U30" s="18" t="n">
        <f aca="false">IF(Entry!U30="",0,IF(Entry!U30=U$3,1,0))</f>
        <v>0</v>
      </c>
      <c r="V30" s="18" t="n">
        <f aca="false">IF(Entry!V30="",0,IF(Entry!V30=V$3,1,0))</f>
        <v>0</v>
      </c>
      <c r="W30" s="18" t="n">
        <f aca="false">IF(Entry!W30="",0,IF(Entry!W30=W$3,1,0))</f>
        <v>0</v>
      </c>
      <c r="X30" s="18" t="n">
        <f aca="false">IF(Entry!X30="",0,IF(Entry!X30=X$3,1,0))</f>
        <v>0</v>
      </c>
      <c r="Y30" s="18" t="n">
        <f aca="false">IF(Entry!Y30="",0,IF(Entry!Y30=Y$3,1,0))</f>
        <v>0</v>
      </c>
      <c r="Z30" s="18" t="n">
        <f aca="false">IF(Entry!Z30="",0,IF(Entry!Z30=Z$3,1,0))</f>
        <v>0</v>
      </c>
      <c r="AA30" s="18" t="n">
        <f aca="false">IF(Entry!AA30="",0,IF(Entry!AA30=AA$3,1,0))</f>
        <v>0</v>
      </c>
      <c r="AB30" s="18" t="n">
        <f aca="false">IF(Entry!AB30="",0,IF(Entry!AB30=AB$3,1,0))</f>
        <v>0</v>
      </c>
      <c r="AC30" s="18" t="n">
        <f aca="false">IF(Entry!AC30="",0,IF(Entry!AC30=AC$3,1,0))</f>
        <v>0</v>
      </c>
      <c r="AD30" s="18" t="n">
        <f aca="false">IF(Entry!AD30="",0,IF(Entry!AD30=AD$3,1,0))</f>
        <v>0</v>
      </c>
      <c r="AE30" s="18" t="n">
        <f aca="false">IF(Entry!AE30="",0,IF(Entry!AE30=AE$3,1,0))</f>
        <v>0</v>
      </c>
      <c r="AF30" s="18" t="n">
        <f aca="false">IF(Entry!AF30="",0,IF(Entry!AF30=AF$3,1,0))</f>
        <v>0</v>
      </c>
      <c r="AG30" s="18" t="n">
        <f aca="false">IF(Entry!AG30="",0,IF(Entry!AG30=AG$3,1,0))</f>
        <v>0</v>
      </c>
      <c r="AH30" s="18" t="n">
        <f aca="false">IF(Entry!AH30="",0,IF(Entry!AH30=AH$3,1,0))</f>
        <v>0</v>
      </c>
      <c r="AI30" s="18" t="n">
        <f aca="false">IF(Entry!AI30="",0,IF(Entry!AI30=AI$3,1,0))</f>
        <v>0</v>
      </c>
      <c r="AJ30" s="18" t="n">
        <f aca="false">IF(Entry!AJ30="",0,IF(Entry!AJ30=AJ$3,1,0))</f>
        <v>0</v>
      </c>
      <c r="AK30" s="18" t="n">
        <f aca="false">IF(Entry!AK30="",0,IF(Entry!AK30=AK$3,1,0))</f>
        <v>0</v>
      </c>
      <c r="AL30" s="18" t="n">
        <f aca="false">IF(Entry!AL30="",0,IF(Entry!AL30=AL$3,1,0))</f>
        <v>0</v>
      </c>
      <c r="AM30" s="18" t="n">
        <f aca="false">IF(Entry!AM30="",0,IF(Entry!AM30=AM$3,1,0))</f>
        <v>0</v>
      </c>
      <c r="AN30" s="18" t="n">
        <f aca="false">IF(Entry!AN30="",0,IF(Entry!AN30=AN$3,1,0))</f>
        <v>0</v>
      </c>
      <c r="AO30" s="18" t="n">
        <f aca="false">IF(Entry!AO30="",0,IF(Entry!AO30=AO$3,1,0))</f>
        <v>0</v>
      </c>
      <c r="AP30" s="18" t="n">
        <f aca="false">IF(Entry!AP30="",0,IF(Entry!AP30=AP$3,1,0))</f>
        <v>0</v>
      </c>
      <c r="AQ30" s="18" t="n">
        <f aca="false">IF(Entry!AQ30="",0,IF(Entry!AQ30=AQ$3,1,0))</f>
        <v>0</v>
      </c>
      <c r="AR30" s="18" t="n">
        <f aca="false">IF(Entry!AR30="",0,IF(Entry!AR30=AR$3,1,0))</f>
        <v>0</v>
      </c>
      <c r="AS30" s="18" t="n">
        <f aca="false">IF(Entry!AS30="",0,IF(Entry!AS30=AS$3,1,0))</f>
        <v>0</v>
      </c>
      <c r="AT30" s="18" t="n">
        <f aca="false">IF(Entry!AT30="",0,IF(Entry!AT30=AT$3,1,0))</f>
        <v>0</v>
      </c>
      <c r="AU30" s="18" t="n">
        <f aca="false">IF(Entry!AU30="",0,IF(Entry!AU30=AU$3,1,0))</f>
        <v>0</v>
      </c>
      <c r="AV30" s="18" t="n">
        <f aca="false">IF(Entry!AV30="",0,IF(Entry!AV30=AV$3,1,0))</f>
        <v>0</v>
      </c>
      <c r="AW30" s="18" t="n">
        <f aca="false">IF(Entry!AW30="",0,IF(Entry!AW30=AW$3,1,0))</f>
        <v>0</v>
      </c>
      <c r="AX30" s="18" t="n">
        <f aca="false">IF(Entry!AX30="",0,IF(Entry!AX30=AX$3,1,0))</f>
        <v>0</v>
      </c>
      <c r="AY30" s="18" t="n">
        <f aca="false">IF(Entry!AY30="",0,IF(Entry!AY30=AY$3,1,0))</f>
        <v>0</v>
      </c>
      <c r="AZ30" s="18" t="n">
        <f aca="false">IF(Entry!AZ30="",0,IF(Entry!AZ30=AZ$3,1,0))</f>
        <v>0</v>
      </c>
      <c r="BA30" s="18" t="n">
        <f aca="false">IF(Entry!BA30="",0,IF(Entry!BA30=BA$3,1,0))</f>
        <v>0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18" t="n">
        <f aca="false">IF(Entry!BL30="Yes",1,0)</f>
        <v>0</v>
      </c>
      <c r="BM30" s="3"/>
    </row>
    <row r="31" customFormat="false" ht="15" hidden="false" customHeight="false" outlineLevel="0" collapsed="false">
      <c r="A31" s="21" t="str">
        <f aca="false">Entry!A31</f>
        <v>S25</v>
      </c>
      <c r="B31" s="13" t="str">
        <f aca="false">Entry!B31</f>
        <v>TBD</v>
      </c>
      <c r="C31" s="3"/>
      <c r="D31" s="3"/>
      <c r="E31" s="3"/>
      <c r="F31" s="3"/>
      <c r="G31" s="3"/>
      <c r="H31" s="18" t="n">
        <f aca="false">IF(Entry!H31="",0,IF(Entry!H31=H$3,1,0))</f>
        <v>0</v>
      </c>
      <c r="I31" s="18" t="n">
        <f aca="false">IF(Entry!I31="",0,IF(Entry!I31=I$3,1,0))</f>
        <v>0</v>
      </c>
      <c r="J31" s="18" t="n">
        <f aca="false">IF(Entry!J31="",0,IF(Entry!J31=J$3,1,0))</f>
        <v>0</v>
      </c>
      <c r="K31" s="18" t="n">
        <f aca="false">IF(Entry!K31="",0,IF(Entry!K31=K$3,1,0))</f>
        <v>0</v>
      </c>
      <c r="L31" s="18" t="n">
        <f aca="false">IF(Entry!L31="",0,IF(Entry!L31=L$3,1,0))</f>
        <v>0</v>
      </c>
      <c r="M31" s="18" t="n">
        <f aca="false">IF(Entry!M31="",0,IF(Entry!M31=M$3,1,0))</f>
        <v>0</v>
      </c>
      <c r="N31" s="18" t="n">
        <f aca="false">IF(Entry!N31="",0,IF(Entry!N31=N$3,1,0))</f>
        <v>0</v>
      </c>
      <c r="O31" s="18" t="n">
        <f aca="false">IF(Entry!O31="",0,IF(Entry!O31=O$3,1,0))</f>
        <v>0</v>
      </c>
      <c r="P31" s="18" t="n">
        <f aca="false">IF(Entry!P31="",0,IF(Entry!P31=P$3,1,0))</f>
        <v>0</v>
      </c>
      <c r="Q31" s="18" t="n">
        <f aca="false">IF(Entry!Q31="",0,IF(Entry!Q31=Q$3,1,0))</f>
        <v>0</v>
      </c>
      <c r="R31" s="18" t="n">
        <f aca="false">IF(Entry!R31="",0,IF(Entry!R31=R$3,1,0))</f>
        <v>0</v>
      </c>
      <c r="S31" s="18" t="n">
        <f aca="false">IF(Entry!S31="",0,IF(Entry!S31=S$3,1,0))</f>
        <v>0</v>
      </c>
      <c r="T31" s="18" t="n">
        <f aca="false">IF(Entry!T31="",0,IF(Entry!T31=T$3,1,0))</f>
        <v>0</v>
      </c>
      <c r="U31" s="18" t="n">
        <f aca="false">IF(Entry!U31="",0,IF(Entry!U31=U$3,1,0))</f>
        <v>0</v>
      </c>
      <c r="V31" s="18" t="n">
        <f aca="false">IF(Entry!V31="",0,IF(Entry!V31=V$3,1,0))</f>
        <v>0</v>
      </c>
      <c r="W31" s="18" t="n">
        <f aca="false">IF(Entry!W31="",0,IF(Entry!W31=W$3,1,0))</f>
        <v>0</v>
      </c>
      <c r="X31" s="18" t="n">
        <f aca="false">IF(Entry!X31="",0,IF(Entry!X31=X$3,1,0))</f>
        <v>0</v>
      </c>
      <c r="Y31" s="18" t="n">
        <f aca="false">IF(Entry!Y31="",0,IF(Entry!Y31=Y$3,1,0))</f>
        <v>0</v>
      </c>
      <c r="Z31" s="18" t="n">
        <f aca="false">IF(Entry!Z31="",0,IF(Entry!Z31=Z$3,1,0))</f>
        <v>0</v>
      </c>
      <c r="AA31" s="18" t="n">
        <f aca="false">IF(Entry!AA31="",0,IF(Entry!AA31=AA$3,1,0))</f>
        <v>0</v>
      </c>
      <c r="AB31" s="18" t="n">
        <f aca="false">IF(Entry!AB31="",0,IF(Entry!AB31=AB$3,1,0))</f>
        <v>0</v>
      </c>
      <c r="AC31" s="18" t="n">
        <f aca="false">IF(Entry!AC31="",0,IF(Entry!AC31=AC$3,1,0))</f>
        <v>0</v>
      </c>
      <c r="AD31" s="18" t="n">
        <f aca="false">IF(Entry!AD31="",0,IF(Entry!AD31=AD$3,1,0))</f>
        <v>0</v>
      </c>
      <c r="AE31" s="18" t="n">
        <f aca="false">IF(Entry!AE31="",0,IF(Entry!AE31=AE$3,1,0))</f>
        <v>0</v>
      </c>
      <c r="AF31" s="18" t="n">
        <f aca="false">IF(Entry!AF31="",0,IF(Entry!AF31=AF$3,1,0))</f>
        <v>0</v>
      </c>
      <c r="AG31" s="18" t="n">
        <f aca="false">IF(Entry!AG31="",0,IF(Entry!AG31=AG$3,1,0))</f>
        <v>0</v>
      </c>
      <c r="AH31" s="18" t="n">
        <f aca="false">IF(Entry!AH31="",0,IF(Entry!AH31=AH$3,1,0))</f>
        <v>0</v>
      </c>
      <c r="AI31" s="18" t="n">
        <f aca="false">IF(Entry!AI31="",0,IF(Entry!AI31=AI$3,1,0))</f>
        <v>0</v>
      </c>
      <c r="AJ31" s="18" t="n">
        <f aca="false">IF(Entry!AJ31="",0,IF(Entry!AJ31=AJ$3,1,0))</f>
        <v>0</v>
      </c>
      <c r="AK31" s="18" t="n">
        <f aca="false">IF(Entry!AK31="",0,IF(Entry!AK31=AK$3,1,0))</f>
        <v>0</v>
      </c>
      <c r="AL31" s="18" t="n">
        <f aca="false">IF(Entry!AL31="",0,IF(Entry!AL31=AL$3,1,0))</f>
        <v>0</v>
      </c>
      <c r="AM31" s="18" t="n">
        <f aca="false">IF(Entry!AM31="",0,IF(Entry!AM31=AM$3,1,0))</f>
        <v>0</v>
      </c>
      <c r="AN31" s="18" t="n">
        <f aca="false">IF(Entry!AN31="",0,IF(Entry!AN31=AN$3,1,0))</f>
        <v>0</v>
      </c>
      <c r="AO31" s="18" t="n">
        <f aca="false">IF(Entry!AO31="",0,IF(Entry!AO31=AO$3,1,0))</f>
        <v>0</v>
      </c>
      <c r="AP31" s="18" t="n">
        <f aca="false">IF(Entry!AP31="",0,IF(Entry!AP31=AP$3,1,0))</f>
        <v>0</v>
      </c>
      <c r="AQ31" s="18" t="n">
        <f aca="false">IF(Entry!AQ31="",0,IF(Entry!AQ31=AQ$3,1,0))</f>
        <v>0</v>
      </c>
      <c r="AR31" s="18" t="n">
        <f aca="false">IF(Entry!AR31="",0,IF(Entry!AR31=AR$3,1,0))</f>
        <v>0</v>
      </c>
      <c r="AS31" s="18" t="n">
        <f aca="false">IF(Entry!AS31="",0,IF(Entry!AS31=AS$3,1,0))</f>
        <v>0</v>
      </c>
      <c r="AT31" s="18" t="n">
        <f aca="false">IF(Entry!AT31="",0,IF(Entry!AT31=AT$3,1,0))</f>
        <v>0</v>
      </c>
      <c r="AU31" s="18" t="n">
        <f aca="false">IF(Entry!AU31="",0,IF(Entry!AU31=AU$3,1,0))</f>
        <v>0</v>
      </c>
      <c r="AV31" s="18" t="n">
        <f aca="false">IF(Entry!AV31="",0,IF(Entry!AV31=AV$3,1,0))</f>
        <v>0</v>
      </c>
      <c r="AW31" s="18" t="n">
        <f aca="false">IF(Entry!AW31="",0,IF(Entry!AW31=AW$3,1,0))</f>
        <v>0</v>
      </c>
      <c r="AX31" s="18" t="n">
        <f aca="false">IF(Entry!AX31="",0,IF(Entry!AX31=AX$3,1,0))</f>
        <v>0</v>
      </c>
      <c r="AY31" s="18" t="n">
        <f aca="false">IF(Entry!AY31="",0,IF(Entry!AY31=AY$3,1,0))</f>
        <v>0</v>
      </c>
      <c r="AZ31" s="18" t="n">
        <f aca="false">IF(Entry!AZ31="",0,IF(Entry!AZ31=AZ$3,1,0))</f>
        <v>0</v>
      </c>
      <c r="BA31" s="18" t="n">
        <f aca="false">IF(Entry!BA31="",0,IF(Entry!BA31=BA$3,1,0))</f>
        <v>0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18" t="n">
        <f aca="false">IF(Entry!BL31="Yes",1,0)</f>
        <v>0</v>
      </c>
      <c r="BM31" s="3"/>
    </row>
    <row r="32" customFormat="false" ht="15" hidden="false" customHeight="false" outlineLevel="0" collapsed="false">
      <c r="A32" s="21" t="str">
        <f aca="false">Entry!A32</f>
        <v>S26</v>
      </c>
      <c r="B32" s="13" t="str">
        <f aca="false">Entry!B32</f>
        <v>TBD</v>
      </c>
      <c r="C32" s="3"/>
      <c r="D32" s="3"/>
      <c r="E32" s="3"/>
      <c r="F32" s="3"/>
      <c r="G32" s="3"/>
      <c r="H32" s="18" t="n">
        <f aca="false">IF(Entry!H32="",0,IF(Entry!H32=H$3,1,0))</f>
        <v>0</v>
      </c>
      <c r="I32" s="18" t="n">
        <f aca="false">IF(Entry!I32="",0,IF(Entry!I32=I$3,1,0))</f>
        <v>0</v>
      </c>
      <c r="J32" s="18" t="n">
        <f aca="false">IF(Entry!J32="",0,IF(Entry!J32=J$3,1,0))</f>
        <v>0</v>
      </c>
      <c r="K32" s="18" t="n">
        <f aca="false">IF(Entry!K32="",0,IF(Entry!K32=K$3,1,0))</f>
        <v>0</v>
      </c>
      <c r="L32" s="18" t="n">
        <f aca="false">IF(Entry!L32="",0,IF(Entry!L32=L$3,1,0))</f>
        <v>0</v>
      </c>
      <c r="M32" s="18" t="n">
        <f aca="false">IF(Entry!M32="",0,IF(Entry!M32=M$3,1,0))</f>
        <v>0</v>
      </c>
      <c r="N32" s="18" t="n">
        <f aca="false">IF(Entry!N32="",0,IF(Entry!N32=N$3,1,0))</f>
        <v>0</v>
      </c>
      <c r="O32" s="18" t="n">
        <f aca="false">IF(Entry!O32="",0,IF(Entry!O32=O$3,1,0))</f>
        <v>0</v>
      </c>
      <c r="P32" s="18" t="n">
        <f aca="false">IF(Entry!P32="",0,IF(Entry!P32=P$3,1,0))</f>
        <v>0</v>
      </c>
      <c r="Q32" s="18" t="n">
        <f aca="false">IF(Entry!Q32="",0,IF(Entry!Q32=Q$3,1,0))</f>
        <v>0</v>
      </c>
      <c r="R32" s="18" t="n">
        <f aca="false">IF(Entry!R32="",0,IF(Entry!R32=R$3,1,0))</f>
        <v>0</v>
      </c>
      <c r="S32" s="18" t="n">
        <f aca="false">IF(Entry!S32="",0,IF(Entry!S32=S$3,1,0))</f>
        <v>0</v>
      </c>
      <c r="T32" s="18" t="n">
        <f aca="false">IF(Entry!T32="",0,IF(Entry!T32=T$3,1,0))</f>
        <v>0</v>
      </c>
      <c r="U32" s="18" t="n">
        <f aca="false">IF(Entry!U32="",0,IF(Entry!U32=U$3,1,0))</f>
        <v>0</v>
      </c>
      <c r="V32" s="18" t="n">
        <f aca="false">IF(Entry!V32="",0,IF(Entry!V32=V$3,1,0))</f>
        <v>0</v>
      </c>
      <c r="W32" s="18" t="n">
        <f aca="false">IF(Entry!W32="",0,IF(Entry!W32=W$3,1,0))</f>
        <v>0</v>
      </c>
      <c r="X32" s="18" t="n">
        <f aca="false">IF(Entry!X32="",0,IF(Entry!X32=X$3,1,0))</f>
        <v>0</v>
      </c>
      <c r="Y32" s="18" t="n">
        <f aca="false">IF(Entry!Y32="",0,IF(Entry!Y32=Y$3,1,0))</f>
        <v>0</v>
      </c>
      <c r="Z32" s="18" t="n">
        <f aca="false">IF(Entry!Z32="",0,IF(Entry!Z32=Z$3,1,0))</f>
        <v>0</v>
      </c>
      <c r="AA32" s="18" t="n">
        <f aca="false">IF(Entry!AA32="",0,IF(Entry!AA32=AA$3,1,0))</f>
        <v>0</v>
      </c>
      <c r="AB32" s="18" t="n">
        <f aca="false">IF(Entry!AB32="",0,IF(Entry!AB32=AB$3,1,0))</f>
        <v>0</v>
      </c>
      <c r="AC32" s="18" t="n">
        <f aca="false">IF(Entry!AC32="",0,IF(Entry!AC32=AC$3,1,0))</f>
        <v>0</v>
      </c>
      <c r="AD32" s="18" t="n">
        <f aca="false">IF(Entry!AD32="",0,IF(Entry!AD32=AD$3,1,0))</f>
        <v>0</v>
      </c>
      <c r="AE32" s="18" t="n">
        <f aca="false">IF(Entry!AE32="",0,IF(Entry!AE32=AE$3,1,0))</f>
        <v>0</v>
      </c>
      <c r="AF32" s="18" t="n">
        <f aca="false">IF(Entry!AF32="",0,IF(Entry!AF32=AF$3,1,0))</f>
        <v>0</v>
      </c>
      <c r="AG32" s="18" t="n">
        <f aca="false">IF(Entry!AG32="",0,IF(Entry!AG32=AG$3,1,0))</f>
        <v>0</v>
      </c>
      <c r="AH32" s="18" t="n">
        <f aca="false">IF(Entry!AH32="",0,IF(Entry!AH32=AH$3,1,0))</f>
        <v>0</v>
      </c>
      <c r="AI32" s="18" t="n">
        <f aca="false">IF(Entry!AI32="",0,IF(Entry!AI32=AI$3,1,0))</f>
        <v>0</v>
      </c>
      <c r="AJ32" s="18" t="n">
        <f aca="false">IF(Entry!AJ32="",0,IF(Entry!AJ32=AJ$3,1,0))</f>
        <v>0</v>
      </c>
      <c r="AK32" s="18" t="n">
        <f aca="false">IF(Entry!AK32="",0,IF(Entry!AK32=AK$3,1,0))</f>
        <v>0</v>
      </c>
      <c r="AL32" s="18" t="n">
        <f aca="false">IF(Entry!AL32="",0,IF(Entry!AL32=AL$3,1,0))</f>
        <v>0</v>
      </c>
      <c r="AM32" s="18" t="n">
        <f aca="false">IF(Entry!AM32="",0,IF(Entry!AM32=AM$3,1,0))</f>
        <v>0</v>
      </c>
      <c r="AN32" s="18" t="n">
        <f aca="false">IF(Entry!AN32="",0,IF(Entry!AN32=AN$3,1,0))</f>
        <v>0</v>
      </c>
      <c r="AO32" s="18" t="n">
        <f aca="false">IF(Entry!AO32="",0,IF(Entry!AO32=AO$3,1,0))</f>
        <v>0</v>
      </c>
      <c r="AP32" s="18" t="n">
        <f aca="false">IF(Entry!AP32="",0,IF(Entry!AP32=AP$3,1,0))</f>
        <v>0</v>
      </c>
      <c r="AQ32" s="18" t="n">
        <f aca="false">IF(Entry!AQ32="",0,IF(Entry!AQ32=AQ$3,1,0))</f>
        <v>0</v>
      </c>
      <c r="AR32" s="18" t="n">
        <f aca="false">IF(Entry!AR32="",0,IF(Entry!AR32=AR$3,1,0))</f>
        <v>0</v>
      </c>
      <c r="AS32" s="18" t="n">
        <f aca="false">IF(Entry!AS32="",0,IF(Entry!AS32=AS$3,1,0))</f>
        <v>0</v>
      </c>
      <c r="AT32" s="18" t="n">
        <f aca="false">IF(Entry!AT32="",0,IF(Entry!AT32=AT$3,1,0))</f>
        <v>0</v>
      </c>
      <c r="AU32" s="18" t="n">
        <f aca="false">IF(Entry!AU32="",0,IF(Entry!AU32=AU$3,1,0))</f>
        <v>0</v>
      </c>
      <c r="AV32" s="18" t="n">
        <f aca="false">IF(Entry!AV32="",0,IF(Entry!AV32=AV$3,1,0))</f>
        <v>0</v>
      </c>
      <c r="AW32" s="18" t="n">
        <f aca="false">IF(Entry!AW32="",0,IF(Entry!AW32=AW$3,1,0))</f>
        <v>0</v>
      </c>
      <c r="AX32" s="18" t="n">
        <f aca="false">IF(Entry!AX32="",0,IF(Entry!AX32=AX$3,1,0))</f>
        <v>0</v>
      </c>
      <c r="AY32" s="18" t="n">
        <f aca="false">IF(Entry!AY32="",0,IF(Entry!AY32=AY$3,1,0))</f>
        <v>0</v>
      </c>
      <c r="AZ32" s="18" t="n">
        <f aca="false">IF(Entry!AZ32="",0,IF(Entry!AZ32=AZ$3,1,0))</f>
        <v>0</v>
      </c>
      <c r="BA32" s="18" t="n">
        <f aca="false">IF(Entry!BA32="",0,IF(Entry!BA32=BA$3,1,0))</f>
        <v>0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18" t="n">
        <f aca="false">IF(Entry!BL32="Yes",1,0)</f>
        <v>0</v>
      </c>
      <c r="BM32" s="3"/>
    </row>
    <row r="33" customFormat="false" ht="15" hidden="false" customHeight="false" outlineLevel="0" collapsed="false">
      <c r="A33" s="21" t="str">
        <f aca="false">Entry!A33</f>
        <v>S27</v>
      </c>
      <c r="B33" s="13" t="str">
        <f aca="false">Entry!B33</f>
        <v>TBD</v>
      </c>
      <c r="C33" s="3"/>
      <c r="D33" s="3"/>
      <c r="E33" s="3"/>
      <c r="F33" s="3"/>
      <c r="G33" s="3"/>
      <c r="H33" s="18" t="n">
        <f aca="false">IF(Entry!H33="",0,IF(Entry!H33=H$3,1,0))</f>
        <v>0</v>
      </c>
      <c r="I33" s="18" t="n">
        <f aca="false">IF(Entry!I33="",0,IF(Entry!I33=I$3,1,0))</f>
        <v>0</v>
      </c>
      <c r="J33" s="18" t="n">
        <f aca="false">IF(Entry!J33="",0,IF(Entry!J33=J$3,1,0))</f>
        <v>0</v>
      </c>
      <c r="K33" s="18" t="n">
        <f aca="false">IF(Entry!K33="",0,IF(Entry!K33=K$3,1,0))</f>
        <v>0</v>
      </c>
      <c r="L33" s="18" t="n">
        <f aca="false">IF(Entry!L33="",0,IF(Entry!L33=L$3,1,0))</f>
        <v>0</v>
      </c>
      <c r="M33" s="18" t="n">
        <f aca="false">IF(Entry!M33="",0,IF(Entry!M33=M$3,1,0))</f>
        <v>0</v>
      </c>
      <c r="N33" s="18" t="n">
        <f aca="false">IF(Entry!N33="",0,IF(Entry!N33=N$3,1,0))</f>
        <v>0</v>
      </c>
      <c r="O33" s="18" t="n">
        <f aca="false">IF(Entry!O33="",0,IF(Entry!O33=O$3,1,0))</f>
        <v>0</v>
      </c>
      <c r="P33" s="18" t="n">
        <f aca="false">IF(Entry!P33="",0,IF(Entry!P33=P$3,1,0))</f>
        <v>0</v>
      </c>
      <c r="Q33" s="18" t="n">
        <f aca="false">IF(Entry!Q33="",0,IF(Entry!Q33=Q$3,1,0))</f>
        <v>0</v>
      </c>
      <c r="R33" s="18" t="n">
        <f aca="false">IF(Entry!R33="",0,IF(Entry!R33=R$3,1,0))</f>
        <v>0</v>
      </c>
      <c r="S33" s="18" t="n">
        <f aca="false">IF(Entry!S33="",0,IF(Entry!S33=S$3,1,0))</f>
        <v>0</v>
      </c>
      <c r="T33" s="18" t="n">
        <f aca="false">IF(Entry!T33="",0,IF(Entry!T33=T$3,1,0))</f>
        <v>0</v>
      </c>
      <c r="U33" s="18" t="n">
        <f aca="false">IF(Entry!U33="",0,IF(Entry!U33=U$3,1,0))</f>
        <v>0</v>
      </c>
      <c r="V33" s="18" t="n">
        <f aca="false">IF(Entry!V33="",0,IF(Entry!V33=V$3,1,0))</f>
        <v>0</v>
      </c>
      <c r="W33" s="18" t="n">
        <f aca="false">IF(Entry!W33="",0,IF(Entry!W33=W$3,1,0))</f>
        <v>0</v>
      </c>
      <c r="X33" s="18" t="n">
        <f aca="false">IF(Entry!X33="",0,IF(Entry!X33=X$3,1,0))</f>
        <v>0</v>
      </c>
      <c r="Y33" s="18" t="n">
        <f aca="false">IF(Entry!Y33="",0,IF(Entry!Y33=Y$3,1,0))</f>
        <v>0</v>
      </c>
      <c r="Z33" s="18" t="n">
        <f aca="false">IF(Entry!Z33="",0,IF(Entry!Z33=Z$3,1,0))</f>
        <v>0</v>
      </c>
      <c r="AA33" s="18" t="n">
        <f aca="false">IF(Entry!AA33="",0,IF(Entry!AA33=AA$3,1,0))</f>
        <v>0</v>
      </c>
      <c r="AB33" s="18" t="n">
        <f aca="false">IF(Entry!AB33="",0,IF(Entry!AB33=AB$3,1,0))</f>
        <v>0</v>
      </c>
      <c r="AC33" s="18" t="n">
        <f aca="false">IF(Entry!AC33="",0,IF(Entry!AC33=AC$3,1,0))</f>
        <v>0</v>
      </c>
      <c r="AD33" s="18" t="n">
        <f aca="false">IF(Entry!AD33="",0,IF(Entry!AD33=AD$3,1,0))</f>
        <v>0</v>
      </c>
      <c r="AE33" s="18" t="n">
        <f aca="false">IF(Entry!AE33="",0,IF(Entry!AE33=AE$3,1,0))</f>
        <v>0</v>
      </c>
      <c r="AF33" s="18" t="n">
        <f aca="false">IF(Entry!AF33="",0,IF(Entry!AF33=AF$3,1,0))</f>
        <v>0</v>
      </c>
      <c r="AG33" s="18" t="n">
        <f aca="false">IF(Entry!AG33="",0,IF(Entry!AG33=AG$3,1,0))</f>
        <v>0</v>
      </c>
      <c r="AH33" s="18" t="n">
        <f aca="false">IF(Entry!AH33="",0,IF(Entry!AH33=AH$3,1,0))</f>
        <v>0</v>
      </c>
      <c r="AI33" s="18" t="n">
        <f aca="false">IF(Entry!AI33="",0,IF(Entry!AI33=AI$3,1,0))</f>
        <v>0</v>
      </c>
      <c r="AJ33" s="18" t="n">
        <f aca="false">IF(Entry!AJ33="",0,IF(Entry!AJ33=AJ$3,1,0))</f>
        <v>0</v>
      </c>
      <c r="AK33" s="18" t="n">
        <f aca="false">IF(Entry!AK33="",0,IF(Entry!AK33=AK$3,1,0))</f>
        <v>0</v>
      </c>
      <c r="AL33" s="18" t="n">
        <f aca="false">IF(Entry!AL33="",0,IF(Entry!AL33=AL$3,1,0))</f>
        <v>0</v>
      </c>
      <c r="AM33" s="18" t="n">
        <f aca="false">IF(Entry!AM33="",0,IF(Entry!AM33=AM$3,1,0))</f>
        <v>0</v>
      </c>
      <c r="AN33" s="18" t="n">
        <f aca="false">IF(Entry!AN33="",0,IF(Entry!AN33=AN$3,1,0))</f>
        <v>0</v>
      </c>
      <c r="AO33" s="18" t="n">
        <f aca="false">IF(Entry!AO33="",0,IF(Entry!AO33=AO$3,1,0))</f>
        <v>0</v>
      </c>
      <c r="AP33" s="18" t="n">
        <f aca="false">IF(Entry!AP33="",0,IF(Entry!AP33=AP$3,1,0))</f>
        <v>0</v>
      </c>
      <c r="AQ33" s="18" t="n">
        <f aca="false">IF(Entry!AQ33="",0,IF(Entry!AQ33=AQ$3,1,0))</f>
        <v>0</v>
      </c>
      <c r="AR33" s="18" t="n">
        <f aca="false">IF(Entry!AR33="",0,IF(Entry!AR33=AR$3,1,0))</f>
        <v>0</v>
      </c>
      <c r="AS33" s="18" t="n">
        <f aca="false">IF(Entry!AS33="",0,IF(Entry!AS33=AS$3,1,0))</f>
        <v>0</v>
      </c>
      <c r="AT33" s="18" t="n">
        <f aca="false">IF(Entry!AT33="",0,IF(Entry!AT33=AT$3,1,0))</f>
        <v>0</v>
      </c>
      <c r="AU33" s="18" t="n">
        <f aca="false">IF(Entry!AU33="",0,IF(Entry!AU33=AU$3,1,0))</f>
        <v>0</v>
      </c>
      <c r="AV33" s="18" t="n">
        <f aca="false">IF(Entry!AV33="",0,IF(Entry!AV33=AV$3,1,0))</f>
        <v>0</v>
      </c>
      <c r="AW33" s="18" t="n">
        <f aca="false">IF(Entry!AW33="",0,IF(Entry!AW33=AW$3,1,0))</f>
        <v>0</v>
      </c>
      <c r="AX33" s="18" t="n">
        <f aca="false">IF(Entry!AX33="",0,IF(Entry!AX33=AX$3,1,0))</f>
        <v>0</v>
      </c>
      <c r="AY33" s="18" t="n">
        <f aca="false">IF(Entry!AY33="",0,IF(Entry!AY33=AY$3,1,0))</f>
        <v>0</v>
      </c>
      <c r="AZ33" s="18" t="n">
        <f aca="false">IF(Entry!AZ33="",0,IF(Entry!AZ33=AZ$3,1,0))</f>
        <v>0</v>
      </c>
      <c r="BA33" s="18" t="n">
        <f aca="false">IF(Entry!BA33="",0,IF(Entry!BA33=BA$3,1,0))</f>
        <v>0</v>
      </c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18" t="n">
        <f aca="false">IF(Entry!BL33="Yes",1,0)</f>
        <v>0</v>
      </c>
      <c r="BM33" s="3"/>
    </row>
    <row r="34" customFormat="false" ht="15" hidden="false" customHeight="false" outlineLevel="0" collapsed="false">
      <c r="A34" s="21" t="str">
        <f aca="false">Entry!A34</f>
        <v>S28</v>
      </c>
      <c r="B34" s="13" t="str">
        <f aca="false">Entry!B34</f>
        <v>TBD</v>
      </c>
      <c r="C34" s="3"/>
      <c r="D34" s="3"/>
      <c r="E34" s="3"/>
      <c r="F34" s="3"/>
      <c r="G34" s="3"/>
      <c r="H34" s="18" t="n">
        <f aca="false">IF(Entry!H34="",0,IF(Entry!H34=H$3,1,0))</f>
        <v>0</v>
      </c>
      <c r="I34" s="18" t="n">
        <f aca="false">IF(Entry!I34="",0,IF(Entry!I34=I$3,1,0))</f>
        <v>0</v>
      </c>
      <c r="J34" s="18" t="n">
        <f aca="false">IF(Entry!J34="",0,IF(Entry!J34=J$3,1,0))</f>
        <v>0</v>
      </c>
      <c r="K34" s="18" t="n">
        <f aca="false">IF(Entry!K34="",0,IF(Entry!K34=K$3,1,0))</f>
        <v>0</v>
      </c>
      <c r="L34" s="18" t="n">
        <f aca="false">IF(Entry!L34="",0,IF(Entry!L34=L$3,1,0))</f>
        <v>0</v>
      </c>
      <c r="M34" s="18" t="n">
        <f aca="false">IF(Entry!M34="",0,IF(Entry!M34=M$3,1,0))</f>
        <v>0</v>
      </c>
      <c r="N34" s="18" t="n">
        <f aca="false">IF(Entry!N34="",0,IF(Entry!N34=N$3,1,0))</f>
        <v>0</v>
      </c>
      <c r="O34" s="18" t="n">
        <f aca="false">IF(Entry!O34="",0,IF(Entry!O34=O$3,1,0))</f>
        <v>0</v>
      </c>
      <c r="P34" s="18" t="n">
        <f aca="false">IF(Entry!P34="",0,IF(Entry!P34=P$3,1,0))</f>
        <v>0</v>
      </c>
      <c r="Q34" s="18" t="n">
        <f aca="false">IF(Entry!Q34="",0,IF(Entry!Q34=Q$3,1,0))</f>
        <v>0</v>
      </c>
      <c r="R34" s="18" t="n">
        <f aca="false">IF(Entry!R34="",0,IF(Entry!R34=R$3,1,0))</f>
        <v>0</v>
      </c>
      <c r="S34" s="18" t="n">
        <f aca="false">IF(Entry!S34="",0,IF(Entry!S34=S$3,1,0))</f>
        <v>0</v>
      </c>
      <c r="T34" s="18" t="n">
        <f aca="false">IF(Entry!T34="",0,IF(Entry!T34=T$3,1,0))</f>
        <v>0</v>
      </c>
      <c r="U34" s="18" t="n">
        <f aca="false">IF(Entry!U34="",0,IF(Entry!U34=U$3,1,0))</f>
        <v>0</v>
      </c>
      <c r="V34" s="18" t="n">
        <f aca="false">IF(Entry!V34="",0,IF(Entry!V34=V$3,1,0))</f>
        <v>0</v>
      </c>
      <c r="W34" s="18" t="n">
        <f aca="false">IF(Entry!W34="",0,IF(Entry!W34=W$3,1,0))</f>
        <v>0</v>
      </c>
      <c r="X34" s="18" t="n">
        <f aca="false">IF(Entry!X34="",0,IF(Entry!X34=X$3,1,0))</f>
        <v>0</v>
      </c>
      <c r="Y34" s="18" t="n">
        <f aca="false">IF(Entry!Y34="",0,IF(Entry!Y34=Y$3,1,0))</f>
        <v>0</v>
      </c>
      <c r="Z34" s="18" t="n">
        <f aca="false">IF(Entry!Z34="",0,IF(Entry!Z34=Z$3,1,0))</f>
        <v>0</v>
      </c>
      <c r="AA34" s="18" t="n">
        <f aca="false">IF(Entry!AA34="",0,IF(Entry!AA34=AA$3,1,0))</f>
        <v>0</v>
      </c>
      <c r="AB34" s="18" t="n">
        <f aca="false">IF(Entry!AB34="",0,IF(Entry!AB34=AB$3,1,0))</f>
        <v>0</v>
      </c>
      <c r="AC34" s="18" t="n">
        <f aca="false">IF(Entry!AC34="",0,IF(Entry!AC34=AC$3,1,0))</f>
        <v>0</v>
      </c>
      <c r="AD34" s="18" t="n">
        <f aca="false">IF(Entry!AD34="",0,IF(Entry!AD34=AD$3,1,0))</f>
        <v>0</v>
      </c>
      <c r="AE34" s="18" t="n">
        <f aca="false">IF(Entry!AE34="",0,IF(Entry!AE34=AE$3,1,0))</f>
        <v>0</v>
      </c>
      <c r="AF34" s="18" t="n">
        <f aca="false">IF(Entry!AF34="",0,IF(Entry!AF34=AF$3,1,0))</f>
        <v>0</v>
      </c>
      <c r="AG34" s="18" t="n">
        <f aca="false">IF(Entry!AG34="",0,IF(Entry!AG34=AG$3,1,0))</f>
        <v>0</v>
      </c>
      <c r="AH34" s="18" t="n">
        <f aca="false">IF(Entry!AH34="",0,IF(Entry!AH34=AH$3,1,0))</f>
        <v>0</v>
      </c>
      <c r="AI34" s="18" t="n">
        <f aca="false">IF(Entry!AI34="",0,IF(Entry!AI34=AI$3,1,0))</f>
        <v>0</v>
      </c>
      <c r="AJ34" s="18" t="n">
        <f aca="false">IF(Entry!AJ34="",0,IF(Entry!AJ34=AJ$3,1,0))</f>
        <v>0</v>
      </c>
      <c r="AK34" s="18" t="n">
        <f aca="false">IF(Entry!AK34="",0,IF(Entry!AK34=AK$3,1,0))</f>
        <v>0</v>
      </c>
      <c r="AL34" s="18" t="n">
        <f aca="false">IF(Entry!AL34="",0,IF(Entry!AL34=AL$3,1,0))</f>
        <v>0</v>
      </c>
      <c r="AM34" s="18" t="n">
        <f aca="false">IF(Entry!AM34="",0,IF(Entry!AM34=AM$3,1,0))</f>
        <v>0</v>
      </c>
      <c r="AN34" s="18" t="n">
        <f aca="false">IF(Entry!AN34="",0,IF(Entry!AN34=AN$3,1,0))</f>
        <v>0</v>
      </c>
      <c r="AO34" s="18" t="n">
        <f aca="false">IF(Entry!AO34="",0,IF(Entry!AO34=AO$3,1,0))</f>
        <v>0</v>
      </c>
      <c r="AP34" s="18" t="n">
        <f aca="false">IF(Entry!AP34="",0,IF(Entry!AP34=AP$3,1,0))</f>
        <v>0</v>
      </c>
      <c r="AQ34" s="18" t="n">
        <f aca="false">IF(Entry!AQ34="",0,IF(Entry!AQ34=AQ$3,1,0))</f>
        <v>0</v>
      </c>
      <c r="AR34" s="18" t="n">
        <f aca="false">IF(Entry!AR34="",0,IF(Entry!AR34=AR$3,1,0))</f>
        <v>0</v>
      </c>
      <c r="AS34" s="18" t="n">
        <f aca="false">IF(Entry!AS34="",0,IF(Entry!AS34=AS$3,1,0))</f>
        <v>0</v>
      </c>
      <c r="AT34" s="18" t="n">
        <f aca="false">IF(Entry!AT34="",0,IF(Entry!AT34=AT$3,1,0))</f>
        <v>0</v>
      </c>
      <c r="AU34" s="18" t="n">
        <f aca="false">IF(Entry!AU34="",0,IF(Entry!AU34=AU$3,1,0))</f>
        <v>0</v>
      </c>
      <c r="AV34" s="18" t="n">
        <f aca="false">IF(Entry!AV34="",0,IF(Entry!AV34=AV$3,1,0))</f>
        <v>0</v>
      </c>
      <c r="AW34" s="18" t="n">
        <f aca="false">IF(Entry!AW34="",0,IF(Entry!AW34=AW$3,1,0))</f>
        <v>0</v>
      </c>
      <c r="AX34" s="18" t="n">
        <f aca="false">IF(Entry!AX34="",0,IF(Entry!AX34=AX$3,1,0))</f>
        <v>0</v>
      </c>
      <c r="AY34" s="18" t="n">
        <f aca="false">IF(Entry!AY34="",0,IF(Entry!AY34=AY$3,1,0))</f>
        <v>0</v>
      </c>
      <c r="AZ34" s="18" t="n">
        <f aca="false">IF(Entry!AZ34="",0,IF(Entry!AZ34=AZ$3,1,0))</f>
        <v>0</v>
      </c>
      <c r="BA34" s="18" t="n">
        <f aca="false">IF(Entry!BA34="",0,IF(Entry!BA34=BA$3,1,0))</f>
        <v>0</v>
      </c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18" t="n">
        <f aca="false">IF(Entry!BL34="Yes",1,0)</f>
        <v>0</v>
      </c>
      <c r="BM34" s="3"/>
    </row>
    <row r="35" customFormat="false" ht="15" hidden="false" customHeight="false" outlineLevel="0" collapsed="false">
      <c r="A35" s="21" t="str">
        <f aca="false">Entry!A35</f>
        <v>S29</v>
      </c>
      <c r="B35" s="13" t="str">
        <f aca="false">Entry!B35</f>
        <v>TBD</v>
      </c>
      <c r="C35" s="3"/>
      <c r="D35" s="3"/>
      <c r="E35" s="3"/>
      <c r="F35" s="3"/>
      <c r="G35" s="3"/>
      <c r="H35" s="18" t="n">
        <f aca="false">IF(Entry!H35="",0,IF(Entry!H35=H$3,1,0))</f>
        <v>0</v>
      </c>
      <c r="I35" s="18" t="n">
        <f aca="false">IF(Entry!I35="",0,IF(Entry!I35=I$3,1,0))</f>
        <v>0</v>
      </c>
      <c r="J35" s="18" t="n">
        <f aca="false">IF(Entry!J35="",0,IF(Entry!J35=J$3,1,0))</f>
        <v>0</v>
      </c>
      <c r="K35" s="18" t="n">
        <f aca="false">IF(Entry!K35="",0,IF(Entry!K35=K$3,1,0))</f>
        <v>0</v>
      </c>
      <c r="L35" s="18" t="n">
        <f aca="false">IF(Entry!L35="",0,IF(Entry!L35=L$3,1,0))</f>
        <v>0</v>
      </c>
      <c r="M35" s="18" t="n">
        <f aca="false">IF(Entry!M35="",0,IF(Entry!M35=M$3,1,0))</f>
        <v>0</v>
      </c>
      <c r="N35" s="18" t="n">
        <f aca="false">IF(Entry!N35="",0,IF(Entry!N35=N$3,1,0))</f>
        <v>0</v>
      </c>
      <c r="O35" s="18" t="n">
        <f aca="false">IF(Entry!O35="",0,IF(Entry!O35=O$3,1,0))</f>
        <v>0</v>
      </c>
      <c r="P35" s="18" t="n">
        <f aca="false">IF(Entry!P35="",0,IF(Entry!P35=P$3,1,0))</f>
        <v>0</v>
      </c>
      <c r="Q35" s="18" t="n">
        <f aca="false">IF(Entry!Q35="",0,IF(Entry!Q35=Q$3,1,0))</f>
        <v>0</v>
      </c>
      <c r="R35" s="18" t="n">
        <f aca="false">IF(Entry!R35="",0,IF(Entry!R35=R$3,1,0))</f>
        <v>0</v>
      </c>
      <c r="S35" s="18" t="n">
        <f aca="false">IF(Entry!S35="",0,IF(Entry!S35=S$3,1,0))</f>
        <v>0</v>
      </c>
      <c r="T35" s="18" t="n">
        <f aca="false">IF(Entry!T35="",0,IF(Entry!T35=T$3,1,0))</f>
        <v>0</v>
      </c>
      <c r="U35" s="18" t="n">
        <f aca="false">IF(Entry!U35="",0,IF(Entry!U35=U$3,1,0))</f>
        <v>0</v>
      </c>
      <c r="V35" s="18" t="n">
        <f aca="false">IF(Entry!V35="",0,IF(Entry!V35=V$3,1,0))</f>
        <v>0</v>
      </c>
      <c r="W35" s="18" t="n">
        <f aca="false">IF(Entry!W35="",0,IF(Entry!W35=W$3,1,0))</f>
        <v>0</v>
      </c>
      <c r="X35" s="18" t="n">
        <f aca="false">IF(Entry!X35="",0,IF(Entry!X35=X$3,1,0))</f>
        <v>0</v>
      </c>
      <c r="Y35" s="18" t="n">
        <f aca="false">IF(Entry!Y35="",0,IF(Entry!Y35=Y$3,1,0))</f>
        <v>0</v>
      </c>
      <c r="Z35" s="18" t="n">
        <f aca="false">IF(Entry!Z35="",0,IF(Entry!Z35=Z$3,1,0))</f>
        <v>0</v>
      </c>
      <c r="AA35" s="18" t="n">
        <f aca="false">IF(Entry!AA35="",0,IF(Entry!AA35=AA$3,1,0))</f>
        <v>0</v>
      </c>
      <c r="AB35" s="18" t="n">
        <f aca="false">IF(Entry!AB35="",0,IF(Entry!AB35=AB$3,1,0))</f>
        <v>0</v>
      </c>
      <c r="AC35" s="18" t="n">
        <f aca="false">IF(Entry!AC35="",0,IF(Entry!AC35=AC$3,1,0))</f>
        <v>0</v>
      </c>
      <c r="AD35" s="18" t="n">
        <f aca="false">IF(Entry!AD35="",0,IF(Entry!AD35=AD$3,1,0))</f>
        <v>0</v>
      </c>
      <c r="AE35" s="18" t="n">
        <f aca="false">IF(Entry!AE35="",0,IF(Entry!AE35=AE$3,1,0))</f>
        <v>0</v>
      </c>
      <c r="AF35" s="18" t="n">
        <f aca="false">IF(Entry!AF35="",0,IF(Entry!AF35=AF$3,1,0))</f>
        <v>0</v>
      </c>
      <c r="AG35" s="18" t="n">
        <f aca="false">IF(Entry!AG35="",0,IF(Entry!AG35=AG$3,1,0))</f>
        <v>0</v>
      </c>
      <c r="AH35" s="18" t="n">
        <f aca="false">IF(Entry!AH35="",0,IF(Entry!AH35=AH$3,1,0))</f>
        <v>0</v>
      </c>
      <c r="AI35" s="18" t="n">
        <f aca="false">IF(Entry!AI35="",0,IF(Entry!AI35=AI$3,1,0))</f>
        <v>0</v>
      </c>
      <c r="AJ35" s="18" t="n">
        <f aca="false">IF(Entry!AJ35="",0,IF(Entry!AJ35=AJ$3,1,0))</f>
        <v>0</v>
      </c>
      <c r="AK35" s="18" t="n">
        <f aca="false">IF(Entry!AK35="",0,IF(Entry!AK35=AK$3,1,0))</f>
        <v>0</v>
      </c>
      <c r="AL35" s="18" t="n">
        <f aca="false">IF(Entry!AL35="",0,IF(Entry!AL35=AL$3,1,0))</f>
        <v>0</v>
      </c>
      <c r="AM35" s="18" t="n">
        <f aca="false">IF(Entry!AM35="",0,IF(Entry!AM35=AM$3,1,0))</f>
        <v>0</v>
      </c>
      <c r="AN35" s="18" t="n">
        <f aca="false">IF(Entry!AN35="",0,IF(Entry!AN35=AN$3,1,0))</f>
        <v>0</v>
      </c>
      <c r="AO35" s="18" t="n">
        <f aca="false">IF(Entry!AO35="",0,IF(Entry!AO35=AO$3,1,0))</f>
        <v>0</v>
      </c>
      <c r="AP35" s="18" t="n">
        <f aca="false">IF(Entry!AP35="",0,IF(Entry!AP35=AP$3,1,0))</f>
        <v>0</v>
      </c>
      <c r="AQ35" s="18" t="n">
        <f aca="false">IF(Entry!AQ35="",0,IF(Entry!AQ35=AQ$3,1,0))</f>
        <v>0</v>
      </c>
      <c r="AR35" s="18" t="n">
        <f aca="false">IF(Entry!AR35="",0,IF(Entry!AR35=AR$3,1,0))</f>
        <v>0</v>
      </c>
      <c r="AS35" s="18" t="n">
        <f aca="false">IF(Entry!AS35="",0,IF(Entry!AS35=AS$3,1,0))</f>
        <v>0</v>
      </c>
      <c r="AT35" s="18" t="n">
        <f aca="false">IF(Entry!AT35="",0,IF(Entry!AT35=AT$3,1,0))</f>
        <v>0</v>
      </c>
      <c r="AU35" s="18" t="n">
        <f aca="false">IF(Entry!AU35="",0,IF(Entry!AU35=AU$3,1,0))</f>
        <v>0</v>
      </c>
      <c r="AV35" s="18" t="n">
        <f aca="false">IF(Entry!AV35="",0,IF(Entry!AV35=AV$3,1,0))</f>
        <v>0</v>
      </c>
      <c r="AW35" s="18" t="n">
        <f aca="false">IF(Entry!AW35="",0,IF(Entry!AW35=AW$3,1,0))</f>
        <v>0</v>
      </c>
      <c r="AX35" s="18" t="n">
        <f aca="false">IF(Entry!AX35="",0,IF(Entry!AX35=AX$3,1,0))</f>
        <v>0</v>
      </c>
      <c r="AY35" s="18" t="n">
        <f aca="false">IF(Entry!AY35="",0,IF(Entry!AY35=AY$3,1,0))</f>
        <v>0</v>
      </c>
      <c r="AZ35" s="18" t="n">
        <f aca="false">IF(Entry!AZ35="",0,IF(Entry!AZ35=AZ$3,1,0))</f>
        <v>0</v>
      </c>
      <c r="BA35" s="18" t="n">
        <f aca="false">IF(Entry!BA35="",0,IF(Entry!BA35=BA$3,1,0))</f>
        <v>0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18" t="n">
        <f aca="false">IF(Entry!BL35="Yes",1,0)</f>
        <v>0</v>
      </c>
      <c r="BM35" s="3"/>
    </row>
    <row r="36" customFormat="false" ht="15" hidden="false" customHeight="false" outlineLevel="0" collapsed="false">
      <c r="A36" s="21" t="str">
        <f aca="false">Entry!A36</f>
        <v>S30</v>
      </c>
      <c r="B36" s="13" t="str">
        <f aca="false">Entry!B36</f>
        <v>TBD</v>
      </c>
      <c r="C36" s="3"/>
      <c r="D36" s="3"/>
      <c r="E36" s="3"/>
      <c r="F36" s="3"/>
      <c r="G36" s="3"/>
      <c r="H36" s="18" t="n">
        <f aca="false">IF(Entry!H36="",0,IF(Entry!H36=H$3,1,0))</f>
        <v>0</v>
      </c>
      <c r="I36" s="18" t="n">
        <f aca="false">IF(Entry!I36="",0,IF(Entry!I36=I$3,1,0))</f>
        <v>0</v>
      </c>
      <c r="J36" s="18" t="n">
        <f aca="false">IF(Entry!J36="",0,IF(Entry!J36=J$3,1,0))</f>
        <v>0</v>
      </c>
      <c r="K36" s="18" t="n">
        <f aca="false">IF(Entry!K36="",0,IF(Entry!K36=K$3,1,0))</f>
        <v>0</v>
      </c>
      <c r="L36" s="18" t="n">
        <f aca="false">IF(Entry!L36="",0,IF(Entry!L36=L$3,1,0))</f>
        <v>0</v>
      </c>
      <c r="M36" s="18" t="n">
        <f aca="false">IF(Entry!M36="",0,IF(Entry!M36=M$3,1,0))</f>
        <v>0</v>
      </c>
      <c r="N36" s="18" t="n">
        <f aca="false">IF(Entry!N36="",0,IF(Entry!N36=N$3,1,0))</f>
        <v>0</v>
      </c>
      <c r="O36" s="18" t="n">
        <f aca="false">IF(Entry!O36="",0,IF(Entry!O36=O$3,1,0))</f>
        <v>0</v>
      </c>
      <c r="P36" s="18" t="n">
        <f aca="false">IF(Entry!P36="",0,IF(Entry!P36=P$3,1,0))</f>
        <v>0</v>
      </c>
      <c r="Q36" s="18" t="n">
        <f aca="false">IF(Entry!Q36="",0,IF(Entry!Q36=Q$3,1,0))</f>
        <v>0</v>
      </c>
      <c r="R36" s="18" t="n">
        <f aca="false">IF(Entry!R36="",0,IF(Entry!R36=R$3,1,0))</f>
        <v>0</v>
      </c>
      <c r="S36" s="18" t="n">
        <f aca="false">IF(Entry!S36="",0,IF(Entry!S36=S$3,1,0))</f>
        <v>0</v>
      </c>
      <c r="T36" s="18" t="n">
        <f aca="false">IF(Entry!T36="",0,IF(Entry!T36=T$3,1,0))</f>
        <v>0</v>
      </c>
      <c r="U36" s="18" t="n">
        <f aca="false">IF(Entry!U36="",0,IF(Entry!U36=U$3,1,0))</f>
        <v>0</v>
      </c>
      <c r="V36" s="18" t="n">
        <f aca="false">IF(Entry!V36="",0,IF(Entry!V36=V$3,1,0))</f>
        <v>0</v>
      </c>
      <c r="W36" s="18" t="n">
        <f aca="false">IF(Entry!W36="",0,IF(Entry!W36=W$3,1,0))</f>
        <v>0</v>
      </c>
      <c r="X36" s="18" t="n">
        <f aca="false">IF(Entry!X36="",0,IF(Entry!X36=X$3,1,0))</f>
        <v>0</v>
      </c>
      <c r="Y36" s="18" t="n">
        <f aca="false">IF(Entry!Y36="",0,IF(Entry!Y36=Y$3,1,0))</f>
        <v>0</v>
      </c>
      <c r="Z36" s="18" t="n">
        <f aca="false">IF(Entry!Z36="",0,IF(Entry!Z36=Z$3,1,0))</f>
        <v>0</v>
      </c>
      <c r="AA36" s="18" t="n">
        <f aca="false">IF(Entry!AA36="",0,IF(Entry!AA36=AA$3,1,0))</f>
        <v>0</v>
      </c>
      <c r="AB36" s="18" t="n">
        <f aca="false">IF(Entry!AB36="",0,IF(Entry!AB36=AB$3,1,0))</f>
        <v>0</v>
      </c>
      <c r="AC36" s="18" t="n">
        <f aca="false">IF(Entry!AC36="",0,IF(Entry!AC36=AC$3,1,0))</f>
        <v>0</v>
      </c>
      <c r="AD36" s="18" t="n">
        <f aca="false">IF(Entry!AD36="",0,IF(Entry!AD36=AD$3,1,0))</f>
        <v>0</v>
      </c>
      <c r="AE36" s="18" t="n">
        <f aca="false">IF(Entry!AE36="",0,IF(Entry!AE36=AE$3,1,0))</f>
        <v>0</v>
      </c>
      <c r="AF36" s="18" t="n">
        <f aca="false">IF(Entry!AF36="",0,IF(Entry!AF36=AF$3,1,0))</f>
        <v>0</v>
      </c>
      <c r="AG36" s="18" t="n">
        <f aca="false">IF(Entry!AG36="",0,IF(Entry!AG36=AG$3,1,0))</f>
        <v>0</v>
      </c>
      <c r="AH36" s="18" t="n">
        <f aca="false">IF(Entry!AH36="",0,IF(Entry!AH36=AH$3,1,0))</f>
        <v>0</v>
      </c>
      <c r="AI36" s="18" t="n">
        <f aca="false">IF(Entry!AI36="",0,IF(Entry!AI36=AI$3,1,0))</f>
        <v>0</v>
      </c>
      <c r="AJ36" s="18" t="n">
        <f aca="false">IF(Entry!AJ36="",0,IF(Entry!AJ36=AJ$3,1,0))</f>
        <v>0</v>
      </c>
      <c r="AK36" s="18" t="n">
        <f aca="false">IF(Entry!AK36="",0,IF(Entry!AK36=AK$3,1,0))</f>
        <v>0</v>
      </c>
      <c r="AL36" s="18" t="n">
        <f aca="false">IF(Entry!AL36="",0,IF(Entry!AL36=AL$3,1,0))</f>
        <v>0</v>
      </c>
      <c r="AM36" s="18" t="n">
        <f aca="false">IF(Entry!AM36="",0,IF(Entry!AM36=AM$3,1,0))</f>
        <v>0</v>
      </c>
      <c r="AN36" s="18" t="n">
        <f aca="false">IF(Entry!AN36="",0,IF(Entry!AN36=AN$3,1,0))</f>
        <v>0</v>
      </c>
      <c r="AO36" s="18" t="n">
        <f aca="false">IF(Entry!AO36="",0,IF(Entry!AO36=AO$3,1,0))</f>
        <v>0</v>
      </c>
      <c r="AP36" s="18" t="n">
        <f aca="false">IF(Entry!AP36="",0,IF(Entry!AP36=AP$3,1,0))</f>
        <v>0</v>
      </c>
      <c r="AQ36" s="18" t="n">
        <f aca="false">IF(Entry!AQ36="",0,IF(Entry!AQ36=AQ$3,1,0))</f>
        <v>0</v>
      </c>
      <c r="AR36" s="18" t="n">
        <f aca="false">IF(Entry!AR36="",0,IF(Entry!AR36=AR$3,1,0))</f>
        <v>0</v>
      </c>
      <c r="AS36" s="18" t="n">
        <f aca="false">IF(Entry!AS36="",0,IF(Entry!AS36=AS$3,1,0))</f>
        <v>0</v>
      </c>
      <c r="AT36" s="18" t="n">
        <f aca="false">IF(Entry!AT36="",0,IF(Entry!AT36=AT$3,1,0))</f>
        <v>0</v>
      </c>
      <c r="AU36" s="18" t="n">
        <f aca="false">IF(Entry!AU36="",0,IF(Entry!AU36=AU$3,1,0))</f>
        <v>0</v>
      </c>
      <c r="AV36" s="18" t="n">
        <f aca="false">IF(Entry!AV36="",0,IF(Entry!AV36=AV$3,1,0))</f>
        <v>0</v>
      </c>
      <c r="AW36" s="18" t="n">
        <f aca="false">IF(Entry!AW36="",0,IF(Entry!AW36=AW$3,1,0))</f>
        <v>0</v>
      </c>
      <c r="AX36" s="18" t="n">
        <f aca="false">IF(Entry!AX36="",0,IF(Entry!AX36=AX$3,1,0))</f>
        <v>0</v>
      </c>
      <c r="AY36" s="18" t="n">
        <f aca="false">IF(Entry!AY36="",0,IF(Entry!AY36=AY$3,1,0))</f>
        <v>0</v>
      </c>
      <c r="AZ36" s="18" t="n">
        <f aca="false">IF(Entry!AZ36="",0,IF(Entry!AZ36=AZ$3,1,0))</f>
        <v>0</v>
      </c>
      <c r="BA36" s="18" t="n">
        <f aca="false">IF(Entry!BA36="",0,IF(Entry!BA36=BA$3,1,0))</f>
        <v>0</v>
      </c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18" t="n">
        <f aca="false">IF(Entry!BL36="Yes",1,0)</f>
        <v>0</v>
      </c>
      <c r="BM36" s="3"/>
    </row>
    <row r="37" customFormat="false" ht="15" hidden="false" customHeight="false" outlineLevel="0" collapsed="false">
      <c r="A37" s="21" t="str">
        <f aca="false">Entry!A37</f>
        <v>S31</v>
      </c>
      <c r="B37" s="13" t="str">
        <f aca="false">Entry!B37</f>
        <v>TBD</v>
      </c>
      <c r="C37" s="3"/>
      <c r="D37" s="3"/>
      <c r="E37" s="3"/>
      <c r="F37" s="3"/>
      <c r="G37" s="3"/>
      <c r="H37" s="18" t="n">
        <f aca="false">IF(Entry!H37="",0,IF(Entry!H37=H$3,1,0))</f>
        <v>0</v>
      </c>
      <c r="I37" s="18" t="n">
        <f aca="false">IF(Entry!I37="",0,IF(Entry!I37=I$3,1,0))</f>
        <v>0</v>
      </c>
      <c r="J37" s="18" t="n">
        <f aca="false">IF(Entry!J37="",0,IF(Entry!J37=J$3,1,0))</f>
        <v>0</v>
      </c>
      <c r="K37" s="18" t="n">
        <f aca="false">IF(Entry!K37="",0,IF(Entry!K37=K$3,1,0))</f>
        <v>0</v>
      </c>
      <c r="L37" s="18" t="n">
        <f aca="false">IF(Entry!L37="",0,IF(Entry!L37=L$3,1,0))</f>
        <v>0</v>
      </c>
      <c r="M37" s="18" t="n">
        <f aca="false">IF(Entry!M37="",0,IF(Entry!M37=M$3,1,0))</f>
        <v>0</v>
      </c>
      <c r="N37" s="18" t="n">
        <f aca="false">IF(Entry!N37="",0,IF(Entry!N37=N$3,1,0))</f>
        <v>0</v>
      </c>
      <c r="O37" s="18" t="n">
        <f aca="false">IF(Entry!O37="",0,IF(Entry!O37=O$3,1,0))</f>
        <v>0</v>
      </c>
      <c r="P37" s="18" t="n">
        <f aca="false">IF(Entry!P37="",0,IF(Entry!P37=P$3,1,0))</f>
        <v>0</v>
      </c>
      <c r="Q37" s="18" t="n">
        <f aca="false">IF(Entry!Q37="",0,IF(Entry!Q37=Q$3,1,0))</f>
        <v>0</v>
      </c>
      <c r="R37" s="18" t="n">
        <f aca="false">IF(Entry!R37="",0,IF(Entry!R37=R$3,1,0))</f>
        <v>0</v>
      </c>
      <c r="S37" s="18" t="n">
        <f aca="false">IF(Entry!S37="",0,IF(Entry!S37=S$3,1,0))</f>
        <v>0</v>
      </c>
      <c r="T37" s="18" t="n">
        <f aca="false">IF(Entry!T37="",0,IF(Entry!T37=T$3,1,0))</f>
        <v>0</v>
      </c>
      <c r="U37" s="18" t="n">
        <f aca="false">IF(Entry!U37="",0,IF(Entry!U37=U$3,1,0))</f>
        <v>0</v>
      </c>
      <c r="V37" s="18" t="n">
        <f aca="false">IF(Entry!V37="",0,IF(Entry!V37=V$3,1,0))</f>
        <v>0</v>
      </c>
      <c r="W37" s="18" t="n">
        <f aca="false">IF(Entry!W37="",0,IF(Entry!W37=W$3,1,0))</f>
        <v>0</v>
      </c>
      <c r="X37" s="18" t="n">
        <f aca="false">IF(Entry!X37="",0,IF(Entry!X37=X$3,1,0))</f>
        <v>0</v>
      </c>
      <c r="Y37" s="18" t="n">
        <f aca="false">IF(Entry!Y37="",0,IF(Entry!Y37=Y$3,1,0))</f>
        <v>0</v>
      </c>
      <c r="Z37" s="18" t="n">
        <f aca="false">IF(Entry!Z37="",0,IF(Entry!Z37=Z$3,1,0))</f>
        <v>0</v>
      </c>
      <c r="AA37" s="18" t="n">
        <f aca="false">IF(Entry!AA37="",0,IF(Entry!AA37=AA$3,1,0))</f>
        <v>0</v>
      </c>
      <c r="AB37" s="18" t="n">
        <f aca="false">IF(Entry!AB37="",0,IF(Entry!AB37=AB$3,1,0))</f>
        <v>0</v>
      </c>
      <c r="AC37" s="18" t="n">
        <f aca="false">IF(Entry!AC37="",0,IF(Entry!AC37=AC$3,1,0))</f>
        <v>0</v>
      </c>
      <c r="AD37" s="18" t="n">
        <f aca="false">IF(Entry!AD37="",0,IF(Entry!AD37=AD$3,1,0))</f>
        <v>0</v>
      </c>
      <c r="AE37" s="18" t="n">
        <f aca="false">IF(Entry!AE37="",0,IF(Entry!AE37=AE$3,1,0))</f>
        <v>0</v>
      </c>
      <c r="AF37" s="18" t="n">
        <f aca="false">IF(Entry!AF37="",0,IF(Entry!AF37=AF$3,1,0))</f>
        <v>0</v>
      </c>
      <c r="AG37" s="18" t="n">
        <f aca="false">IF(Entry!AG37="",0,IF(Entry!AG37=AG$3,1,0))</f>
        <v>0</v>
      </c>
      <c r="AH37" s="18" t="n">
        <f aca="false">IF(Entry!AH37="",0,IF(Entry!AH37=AH$3,1,0))</f>
        <v>0</v>
      </c>
      <c r="AI37" s="18" t="n">
        <f aca="false">IF(Entry!AI37="",0,IF(Entry!AI37=AI$3,1,0))</f>
        <v>0</v>
      </c>
      <c r="AJ37" s="18" t="n">
        <f aca="false">IF(Entry!AJ37="",0,IF(Entry!AJ37=AJ$3,1,0))</f>
        <v>0</v>
      </c>
      <c r="AK37" s="18" t="n">
        <f aca="false">IF(Entry!AK37="",0,IF(Entry!AK37=AK$3,1,0))</f>
        <v>0</v>
      </c>
      <c r="AL37" s="18" t="n">
        <f aca="false">IF(Entry!AL37="",0,IF(Entry!AL37=AL$3,1,0))</f>
        <v>0</v>
      </c>
      <c r="AM37" s="18" t="n">
        <f aca="false">IF(Entry!AM37="",0,IF(Entry!AM37=AM$3,1,0))</f>
        <v>0</v>
      </c>
      <c r="AN37" s="18" t="n">
        <f aca="false">IF(Entry!AN37="",0,IF(Entry!AN37=AN$3,1,0))</f>
        <v>0</v>
      </c>
      <c r="AO37" s="18" t="n">
        <f aca="false">IF(Entry!AO37="",0,IF(Entry!AO37=AO$3,1,0))</f>
        <v>0</v>
      </c>
      <c r="AP37" s="18" t="n">
        <f aca="false">IF(Entry!AP37="",0,IF(Entry!AP37=AP$3,1,0))</f>
        <v>0</v>
      </c>
      <c r="AQ37" s="18" t="n">
        <f aca="false">IF(Entry!AQ37="",0,IF(Entry!AQ37=AQ$3,1,0))</f>
        <v>0</v>
      </c>
      <c r="AR37" s="18" t="n">
        <f aca="false">IF(Entry!AR37="",0,IF(Entry!AR37=AR$3,1,0))</f>
        <v>0</v>
      </c>
      <c r="AS37" s="18" t="n">
        <f aca="false">IF(Entry!AS37="",0,IF(Entry!AS37=AS$3,1,0))</f>
        <v>0</v>
      </c>
      <c r="AT37" s="18" t="n">
        <f aca="false">IF(Entry!AT37="",0,IF(Entry!AT37=AT$3,1,0))</f>
        <v>0</v>
      </c>
      <c r="AU37" s="18" t="n">
        <f aca="false">IF(Entry!AU37="",0,IF(Entry!AU37=AU$3,1,0))</f>
        <v>0</v>
      </c>
      <c r="AV37" s="18" t="n">
        <f aca="false">IF(Entry!AV37="",0,IF(Entry!AV37=AV$3,1,0))</f>
        <v>0</v>
      </c>
      <c r="AW37" s="18" t="n">
        <f aca="false">IF(Entry!AW37="",0,IF(Entry!AW37=AW$3,1,0))</f>
        <v>0</v>
      </c>
      <c r="AX37" s="18" t="n">
        <f aca="false">IF(Entry!AX37="",0,IF(Entry!AX37=AX$3,1,0))</f>
        <v>0</v>
      </c>
      <c r="AY37" s="18" t="n">
        <f aca="false">IF(Entry!AY37="",0,IF(Entry!AY37=AY$3,1,0))</f>
        <v>0</v>
      </c>
      <c r="AZ37" s="18" t="n">
        <f aca="false">IF(Entry!AZ37="",0,IF(Entry!AZ37=AZ$3,1,0))</f>
        <v>0</v>
      </c>
      <c r="BA37" s="18" t="n">
        <f aca="false">IF(Entry!BA37="",0,IF(Entry!BA37=BA$3,1,0))</f>
        <v>0</v>
      </c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18" t="n">
        <f aca="false">IF(Entry!BL37="Yes",1,0)</f>
        <v>0</v>
      </c>
      <c r="BM37" s="3"/>
    </row>
    <row r="38" customFormat="false" ht="15" hidden="false" customHeight="false" outlineLevel="0" collapsed="false">
      <c r="A38" s="21" t="str">
        <f aca="false">Entry!A38</f>
        <v>S32</v>
      </c>
      <c r="B38" s="13" t="str">
        <f aca="false">Entry!B38</f>
        <v>TBD</v>
      </c>
      <c r="C38" s="3"/>
      <c r="D38" s="3"/>
      <c r="E38" s="3"/>
      <c r="F38" s="3"/>
      <c r="G38" s="3"/>
      <c r="H38" s="18" t="n">
        <f aca="false">IF(Entry!H38="",0,IF(Entry!H38=H$3,1,0))</f>
        <v>0</v>
      </c>
      <c r="I38" s="18" t="n">
        <f aca="false">IF(Entry!I38="",0,IF(Entry!I38=I$3,1,0))</f>
        <v>0</v>
      </c>
      <c r="J38" s="18" t="n">
        <f aca="false">IF(Entry!J38="",0,IF(Entry!J38=J$3,1,0))</f>
        <v>0</v>
      </c>
      <c r="K38" s="18" t="n">
        <f aca="false">IF(Entry!K38="",0,IF(Entry!K38=K$3,1,0))</f>
        <v>0</v>
      </c>
      <c r="L38" s="18" t="n">
        <f aca="false">IF(Entry!L38="",0,IF(Entry!L38=L$3,1,0))</f>
        <v>0</v>
      </c>
      <c r="M38" s="18" t="n">
        <f aca="false">IF(Entry!M38="",0,IF(Entry!M38=M$3,1,0))</f>
        <v>0</v>
      </c>
      <c r="N38" s="18" t="n">
        <f aca="false">IF(Entry!N38="",0,IF(Entry!N38=N$3,1,0))</f>
        <v>0</v>
      </c>
      <c r="O38" s="18" t="n">
        <f aca="false">IF(Entry!O38="",0,IF(Entry!O38=O$3,1,0))</f>
        <v>0</v>
      </c>
      <c r="P38" s="18" t="n">
        <f aca="false">IF(Entry!P38="",0,IF(Entry!P38=P$3,1,0))</f>
        <v>0</v>
      </c>
      <c r="Q38" s="18" t="n">
        <f aca="false">IF(Entry!Q38="",0,IF(Entry!Q38=Q$3,1,0))</f>
        <v>0</v>
      </c>
      <c r="R38" s="18" t="n">
        <f aca="false">IF(Entry!R38="",0,IF(Entry!R38=R$3,1,0))</f>
        <v>0</v>
      </c>
      <c r="S38" s="18" t="n">
        <f aca="false">IF(Entry!S38="",0,IF(Entry!S38=S$3,1,0))</f>
        <v>0</v>
      </c>
      <c r="T38" s="18" t="n">
        <f aca="false">IF(Entry!T38="",0,IF(Entry!T38=T$3,1,0))</f>
        <v>0</v>
      </c>
      <c r="U38" s="18" t="n">
        <f aca="false">IF(Entry!U38="",0,IF(Entry!U38=U$3,1,0))</f>
        <v>0</v>
      </c>
      <c r="V38" s="18" t="n">
        <f aca="false">IF(Entry!V38="",0,IF(Entry!V38=V$3,1,0))</f>
        <v>0</v>
      </c>
      <c r="W38" s="18" t="n">
        <f aca="false">IF(Entry!W38="",0,IF(Entry!W38=W$3,1,0))</f>
        <v>0</v>
      </c>
      <c r="X38" s="18" t="n">
        <f aca="false">IF(Entry!X38="",0,IF(Entry!X38=X$3,1,0))</f>
        <v>0</v>
      </c>
      <c r="Y38" s="18" t="n">
        <f aca="false">IF(Entry!Y38="",0,IF(Entry!Y38=Y$3,1,0))</f>
        <v>0</v>
      </c>
      <c r="Z38" s="18" t="n">
        <f aca="false">IF(Entry!Z38="",0,IF(Entry!Z38=Z$3,1,0))</f>
        <v>0</v>
      </c>
      <c r="AA38" s="18" t="n">
        <f aca="false">IF(Entry!AA38="",0,IF(Entry!AA38=AA$3,1,0))</f>
        <v>0</v>
      </c>
      <c r="AB38" s="18" t="n">
        <f aca="false">IF(Entry!AB38="",0,IF(Entry!AB38=AB$3,1,0))</f>
        <v>0</v>
      </c>
      <c r="AC38" s="18" t="n">
        <f aca="false">IF(Entry!AC38="",0,IF(Entry!AC38=AC$3,1,0))</f>
        <v>0</v>
      </c>
      <c r="AD38" s="18" t="n">
        <f aca="false">IF(Entry!AD38="",0,IF(Entry!AD38=AD$3,1,0))</f>
        <v>0</v>
      </c>
      <c r="AE38" s="18" t="n">
        <f aca="false">IF(Entry!AE38="",0,IF(Entry!AE38=AE$3,1,0))</f>
        <v>0</v>
      </c>
      <c r="AF38" s="18" t="n">
        <f aca="false">IF(Entry!AF38="",0,IF(Entry!AF38=AF$3,1,0))</f>
        <v>0</v>
      </c>
      <c r="AG38" s="18" t="n">
        <f aca="false">IF(Entry!AG38="",0,IF(Entry!AG38=AG$3,1,0))</f>
        <v>0</v>
      </c>
      <c r="AH38" s="18" t="n">
        <f aca="false">IF(Entry!AH38="",0,IF(Entry!AH38=AH$3,1,0))</f>
        <v>0</v>
      </c>
      <c r="AI38" s="18" t="n">
        <f aca="false">IF(Entry!AI38="",0,IF(Entry!AI38=AI$3,1,0))</f>
        <v>0</v>
      </c>
      <c r="AJ38" s="18" t="n">
        <f aca="false">IF(Entry!AJ38="",0,IF(Entry!AJ38=AJ$3,1,0))</f>
        <v>0</v>
      </c>
      <c r="AK38" s="18" t="n">
        <f aca="false">IF(Entry!AK38="",0,IF(Entry!AK38=AK$3,1,0))</f>
        <v>0</v>
      </c>
      <c r="AL38" s="18" t="n">
        <f aca="false">IF(Entry!AL38="",0,IF(Entry!AL38=AL$3,1,0))</f>
        <v>0</v>
      </c>
      <c r="AM38" s="18" t="n">
        <f aca="false">IF(Entry!AM38="",0,IF(Entry!AM38=AM$3,1,0))</f>
        <v>0</v>
      </c>
      <c r="AN38" s="18" t="n">
        <f aca="false">IF(Entry!AN38="",0,IF(Entry!AN38=AN$3,1,0))</f>
        <v>0</v>
      </c>
      <c r="AO38" s="18" t="n">
        <f aca="false">IF(Entry!AO38="",0,IF(Entry!AO38=AO$3,1,0))</f>
        <v>0</v>
      </c>
      <c r="AP38" s="18" t="n">
        <f aca="false">IF(Entry!AP38="",0,IF(Entry!AP38=AP$3,1,0))</f>
        <v>0</v>
      </c>
      <c r="AQ38" s="18" t="n">
        <f aca="false">IF(Entry!AQ38="",0,IF(Entry!AQ38=AQ$3,1,0))</f>
        <v>0</v>
      </c>
      <c r="AR38" s="18" t="n">
        <f aca="false">IF(Entry!AR38="",0,IF(Entry!AR38=AR$3,1,0))</f>
        <v>0</v>
      </c>
      <c r="AS38" s="18" t="n">
        <f aca="false">IF(Entry!AS38="",0,IF(Entry!AS38=AS$3,1,0))</f>
        <v>0</v>
      </c>
      <c r="AT38" s="18" t="n">
        <f aca="false">IF(Entry!AT38="",0,IF(Entry!AT38=AT$3,1,0))</f>
        <v>0</v>
      </c>
      <c r="AU38" s="18" t="n">
        <f aca="false">IF(Entry!AU38="",0,IF(Entry!AU38=AU$3,1,0))</f>
        <v>0</v>
      </c>
      <c r="AV38" s="18" t="n">
        <f aca="false">IF(Entry!AV38="",0,IF(Entry!AV38=AV$3,1,0))</f>
        <v>0</v>
      </c>
      <c r="AW38" s="18" t="n">
        <f aca="false">IF(Entry!AW38="",0,IF(Entry!AW38=AW$3,1,0))</f>
        <v>0</v>
      </c>
      <c r="AX38" s="18" t="n">
        <f aca="false">IF(Entry!AX38="",0,IF(Entry!AX38=AX$3,1,0))</f>
        <v>0</v>
      </c>
      <c r="AY38" s="18" t="n">
        <f aca="false">IF(Entry!AY38="",0,IF(Entry!AY38=AY$3,1,0))</f>
        <v>0</v>
      </c>
      <c r="AZ38" s="18" t="n">
        <f aca="false">IF(Entry!AZ38="",0,IF(Entry!AZ38=AZ$3,1,0))</f>
        <v>0</v>
      </c>
      <c r="BA38" s="18" t="n">
        <f aca="false">IF(Entry!BA38="",0,IF(Entry!BA38=BA$3,1,0))</f>
        <v>0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18" t="n">
        <f aca="false">IF(Entry!BL38="Yes",1,0)</f>
        <v>0</v>
      </c>
      <c r="BM38" s="3"/>
    </row>
    <row r="39" customFormat="false" ht="15" hidden="false" customHeight="false" outlineLevel="0" collapsed="false">
      <c r="A39" s="21" t="str">
        <f aca="false">Entry!A39</f>
        <v>S33</v>
      </c>
      <c r="B39" s="13" t="str">
        <f aca="false">Entry!B39</f>
        <v>TBD</v>
      </c>
      <c r="C39" s="3"/>
      <c r="D39" s="3"/>
      <c r="E39" s="3"/>
      <c r="F39" s="3"/>
      <c r="G39" s="3"/>
      <c r="H39" s="18" t="n">
        <f aca="false">IF(Entry!H39="",0,IF(Entry!H39=H$3,1,0))</f>
        <v>0</v>
      </c>
      <c r="I39" s="18" t="n">
        <f aca="false">IF(Entry!I39="",0,IF(Entry!I39=I$3,1,0))</f>
        <v>0</v>
      </c>
      <c r="J39" s="18" t="n">
        <f aca="false">IF(Entry!J39="",0,IF(Entry!J39=J$3,1,0))</f>
        <v>0</v>
      </c>
      <c r="K39" s="18" t="n">
        <f aca="false">IF(Entry!K39="",0,IF(Entry!K39=K$3,1,0))</f>
        <v>0</v>
      </c>
      <c r="L39" s="18" t="n">
        <f aca="false">IF(Entry!L39="",0,IF(Entry!L39=L$3,1,0))</f>
        <v>0</v>
      </c>
      <c r="M39" s="18" t="n">
        <f aca="false">IF(Entry!M39="",0,IF(Entry!M39=M$3,1,0))</f>
        <v>0</v>
      </c>
      <c r="N39" s="18" t="n">
        <f aca="false">IF(Entry!N39="",0,IF(Entry!N39=N$3,1,0))</f>
        <v>0</v>
      </c>
      <c r="O39" s="18" t="n">
        <f aca="false">IF(Entry!O39="",0,IF(Entry!O39=O$3,1,0))</f>
        <v>0</v>
      </c>
      <c r="P39" s="18" t="n">
        <f aca="false">IF(Entry!P39="",0,IF(Entry!P39=P$3,1,0))</f>
        <v>0</v>
      </c>
      <c r="Q39" s="18" t="n">
        <f aca="false">IF(Entry!Q39="",0,IF(Entry!Q39=Q$3,1,0))</f>
        <v>0</v>
      </c>
      <c r="R39" s="18" t="n">
        <f aca="false">IF(Entry!R39="",0,IF(Entry!R39=R$3,1,0))</f>
        <v>0</v>
      </c>
      <c r="S39" s="18" t="n">
        <f aca="false">IF(Entry!S39="",0,IF(Entry!S39=S$3,1,0))</f>
        <v>0</v>
      </c>
      <c r="T39" s="18" t="n">
        <f aca="false">IF(Entry!T39="",0,IF(Entry!T39=T$3,1,0))</f>
        <v>0</v>
      </c>
      <c r="U39" s="18" t="n">
        <f aca="false">IF(Entry!U39="",0,IF(Entry!U39=U$3,1,0))</f>
        <v>0</v>
      </c>
      <c r="V39" s="18" t="n">
        <f aca="false">IF(Entry!V39="",0,IF(Entry!V39=V$3,1,0))</f>
        <v>0</v>
      </c>
      <c r="W39" s="18" t="n">
        <f aca="false">IF(Entry!W39="",0,IF(Entry!W39=W$3,1,0))</f>
        <v>0</v>
      </c>
      <c r="X39" s="18" t="n">
        <f aca="false">IF(Entry!X39="",0,IF(Entry!X39=X$3,1,0))</f>
        <v>0</v>
      </c>
      <c r="Y39" s="18" t="n">
        <f aca="false">IF(Entry!Y39="",0,IF(Entry!Y39=Y$3,1,0))</f>
        <v>0</v>
      </c>
      <c r="Z39" s="18" t="n">
        <f aca="false">IF(Entry!Z39="",0,IF(Entry!Z39=Z$3,1,0))</f>
        <v>0</v>
      </c>
      <c r="AA39" s="18" t="n">
        <f aca="false">IF(Entry!AA39="",0,IF(Entry!AA39=AA$3,1,0))</f>
        <v>0</v>
      </c>
      <c r="AB39" s="18" t="n">
        <f aca="false">IF(Entry!AB39="",0,IF(Entry!AB39=AB$3,1,0))</f>
        <v>0</v>
      </c>
      <c r="AC39" s="18" t="n">
        <f aca="false">IF(Entry!AC39="",0,IF(Entry!AC39=AC$3,1,0))</f>
        <v>0</v>
      </c>
      <c r="AD39" s="18" t="n">
        <f aca="false">IF(Entry!AD39="",0,IF(Entry!AD39=AD$3,1,0))</f>
        <v>0</v>
      </c>
      <c r="AE39" s="18" t="n">
        <f aca="false">IF(Entry!AE39="",0,IF(Entry!AE39=AE$3,1,0))</f>
        <v>0</v>
      </c>
      <c r="AF39" s="18" t="n">
        <f aca="false">IF(Entry!AF39="",0,IF(Entry!AF39=AF$3,1,0))</f>
        <v>0</v>
      </c>
      <c r="AG39" s="18" t="n">
        <f aca="false">IF(Entry!AG39="",0,IF(Entry!AG39=AG$3,1,0))</f>
        <v>0</v>
      </c>
      <c r="AH39" s="18" t="n">
        <f aca="false">IF(Entry!AH39="",0,IF(Entry!AH39=AH$3,1,0))</f>
        <v>0</v>
      </c>
      <c r="AI39" s="18" t="n">
        <f aca="false">IF(Entry!AI39="",0,IF(Entry!AI39=AI$3,1,0))</f>
        <v>0</v>
      </c>
      <c r="AJ39" s="18" t="n">
        <f aca="false">IF(Entry!AJ39="",0,IF(Entry!AJ39=AJ$3,1,0))</f>
        <v>0</v>
      </c>
      <c r="AK39" s="18" t="n">
        <f aca="false">IF(Entry!AK39="",0,IF(Entry!AK39=AK$3,1,0))</f>
        <v>0</v>
      </c>
      <c r="AL39" s="18" t="n">
        <f aca="false">IF(Entry!AL39="",0,IF(Entry!AL39=AL$3,1,0))</f>
        <v>0</v>
      </c>
      <c r="AM39" s="18" t="n">
        <f aca="false">IF(Entry!AM39="",0,IF(Entry!AM39=AM$3,1,0))</f>
        <v>0</v>
      </c>
      <c r="AN39" s="18" t="n">
        <f aca="false">IF(Entry!AN39="",0,IF(Entry!AN39=AN$3,1,0))</f>
        <v>0</v>
      </c>
      <c r="AO39" s="18" t="n">
        <f aca="false">IF(Entry!AO39="",0,IF(Entry!AO39=AO$3,1,0))</f>
        <v>0</v>
      </c>
      <c r="AP39" s="18" t="n">
        <f aca="false">IF(Entry!AP39="",0,IF(Entry!AP39=AP$3,1,0))</f>
        <v>0</v>
      </c>
      <c r="AQ39" s="18" t="n">
        <f aca="false">IF(Entry!AQ39="",0,IF(Entry!AQ39=AQ$3,1,0))</f>
        <v>0</v>
      </c>
      <c r="AR39" s="18" t="n">
        <f aca="false">IF(Entry!AR39="",0,IF(Entry!AR39=AR$3,1,0))</f>
        <v>0</v>
      </c>
      <c r="AS39" s="18" t="n">
        <f aca="false">IF(Entry!AS39="",0,IF(Entry!AS39=AS$3,1,0))</f>
        <v>0</v>
      </c>
      <c r="AT39" s="18" t="n">
        <f aca="false">IF(Entry!AT39="",0,IF(Entry!AT39=AT$3,1,0))</f>
        <v>0</v>
      </c>
      <c r="AU39" s="18" t="n">
        <f aca="false">IF(Entry!AU39="",0,IF(Entry!AU39=AU$3,1,0))</f>
        <v>0</v>
      </c>
      <c r="AV39" s="18" t="n">
        <f aca="false">IF(Entry!AV39="",0,IF(Entry!AV39=AV$3,1,0))</f>
        <v>0</v>
      </c>
      <c r="AW39" s="18" t="n">
        <f aca="false">IF(Entry!AW39="",0,IF(Entry!AW39=AW$3,1,0))</f>
        <v>0</v>
      </c>
      <c r="AX39" s="18" t="n">
        <f aca="false">IF(Entry!AX39="",0,IF(Entry!AX39=AX$3,1,0))</f>
        <v>0</v>
      </c>
      <c r="AY39" s="18" t="n">
        <f aca="false">IF(Entry!AY39="",0,IF(Entry!AY39=AY$3,1,0))</f>
        <v>0</v>
      </c>
      <c r="AZ39" s="18" t="n">
        <f aca="false">IF(Entry!AZ39="",0,IF(Entry!AZ39=AZ$3,1,0))</f>
        <v>0</v>
      </c>
      <c r="BA39" s="18" t="n">
        <f aca="false">IF(Entry!BA39="",0,IF(Entry!BA39=BA$3,1,0))</f>
        <v>0</v>
      </c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18" t="n">
        <f aca="false">IF(Entry!BL39="Yes",1,0)</f>
        <v>0</v>
      </c>
      <c r="BM39" s="3"/>
    </row>
    <row r="40" customFormat="false" ht="15" hidden="false" customHeight="false" outlineLevel="0" collapsed="false">
      <c r="A40" s="21" t="str">
        <f aca="false">Entry!A40</f>
        <v>S34</v>
      </c>
      <c r="B40" s="13" t="str">
        <f aca="false">Entry!B40</f>
        <v>TBD</v>
      </c>
      <c r="C40" s="3"/>
      <c r="D40" s="3"/>
      <c r="E40" s="3"/>
      <c r="F40" s="3"/>
      <c r="G40" s="3"/>
      <c r="H40" s="18" t="n">
        <f aca="false">IF(Entry!H40="",0,IF(Entry!H40=H$3,1,0))</f>
        <v>0</v>
      </c>
      <c r="I40" s="18" t="n">
        <f aca="false">IF(Entry!I40="",0,IF(Entry!I40=I$3,1,0))</f>
        <v>0</v>
      </c>
      <c r="J40" s="18" t="n">
        <f aca="false">IF(Entry!J40="",0,IF(Entry!J40=J$3,1,0))</f>
        <v>0</v>
      </c>
      <c r="K40" s="18" t="n">
        <f aca="false">IF(Entry!K40="",0,IF(Entry!K40=K$3,1,0))</f>
        <v>0</v>
      </c>
      <c r="L40" s="18" t="n">
        <f aca="false">IF(Entry!L40="",0,IF(Entry!L40=L$3,1,0))</f>
        <v>0</v>
      </c>
      <c r="M40" s="18" t="n">
        <f aca="false">IF(Entry!M40="",0,IF(Entry!M40=M$3,1,0))</f>
        <v>0</v>
      </c>
      <c r="N40" s="18" t="n">
        <f aca="false">IF(Entry!N40="",0,IF(Entry!N40=N$3,1,0))</f>
        <v>0</v>
      </c>
      <c r="O40" s="18" t="n">
        <f aca="false">IF(Entry!O40="",0,IF(Entry!O40=O$3,1,0))</f>
        <v>0</v>
      </c>
      <c r="P40" s="18" t="n">
        <f aca="false">IF(Entry!P40="",0,IF(Entry!P40=P$3,1,0))</f>
        <v>0</v>
      </c>
      <c r="Q40" s="18" t="n">
        <f aca="false">IF(Entry!Q40="",0,IF(Entry!Q40=Q$3,1,0))</f>
        <v>0</v>
      </c>
      <c r="R40" s="18" t="n">
        <f aca="false">IF(Entry!R40="",0,IF(Entry!R40=R$3,1,0))</f>
        <v>0</v>
      </c>
      <c r="S40" s="18" t="n">
        <f aca="false">IF(Entry!S40="",0,IF(Entry!S40=S$3,1,0))</f>
        <v>0</v>
      </c>
      <c r="T40" s="18" t="n">
        <f aca="false">IF(Entry!T40="",0,IF(Entry!T40=T$3,1,0))</f>
        <v>0</v>
      </c>
      <c r="U40" s="18" t="n">
        <f aca="false">IF(Entry!U40="",0,IF(Entry!U40=U$3,1,0))</f>
        <v>0</v>
      </c>
      <c r="V40" s="18" t="n">
        <f aca="false">IF(Entry!V40="",0,IF(Entry!V40=V$3,1,0))</f>
        <v>0</v>
      </c>
      <c r="W40" s="18" t="n">
        <f aca="false">IF(Entry!W40="",0,IF(Entry!W40=W$3,1,0))</f>
        <v>0</v>
      </c>
      <c r="X40" s="18" t="n">
        <f aca="false">IF(Entry!X40="",0,IF(Entry!X40=X$3,1,0))</f>
        <v>0</v>
      </c>
      <c r="Y40" s="18" t="n">
        <f aca="false">IF(Entry!Y40="",0,IF(Entry!Y40=Y$3,1,0))</f>
        <v>0</v>
      </c>
      <c r="Z40" s="18" t="n">
        <f aca="false">IF(Entry!Z40="",0,IF(Entry!Z40=Z$3,1,0))</f>
        <v>0</v>
      </c>
      <c r="AA40" s="18" t="n">
        <f aca="false">IF(Entry!AA40="",0,IF(Entry!AA40=AA$3,1,0))</f>
        <v>0</v>
      </c>
      <c r="AB40" s="18" t="n">
        <f aca="false">IF(Entry!AB40="",0,IF(Entry!AB40=AB$3,1,0))</f>
        <v>0</v>
      </c>
      <c r="AC40" s="18" t="n">
        <f aca="false">IF(Entry!AC40="",0,IF(Entry!AC40=AC$3,1,0))</f>
        <v>0</v>
      </c>
      <c r="AD40" s="18" t="n">
        <f aca="false">IF(Entry!AD40="",0,IF(Entry!AD40=AD$3,1,0))</f>
        <v>0</v>
      </c>
      <c r="AE40" s="18" t="n">
        <f aca="false">IF(Entry!AE40="",0,IF(Entry!AE40=AE$3,1,0))</f>
        <v>0</v>
      </c>
      <c r="AF40" s="18" t="n">
        <f aca="false">IF(Entry!AF40="",0,IF(Entry!AF40=AF$3,1,0))</f>
        <v>0</v>
      </c>
      <c r="AG40" s="18" t="n">
        <f aca="false">IF(Entry!AG40="",0,IF(Entry!AG40=AG$3,1,0))</f>
        <v>0</v>
      </c>
      <c r="AH40" s="18" t="n">
        <f aca="false">IF(Entry!AH40="",0,IF(Entry!AH40=AH$3,1,0))</f>
        <v>0</v>
      </c>
      <c r="AI40" s="18" t="n">
        <f aca="false">IF(Entry!AI40="",0,IF(Entry!AI40=AI$3,1,0))</f>
        <v>0</v>
      </c>
      <c r="AJ40" s="18" t="n">
        <f aca="false">IF(Entry!AJ40="",0,IF(Entry!AJ40=AJ$3,1,0))</f>
        <v>0</v>
      </c>
      <c r="AK40" s="18" t="n">
        <f aca="false">IF(Entry!AK40="",0,IF(Entry!AK40=AK$3,1,0))</f>
        <v>0</v>
      </c>
      <c r="AL40" s="18" t="n">
        <f aca="false">IF(Entry!AL40="",0,IF(Entry!AL40=AL$3,1,0))</f>
        <v>0</v>
      </c>
      <c r="AM40" s="18" t="n">
        <f aca="false">IF(Entry!AM40="",0,IF(Entry!AM40=AM$3,1,0))</f>
        <v>0</v>
      </c>
      <c r="AN40" s="18" t="n">
        <f aca="false">IF(Entry!AN40="",0,IF(Entry!AN40=AN$3,1,0))</f>
        <v>0</v>
      </c>
      <c r="AO40" s="18" t="n">
        <f aca="false">IF(Entry!AO40="",0,IF(Entry!AO40=AO$3,1,0))</f>
        <v>0</v>
      </c>
      <c r="AP40" s="18" t="n">
        <f aca="false">IF(Entry!AP40="",0,IF(Entry!AP40=AP$3,1,0))</f>
        <v>0</v>
      </c>
      <c r="AQ40" s="18" t="n">
        <f aca="false">IF(Entry!AQ40="",0,IF(Entry!AQ40=AQ$3,1,0))</f>
        <v>0</v>
      </c>
      <c r="AR40" s="18" t="n">
        <f aca="false">IF(Entry!AR40="",0,IF(Entry!AR40=AR$3,1,0))</f>
        <v>0</v>
      </c>
      <c r="AS40" s="18" t="n">
        <f aca="false">IF(Entry!AS40="",0,IF(Entry!AS40=AS$3,1,0))</f>
        <v>0</v>
      </c>
      <c r="AT40" s="18" t="n">
        <f aca="false">IF(Entry!AT40="",0,IF(Entry!AT40=AT$3,1,0))</f>
        <v>0</v>
      </c>
      <c r="AU40" s="18" t="n">
        <f aca="false">IF(Entry!AU40="",0,IF(Entry!AU40=AU$3,1,0))</f>
        <v>0</v>
      </c>
      <c r="AV40" s="18" t="n">
        <f aca="false">IF(Entry!AV40="",0,IF(Entry!AV40=AV$3,1,0))</f>
        <v>0</v>
      </c>
      <c r="AW40" s="18" t="n">
        <f aca="false">IF(Entry!AW40="",0,IF(Entry!AW40=AW$3,1,0))</f>
        <v>0</v>
      </c>
      <c r="AX40" s="18" t="n">
        <f aca="false">IF(Entry!AX40="",0,IF(Entry!AX40=AX$3,1,0))</f>
        <v>0</v>
      </c>
      <c r="AY40" s="18" t="n">
        <f aca="false">IF(Entry!AY40="",0,IF(Entry!AY40=AY$3,1,0))</f>
        <v>0</v>
      </c>
      <c r="AZ40" s="18" t="n">
        <f aca="false">IF(Entry!AZ40="",0,IF(Entry!AZ40=AZ$3,1,0))</f>
        <v>0</v>
      </c>
      <c r="BA40" s="18" t="n">
        <f aca="false">IF(Entry!BA40="",0,IF(Entry!BA40=BA$3,1,0))</f>
        <v>0</v>
      </c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18" t="n">
        <f aca="false">IF(Entry!BL40="Yes",1,0)</f>
        <v>0</v>
      </c>
      <c r="BM40" s="3"/>
    </row>
    <row r="41" customFormat="false" ht="15" hidden="false" customHeight="false" outlineLevel="0" collapsed="false">
      <c r="A41" s="21" t="str">
        <f aca="false">Entry!A41</f>
        <v>S35</v>
      </c>
      <c r="B41" s="13" t="str">
        <f aca="false">Entry!B41</f>
        <v>TBD</v>
      </c>
      <c r="C41" s="3"/>
      <c r="D41" s="3"/>
      <c r="E41" s="3"/>
      <c r="F41" s="3"/>
      <c r="G41" s="3"/>
      <c r="H41" s="18" t="n">
        <f aca="false">IF(Entry!H41="",0,IF(Entry!H41=H$3,1,0))</f>
        <v>0</v>
      </c>
      <c r="I41" s="18" t="n">
        <f aca="false">IF(Entry!I41="",0,IF(Entry!I41=I$3,1,0))</f>
        <v>0</v>
      </c>
      <c r="J41" s="18" t="n">
        <f aca="false">IF(Entry!J41="",0,IF(Entry!J41=J$3,1,0))</f>
        <v>0</v>
      </c>
      <c r="K41" s="18" t="n">
        <f aca="false">IF(Entry!K41="",0,IF(Entry!K41=K$3,1,0))</f>
        <v>0</v>
      </c>
      <c r="L41" s="18" t="n">
        <f aca="false">IF(Entry!L41="",0,IF(Entry!L41=L$3,1,0))</f>
        <v>0</v>
      </c>
      <c r="M41" s="18" t="n">
        <f aca="false">IF(Entry!M41="",0,IF(Entry!M41=M$3,1,0))</f>
        <v>0</v>
      </c>
      <c r="N41" s="18" t="n">
        <f aca="false">IF(Entry!N41="",0,IF(Entry!N41=N$3,1,0))</f>
        <v>0</v>
      </c>
      <c r="O41" s="18" t="n">
        <f aca="false">IF(Entry!O41="",0,IF(Entry!O41=O$3,1,0))</f>
        <v>0</v>
      </c>
      <c r="P41" s="18" t="n">
        <f aca="false">IF(Entry!P41="",0,IF(Entry!P41=P$3,1,0))</f>
        <v>0</v>
      </c>
      <c r="Q41" s="18" t="n">
        <f aca="false">IF(Entry!Q41="",0,IF(Entry!Q41=Q$3,1,0))</f>
        <v>0</v>
      </c>
      <c r="R41" s="18" t="n">
        <f aca="false">IF(Entry!R41="",0,IF(Entry!R41=R$3,1,0))</f>
        <v>0</v>
      </c>
      <c r="S41" s="18" t="n">
        <f aca="false">IF(Entry!S41="",0,IF(Entry!S41=S$3,1,0))</f>
        <v>0</v>
      </c>
      <c r="T41" s="18" t="n">
        <f aca="false">IF(Entry!T41="",0,IF(Entry!T41=T$3,1,0))</f>
        <v>0</v>
      </c>
      <c r="U41" s="18" t="n">
        <f aca="false">IF(Entry!U41="",0,IF(Entry!U41=U$3,1,0))</f>
        <v>0</v>
      </c>
      <c r="V41" s="18" t="n">
        <f aca="false">IF(Entry!V41="",0,IF(Entry!V41=V$3,1,0))</f>
        <v>0</v>
      </c>
      <c r="W41" s="18" t="n">
        <f aca="false">IF(Entry!W41="",0,IF(Entry!W41=W$3,1,0))</f>
        <v>0</v>
      </c>
      <c r="X41" s="18" t="n">
        <f aca="false">IF(Entry!X41="",0,IF(Entry!X41=X$3,1,0))</f>
        <v>0</v>
      </c>
      <c r="Y41" s="18" t="n">
        <f aca="false">IF(Entry!Y41="",0,IF(Entry!Y41=Y$3,1,0))</f>
        <v>0</v>
      </c>
      <c r="Z41" s="18" t="n">
        <f aca="false">IF(Entry!Z41="",0,IF(Entry!Z41=Z$3,1,0))</f>
        <v>0</v>
      </c>
      <c r="AA41" s="18" t="n">
        <f aca="false">IF(Entry!AA41="",0,IF(Entry!AA41=AA$3,1,0))</f>
        <v>0</v>
      </c>
      <c r="AB41" s="18" t="n">
        <f aca="false">IF(Entry!AB41="",0,IF(Entry!AB41=AB$3,1,0))</f>
        <v>0</v>
      </c>
      <c r="AC41" s="18" t="n">
        <f aca="false">IF(Entry!AC41="",0,IF(Entry!AC41=AC$3,1,0))</f>
        <v>0</v>
      </c>
      <c r="AD41" s="18" t="n">
        <f aca="false">IF(Entry!AD41="",0,IF(Entry!AD41=AD$3,1,0))</f>
        <v>0</v>
      </c>
      <c r="AE41" s="18" t="n">
        <f aca="false">IF(Entry!AE41="",0,IF(Entry!AE41=AE$3,1,0))</f>
        <v>0</v>
      </c>
      <c r="AF41" s="18" t="n">
        <f aca="false">IF(Entry!AF41="",0,IF(Entry!AF41=AF$3,1,0))</f>
        <v>0</v>
      </c>
      <c r="AG41" s="18" t="n">
        <f aca="false">IF(Entry!AG41="",0,IF(Entry!AG41=AG$3,1,0))</f>
        <v>0</v>
      </c>
      <c r="AH41" s="18" t="n">
        <f aca="false">IF(Entry!AH41="",0,IF(Entry!AH41=AH$3,1,0))</f>
        <v>0</v>
      </c>
      <c r="AI41" s="18" t="n">
        <f aca="false">IF(Entry!AI41="",0,IF(Entry!AI41=AI$3,1,0))</f>
        <v>0</v>
      </c>
      <c r="AJ41" s="18" t="n">
        <f aca="false">IF(Entry!AJ41="",0,IF(Entry!AJ41=AJ$3,1,0))</f>
        <v>0</v>
      </c>
      <c r="AK41" s="18" t="n">
        <f aca="false">IF(Entry!AK41="",0,IF(Entry!AK41=AK$3,1,0))</f>
        <v>0</v>
      </c>
      <c r="AL41" s="18" t="n">
        <f aca="false">IF(Entry!AL41="",0,IF(Entry!AL41=AL$3,1,0))</f>
        <v>0</v>
      </c>
      <c r="AM41" s="18" t="n">
        <f aca="false">IF(Entry!AM41="",0,IF(Entry!AM41=AM$3,1,0))</f>
        <v>0</v>
      </c>
      <c r="AN41" s="18" t="n">
        <f aca="false">IF(Entry!AN41="",0,IF(Entry!AN41=AN$3,1,0))</f>
        <v>0</v>
      </c>
      <c r="AO41" s="18" t="n">
        <f aca="false">IF(Entry!AO41="",0,IF(Entry!AO41=AO$3,1,0))</f>
        <v>0</v>
      </c>
      <c r="AP41" s="18" t="n">
        <f aca="false">IF(Entry!AP41="",0,IF(Entry!AP41=AP$3,1,0))</f>
        <v>0</v>
      </c>
      <c r="AQ41" s="18" t="n">
        <f aca="false">IF(Entry!AQ41="",0,IF(Entry!AQ41=AQ$3,1,0))</f>
        <v>0</v>
      </c>
      <c r="AR41" s="18" t="n">
        <f aca="false">IF(Entry!AR41="",0,IF(Entry!AR41=AR$3,1,0))</f>
        <v>0</v>
      </c>
      <c r="AS41" s="18" t="n">
        <f aca="false">IF(Entry!AS41="",0,IF(Entry!AS41=AS$3,1,0))</f>
        <v>0</v>
      </c>
      <c r="AT41" s="18" t="n">
        <f aca="false">IF(Entry!AT41="",0,IF(Entry!AT41=AT$3,1,0))</f>
        <v>0</v>
      </c>
      <c r="AU41" s="18" t="n">
        <f aca="false">IF(Entry!AU41="",0,IF(Entry!AU41=AU$3,1,0))</f>
        <v>0</v>
      </c>
      <c r="AV41" s="18" t="n">
        <f aca="false">IF(Entry!AV41="",0,IF(Entry!AV41=AV$3,1,0))</f>
        <v>0</v>
      </c>
      <c r="AW41" s="18" t="n">
        <f aca="false">IF(Entry!AW41="",0,IF(Entry!AW41=AW$3,1,0))</f>
        <v>0</v>
      </c>
      <c r="AX41" s="18" t="n">
        <f aca="false">IF(Entry!AX41="",0,IF(Entry!AX41=AX$3,1,0))</f>
        <v>0</v>
      </c>
      <c r="AY41" s="18" t="n">
        <f aca="false">IF(Entry!AY41="",0,IF(Entry!AY41=AY$3,1,0))</f>
        <v>0</v>
      </c>
      <c r="AZ41" s="18" t="n">
        <f aca="false">IF(Entry!AZ41="",0,IF(Entry!AZ41=AZ$3,1,0))</f>
        <v>0</v>
      </c>
      <c r="BA41" s="18" t="n">
        <f aca="false">IF(Entry!BA41="",0,IF(Entry!BA41=BA$3,1,0))</f>
        <v>0</v>
      </c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18" t="n">
        <f aca="false">IF(Entry!BL41="Yes",1,0)</f>
        <v>0</v>
      </c>
      <c r="BM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</row>
    <row r="43" customFormat="false" ht="15" hidden="false" customHeight="false" outlineLevel="0" collapsed="false">
      <c r="A43" s="3"/>
      <c r="B43" s="30" t="s">
        <v>446</v>
      </c>
      <c r="C43" s="3"/>
      <c r="D43" s="3"/>
      <c r="E43" s="3"/>
      <c r="F43" s="3"/>
      <c r="G43" s="3"/>
      <c r="H43" s="17" t="str">
        <f aca="false">IF(SUM($BL$7:$BL$41)=0,"",SUMPRODUCT(H7:H41,$BL$7:$BL$41)/SUM($BL$7:$BL$41))</f>
        <v/>
      </c>
      <c r="I43" s="17" t="str">
        <f aca="false">IF(SUM($BL$7:$BL$41)=0,"",SUMPRODUCT(I7:I41,$BL$7:$BL$41)/SUM($BL$7:$BL$41))</f>
        <v/>
      </c>
      <c r="J43" s="17" t="str">
        <f aca="false">IF(SUM($BL$7:$BL$41)=0,"",SUMPRODUCT(J7:J41,$BL$7:$BL$41)/SUM($BL$7:$BL$41))</f>
        <v/>
      </c>
      <c r="K43" s="17" t="str">
        <f aca="false">IF(SUM($BL$7:$BL$41)=0,"",SUMPRODUCT(K7:K41,$BL$7:$BL$41)/SUM($BL$7:$BL$41))</f>
        <v/>
      </c>
      <c r="L43" s="17" t="str">
        <f aca="false">IF(SUM($BL$7:$BL$41)=0,"",SUMPRODUCT(L7:L41,$BL$7:$BL$41)/SUM($BL$7:$BL$41))</f>
        <v/>
      </c>
      <c r="M43" s="17" t="str">
        <f aca="false">IF(SUM($BL$7:$BL$41)=0,"",SUMPRODUCT(M7:M41,$BL$7:$BL$41)/SUM($BL$7:$BL$41))</f>
        <v/>
      </c>
      <c r="N43" s="17" t="str">
        <f aca="false">IF(SUM($BL$7:$BL$41)=0,"",SUMPRODUCT(N7:N41,$BL$7:$BL$41)/SUM($BL$7:$BL$41))</f>
        <v/>
      </c>
      <c r="O43" s="17" t="str">
        <f aca="false">IF(SUM($BL$7:$BL$41)=0,"",SUMPRODUCT(O7:O41,$BL$7:$BL$41)/SUM($BL$7:$BL$41))</f>
        <v/>
      </c>
      <c r="P43" s="17" t="str">
        <f aca="false">IF(SUM($BL$7:$BL$41)=0,"",SUMPRODUCT(P7:P41,$BL$7:$BL$41)/SUM($BL$7:$BL$41))</f>
        <v/>
      </c>
      <c r="Q43" s="17" t="str">
        <f aca="false">IF(SUM($BL$7:$BL$41)=0,"",SUMPRODUCT(Q7:Q41,$BL$7:$BL$41)/SUM($BL$7:$BL$41))</f>
        <v/>
      </c>
      <c r="R43" s="17" t="str">
        <f aca="false">IF(SUM($BL$7:$BL$41)=0,"",SUMPRODUCT(R7:R41,$BL$7:$BL$41)/SUM($BL$7:$BL$41))</f>
        <v/>
      </c>
      <c r="S43" s="17" t="str">
        <f aca="false">IF(SUM($BL$7:$BL$41)=0,"",SUMPRODUCT(S7:S41,$BL$7:$BL$41)/SUM($BL$7:$BL$41))</f>
        <v/>
      </c>
      <c r="T43" s="17" t="str">
        <f aca="false">IF(SUM($BL$7:$BL$41)=0,"",SUMPRODUCT(T7:T41,$BL$7:$BL$41)/SUM($BL$7:$BL$41))</f>
        <v/>
      </c>
      <c r="U43" s="17" t="str">
        <f aca="false">IF(SUM($BL$7:$BL$41)=0,"",SUMPRODUCT(U7:U41,$BL$7:$BL$41)/SUM($BL$7:$BL$41))</f>
        <v/>
      </c>
      <c r="V43" s="17" t="str">
        <f aca="false">IF(SUM($BL$7:$BL$41)=0,"",SUMPRODUCT(V7:V41,$BL$7:$BL$41)/SUM($BL$7:$BL$41))</f>
        <v/>
      </c>
      <c r="W43" s="17" t="str">
        <f aca="false">IF(SUM($BL$7:$BL$41)=0,"",SUMPRODUCT(W7:W41,$BL$7:$BL$41)/SUM($BL$7:$BL$41))</f>
        <v/>
      </c>
      <c r="X43" s="17" t="str">
        <f aca="false">IF(SUM($BL$7:$BL$41)=0,"",SUMPRODUCT(X7:X41,$BL$7:$BL$41)/SUM($BL$7:$BL$41))</f>
        <v/>
      </c>
      <c r="Y43" s="17" t="str">
        <f aca="false">IF(SUM($BL$7:$BL$41)=0,"",SUMPRODUCT(Y7:Y41,$BL$7:$BL$41)/SUM($BL$7:$BL$41))</f>
        <v/>
      </c>
      <c r="Z43" s="17" t="str">
        <f aca="false">IF(SUM($BL$7:$BL$41)=0,"",SUMPRODUCT(Z7:Z41,$BL$7:$BL$41)/SUM($BL$7:$BL$41))</f>
        <v/>
      </c>
      <c r="AA43" s="17" t="str">
        <f aca="false">IF(SUM($BL$7:$BL$41)=0,"",SUMPRODUCT(AA7:AA41,$BL$7:$BL$41)/SUM($BL$7:$BL$41))</f>
        <v/>
      </c>
      <c r="AB43" s="17" t="str">
        <f aca="false">IF(SUM($BL$7:$BL$41)=0,"",SUMPRODUCT(AB7:AB41,$BL$7:$BL$41)/SUM($BL$7:$BL$41))</f>
        <v/>
      </c>
      <c r="AC43" s="17" t="str">
        <f aca="false">IF(SUM($BL$7:$BL$41)=0,"",SUMPRODUCT(AC7:AC41,$BL$7:$BL$41)/SUM($BL$7:$BL$41))</f>
        <v/>
      </c>
      <c r="AD43" s="17" t="str">
        <f aca="false">IF(SUM($BL$7:$BL$41)=0,"",SUMPRODUCT(AD7:AD41,$BL$7:$BL$41)/SUM($BL$7:$BL$41))</f>
        <v/>
      </c>
      <c r="AE43" s="17" t="str">
        <f aca="false">IF(SUM($BL$7:$BL$41)=0,"",SUMPRODUCT(AE7:AE41,$BL$7:$BL$41)/SUM($BL$7:$BL$41))</f>
        <v/>
      </c>
      <c r="AF43" s="17" t="str">
        <f aca="false">IF(SUM($BL$7:$BL$41)=0,"",SUMPRODUCT(AF7:AF41,$BL$7:$BL$41)/SUM($BL$7:$BL$41))</f>
        <v/>
      </c>
      <c r="AG43" s="17" t="str">
        <f aca="false">IF(SUM($BL$7:$BL$41)=0,"",SUMPRODUCT(AG7:AG41,$BL$7:$BL$41)/SUM($BL$7:$BL$41))</f>
        <v/>
      </c>
      <c r="AH43" s="17" t="str">
        <f aca="false">IF(SUM($BL$7:$BL$41)=0,"",SUMPRODUCT(AH7:AH41,$BL$7:$BL$41)/SUM($BL$7:$BL$41))</f>
        <v/>
      </c>
      <c r="AI43" s="17" t="str">
        <f aca="false">IF(SUM($BL$7:$BL$41)=0,"",SUMPRODUCT(AI7:AI41,$BL$7:$BL$41)/SUM($BL$7:$BL$41))</f>
        <v/>
      </c>
      <c r="AJ43" s="17" t="str">
        <f aca="false">IF(SUM($BL$7:$BL$41)=0,"",SUMPRODUCT(AJ7:AJ41,$BL$7:$BL$41)/SUM($BL$7:$BL$41))</f>
        <v/>
      </c>
      <c r="AK43" s="17" t="str">
        <f aca="false">IF(SUM($BL$7:$BL$41)=0,"",SUMPRODUCT(AK7:AK41,$BL$7:$BL$41)/SUM($BL$7:$BL$41))</f>
        <v/>
      </c>
      <c r="AL43" s="17" t="str">
        <f aca="false">IF(SUM($BL$7:$BL$41)=0,"",SUMPRODUCT(AL7:AL41,$BL$7:$BL$41)/SUM($BL$7:$BL$41))</f>
        <v/>
      </c>
      <c r="AM43" s="17" t="str">
        <f aca="false">IF(SUM($BL$7:$BL$41)=0,"",SUMPRODUCT(AM7:AM41,$BL$7:$BL$41)/SUM($BL$7:$BL$41))</f>
        <v/>
      </c>
      <c r="AN43" s="17" t="str">
        <f aca="false">IF(SUM($BL$7:$BL$41)=0,"",SUMPRODUCT(AN7:AN41,$BL$7:$BL$41)/SUM($BL$7:$BL$41))</f>
        <v/>
      </c>
      <c r="AO43" s="17" t="str">
        <f aca="false">IF(SUM($BL$7:$BL$41)=0,"",SUMPRODUCT(AO7:AO41,$BL$7:$BL$41)/SUM($BL$7:$BL$41))</f>
        <v/>
      </c>
      <c r="AP43" s="17" t="str">
        <f aca="false">IF(SUM($BL$7:$BL$41)=0,"",SUMPRODUCT(AP7:AP41,$BL$7:$BL$41)/SUM($BL$7:$BL$41))</f>
        <v/>
      </c>
      <c r="AQ43" s="17" t="str">
        <f aca="false">IF(SUM($BL$7:$BL$41)=0,"",SUMPRODUCT(AQ7:AQ41,$BL$7:$BL$41)/SUM($BL$7:$BL$41))</f>
        <v/>
      </c>
      <c r="AR43" s="17" t="str">
        <f aca="false">IF(SUM($BL$7:$BL$41)=0,"",SUMPRODUCT(AR7:AR41,$BL$7:$BL$41)/SUM($BL$7:$BL$41))</f>
        <v/>
      </c>
      <c r="AS43" s="17" t="str">
        <f aca="false">IF(SUM($BL$7:$BL$41)=0,"",SUMPRODUCT(AS7:AS41,$BL$7:$BL$41)/SUM($BL$7:$BL$41))</f>
        <v/>
      </c>
      <c r="AT43" s="17" t="str">
        <f aca="false">IF(SUM($BL$7:$BL$41)=0,"",SUMPRODUCT(AT7:AT41,$BL$7:$BL$41)/SUM($BL$7:$BL$41))</f>
        <v/>
      </c>
      <c r="AU43" s="17" t="str">
        <f aca="false">IF(SUM($BL$7:$BL$41)=0,"",SUMPRODUCT(AU7:AU41,$BL$7:$BL$41)/SUM($BL$7:$BL$41))</f>
        <v/>
      </c>
      <c r="AV43" s="17" t="str">
        <f aca="false">IF(SUM($BL$7:$BL$41)=0,"",SUMPRODUCT(AV7:AV41,$BL$7:$BL$41)/SUM($BL$7:$BL$41))</f>
        <v/>
      </c>
      <c r="AW43" s="17" t="str">
        <f aca="false">IF(SUM($BL$7:$BL$41)=0,"",SUMPRODUCT(AW7:AW41,$BL$7:$BL$41)/SUM($BL$7:$BL$41))</f>
        <v/>
      </c>
      <c r="AX43" s="17" t="str">
        <f aca="false">IF(SUM($BL$7:$BL$41)=0,"",SUMPRODUCT(AX7:AX41,$BL$7:$BL$41)/SUM($BL$7:$BL$41))</f>
        <v/>
      </c>
      <c r="AY43" s="17" t="str">
        <f aca="false">IF(SUM($BL$7:$BL$41)=0,"",SUMPRODUCT(AY7:AY41,$BL$7:$BL$41)/SUM($BL$7:$BL$41))</f>
        <v/>
      </c>
      <c r="AZ43" s="17" t="str">
        <f aca="false">IF(SUM($BL$7:$BL$41)=0,"",SUMPRODUCT(AZ7:AZ41,$BL$7:$BL$41)/SUM($BL$7:$BL$41))</f>
        <v/>
      </c>
      <c r="BA43" s="17" t="str">
        <f aca="false">IF(SUM($BL$7:$BL$41)=0,"",SUMPRODUCT(BA7:BA41,$BL$7:$BL$41)/SUM($BL$7:$BL$41))</f>
        <v/>
      </c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6" min="4" style="1" width="9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3" min="11" style="1" width="8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9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8"/>
    <col collapsed="false" customWidth="true" hidden="false" outlineLevel="0" max="20" min="20" style="1" width="9"/>
    <col collapsed="false" customWidth="true" hidden="false" outlineLevel="0" max="21" min="21" style="1" width="8"/>
    <col collapsed="false" customWidth="true" hidden="false" outlineLevel="0" max="22" min="22" style="1" width="9"/>
    <col collapsed="false" customWidth="true" hidden="false" outlineLevel="0" max="24" min="23" style="1" width="8"/>
    <col collapsed="false" customWidth="true" hidden="false" outlineLevel="0" max="26" min="25" style="1" width="10"/>
    <col collapsed="false" customWidth="true" hidden="false" outlineLevel="0" max="27" min="27" style="1" width="12"/>
    <col collapsed="false" customWidth="true" hidden="false" outlineLevel="0" max="28" min="28" style="1" width="44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27.75" hidden="false" customHeight="true" outlineLevel="0" collapsed="false">
      <c r="A2" s="3"/>
      <c r="B2" s="4" t="s">
        <v>447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" hidden="false" customHeight="false" outlineLevel="0" collapsed="false">
      <c r="A3" s="3"/>
      <c r="B3" s="5" t="s">
        <v>448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" hidden="false" customHeight="true" outlineLevel="0" collapsed="false">
      <c r="A5" s="3"/>
      <c r="B5" s="3"/>
      <c r="C5" s="3"/>
      <c r="D5" s="25" t="s">
        <v>449</v>
      </c>
      <c r="E5" s="25"/>
      <c r="F5" s="25"/>
      <c r="G5" s="25"/>
      <c r="H5" s="25"/>
      <c r="I5" s="25"/>
      <c r="J5" s="25"/>
      <c r="K5" s="25" t="s">
        <v>450</v>
      </c>
      <c r="L5" s="25"/>
      <c r="M5" s="25"/>
      <c r="N5" s="25" t="s">
        <v>451</v>
      </c>
      <c r="O5" s="25"/>
      <c r="P5" s="25"/>
      <c r="Q5" s="25"/>
      <c r="R5" s="25"/>
      <c r="S5" s="25"/>
      <c r="T5" s="25"/>
      <c r="U5" s="25"/>
      <c r="V5" s="25"/>
      <c r="W5" s="25"/>
      <c r="X5" s="25" t="s">
        <v>452</v>
      </c>
      <c r="Y5" s="25"/>
      <c r="Z5" s="25"/>
      <c r="AA5" s="25"/>
      <c r="AB5" s="25"/>
    </row>
    <row r="6" customFormat="false" ht="39.75" hidden="false" customHeight="true" outlineLevel="0" collapsed="false">
      <c r="A6" s="12" t="s">
        <v>360</v>
      </c>
      <c r="B6" s="12" t="s">
        <v>361</v>
      </c>
      <c r="C6" s="12" t="s">
        <v>95</v>
      </c>
      <c r="D6" s="12" t="s">
        <v>453</v>
      </c>
      <c r="E6" s="12" t="s">
        <v>454</v>
      </c>
      <c r="F6" s="12" t="s">
        <v>455</v>
      </c>
      <c r="G6" s="12" t="s">
        <v>456</v>
      </c>
      <c r="H6" s="12" t="s">
        <v>457</v>
      </c>
      <c r="I6" s="12" t="s">
        <v>458</v>
      </c>
      <c r="J6" s="12" t="s">
        <v>459</v>
      </c>
      <c r="K6" s="12" t="s">
        <v>460</v>
      </c>
      <c r="L6" s="12" t="s">
        <v>461</v>
      </c>
      <c r="M6" s="12" t="s">
        <v>462</v>
      </c>
      <c r="N6" s="12" t="s">
        <v>463</v>
      </c>
      <c r="O6" s="12" t="s">
        <v>464</v>
      </c>
      <c r="P6" s="12" t="s">
        <v>465</v>
      </c>
      <c r="Q6" s="12" t="s">
        <v>466</v>
      </c>
      <c r="R6" s="12" t="s">
        <v>467</v>
      </c>
      <c r="S6" s="12" t="s">
        <v>468</v>
      </c>
      <c r="T6" s="12" t="s">
        <v>469</v>
      </c>
      <c r="U6" s="12" t="s">
        <v>470</v>
      </c>
      <c r="V6" s="12" t="s">
        <v>471</v>
      </c>
      <c r="W6" s="12" t="s">
        <v>472</v>
      </c>
      <c r="X6" s="12" t="s">
        <v>473</v>
      </c>
      <c r="Y6" s="12" t="s">
        <v>474</v>
      </c>
      <c r="Z6" s="12" t="s">
        <v>475</v>
      </c>
      <c r="AA6" s="12" t="s">
        <v>476</v>
      </c>
      <c r="AB6" s="12" t="s">
        <v>477</v>
      </c>
    </row>
    <row r="7" customFormat="false" ht="15" hidden="false" customHeight="false" outlineLevel="0" collapsed="false">
      <c r="A7" s="21" t="str">
        <f aca="false">Entry!A7</f>
        <v>S01</v>
      </c>
      <c r="B7" s="13" t="str">
        <f aca="false">Entry!B7</f>
        <v>TBD</v>
      </c>
      <c r="C7" s="22" t="str">
        <f aca="false">Entry!BL7</f>
        <v>Pending</v>
      </c>
      <c r="D7" s="17" t="str">
        <f aca="false">IF($C7&lt;&gt;"Yes","Pending",SUM(Scoring!H7:S7)/12)</f>
        <v>Pending</v>
      </c>
      <c r="E7" s="17" t="str">
        <f aca="false">IF($C7&lt;&gt;"Yes","Pending",SUM(Scoring!T7:AA7)/8)</f>
        <v>Pending</v>
      </c>
      <c r="F7" s="17" t="str">
        <f aca="false">IF($C7&lt;&gt;"Yes","Pending",SUM(Scoring!AB7:AI7)/8)</f>
        <v>Pending</v>
      </c>
      <c r="G7" s="17" t="str">
        <f aca="false">IF($C7&lt;&gt;"Yes","Pending",SUM(Scoring!AJ7:AO7)/6)</f>
        <v>Pending</v>
      </c>
      <c r="H7" s="17" t="str">
        <f aca="false">IF($C7&lt;&gt;"Yes","Pending",SUM(Scoring!AP7:BA7)/12)</f>
        <v>Pending</v>
      </c>
      <c r="I7" s="17" t="str">
        <f aca="false">IF($C7&lt;&gt;"Yes","Pending",SUMPRODUCT((Scoring!$H$5:$AO$5=1)*Scoring!H7:AO7)/8)</f>
        <v>Pending</v>
      </c>
      <c r="J7" s="32" t="str">
        <f aca="false">IF($C7&lt;&gt;"Yes","Pending",SUM(Scoring!H7:BA7)/46)</f>
        <v>Pending</v>
      </c>
      <c r="K7" s="17" t="str">
        <f aca="false">IF($C7&lt;&gt;"Yes","Pending",SUMPRODUCT((Scoring!$H$4:$AO$4="L1")*Scoring!H7:AO7)/12)</f>
        <v>Pending</v>
      </c>
      <c r="L7" s="17" t="str">
        <f aca="false">IF($C7&lt;&gt;"Yes","Pending",SUMPRODUCT((Scoring!$H$4:$AO$4="L2")*Scoring!H7:AO7)/15)</f>
        <v>Pending</v>
      </c>
      <c r="M7" s="17" t="str">
        <f aca="false">IF($C7&lt;&gt;"Yes","Pending",SUMPRODUCT((Scoring!$H$4:$AO$4="L3")*Scoring!H7:AO7)/7)</f>
        <v>Pending</v>
      </c>
      <c r="N7" s="18" t="str">
        <f aca="false">IF($C7&lt;&gt;"Yes","Pending",VALUE(Entry!C7))</f>
        <v>Pending</v>
      </c>
      <c r="O7" s="33" t="str">
        <f aca="false">IF($C7&lt;&gt;"Yes","Pending",N7-IF(D7&gt;=Band4,4,IF(D7&gt;=Band3,3,IF(D7&gt;=Band2,2,1))))</f>
        <v>Pending</v>
      </c>
      <c r="P7" s="18" t="str">
        <f aca="false">IF($C7&lt;&gt;"Yes","Pending",VALUE(Entry!D7))</f>
        <v>Pending</v>
      </c>
      <c r="Q7" s="33" t="str">
        <f aca="false">IF($C7&lt;&gt;"Yes","Pending",P7-IF(E7&gt;=Band4,4,IF(E7&gt;=Band3,3,IF(E7&gt;=Band2,2,1))))</f>
        <v>Pending</v>
      </c>
      <c r="R7" s="18" t="str">
        <f aca="false">IF($C7&lt;&gt;"Yes","Pending",VALUE(Entry!E7))</f>
        <v>Pending</v>
      </c>
      <c r="S7" s="33" t="str">
        <f aca="false">IF($C7&lt;&gt;"Yes","Pending",R7-IF(F7&gt;=Band4,4,IF(F7&gt;=Band3,3,IF(F7&gt;=Band2,2,1))))</f>
        <v>Pending</v>
      </c>
      <c r="T7" s="18" t="str">
        <f aca="false">IF($C7&lt;&gt;"Yes","Pending",VALUE(Entry!F7))</f>
        <v>Pending</v>
      </c>
      <c r="U7" s="33" t="str">
        <f aca="false">IF($C7&lt;&gt;"Yes","Pending",T7-IF(G7&gt;=Band4,4,IF(G7&gt;=Band3,3,IF(G7&gt;=Band2,2,1))))</f>
        <v>Pending</v>
      </c>
      <c r="V7" s="18" t="str">
        <f aca="false">IF($C7&lt;&gt;"Yes","Pending",VALUE(Entry!G7))</f>
        <v>Pending</v>
      </c>
      <c r="W7" s="33" t="str">
        <f aca="false">IF($C7&lt;&gt;"Yes","Pending",V7-IF(I7&gt;=Band4,4,IF(I7&gt;=Band3,3,IF(I7&gt;=Band2,2,1))))</f>
        <v>Pending</v>
      </c>
      <c r="X7" s="20" t="str">
        <f aca="false">IF($C7&lt;&gt;"Yes","Pending",AVERAGE(O7,Q7,S7,U7,W7))</f>
        <v>Pending</v>
      </c>
      <c r="Y7" s="21" t="str">
        <f aca="false">IF($C7&lt;&gt;"Yes","Pending",IF(D7&lt;PyCut,"Full","Light"))</f>
        <v>Pending</v>
      </c>
      <c r="Z7" s="21" t="str">
        <f aca="false">IF($C7&lt;&gt;"Yes","Pending",IF(E7&lt;SqlCut,"Full","Light"))</f>
        <v>Pending</v>
      </c>
      <c r="AA7" s="22" t="str">
        <f aca="false">IF($C7&lt;&gt;"Yes","Pending",IF(X7&gt;=1,"Over-claims",IF(X7&lt;=-1,"Under-claims","Calibrated")))</f>
        <v>Pending</v>
      </c>
      <c r="AB7" s="13" t="str">
        <f aca="false">IF($C7&lt;&gt;"Yes","Pending","Python "&amp;TEXT(D7,"0%")&amp;", SQL "&amp;TEXT(E7,"0%")&amp;", numbers "&amp;TEXT(F7,"0%")&amp;"; L3 "&amp;TEXT(M7,"0%")&amp;"; "&amp;AA7&amp;"; "&amp;IF(MIN(D7,E7,F7,G7,I7)&gt;=Band4,"no weak area","weakest area: "&amp;INDEX({"Python","SQL","numbers","case","LLM"},MATCH(MIN(D7,E7,F7,G7,I7),CHOOSE({1,2,3,4,5},D7,E7,F7,G7,I7),0))))</f>
        <v>Pending</v>
      </c>
    </row>
    <row r="8" customFormat="false" ht="15" hidden="false" customHeight="false" outlineLevel="0" collapsed="false">
      <c r="A8" s="21" t="str">
        <f aca="false">Entry!A8</f>
        <v>S02</v>
      </c>
      <c r="B8" s="13" t="str">
        <f aca="false">Entry!B8</f>
        <v>TBD</v>
      </c>
      <c r="C8" s="22" t="str">
        <f aca="false">Entry!BL8</f>
        <v>Pending</v>
      </c>
      <c r="D8" s="17" t="str">
        <f aca="false">IF($C8&lt;&gt;"Yes","Pending",SUM(Scoring!H8:S8)/12)</f>
        <v>Pending</v>
      </c>
      <c r="E8" s="17" t="str">
        <f aca="false">IF($C8&lt;&gt;"Yes","Pending",SUM(Scoring!T8:AA8)/8)</f>
        <v>Pending</v>
      </c>
      <c r="F8" s="17" t="str">
        <f aca="false">IF($C8&lt;&gt;"Yes","Pending",SUM(Scoring!AB8:AI8)/8)</f>
        <v>Pending</v>
      </c>
      <c r="G8" s="17" t="str">
        <f aca="false">IF($C8&lt;&gt;"Yes","Pending",SUM(Scoring!AJ8:AO8)/6)</f>
        <v>Pending</v>
      </c>
      <c r="H8" s="17" t="str">
        <f aca="false">IF($C8&lt;&gt;"Yes","Pending",SUM(Scoring!AP8:BA8)/12)</f>
        <v>Pending</v>
      </c>
      <c r="I8" s="17" t="str">
        <f aca="false">IF($C8&lt;&gt;"Yes","Pending",SUMPRODUCT((Scoring!$H$5:$AO$5=1)*Scoring!H8:AO8)/8)</f>
        <v>Pending</v>
      </c>
      <c r="J8" s="32" t="str">
        <f aca="false">IF($C8&lt;&gt;"Yes","Pending",SUM(Scoring!H8:BA8)/46)</f>
        <v>Pending</v>
      </c>
      <c r="K8" s="17" t="str">
        <f aca="false">IF($C8&lt;&gt;"Yes","Pending",SUMPRODUCT((Scoring!$H$4:$AO$4="L1")*Scoring!H8:AO8)/12)</f>
        <v>Pending</v>
      </c>
      <c r="L8" s="17" t="str">
        <f aca="false">IF($C8&lt;&gt;"Yes","Pending",SUMPRODUCT((Scoring!$H$4:$AO$4="L2")*Scoring!H8:AO8)/15)</f>
        <v>Pending</v>
      </c>
      <c r="M8" s="17" t="str">
        <f aca="false">IF($C8&lt;&gt;"Yes","Pending",SUMPRODUCT((Scoring!$H$4:$AO$4="L3")*Scoring!H8:AO8)/7)</f>
        <v>Pending</v>
      </c>
      <c r="N8" s="18" t="str">
        <f aca="false">IF($C8&lt;&gt;"Yes","Pending",VALUE(Entry!C8))</f>
        <v>Pending</v>
      </c>
      <c r="O8" s="33" t="str">
        <f aca="false">IF($C8&lt;&gt;"Yes","Pending",N8-IF(D8&gt;=Band4,4,IF(D8&gt;=Band3,3,IF(D8&gt;=Band2,2,1))))</f>
        <v>Pending</v>
      </c>
      <c r="P8" s="18" t="str">
        <f aca="false">IF($C8&lt;&gt;"Yes","Pending",VALUE(Entry!D8))</f>
        <v>Pending</v>
      </c>
      <c r="Q8" s="33" t="str">
        <f aca="false">IF($C8&lt;&gt;"Yes","Pending",P8-IF(E8&gt;=Band4,4,IF(E8&gt;=Band3,3,IF(E8&gt;=Band2,2,1))))</f>
        <v>Pending</v>
      </c>
      <c r="R8" s="18" t="str">
        <f aca="false">IF($C8&lt;&gt;"Yes","Pending",VALUE(Entry!E8))</f>
        <v>Pending</v>
      </c>
      <c r="S8" s="33" t="str">
        <f aca="false">IF($C8&lt;&gt;"Yes","Pending",R8-IF(F8&gt;=Band4,4,IF(F8&gt;=Band3,3,IF(F8&gt;=Band2,2,1))))</f>
        <v>Pending</v>
      </c>
      <c r="T8" s="18" t="str">
        <f aca="false">IF($C8&lt;&gt;"Yes","Pending",VALUE(Entry!F8))</f>
        <v>Pending</v>
      </c>
      <c r="U8" s="33" t="str">
        <f aca="false">IF($C8&lt;&gt;"Yes","Pending",T8-IF(G8&gt;=Band4,4,IF(G8&gt;=Band3,3,IF(G8&gt;=Band2,2,1))))</f>
        <v>Pending</v>
      </c>
      <c r="V8" s="18" t="str">
        <f aca="false">IF($C8&lt;&gt;"Yes","Pending",VALUE(Entry!G8))</f>
        <v>Pending</v>
      </c>
      <c r="W8" s="33" t="str">
        <f aca="false">IF($C8&lt;&gt;"Yes","Pending",V8-IF(I8&gt;=Band4,4,IF(I8&gt;=Band3,3,IF(I8&gt;=Band2,2,1))))</f>
        <v>Pending</v>
      </c>
      <c r="X8" s="20" t="str">
        <f aca="false">IF($C8&lt;&gt;"Yes","Pending",AVERAGE(O8,Q8,S8,U8,W8))</f>
        <v>Pending</v>
      </c>
      <c r="Y8" s="21" t="str">
        <f aca="false">IF($C8&lt;&gt;"Yes","Pending",IF(D8&lt;PyCut,"Full","Light"))</f>
        <v>Pending</v>
      </c>
      <c r="Z8" s="21" t="str">
        <f aca="false">IF($C8&lt;&gt;"Yes","Pending",IF(E8&lt;SqlCut,"Full","Light"))</f>
        <v>Pending</v>
      </c>
      <c r="AA8" s="22" t="str">
        <f aca="false">IF($C8&lt;&gt;"Yes","Pending",IF(X8&gt;=1,"Over-claims",IF(X8&lt;=-1,"Under-claims","Calibrated")))</f>
        <v>Pending</v>
      </c>
      <c r="AB8" s="13" t="str">
        <f aca="false">IF($C8&lt;&gt;"Yes","Pending","Python "&amp;TEXT(D8,"0%")&amp;", SQL "&amp;TEXT(E8,"0%")&amp;", numbers "&amp;TEXT(F8,"0%")&amp;"; L3 "&amp;TEXT(M8,"0%")&amp;"; "&amp;AA8&amp;"; "&amp;IF(MIN(D8,E8,F8,G8,I8)&gt;=Band4,"no weak area","weakest area: "&amp;INDEX({"Python","SQL","numbers","case","LLM"},MATCH(MIN(D8,E8,F8,G8,I8),CHOOSE({1,2,3,4,5},D8,E8,F8,G8,I8),0))))</f>
        <v>Pending</v>
      </c>
    </row>
    <row r="9" customFormat="false" ht="15" hidden="false" customHeight="false" outlineLevel="0" collapsed="false">
      <c r="A9" s="21" t="str">
        <f aca="false">Entry!A9</f>
        <v>S03</v>
      </c>
      <c r="B9" s="13" t="str">
        <f aca="false">Entry!B9</f>
        <v>TBD</v>
      </c>
      <c r="C9" s="22" t="str">
        <f aca="false">Entry!BL9</f>
        <v>Pending</v>
      </c>
      <c r="D9" s="17" t="str">
        <f aca="false">IF($C9&lt;&gt;"Yes","Pending",SUM(Scoring!H9:S9)/12)</f>
        <v>Pending</v>
      </c>
      <c r="E9" s="17" t="str">
        <f aca="false">IF($C9&lt;&gt;"Yes","Pending",SUM(Scoring!T9:AA9)/8)</f>
        <v>Pending</v>
      </c>
      <c r="F9" s="17" t="str">
        <f aca="false">IF($C9&lt;&gt;"Yes","Pending",SUM(Scoring!AB9:AI9)/8)</f>
        <v>Pending</v>
      </c>
      <c r="G9" s="17" t="str">
        <f aca="false">IF($C9&lt;&gt;"Yes","Pending",SUM(Scoring!AJ9:AO9)/6)</f>
        <v>Pending</v>
      </c>
      <c r="H9" s="17" t="str">
        <f aca="false">IF($C9&lt;&gt;"Yes","Pending",SUM(Scoring!AP9:BA9)/12)</f>
        <v>Pending</v>
      </c>
      <c r="I9" s="17" t="str">
        <f aca="false">IF($C9&lt;&gt;"Yes","Pending",SUMPRODUCT((Scoring!$H$5:$AO$5=1)*Scoring!H9:AO9)/8)</f>
        <v>Pending</v>
      </c>
      <c r="J9" s="32" t="str">
        <f aca="false">IF($C9&lt;&gt;"Yes","Pending",SUM(Scoring!H9:BA9)/46)</f>
        <v>Pending</v>
      </c>
      <c r="K9" s="17" t="str">
        <f aca="false">IF($C9&lt;&gt;"Yes","Pending",SUMPRODUCT((Scoring!$H$4:$AO$4="L1")*Scoring!H9:AO9)/12)</f>
        <v>Pending</v>
      </c>
      <c r="L9" s="17" t="str">
        <f aca="false">IF($C9&lt;&gt;"Yes","Pending",SUMPRODUCT((Scoring!$H$4:$AO$4="L2")*Scoring!H9:AO9)/15)</f>
        <v>Pending</v>
      </c>
      <c r="M9" s="17" t="str">
        <f aca="false">IF($C9&lt;&gt;"Yes","Pending",SUMPRODUCT((Scoring!$H$4:$AO$4="L3")*Scoring!H9:AO9)/7)</f>
        <v>Pending</v>
      </c>
      <c r="N9" s="18" t="str">
        <f aca="false">IF($C9&lt;&gt;"Yes","Pending",VALUE(Entry!C9))</f>
        <v>Pending</v>
      </c>
      <c r="O9" s="33" t="str">
        <f aca="false">IF($C9&lt;&gt;"Yes","Pending",N9-IF(D9&gt;=Band4,4,IF(D9&gt;=Band3,3,IF(D9&gt;=Band2,2,1))))</f>
        <v>Pending</v>
      </c>
      <c r="P9" s="18" t="str">
        <f aca="false">IF($C9&lt;&gt;"Yes","Pending",VALUE(Entry!D9))</f>
        <v>Pending</v>
      </c>
      <c r="Q9" s="33" t="str">
        <f aca="false">IF($C9&lt;&gt;"Yes","Pending",P9-IF(E9&gt;=Band4,4,IF(E9&gt;=Band3,3,IF(E9&gt;=Band2,2,1))))</f>
        <v>Pending</v>
      </c>
      <c r="R9" s="18" t="str">
        <f aca="false">IF($C9&lt;&gt;"Yes","Pending",VALUE(Entry!E9))</f>
        <v>Pending</v>
      </c>
      <c r="S9" s="33" t="str">
        <f aca="false">IF($C9&lt;&gt;"Yes","Pending",R9-IF(F9&gt;=Band4,4,IF(F9&gt;=Band3,3,IF(F9&gt;=Band2,2,1))))</f>
        <v>Pending</v>
      </c>
      <c r="T9" s="18" t="str">
        <f aca="false">IF($C9&lt;&gt;"Yes","Pending",VALUE(Entry!F9))</f>
        <v>Pending</v>
      </c>
      <c r="U9" s="33" t="str">
        <f aca="false">IF($C9&lt;&gt;"Yes","Pending",T9-IF(G9&gt;=Band4,4,IF(G9&gt;=Band3,3,IF(G9&gt;=Band2,2,1))))</f>
        <v>Pending</v>
      </c>
      <c r="V9" s="18" t="str">
        <f aca="false">IF($C9&lt;&gt;"Yes","Pending",VALUE(Entry!G9))</f>
        <v>Pending</v>
      </c>
      <c r="W9" s="33" t="str">
        <f aca="false">IF($C9&lt;&gt;"Yes","Pending",V9-IF(I9&gt;=Band4,4,IF(I9&gt;=Band3,3,IF(I9&gt;=Band2,2,1))))</f>
        <v>Pending</v>
      </c>
      <c r="X9" s="20" t="str">
        <f aca="false">IF($C9&lt;&gt;"Yes","Pending",AVERAGE(O9,Q9,S9,U9,W9))</f>
        <v>Pending</v>
      </c>
      <c r="Y9" s="21" t="str">
        <f aca="false">IF($C9&lt;&gt;"Yes","Pending",IF(D9&lt;PyCut,"Full","Light"))</f>
        <v>Pending</v>
      </c>
      <c r="Z9" s="21" t="str">
        <f aca="false">IF($C9&lt;&gt;"Yes","Pending",IF(E9&lt;SqlCut,"Full","Light"))</f>
        <v>Pending</v>
      </c>
      <c r="AA9" s="22" t="str">
        <f aca="false">IF($C9&lt;&gt;"Yes","Pending",IF(X9&gt;=1,"Over-claims",IF(X9&lt;=-1,"Under-claims","Calibrated")))</f>
        <v>Pending</v>
      </c>
      <c r="AB9" s="13" t="str">
        <f aca="false">IF($C9&lt;&gt;"Yes","Pending","Python "&amp;TEXT(D9,"0%")&amp;", SQL "&amp;TEXT(E9,"0%")&amp;", numbers "&amp;TEXT(F9,"0%")&amp;"; L3 "&amp;TEXT(M9,"0%")&amp;"; "&amp;AA9&amp;"; "&amp;IF(MIN(D9,E9,F9,G9,I9)&gt;=Band4,"no weak area","weakest area: "&amp;INDEX({"Python","SQL","numbers","case","LLM"},MATCH(MIN(D9,E9,F9,G9,I9),CHOOSE({1,2,3,4,5},D9,E9,F9,G9,I9),0))))</f>
        <v>Pending</v>
      </c>
    </row>
    <row r="10" customFormat="false" ht="15" hidden="false" customHeight="false" outlineLevel="0" collapsed="false">
      <c r="A10" s="21" t="str">
        <f aca="false">Entry!A10</f>
        <v>S04</v>
      </c>
      <c r="B10" s="13" t="str">
        <f aca="false">Entry!B10</f>
        <v>TBD</v>
      </c>
      <c r="C10" s="22" t="str">
        <f aca="false">Entry!BL10</f>
        <v>Pending</v>
      </c>
      <c r="D10" s="17" t="str">
        <f aca="false">IF($C10&lt;&gt;"Yes","Pending",SUM(Scoring!H10:S10)/12)</f>
        <v>Pending</v>
      </c>
      <c r="E10" s="17" t="str">
        <f aca="false">IF($C10&lt;&gt;"Yes","Pending",SUM(Scoring!T10:AA10)/8)</f>
        <v>Pending</v>
      </c>
      <c r="F10" s="17" t="str">
        <f aca="false">IF($C10&lt;&gt;"Yes","Pending",SUM(Scoring!AB10:AI10)/8)</f>
        <v>Pending</v>
      </c>
      <c r="G10" s="17" t="str">
        <f aca="false">IF($C10&lt;&gt;"Yes","Pending",SUM(Scoring!AJ10:AO10)/6)</f>
        <v>Pending</v>
      </c>
      <c r="H10" s="17" t="str">
        <f aca="false">IF($C10&lt;&gt;"Yes","Pending",SUM(Scoring!AP10:BA10)/12)</f>
        <v>Pending</v>
      </c>
      <c r="I10" s="17" t="str">
        <f aca="false">IF($C10&lt;&gt;"Yes","Pending",SUMPRODUCT((Scoring!$H$5:$AO$5=1)*Scoring!H10:AO10)/8)</f>
        <v>Pending</v>
      </c>
      <c r="J10" s="32" t="str">
        <f aca="false">IF($C10&lt;&gt;"Yes","Pending",SUM(Scoring!H10:BA10)/46)</f>
        <v>Pending</v>
      </c>
      <c r="K10" s="17" t="str">
        <f aca="false">IF($C10&lt;&gt;"Yes","Pending",SUMPRODUCT((Scoring!$H$4:$AO$4="L1")*Scoring!H10:AO10)/12)</f>
        <v>Pending</v>
      </c>
      <c r="L10" s="17" t="str">
        <f aca="false">IF($C10&lt;&gt;"Yes","Pending",SUMPRODUCT((Scoring!$H$4:$AO$4="L2")*Scoring!H10:AO10)/15)</f>
        <v>Pending</v>
      </c>
      <c r="M10" s="17" t="str">
        <f aca="false">IF($C10&lt;&gt;"Yes","Pending",SUMPRODUCT((Scoring!$H$4:$AO$4="L3")*Scoring!H10:AO10)/7)</f>
        <v>Pending</v>
      </c>
      <c r="N10" s="18" t="str">
        <f aca="false">IF($C10&lt;&gt;"Yes","Pending",VALUE(Entry!C10))</f>
        <v>Pending</v>
      </c>
      <c r="O10" s="33" t="str">
        <f aca="false">IF($C10&lt;&gt;"Yes","Pending",N10-IF(D10&gt;=Band4,4,IF(D10&gt;=Band3,3,IF(D10&gt;=Band2,2,1))))</f>
        <v>Pending</v>
      </c>
      <c r="P10" s="18" t="str">
        <f aca="false">IF($C10&lt;&gt;"Yes","Pending",VALUE(Entry!D10))</f>
        <v>Pending</v>
      </c>
      <c r="Q10" s="33" t="str">
        <f aca="false">IF($C10&lt;&gt;"Yes","Pending",P10-IF(E10&gt;=Band4,4,IF(E10&gt;=Band3,3,IF(E10&gt;=Band2,2,1))))</f>
        <v>Pending</v>
      </c>
      <c r="R10" s="18" t="str">
        <f aca="false">IF($C10&lt;&gt;"Yes","Pending",VALUE(Entry!E10))</f>
        <v>Pending</v>
      </c>
      <c r="S10" s="33" t="str">
        <f aca="false">IF($C10&lt;&gt;"Yes","Pending",R10-IF(F10&gt;=Band4,4,IF(F10&gt;=Band3,3,IF(F10&gt;=Band2,2,1))))</f>
        <v>Pending</v>
      </c>
      <c r="T10" s="18" t="str">
        <f aca="false">IF($C10&lt;&gt;"Yes","Pending",VALUE(Entry!F10))</f>
        <v>Pending</v>
      </c>
      <c r="U10" s="33" t="str">
        <f aca="false">IF($C10&lt;&gt;"Yes","Pending",T10-IF(G10&gt;=Band4,4,IF(G10&gt;=Band3,3,IF(G10&gt;=Band2,2,1))))</f>
        <v>Pending</v>
      </c>
      <c r="V10" s="18" t="str">
        <f aca="false">IF($C10&lt;&gt;"Yes","Pending",VALUE(Entry!G10))</f>
        <v>Pending</v>
      </c>
      <c r="W10" s="33" t="str">
        <f aca="false">IF($C10&lt;&gt;"Yes","Pending",V10-IF(I10&gt;=Band4,4,IF(I10&gt;=Band3,3,IF(I10&gt;=Band2,2,1))))</f>
        <v>Pending</v>
      </c>
      <c r="X10" s="20" t="str">
        <f aca="false">IF($C10&lt;&gt;"Yes","Pending",AVERAGE(O10,Q10,S10,U10,W10))</f>
        <v>Pending</v>
      </c>
      <c r="Y10" s="21" t="str">
        <f aca="false">IF($C10&lt;&gt;"Yes","Pending",IF(D10&lt;PyCut,"Full","Light"))</f>
        <v>Pending</v>
      </c>
      <c r="Z10" s="21" t="str">
        <f aca="false">IF($C10&lt;&gt;"Yes","Pending",IF(E10&lt;SqlCut,"Full","Light"))</f>
        <v>Pending</v>
      </c>
      <c r="AA10" s="22" t="str">
        <f aca="false">IF($C10&lt;&gt;"Yes","Pending",IF(X10&gt;=1,"Over-claims",IF(X10&lt;=-1,"Under-claims","Calibrated")))</f>
        <v>Pending</v>
      </c>
      <c r="AB10" s="13" t="str">
        <f aca="false">IF($C10&lt;&gt;"Yes","Pending","Python "&amp;TEXT(D10,"0%")&amp;", SQL "&amp;TEXT(E10,"0%")&amp;", numbers "&amp;TEXT(F10,"0%")&amp;"; L3 "&amp;TEXT(M10,"0%")&amp;"; "&amp;AA10&amp;"; "&amp;IF(MIN(D10,E10,F10,G10,I10)&gt;=Band4,"no weak area","weakest area: "&amp;INDEX({"Python","SQL","numbers","case","LLM"},MATCH(MIN(D10,E10,F10,G10,I10),CHOOSE({1,2,3,4,5},D10,E10,F10,G10,I10),0))))</f>
        <v>Pending</v>
      </c>
    </row>
    <row r="11" customFormat="false" ht="15" hidden="false" customHeight="false" outlineLevel="0" collapsed="false">
      <c r="A11" s="21" t="str">
        <f aca="false">Entry!A11</f>
        <v>S05</v>
      </c>
      <c r="B11" s="13" t="str">
        <f aca="false">Entry!B11</f>
        <v>TBD</v>
      </c>
      <c r="C11" s="22" t="str">
        <f aca="false">Entry!BL11</f>
        <v>Pending</v>
      </c>
      <c r="D11" s="17" t="str">
        <f aca="false">IF($C11&lt;&gt;"Yes","Pending",SUM(Scoring!H11:S11)/12)</f>
        <v>Pending</v>
      </c>
      <c r="E11" s="17" t="str">
        <f aca="false">IF($C11&lt;&gt;"Yes","Pending",SUM(Scoring!T11:AA11)/8)</f>
        <v>Pending</v>
      </c>
      <c r="F11" s="17" t="str">
        <f aca="false">IF($C11&lt;&gt;"Yes","Pending",SUM(Scoring!AB11:AI11)/8)</f>
        <v>Pending</v>
      </c>
      <c r="G11" s="17" t="str">
        <f aca="false">IF($C11&lt;&gt;"Yes","Pending",SUM(Scoring!AJ11:AO11)/6)</f>
        <v>Pending</v>
      </c>
      <c r="H11" s="17" t="str">
        <f aca="false">IF($C11&lt;&gt;"Yes","Pending",SUM(Scoring!AP11:BA11)/12)</f>
        <v>Pending</v>
      </c>
      <c r="I11" s="17" t="str">
        <f aca="false">IF($C11&lt;&gt;"Yes","Pending",SUMPRODUCT((Scoring!$H$5:$AO$5=1)*Scoring!H11:AO11)/8)</f>
        <v>Pending</v>
      </c>
      <c r="J11" s="32" t="str">
        <f aca="false">IF($C11&lt;&gt;"Yes","Pending",SUM(Scoring!H11:BA11)/46)</f>
        <v>Pending</v>
      </c>
      <c r="K11" s="17" t="str">
        <f aca="false">IF($C11&lt;&gt;"Yes","Pending",SUMPRODUCT((Scoring!$H$4:$AO$4="L1")*Scoring!H11:AO11)/12)</f>
        <v>Pending</v>
      </c>
      <c r="L11" s="17" t="str">
        <f aca="false">IF($C11&lt;&gt;"Yes","Pending",SUMPRODUCT((Scoring!$H$4:$AO$4="L2")*Scoring!H11:AO11)/15)</f>
        <v>Pending</v>
      </c>
      <c r="M11" s="17" t="str">
        <f aca="false">IF($C11&lt;&gt;"Yes","Pending",SUMPRODUCT((Scoring!$H$4:$AO$4="L3")*Scoring!H11:AO11)/7)</f>
        <v>Pending</v>
      </c>
      <c r="N11" s="18" t="str">
        <f aca="false">IF($C11&lt;&gt;"Yes","Pending",VALUE(Entry!C11))</f>
        <v>Pending</v>
      </c>
      <c r="O11" s="33" t="str">
        <f aca="false">IF($C11&lt;&gt;"Yes","Pending",N11-IF(D11&gt;=Band4,4,IF(D11&gt;=Band3,3,IF(D11&gt;=Band2,2,1))))</f>
        <v>Pending</v>
      </c>
      <c r="P11" s="18" t="str">
        <f aca="false">IF($C11&lt;&gt;"Yes","Pending",VALUE(Entry!D11))</f>
        <v>Pending</v>
      </c>
      <c r="Q11" s="33" t="str">
        <f aca="false">IF($C11&lt;&gt;"Yes","Pending",P11-IF(E11&gt;=Band4,4,IF(E11&gt;=Band3,3,IF(E11&gt;=Band2,2,1))))</f>
        <v>Pending</v>
      </c>
      <c r="R11" s="18" t="str">
        <f aca="false">IF($C11&lt;&gt;"Yes","Pending",VALUE(Entry!E11))</f>
        <v>Pending</v>
      </c>
      <c r="S11" s="33" t="str">
        <f aca="false">IF($C11&lt;&gt;"Yes","Pending",R11-IF(F11&gt;=Band4,4,IF(F11&gt;=Band3,3,IF(F11&gt;=Band2,2,1))))</f>
        <v>Pending</v>
      </c>
      <c r="T11" s="18" t="str">
        <f aca="false">IF($C11&lt;&gt;"Yes","Pending",VALUE(Entry!F11))</f>
        <v>Pending</v>
      </c>
      <c r="U11" s="33" t="str">
        <f aca="false">IF($C11&lt;&gt;"Yes","Pending",T11-IF(G11&gt;=Band4,4,IF(G11&gt;=Band3,3,IF(G11&gt;=Band2,2,1))))</f>
        <v>Pending</v>
      </c>
      <c r="V11" s="18" t="str">
        <f aca="false">IF($C11&lt;&gt;"Yes","Pending",VALUE(Entry!G11))</f>
        <v>Pending</v>
      </c>
      <c r="W11" s="33" t="str">
        <f aca="false">IF($C11&lt;&gt;"Yes","Pending",V11-IF(I11&gt;=Band4,4,IF(I11&gt;=Band3,3,IF(I11&gt;=Band2,2,1))))</f>
        <v>Pending</v>
      </c>
      <c r="X11" s="20" t="str">
        <f aca="false">IF($C11&lt;&gt;"Yes","Pending",AVERAGE(O11,Q11,S11,U11,W11))</f>
        <v>Pending</v>
      </c>
      <c r="Y11" s="21" t="str">
        <f aca="false">IF($C11&lt;&gt;"Yes","Pending",IF(D11&lt;PyCut,"Full","Light"))</f>
        <v>Pending</v>
      </c>
      <c r="Z11" s="21" t="str">
        <f aca="false">IF($C11&lt;&gt;"Yes","Pending",IF(E11&lt;SqlCut,"Full","Light"))</f>
        <v>Pending</v>
      </c>
      <c r="AA11" s="22" t="str">
        <f aca="false">IF($C11&lt;&gt;"Yes","Pending",IF(X11&gt;=1,"Over-claims",IF(X11&lt;=-1,"Under-claims","Calibrated")))</f>
        <v>Pending</v>
      </c>
      <c r="AB11" s="13" t="str">
        <f aca="false">IF($C11&lt;&gt;"Yes","Pending","Python "&amp;TEXT(D11,"0%")&amp;", SQL "&amp;TEXT(E11,"0%")&amp;", numbers "&amp;TEXT(F11,"0%")&amp;"; L3 "&amp;TEXT(M11,"0%")&amp;"; "&amp;AA11&amp;"; "&amp;IF(MIN(D11,E11,F11,G11,I11)&gt;=Band4,"no weak area","weakest area: "&amp;INDEX({"Python","SQL","numbers","case","LLM"},MATCH(MIN(D11,E11,F11,G11,I11),CHOOSE({1,2,3,4,5},D11,E11,F11,G11,I11),0))))</f>
        <v>Pending</v>
      </c>
    </row>
    <row r="12" customFormat="false" ht="15" hidden="false" customHeight="false" outlineLevel="0" collapsed="false">
      <c r="A12" s="21" t="str">
        <f aca="false">Entry!A12</f>
        <v>S06</v>
      </c>
      <c r="B12" s="13" t="str">
        <f aca="false">Entry!B12</f>
        <v>TBD</v>
      </c>
      <c r="C12" s="22" t="str">
        <f aca="false">Entry!BL12</f>
        <v>Pending</v>
      </c>
      <c r="D12" s="17" t="str">
        <f aca="false">IF($C12&lt;&gt;"Yes","Pending",SUM(Scoring!H12:S12)/12)</f>
        <v>Pending</v>
      </c>
      <c r="E12" s="17" t="str">
        <f aca="false">IF($C12&lt;&gt;"Yes","Pending",SUM(Scoring!T12:AA12)/8)</f>
        <v>Pending</v>
      </c>
      <c r="F12" s="17" t="str">
        <f aca="false">IF($C12&lt;&gt;"Yes","Pending",SUM(Scoring!AB12:AI12)/8)</f>
        <v>Pending</v>
      </c>
      <c r="G12" s="17" t="str">
        <f aca="false">IF($C12&lt;&gt;"Yes","Pending",SUM(Scoring!AJ12:AO12)/6)</f>
        <v>Pending</v>
      </c>
      <c r="H12" s="17" t="str">
        <f aca="false">IF($C12&lt;&gt;"Yes","Pending",SUM(Scoring!AP12:BA12)/12)</f>
        <v>Pending</v>
      </c>
      <c r="I12" s="17" t="str">
        <f aca="false">IF($C12&lt;&gt;"Yes","Pending",SUMPRODUCT((Scoring!$H$5:$AO$5=1)*Scoring!H12:AO12)/8)</f>
        <v>Pending</v>
      </c>
      <c r="J12" s="32" t="str">
        <f aca="false">IF($C12&lt;&gt;"Yes","Pending",SUM(Scoring!H12:BA12)/46)</f>
        <v>Pending</v>
      </c>
      <c r="K12" s="17" t="str">
        <f aca="false">IF($C12&lt;&gt;"Yes","Pending",SUMPRODUCT((Scoring!$H$4:$AO$4="L1")*Scoring!H12:AO12)/12)</f>
        <v>Pending</v>
      </c>
      <c r="L12" s="17" t="str">
        <f aca="false">IF($C12&lt;&gt;"Yes","Pending",SUMPRODUCT((Scoring!$H$4:$AO$4="L2")*Scoring!H12:AO12)/15)</f>
        <v>Pending</v>
      </c>
      <c r="M12" s="17" t="str">
        <f aca="false">IF($C12&lt;&gt;"Yes","Pending",SUMPRODUCT((Scoring!$H$4:$AO$4="L3")*Scoring!H12:AO12)/7)</f>
        <v>Pending</v>
      </c>
      <c r="N12" s="18" t="str">
        <f aca="false">IF($C12&lt;&gt;"Yes","Pending",VALUE(Entry!C12))</f>
        <v>Pending</v>
      </c>
      <c r="O12" s="33" t="str">
        <f aca="false">IF($C12&lt;&gt;"Yes","Pending",N12-IF(D12&gt;=Band4,4,IF(D12&gt;=Band3,3,IF(D12&gt;=Band2,2,1))))</f>
        <v>Pending</v>
      </c>
      <c r="P12" s="18" t="str">
        <f aca="false">IF($C12&lt;&gt;"Yes","Pending",VALUE(Entry!D12))</f>
        <v>Pending</v>
      </c>
      <c r="Q12" s="33" t="str">
        <f aca="false">IF($C12&lt;&gt;"Yes","Pending",P12-IF(E12&gt;=Band4,4,IF(E12&gt;=Band3,3,IF(E12&gt;=Band2,2,1))))</f>
        <v>Pending</v>
      </c>
      <c r="R12" s="18" t="str">
        <f aca="false">IF($C12&lt;&gt;"Yes","Pending",VALUE(Entry!E12))</f>
        <v>Pending</v>
      </c>
      <c r="S12" s="33" t="str">
        <f aca="false">IF($C12&lt;&gt;"Yes","Pending",R12-IF(F12&gt;=Band4,4,IF(F12&gt;=Band3,3,IF(F12&gt;=Band2,2,1))))</f>
        <v>Pending</v>
      </c>
      <c r="T12" s="18" t="str">
        <f aca="false">IF($C12&lt;&gt;"Yes","Pending",VALUE(Entry!F12))</f>
        <v>Pending</v>
      </c>
      <c r="U12" s="33" t="str">
        <f aca="false">IF($C12&lt;&gt;"Yes","Pending",T12-IF(G12&gt;=Band4,4,IF(G12&gt;=Band3,3,IF(G12&gt;=Band2,2,1))))</f>
        <v>Pending</v>
      </c>
      <c r="V12" s="18" t="str">
        <f aca="false">IF($C12&lt;&gt;"Yes","Pending",VALUE(Entry!G12))</f>
        <v>Pending</v>
      </c>
      <c r="W12" s="33" t="str">
        <f aca="false">IF($C12&lt;&gt;"Yes","Pending",V12-IF(I12&gt;=Band4,4,IF(I12&gt;=Band3,3,IF(I12&gt;=Band2,2,1))))</f>
        <v>Pending</v>
      </c>
      <c r="X12" s="20" t="str">
        <f aca="false">IF($C12&lt;&gt;"Yes","Pending",AVERAGE(O12,Q12,S12,U12,W12))</f>
        <v>Pending</v>
      </c>
      <c r="Y12" s="21" t="str">
        <f aca="false">IF($C12&lt;&gt;"Yes","Pending",IF(D12&lt;PyCut,"Full","Light"))</f>
        <v>Pending</v>
      </c>
      <c r="Z12" s="21" t="str">
        <f aca="false">IF($C12&lt;&gt;"Yes","Pending",IF(E12&lt;SqlCut,"Full","Light"))</f>
        <v>Pending</v>
      </c>
      <c r="AA12" s="22" t="str">
        <f aca="false">IF($C12&lt;&gt;"Yes","Pending",IF(X12&gt;=1,"Over-claims",IF(X12&lt;=-1,"Under-claims","Calibrated")))</f>
        <v>Pending</v>
      </c>
      <c r="AB12" s="13" t="str">
        <f aca="false">IF($C12&lt;&gt;"Yes","Pending","Python "&amp;TEXT(D12,"0%")&amp;", SQL "&amp;TEXT(E12,"0%")&amp;", numbers "&amp;TEXT(F12,"0%")&amp;"; L3 "&amp;TEXT(M12,"0%")&amp;"; "&amp;AA12&amp;"; "&amp;IF(MIN(D12,E12,F12,G12,I12)&gt;=Band4,"no weak area","weakest area: "&amp;INDEX({"Python","SQL","numbers","case","LLM"},MATCH(MIN(D12,E12,F12,G12,I12),CHOOSE({1,2,3,4,5},D12,E12,F12,G12,I12),0))))</f>
        <v>Pending</v>
      </c>
    </row>
    <row r="13" customFormat="false" ht="15" hidden="false" customHeight="false" outlineLevel="0" collapsed="false">
      <c r="A13" s="21" t="str">
        <f aca="false">Entry!A13</f>
        <v>S07</v>
      </c>
      <c r="B13" s="13" t="str">
        <f aca="false">Entry!B13</f>
        <v>TBD</v>
      </c>
      <c r="C13" s="22" t="str">
        <f aca="false">Entry!BL13</f>
        <v>Pending</v>
      </c>
      <c r="D13" s="17" t="str">
        <f aca="false">IF($C13&lt;&gt;"Yes","Pending",SUM(Scoring!H13:S13)/12)</f>
        <v>Pending</v>
      </c>
      <c r="E13" s="17" t="str">
        <f aca="false">IF($C13&lt;&gt;"Yes","Pending",SUM(Scoring!T13:AA13)/8)</f>
        <v>Pending</v>
      </c>
      <c r="F13" s="17" t="str">
        <f aca="false">IF($C13&lt;&gt;"Yes","Pending",SUM(Scoring!AB13:AI13)/8)</f>
        <v>Pending</v>
      </c>
      <c r="G13" s="17" t="str">
        <f aca="false">IF($C13&lt;&gt;"Yes","Pending",SUM(Scoring!AJ13:AO13)/6)</f>
        <v>Pending</v>
      </c>
      <c r="H13" s="17" t="str">
        <f aca="false">IF($C13&lt;&gt;"Yes","Pending",SUM(Scoring!AP13:BA13)/12)</f>
        <v>Pending</v>
      </c>
      <c r="I13" s="17" t="str">
        <f aca="false">IF($C13&lt;&gt;"Yes","Pending",SUMPRODUCT((Scoring!$H$5:$AO$5=1)*Scoring!H13:AO13)/8)</f>
        <v>Pending</v>
      </c>
      <c r="J13" s="32" t="str">
        <f aca="false">IF($C13&lt;&gt;"Yes","Pending",SUM(Scoring!H13:BA13)/46)</f>
        <v>Pending</v>
      </c>
      <c r="K13" s="17" t="str">
        <f aca="false">IF($C13&lt;&gt;"Yes","Pending",SUMPRODUCT((Scoring!$H$4:$AO$4="L1")*Scoring!H13:AO13)/12)</f>
        <v>Pending</v>
      </c>
      <c r="L13" s="17" t="str">
        <f aca="false">IF($C13&lt;&gt;"Yes","Pending",SUMPRODUCT((Scoring!$H$4:$AO$4="L2")*Scoring!H13:AO13)/15)</f>
        <v>Pending</v>
      </c>
      <c r="M13" s="17" t="str">
        <f aca="false">IF($C13&lt;&gt;"Yes","Pending",SUMPRODUCT((Scoring!$H$4:$AO$4="L3")*Scoring!H13:AO13)/7)</f>
        <v>Pending</v>
      </c>
      <c r="N13" s="18" t="str">
        <f aca="false">IF($C13&lt;&gt;"Yes","Pending",VALUE(Entry!C13))</f>
        <v>Pending</v>
      </c>
      <c r="O13" s="33" t="str">
        <f aca="false">IF($C13&lt;&gt;"Yes","Pending",N13-IF(D13&gt;=Band4,4,IF(D13&gt;=Band3,3,IF(D13&gt;=Band2,2,1))))</f>
        <v>Pending</v>
      </c>
      <c r="P13" s="18" t="str">
        <f aca="false">IF($C13&lt;&gt;"Yes","Pending",VALUE(Entry!D13))</f>
        <v>Pending</v>
      </c>
      <c r="Q13" s="33" t="str">
        <f aca="false">IF($C13&lt;&gt;"Yes","Pending",P13-IF(E13&gt;=Band4,4,IF(E13&gt;=Band3,3,IF(E13&gt;=Band2,2,1))))</f>
        <v>Pending</v>
      </c>
      <c r="R13" s="18" t="str">
        <f aca="false">IF($C13&lt;&gt;"Yes","Pending",VALUE(Entry!E13))</f>
        <v>Pending</v>
      </c>
      <c r="S13" s="33" t="str">
        <f aca="false">IF($C13&lt;&gt;"Yes","Pending",R13-IF(F13&gt;=Band4,4,IF(F13&gt;=Band3,3,IF(F13&gt;=Band2,2,1))))</f>
        <v>Pending</v>
      </c>
      <c r="T13" s="18" t="str">
        <f aca="false">IF($C13&lt;&gt;"Yes","Pending",VALUE(Entry!F13))</f>
        <v>Pending</v>
      </c>
      <c r="U13" s="33" t="str">
        <f aca="false">IF($C13&lt;&gt;"Yes","Pending",T13-IF(G13&gt;=Band4,4,IF(G13&gt;=Band3,3,IF(G13&gt;=Band2,2,1))))</f>
        <v>Pending</v>
      </c>
      <c r="V13" s="18" t="str">
        <f aca="false">IF($C13&lt;&gt;"Yes","Pending",VALUE(Entry!G13))</f>
        <v>Pending</v>
      </c>
      <c r="W13" s="33" t="str">
        <f aca="false">IF($C13&lt;&gt;"Yes","Pending",V13-IF(I13&gt;=Band4,4,IF(I13&gt;=Band3,3,IF(I13&gt;=Band2,2,1))))</f>
        <v>Pending</v>
      </c>
      <c r="X13" s="20" t="str">
        <f aca="false">IF($C13&lt;&gt;"Yes","Pending",AVERAGE(O13,Q13,S13,U13,W13))</f>
        <v>Pending</v>
      </c>
      <c r="Y13" s="21" t="str">
        <f aca="false">IF($C13&lt;&gt;"Yes","Pending",IF(D13&lt;PyCut,"Full","Light"))</f>
        <v>Pending</v>
      </c>
      <c r="Z13" s="21" t="str">
        <f aca="false">IF($C13&lt;&gt;"Yes","Pending",IF(E13&lt;SqlCut,"Full","Light"))</f>
        <v>Pending</v>
      </c>
      <c r="AA13" s="22" t="str">
        <f aca="false">IF($C13&lt;&gt;"Yes","Pending",IF(X13&gt;=1,"Over-claims",IF(X13&lt;=-1,"Under-claims","Calibrated")))</f>
        <v>Pending</v>
      </c>
      <c r="AB13" s="13" t="str">
        <f aca="false">IF($C13&lt;&gt;"Yes","Pending","Python "&amp;TEXT(D13,"0%")&amp;", SQL "&amp;TEXT(E13,"0%")&amp;", numbers "&amp;TEXT(F13,"0%")&amp;"; L3 "&amp;TEXT(M13,"0%")&amp;"; "&amp;AA13&amp;"; "&amp;IF(MIN(D13,E13,F13,G13,I13)&gt;=Band4,"no weak area","weakest area: "&amp;INDEX({"Python","SQL","numbers","case","LLM"},MATCH(MIN(D13,E13,F13,G13,I13),CHOOSE({1,2,3,4,5},D13,E13,F13,G13,I13),0))))</f>
        <v>Pending</v>
      </c>
    </row>
    <row r="14" customFormat="false" ht="15" hidden="false" customHeight="false" outlineLevel="0" collapsed="false">
      <c r="A14" s="21" t="str">
        <f aca="false">Entry!A14</f>
        <v>S08</v>
      </c>
      <c r="B14" s="13" t="str">
        <f aca="false">Entry!B14</f>
        <v>TBD</v>
      </c>
      <c r="C14" s="22" t="str">
        <f aca="false">Entry!BL14</f>
        <v>Pending</v>
      </c>
      <c r="D14" s="17" t="str">
        <f aca="false">IF($C14&lt;&gt;"Yes","Pending",SUM(Scoring!H14:S14)/12)</f>
        <v>Pending</v>
      </c>
      <c r="E14" s="17" t="str">
        <f aca="false">IF($C14&lt;&gt;"Yes","Pending",SUM(Scoring!T14:AA14)/8)</f>
        <v>Pending</v>
      </c>
      <c r="F14" s="17" t="str">
        <f aca="false">IF($C14&lt;&gt;"Yes","Pending",SUM(Scoring!AB14:AI14)/8)</f>
        <v>Pending</v>
      </c>
      <c r="G14" s="17" t="str">
        <f aca="false">IF($C14&lt;&gt;"Yes","Pending",SUM(Scoring!AJ14:AO14)/6)</f>
        <v>Pending</v>
      </c>
      <c r="H14" s="17" t="str">
        <f aca="false">IF($C14&lt;&gt;"Yes","Pending",SUM(Scoring!AP14:BA14)/12)</f>
        <v>Pending</v>
      </c>
      <c r="I14" s="17" t="str">
        <f aca="false">IF($C14&lt;&gt;"Yes","Pending",SUMPRODUCT((Scoring!$H$5:$AO$5=1)*Scoring!H14:AO14)/8)</f>
        <v>Pending</v>
      </c>
      <c r="J14" s="32" t="str">
        <f aca="false">IF($C14&lt;&gt;"Yes","Pending",SUM(Scoring!H14:BA14)/46)</f>
        <v>Pending</v>
      </c>
      <c r="K14" s="17" t="str">
        <f aca="false">IF($C14&lt;&gt;"Yes","Pending",SUMPRODUCT((Scoring!$H$4:$AO$4="L1")*Scoring!H14:AO14)/12)</f>
        <v>Pending</v>
      </c>
      <c r="L14" s="17" t="str">
        <f aca="false">IF($C14&lt;&gt;"Yes","Pending",SUMPRODUCT((Scoring!$H$4:$AO$4="L2")*Scoring!H14:AO14)/15)</f>
        <v>Pending</v>
      </c>
      <c r="M14" s="17" t="str">
        <f aca="false">IF($C14&lt;&gt;"Yes","Pending",SUMPRODUCT((Scoring!$H$4:$AO$4="L3")*Scoring!H14:AO14)/7)</f>
        <v>Pending</v>
      </c>
      <c r="N14" s="18" t="str">
        <f aca="false">IF($C14&lt;&gt;"Yes","Pending",VALUE(Entry!C14))</f>
        <v>Pending</v>
      </c>
      <c r="O14" s="33" t="str">
        <f aca="false">IF($C14&lt;&gt;"Yes","Pending",N14-IF(D14&gt;=Band4,4,IF(D14&gt;=Band3,3,IF(D14&gt;=Band2,2,1))))</f>
        <v>Pending</v>
      </c>
      <c r="P14" s="18" t="str">
        <f aca="false">IF($C14&lt;&gt;"Yes","Pending",VALUE(Entry!D14))</f>
        <v>Pending</v>
      </c>
      <c r="Q14" s="33" t="str">
        <f aca="false">IF($C14&lt;&gt;"Yes","Pending",P14-IF(E14&gt;=Band4,4,IF(E14&gt;=Band3,3,IF(E14&gt;=Band2,2,1))))</f>
        <v>Pending</v>
      </c>
      <c r="R14" s="18" t="str">
        <f aca="false">IF($C14&lt;&gt;"Yes","Pending",VALUE(Entry!E14))</f>
        <v>Pending</v>
      </c>
      <c r="S14" s="33" t="str">
        <f aca="false">IF($C14&lt;&gt;"Yes","Pending",R14-IF(F14&gt;=Band4,4,IF(F14&gt;=Band3,3,IF(F14&gt;=Band2,2,1))))</f>
        <v>Pending</v>
      </c>
      <c r="T14" s="18" t="str">
        <f aca="false">IF($C14&lt;&gt;"Yes","Pending",VALUE(Entry!F14))</f>
        <v>Pending</v>
      </c>
      <c r="U14" s="33" t="str">
        <f aca="false">IF($C14&lt;&gt;"Yes","Pending",T14-IF(G14&gt;=Band4,4,IF(G14&gt;=Band3,3,IF(G14&gt;=Band2,2,1))))</f>
        <v>Pending</v>
      </c>
      <c r="V14" s="18" t="str">
        <f aca="false">IF($C14&lt;&gt;"Yes","Pending",VALUE(Entry!G14))</f>
        <v>Pending</v>
      </c>
      <c r="W14" s="33" t="str">
        <f aca="false">IF($C14&lt;&gt;"Yes","Pending",V14-IF(I14&gt;=Band4,4,IF(I14&gt;=Band3,3,IF(I14&gt;=Band2,2,1))))</f>
        <v>Pending</v>
      </c>
      <c r="X14" s="20" t="str">
        <f aca="false">IF($C14&lt;&gt;"Yes","Pending",AVERAGE(O14,Q14,S14,U14,W14))</f>
        <v>Pending</v>
      </c>
      <c r="Y14" s="21" t="str">
        <f aca="false">IF($C14&lt;&gt;"Yes","Pending",IF(D14&lt;PyCut,"Full","Light"))</f>
        <v>Pending</v>
      </c>
      <c r="Z14" s="21" t="str">
        <f aca="false">IF($C14&lt;&gt;"Yes","Pending",IF(E14&lt;SqlCut,"Full","Light"))</f>
        <v>Pending</v>
      </c>
      <c r="AA14" s="22" t="str">
        <f aca="false">IF($C14&lt;&gt;"Yes","Pending",IF(X14&gt;=1,"Over-claims",IF(X14&lt;=-1,"Under-claims","Calibrated")))</f>
        <v>Pending</v>
      </c>
      <c r="AB14" s="13" t="str">
        <f aca="false">IF($C14&lt;&gt;"Yes","Pending","Python "&amp;TEXT(D14,"0%")&amp;", SQL "&amp;TEXT(E14,"0%")&amp;", numbers "&amp;TEXT(F14,"0%")&amp;"; L3 "&amp;TEXT(M14,"0%")&amp;"; "&amp;AA14&amp;"; "&amp;IF(MIN(D14,E14,F14,G14,I14)&gt;=Band4,"no weak area","weakest area: "&amp;INDEX({"Python","SQL","numbers","case","LLM"},MATCH(MIN(D14,E14,F14,G14,I14),CHOOSE({1,2,3,4,5},D14,E14,F14,G14,I14),0))))</f>
        <v>Pending</v>
      </c>
    </row>
    <row r="15" customFormat="false" ht="15" hidden="false" customHeight="false" outlineLevel="0" collapsed="false">
      <c r="A15" s="21" t="str">
        <f aca="false">Entry!A15</f>
        <v>S09</v>
      </c>
      <c r="B15" s="13" t="str">
        <f aca="false">Entry!B15</f>
        <v>TBD</v>
      </c>
      <c r="C15" s="22" t="str">
        <f aca="false">Entry!BL15</f>
        <v>Pending</v>
      </c>
      <c r="D15" s="17" t="str">
        <f aca="false">IF($C15&lt;&gt;"Yes","Pending",SUM(Scoring!H15:S15)/12)</f>
        <v>Pending</v>
      </c>
      <c r="E15" s="17" t="str">
        <f aca="false">IF($C15&lt;&gt;"Yes","Pending",SUM(Scoring!T15:AA15)/8)</f>
        <v>Pending</v>
      </c>
      <c r="F15" s="17" t="str">
        <f aca="false">IF($C15&lt;&gt;"Yes","Pending",SUM(Scoring!AB15:AI15)/8)</f>
        <v>Pending</v>
      </c>
      <c r="G15" s="17" t="str">
        <f aca="false">IF($C15&lt;&gt;"Yes","Pending",SUM(Scoring!AJ15:AO15)/6)</f>
        <v>Pending</v>
      </c>
      <c r="H15" s="17" t="str">
        <f aca="false">IF($C15&lt;&gt;"Yes","Pending",SUM(Scoring!AP15:BA15)/12)</f>
        <v>Pending</v>
      </c>
      <c r="I15" s="17" t="str">
        <f aca="false">IF($C15&lt;&gt;"Yes","Pending",SUMPRODUCT((Scoring!$H$5:$AO$5=1)*Scoring!H15:AO15)/8)</f>
        <v>Pending</v>
      </c>
      <c r="J15" s="32" t="str">
        <f aca="false">IF($C15&lt;&gt;"Yes","Pending",SUM(Scoring!H15:BA15)/46)</f>
        <v>Pending</v>
      </c>
      <c r="K15" s="17" t="str">
        <f aca="false">IF($C15&lt;&gt;"Yes","Pending",SUMPRODUCT((Scoring!$H$4:$AO$4="L1")*Scoring!H15:AO15)/12)</f>
        <v>Pending</v>
      </c>
      <c r="L15" s="17" t="str">
        <f aca="false">IF($C15&lt;&gt;"Yes","Pending",SUMPRODUCT((Scoring!$H$4:$AO$4="L2")*Scoring!H15:AO15)/15)</f>
        <v>Pending</v>
      </c>
      <c r="M15" s="17" t="str">
        <f aca="false">IF($C15&lt;&gt;"Yes","Pending",SUMPRODUCT((Scoring!$H$4:$AO$4="L3")*Scoring!H15:AO15)/7)</f>
        <v>Pending</v>
      </c>
      <c r="N15" s="18" t="str">
        <f aca="false">IF($C15&lt;&gt;"Yes","Pending",VALUE(Entry!C15))</f>
        <v>Pending</v>
      </c>
      <c r="O15" s="33" t="str">
        <f aca="false">IF($C15&lt;&gt;"Yes","Pending",N15-IF(D15&gt;=Band4,4,IF(D15&gt;=Band3,3,IF(D15&gt;=Band2,2,1))))</f>
        <v>Pending</v>
      </c>
      <c r="P15" s="18" t="str">
        <f aca="false">IF($C15&lt;&gt;"Yes","Pending",VALUE(Entry!D15))</f>
        <v>Pending</v>
      </c>
      <c r="Q15" s="33" t="str">
        <f aca="false">IF($C15&lt;&gt;"Yes","Pending",P15-IF(E15&gt;=Band4,4,IF(E15&gt;=Band3,3,IF(E15&gt;=Band2,2,1))))</f>
        <v>Pending</v>
      </c>
      <c r="R15" s="18" t="str">
        <f aca="false">IF($C15&lt;&gt;"Yes","Pending",VALUE(Entry!E15))</f>
        <v>Pending</v>
      </c>
      <c r="S15" s="33" t="str">
        <f aca="false">IF($C15&lt;&gt;"Yes","Pending",R15-IF(F15&gt;=Band4,4,IF(F15&gt;=Band3,3,IF(F15&gt;=Band2,2,1))))</f>
        <v>Pending</v>
      </c>
      <c r="T15" s="18" t="str">
        <f aca="false">IF($C15&lt;&gt;"Yes","Pending",VALUE(Entry!F15))</f>
        <v>Pending</v>
      </c>
      <c r="U15" s="33" t="str">
        <f aca="false">IF($C15&lt;&gt;"Yes","Pending",T15-IF(G15&gt;=Band4,4,IF(G15&gt;=Band3,3,IF(G15&gt;=Band2,2,1))))</f>
        <v>Pending</v>
      </c>
      <c r="V15" s="18" t="str">
        <f aca="false">IF($C15&lt;&gt;"Yes","Pending",VALUE(Entry!G15))</f>
        <v>Pending</v>
      </c>
      <c r="W15" s="33" t="str">
        <f aca="false">IF($C15&lt;&gt;"Yes","Pending",V15-IF(I15&gt;=Band4,4,IF(I15&gt;=Band3,3,IF(I15&gt;=Band2,2,1))))</f>
        <v>Pending</v>
      </c>
      <c r="X15" s="20" t="str">
        <f aca="false">IF($C15&lt;&gt;"Yes","Pending",AVERAGE(O15,Q15,S15,U15,W15))</f>
        <v>Pending</v>
      </c>
      <c r="Y15" s="21" t="str">
        <f aca="false">IF($C15&lt;&gt;"Yes","Pending",IF(D15&lt;PyCut,"Full","Light"))</f>
        <v>Pending</v>
      </c>
      <c r="Z15" s="21" t="str">
        <f aca="false">IF($C15&lt;&gt;"Yes","Pending",IF(E15&lt;SqlCut,"Full","Light"))</f>
        <v>Pending</v>
      </c>
      <c r="AA15" s="22" t="str">
        <f aca="false">IF($C15&lt;&gt;"Yes","Pending",IF(X15&gt;=1,"Over-claims",IF(X15&lt;=-1,"Under-claims","Calibrated")))</f>
        <v>Pending</v>
      </c>
      <c r="AB15" s="13" t="str">
        <f aca="false">IF($C15&lt;&gt;"Yes","Pending","Python "&amp;TEXT(D15,"0%")&amp;", SQL "&amp;TEXT(E15,"0%")&amp;", numbers "&amp;TEXT(F15,"0%")&amp;"; L3 "&amp;TEXT(M15,"0%")&amp;"; "&amp;AA15&amp;"; "&amp;IF(MIN(D15,E15,F15,G15,I15)&gt;=Band4,"no weak area","weakest area: "&amp;INDEX({"Python","SQL","numbers","case","LLM"},MATCH(MIN(D15,E15,F15,G15,I15),CHOOSE({1,2,3,4,5},D15,E15,F15,G15,I15),0))))</f>
        <v>Pending</v>
      </c>
    </row>
    <row r="16" customFormat="false" ht="15" hidden="false" customHeight="false" outlineLevel="0" collapsed="false">
      <c r="A16" s="21" t="str">
        <f aca="false">Entry!A16</f>
        <v>S10</v>
      </c>
      <c r="B16" s="13" t="str">
        <f aca="false">Entry!B16</f>
        <v>TBD</v>
      </c>
      <c r="C16" s="22" t="str">
        <f aca="false">Entry!BL16</f>
        <v>Pending</v>
      </c>
      <c r="D16" s="17" t="str">
        <f aca="false">IF($C16&lt;&gt;"Yes","Pending",SUM(Scoring!H16:S16)/12)</f>
        <v>Pending</v>
      </c>
      <c r="E16" s="17" t="str">
        <f aca="false">IF($C16&lt;&gt;"Yes","Pending",SUM(Scoring!T16:AA16)/8)</f>
        <v>Pending</v>
      </c>
      <c r="F16" s="17" t="str">
        <f aca="false">IF($C16&lt;&gt;"Yes","Pending",SUM(Scoring!AB16:AI16)/8)</f>
        <v>Pending</v>
      </c>
      <c r="G16" s="17" t="str">
        <f aca="false">IF($C16&lt;&gt;"Yes","Pending",SUM(Scoring!AJ16:AO16)/6)</f>
        <v>Pending</v>
      </c>
      <c r="H16" s="17" t="str">
        <f aca="false">IF($C16&lt;&gt;"Yes","Pending",SUM(Scoring!AP16:BA16)/12)</f>
        <v>Pending</v>
      </c>
      <c r="I16" s="17" t="str">
        <f aca="false">IF($C16&lt;&gt;"Yes","Pending",SUMPRODUCT((Scoring!$H$5:$AO$5=1)*Scoring!H16:AO16)/8)</f>
        <v>Pending</v>
      </c>
      <c r="J16" s="32" t="str">
        <f aca="false">IF($C16&lt;&gt;"Yes","Pending",SUM(Scoring!H16:BA16)/46)</f>
        <v>Pending</v>
      </c>
      <c r="K16" s="17" t="str">
        <f aca="false">IF($C16&lt;&gt;"Yes","Pending",SUMPRODUCT((Scoring!$H$4:$AO$4="L1")*Scoring!H16:AO16)/12)</f>
        <v>Pending</v>
      </c>
      <c r="L16" s="17" t="str">
        <f aca="false">IF($C16&lt;&gt;"Yes","Pending",SUMPRODUCT((Scoring!$H$4:$AO$4="L2")*Scoring!H16:AO16)/15)</f>
        <v>Pending</v>
      </c>
      <c r="M16" s="17" t="str">
        <f aca="false">IF($C16&lt;&gt;"Yes","Pending",SUMPRODUCT((Scoring!$H$4:$AO$4="L3")*Scoring!H16:AO16)/7)</f>
        <v>Pending</v>
      </c>
      <c r="N16" s="18" t="str">
        <f aca="false">IF($C16&lt;&gt;"Yes","Pending",VALUE(Entry!C16))</f>
        <v>Pending</v>
      </c>
      <c r="O16" s="33" t="str">
        <f aca="false">IF($C16&lt;&gt;"Yes","Pending",N16-IF(D16&gt;=Band4,4,IF(D16&gt;=Band3,3,IF(D16&gt;=Band2,2,1))))</f>
        <v>Pending</v>
      </c>
      <c r="P16" s="18" t="str">
        <f aca="false">IF($C16&lt;&gt;"Yes","Pending",VALUE(Entry!D16))</f>
        <v>Pending</v>
      </c>
      <c r="Q16" s="33" t="str">
        <f aca="false">IF($C16&lt;&gt;"Yes","Pending",P16-IF(E16&gt;=Band4,4,IF(E16&gt;=Band3,3,IF(E16&gt;=Band2,2,1))))</f>
        <v>Pending</v>
      </c>
      <c r="R16" s="18" t="str">
        <f aca="false">IF($C16&lt;&gt;"Yes","Pending",VALUE(Entry!E16))</f>
        <v>Pending</v>
      </c>
      <c r="S16" s="33" t="str">
        <f aca="false">IF($C16&lt;&gt;"Yes","Pending",R16-IF(F16&gt;=Band4,4,IF(F16&gt;=Band3,3,IF(F16&gt;=Band2,2,1))))</f>
        <v>Pending</v>
      </c>
      <c r="T16" s="18" t="str">
        <f aca="false">IF($C16&lt;&gt;"Yes","Pending",VALUE(Entry!F16))</f>
        <v>Pending</v>
      </c>
      <c r="U16" s="33" t="str">
        <f aca="false">IF($C16&lt;&gt;"Yes","Pending",T16-IF(G16&gt;=Band4,4,IF(G16&gt;=Band3,3,IF(G16&gt;=Band2,2,1))))</f>
        <v>Pending</v>
      </c>
      <c r="V16" s="18" t="str">
        <f aca="false">IF($C16&lt;&gt;"Yes","Pending",VALUE(Entry!G16))</f>
        <v>Pending</v>
      </c>
      <c r="W16" s="33" t="str">
        <f aca="false">IF($C16&lt;&gt;"Yes","Pending",V16-IF(I16&gt;=Band4,4,IF(I16&gt;=Band3,3,IF(I16&gt;=Band2,2,1))))</f>
        <v>Pending</v>
      </c>
      <c r="X16" s="20" t="str">
        <f aca="false">IF($C16&lt;&gt;"Yes","Pending",AVERAGE(O16,Q16,S16,U16,W16))</f>
        <v>Pending</v>
      </c>
      <c r="Y16" s="21" t="str">
        <f aca="false">IF($C16&lt;&gt;"Yes","Pending",IF(D16&lt;PyCut,"Full","Light"))</f>
        <v>Pending</v>
      </c>
      <c r="Z16" s="21" t="str">
        <f aca="false">IF($C16&lt;&gt;"Yes","Pending",IF(E16&lt;SqlCut,"Full","Light"))</f>
        <v>Pending</v>
      </c>
      <c r="AA16" s="22" t="str">
        <f aca="false">IF($C16&lt;&gt;"Yes","Pending",IF(X16&gt;=1,"Over-claims",IF(X16&lt;=-1,"Under-claims","Calibrated")))</f>
        <v>Pending</v>
      </c>
      <c r="AB16" s="13" t="str">
        <f aca="false">IF($C16&lt;&gt;"Yes","Pending","Python "&amp;TEXT(D16,"0%")&amp;", SQL "&amp;TEXT(E16,"0%")&amp;", numbers "&amp;TEXT(F16,"0%")&amp;"; L3 "&amp;TEXT(M16,"0%")&amp;"; "&amp;AA16&amp;"; "&amp;IF(MIN(D16,E16,F16,G16,I16)&gt;=Band4,"no weak area","weakest area: "&amp;INDEX({"Python","SQL","numbers","case","LLM"},MATCH(MIN(D16,E16,F16,G16,I16),CHOOSE({1,2,3,4,5},D16,E16,F16,G16,I16),0))))</f>
        <v>Pending</v>
      </c>
    </row>
    <row r="17" customFormat="false" ht="15" hidden="false" customHeight="false" outlineLevel="0" collapsed="false">
      <c r="A17" s="21" t="str">
        <f aca="false">Entry!A17</f>
        <v>S11</v>
      </c>
      <c r="B17" s="13" t="str">
        <f aca="false">Entry!B17</f>
        <v>TBD</v>
      </c>
      <c r="C17" s="22" t="str">
        <f aca="false">Entry!BL17</f>
        <v>Pending</v>
      </c>
      <c r="D17" s="17" t="str">
        <f aca="false">IF($C17&lt;&gt;"Yes","Pending",SUM(Scoring!H17:S17)/12)</f>
        <v>Pending</v>
      </c>
      <c r="E17" s="17" t="str">
        <f aca="false">IF($C17&lt;&gt;"Yes","Pending",SUM(Scoring!T17:AA17)/8)</f>
        <v>Pending</v>
      </c>
      <c r="F17" s="17" t="str">
        <f aca="false">IF($C17&lt;&gt;"Yes","Pending",SUM(Scoring!AB17:AI17)/8)</f>
        <v>Pending</v>
      </c>
      <c r="G17" s="17" t="str">
        <f aca="false">IF($C17&lt;&gt;"Yes","Pending",SUM(Scoring!AJ17:AO17)/6)</f>
        <v>Pending</v>
      </c>
      <c r="H17" s="17" t="str">
        <f aca="false">IF($C17&lt;&gt;"Yes","Pending",SUM(Scoring!AP17:BA17)/12)</f>
        <v>Pending</v>
      </c>
      <c r="I17" s="17" t="str">
        <f aca="false">IF($C17&lt;&gt;"Yes","Pending",SUMPRODUCT((Scoring!$H$5:$AO$5=1)*Scoring!H17:AO17)/8)</f>
        <v>Pending</v>
      </c>
      <c r="J17" s="32" t="str">
        <f aca="false">IF($C17&lt;&gt;"Yes","Pending",SUM(Scoring!H17:BA17)/46)</f>
        <v>Pending</v>
      </c>
      <c r="K17" s="17" t="str">
        <f aca="false">IF($C17&lt;&gt;"Yes","Pending",SUMPRODUCT((Scoring!$H$4:$AO$4="L1")*Scoring!H17:AO17)/12)</f>
        <v>Pending</v>
      </c>
      <c r="L17" s="17" t="str">
        <f aca="false">IF($C17&lt;&gt;"Yes","Pending",SUMPRODUCT((Scoring!$H$4:$AO$4="L2")*Scoring!H17:AO17)/15)</f>
        <v>Pending</v>
      </c>
      <c r="M17" s="17" t="str">
        <f aca="false">IF($C17&lt;&gt;"Yes","Pending",SUMPRODUCT((Scoring!$H$4:$AO$4="L3")*Scoring!H17:AO17)/7)</f>
        <v>Pending</v>
      </c>
      <c r="N17" s="18" t="str">
        <f aca="false">IF($C17&lt;&gt;"Yes","Pending",VALUE(Entry!C17))</f>
        <v>Pending</v>
      </c>
      <c r="O17" s="33" t="str">
        <f aca="false">IF($C17&lt;&gt;"Yes","Pending",N17-IF(D17&gt;=Band4,4,IF(D17&gt;=Band3,3,IF(D17&gt;=Band2,2,1))))</f>
        <v>Pending</v>
      </c>
      <c r="P17" s="18" t="str">
        <f aca="false">IF($C17&lt;&gt;"Yes","Pending",VALUE(Entry!D17))</f>
        <v>Pending</v>
      </c>
      <c r="Q17" s="33" t="str">
        <f aca="false">IF($C17&lt;&gt;"Yes","Pending",P17-IF(E17&gt;=Band4,4,IF(E17&gt;=Band3,3,IF(E17&gt;=Band2,2,1))))</f>
        <v>Pending</v>
      </c>
      <c r="R17" s="18" t="str">
        <f aca="false">IF($C17&lt;&gt;"Yes","Pending",VALUE(Entry!E17))</f>
        <v>Pending</v>
      </c>
      <c r="S17" s="33" t="str">
        <f aca="false">IF($C17&lt;&gt;"Yes","Pending",R17-IF(F17&gt;=Band4,4,IF(F17&gt;=Band3,3,IF(F17&gt;=Band2,2,1))))</f>
        <v>Pending</v>
      </c>
      <c r="T17" s="18" t="str">
        <f aca="false">IF($C17&lt;&gt;"Yes","Pending",VALUE(Entry!F17))</f>
        <v>Pending</v>
      </c>
      <c r="U17" s="33" t="str">
        <f aca="false">IF($C17&lt;&gt;"Yes","Pending",T17-IF(G17&gt;=Band4,4,IF(G17&gt;=Band3,3,IF(G17&gt;=Band2,2,1))))</f>
        <v>Pending</v>
      </c>
      <c r="V17" s="18" t="str">
        <f aca="false">IF($C17&lt;&gt;"Yes","Pending",VALUE(Entry!G17))</f>
        <v>Pending</v>
      </c>
      <c r="W17" s="33" t="str">
        <f aca="false">IF($C17&lt;&gt;"Yes","Pending",V17-IF(I17&gt;=Band4,4,IF(I17&gt;=Band3,3,IF(I17&gt;=Band2,2,1))))</f>
        <v>Pending</v>
      </c>
      <c r="X17" s="20" t="str">
        <f aca="false">IF($C17&lt;&gt;"Yes","Pending",AVERAGE(O17,Q17,S17,U17,W17))</f>
        <v>Pending</v>
      </c>
      <c r="Y17" s="21" t="str">
        <f aca="false">IF($C17&lt;&gt;"Yes","Pending",IF(D17&lt;PyCut,"Full","Light"))</f>
        <v>Pending</v>
      </c>
      <c r="Z17" s="21" t="str">
        <f aca="false">IF($C17&lt;&gt;"Yes","Pending",IF(E17&lt;SqlCut,"Full","Light"))</f>
        <v>Pending</v>
      </c>
      <c r="AA17" s="22" t="str">
        <f aca="false">IF($C17&lt;&gt;"Yes","Pending",IF(X17&gt;=1,"Over-claims",IF(X17&lt;=-1,"Under-claims","Calibrated")))</f>
        <v>Pending</v>
      </c>
      <c r="AB17" s="13" t="str">
        <f aca="false">IF($C17&lt;&gt;"Yes","Pending","Python "&amp;TEXT(D17,"0%")&amp;", SQL "&amp;TEXT(E17,"0%")&amp;", numbers "&amp;TEXT(F17,"0%")&amp;"; L3 "&amp;TEXT(M17,"0%")&amp;"; "&amp;AA17&amp;"; "&amp;IF(MIN(D17,E17,F17,G17,I17)&gt;=Band4,"no weak area","weakest area: "&amp;INDEX({"Python","SQL","numbers","case","LLM"},MATCH(MIN(D17,E17,F17,G17,I17),CHOOSE({1,2,3,4,5},D17,E17,F17,G17,I17),0))))</f>
        <v>Pending</v>
      </c>
    </row>
    <row r="18" customFormat="false" ht="15" hidden="false" customHeight="false" outlineLevel="0" collapsed="false">
      <c r="A18" s="21" t="str">
        <f aca="false">Entry!A18</f>
        <v>S12</v>
      </c>
      <c r="B18" s="13" t="str">
        <f aca="false">Entry!B18</f>
        <v>TBD</v>
      </c>
      <c r="C18" s="22" t="str">
        <f aca="false">Entry!BL18</f>
        <v>Pending</v>
      </c>
      <c r="D18" s="17" t="str">
        <f aca="false">IF($C18&lt;&gt;"Yes","Pending",SUM(Scoring!H18:S18)/12)</f>
        <v>Pending</v>
      </c>
      <c r="E18" s="17" t="str">
        <f aca="false">IF($C18&lt;&gt;"Yes","Pending",SUM(Scoring!T18:AA18)/8)</f>
        <v>Pending</v>
      </c>
      <c r="F18" s="17" t="str">
        <f aca="false">IF($C18&lt;&gt;"Yes","Pending",SUM(Scoring!AB18:AI18)/8)</f>
        <v>Pending</v>
      </c>
      <c r="G18" s="17" t="str">
        <f aca="false">IF($C18&lt;&gt;"Yes","Pending",SUM(Scoring!AJ18:AO18)/6)</f>
        <v>Pending</v>
      </c>
      <c r="H18" s="17" t="str">
        <f aca="false">IF($C18&lt;&gt;"Yes","Pending",SUM(Scoring!AP18:BA18)/12)</f>
        <v>Pending</v>
      </c>
      <c r="I18" s="17" t="str">
        <f aca="false">IF($C18&lt;&gt;"Yes","Pending",SUMPRODUCT((Scoring!$H$5:$AO$5=1)*Scoring!H18:AO18)/8)</f>
        <v>Pending</v>
      </c>
      <c r="J18" s="32" t="str">
        <f aca="false">IF($C18&lt;&gt;"Yes","Pending",SUM(Scoring!H18:BA18)/46)</f>
        <v>Pending</v>
      </c>
      <c r="K18" s="17" t="str">
        <f aca="false">IF($C18&lt;&gt;"Yes","Pending",SUMPRODUCT((Scoring!$H$4:$AO$4="L1")*Scoring!H18:AO18)/12)</f>
        <v>Pending</v>
      </c>
      <c r="L18" s="17" t="str">
        <f aca="false">IF($C18&lt;&gt;"Yes","Pending",SUMPRODUCT((Scoring!$H$4:$AO$4="L2")*Scoring!H18:AO18)/15)</f>
        <v>Pending</v>
      </c>
      <c r="M18" s="17" t="str">
        <f aca="false">IF($C18&lt;&gt;"Yes","Pending",SUMPRODUCT((Scoring!$H$4:$AO$4="L3")*Scoring!H18:AO18)/7)</f>
        <v>Pending</v>
      </c>
      <c r="N18" s="18" t="str">
        <f aca="false">IF($C18&lt;&gt;"Yes","Pending",VALUE(Entry!C18))</f>
        <v>Pending</v>
      </c>
      <c r="O18" s="33" t="str">
        <f aca="false">IF($C18&lt;&gt;"Yes","Pending",N18-IF(D18&gt;=Band4,4,IF(D18&gt;=Band3,3,IF(D18&gt;=Band2,2,1))))</f>
        <v>Pending</v>
      </c>
      <c r="P18" s="18" t="str">
        <f aca="false">IF($C18&lt;&gt;"Yes","Pending",VALUE(Entry!D18))</f>
        <v>Pending</v>
      </c>
      <c r="Q18" s="33" t="str">
        <f aca="false">IF($C18&lt;&gt;"Yes","Pending",P18-IF(E18&gt;=Band4,4,IF(E18&gt;=Band3,3,IF(E18&gt;=Band2,2,1))))</f>
        <v>Pending</v>
      </c>
      <c r="R18" s="18" t="str">
        <f aca="false">IF($C18&lt;&gt;"Yes","Pending",VALUE(Entry!E18))</f>
        <v>Pending</v>
      </c>
      <c r="S18" s="33" t="str">
        <f aca="false">IF($C18&lt;&gt;"Yes","Pending",R18-IF(F18&gt;=Band4,4,IF(F18&gt;=Band3,3,IF(F18&gt;=Band2,2,1))))</f>
        <v>Pending</v>
      </c>
      <c r="T18" s="18" t="str">
        <f aca="false">IF($C18&lt;&gt;"Yes","Pending",VALUE(Entry!F18))</f>
        <v>Pending</v>
      </c>
      <c r="U18" s="33" t="str">
        <f aca="false">IF($C18&lt;&gt;"Yes","Pending",T18-IF(G18&gt;=Band4,4,IF(G18&gt;=Band3,3,IF(G18&gt;=Band2,2,1))))</f>
        <v>Pending</v>
      </c>
      <c r="V18" s="18" t="str">
        <f aca="false">IF($C18&lt;&gt;"Yes","Pending",VALUE(Entry!G18))</f>
        <v>Pending</v>
      </c>
      <c r="W18" s="33" t="str">
        <f aca="false">IF($C18&lt;&gt;"Yes","Pending",V18-IF(I18&gt;=Band4,4,IF(I18&gt;=Band3,3,IF(I18&gt;=Band2,2,1))))</f>
        <v>Pending</v>
      </c>
      <c r="X18" s="20" t="str">
        <f aca="false">IF($C18&lt;&gt;"Yes","Pending",AVERAGE(O18,Q18,S18,U18,W18))</f>
        <v>Pending</v>
      </c>
      <c r="Y18" s="21" t="str">
        <f aca="false">IF($C18&lt;&gt;"Yes","Pending",IF(D18&lt;PyCut,"Full","Light"))</f>
        <v>Pending</v>
      </c>
      <c r="Z18" s="21" t="str">
        <f aca="false">IF($C18&lt;&gt;"Yes","Pending",IF(E18&lt;SqlCut,"Full","Light"))</f>
        <v>Pending</v>
      </c>
      <c r="AA18" s="22" t="str">
        <f aca="false">IF($C18&lt;&gt;"Yes","Pending",IF(X18&gt;=1,"Over-claims",IF(X18&lt;=-1,"Under-claims","Calibrated")))</f>
        <v>Pending</v>
      </c>
      <c r="AB18" s="13" t="str">
        <f aca="false">IF($C18&lt;&gt;"Yes","Pending","Python "&amp;TEXT(D18,"0%")&amp;", SQL "&amp;TEXT(E18,"0%")&amp;", numbers "&amp;TEXT(F18,"0%")&amp;"; L3 "&amp;TEXT(M18,"0%")&amp;"; "&amp;AA18&amp;"; "&amp;IF(MIN(D18,E18,F18,G18,I18)&gt;=Band4,"no weak area","weakest area: "&amp;INDEX({"Python","SQL","numbers","case","LLM"},MATCH(MIN(D18,E18,F18,G18,I18),CHOOSE({1,2,3,4,5},D18,E18,F18,G18,I18),0))))</f>
        <v>Pending</v>
      </c>
    </row>
    <row r="19" customFormat="false" ht="15" hidden="false" customHeight="false" outlineLevel="0" collapsed="false">
      <c r="A19" s="21" t="str">
        <f aca="false">Entry!A19</f>
        <v>S13</v>
      </c>
      <c r="B19" s="13" t="str">
        <f aca="false">Entry!B19</f>
        <v>TBD</v>
      </c>
      <c r="C19" s="22" t="str">
        <f aca="false">Entry!BL19</f>
        <v>Pending</v>
      </c>
      <c r="D19" s="17" t="str">
        <f aca="false">IF($C19&lt;&gt;"Yes","Pending",SUM(Scoring!H19:S19)/12)</f>
        <v>Pending</v>
      </c>
      <c r="E19" s="17" t="str">
        <f aca="false">IF($C19&lt;&gt;"Yes","Pending",SUM(Scoring!T19:AA19)/8)</f>
        <v>Pending</v>
      </c>
      <c r="F19" s="17" t="str">
        <f aca="false">IF($C19&lt;&gt;"Yes","Pending",SUM(Scoring!AB19:AI19)/8)</f>
        <v>Pending</v>
      </c>
      <c r="G19" s="17" t="str">
        <f aca="false">IF($C19&lt;&gt;"Yes","Pending",SUM(Scoring!AJ19:AO19)/6)</f>
        <v>Pending</v>
      </c>
      <c r="H19" s="17" t="str">
        <f aca="false">IF($C19&lt;&gt;"Yes","Pending",SUM(Scoring!AP19:BA19)/12)</f>
        <v>Pending</v>
      </c>
      <c r="I19" s="17" t="str">
        <f aca="false">IF($C19&lt;&gt;"Yes","Pending",SUMPRODUCT((Scoring!$H$5:$AO$5=1)*Scoring!H19:AO19)/8)</f>
        <v>Pending</v>
      </c>
      <c r="J19" s="32" t="str">
        <f aca="false">IF($C19&lt;&gt;"Yes","Pending",SUM(Scoring!H19:BA19)/46)</f>
        <v>Pending</v>
      </c>
      <c r="K19" s="17" t="str">
        <f aca="false">IF($C19&lt;&gt;"Yes","Pending",SUMPRODUCT((Scoring!$H$4:$AO$4="L1")*Scoring!H19:AO19)/12)</f>
        <v>Pending</v>
      </c>
      <c r="L19" s="17" t="str">
        <f aca="false">IF($C19&lt;&gt;"Yes","Pending",SUMPRODUCT((Scoring!$H$4:$AO$4="L2")*Scoring!H19:AO19)/15)</f>
        <v>Pending</v>
      </c>
      <c r="M19" s="17" t="str">
        <f aca="false">IF($C19&lt;&gt;"Yes","Pending",SUMPRODUCT((Scoring!$H$4:$AO$4="L3")*Scoring!H19:AO19)/7)</f>
        <v>Pending</v>
      </c>
      <c r="N19" s="18" t="str">
        <f aca="false">IF($C19&lt;&gt;"Yes","Pending",VALUE(Entry!C19))</f>
        <v>Pending</v>
      </c>
      <c r="O19" s="33" t="str">
        <f aca="false">IF($C19&lt;&gt;"Yes","Pending",N19-IF(D19&gt;=Band4,4,IF(D19&gt;=Band3,3,IF(D19&gt;=Band2,2,1))))</f>
        <v>Pending</v>
      </c>
      <c r="P19" s="18" t="str">
        <f aca="false">IF($C19&lt;&gt;"Yes","Pending",VALUE(Entry!D19))</f>
        <v>Pending</v>
      </c>
      <c r="Q19" s="33" t="str">
        <f aca="false">IF($C19&lt;&gt;"Yes","Pending",P19-IF(E19&gt;=Band4,4,IF(E19&gt;=Band3,3,IF(E19&gt;=Band2,2,1))))</f>
        <v>Pending</v>
      </c>
      <c r="R19" s="18" t="str">
        <f aca="false">IF($C19&lt;&gt;"Yes","Pending",VALUE(Entry!E19))</f>
        <v>Pending</v>
      </c>
      <c r="S19" s="33" t="str">
        <f aca="false">IF($C19&lt;&gt;"Yes","Pending",R19-IF(F19&gt;=Band4,4,IF(F19&gt;=Band3,3,IF(F19&gt;=Band2,2,1))))</f>
        <v>Pending</v>
      </c>
      <c r="T19" s="18" t="str">
        <f aca="false">IF($C19&lt;&gt;"Yes","Pending",VALUE(Entry!F19))</f>
        <v>Pending</v>
      </c>
      <c r="U19" s="33" t="str">
        <f aca="false">IF($C19&lt;&gt;"Yes","Pending",T19-IF(G19&gt;=Band4,4,IF(G19&gt;=Band3,3,IF(G19&gt;=Band2,2,1))))</f>
        <v>Pending</v>
      </c>
      <c r="V19" s="18" t="str">
        <f aca="false">IF($C19&lt;&gt;"Yes","Pending",VALUE(Entry!G19))</f>
        <v>Pending</v>
      </c>
      <c r="W19" s="33" t="str">
        <f aca="false">IF($C19&lt;&gt;"Yes","Pending",V19-IF(I19&gt;=Band4,4,IF(I19&gt;=Band3,3,IF(I19&gt;=Band2,2,1))))</f>
        <v>Pending</v>
      </c>
      <c r="X19" s="20" t="str">
        <f aca="false">IF($C19&lt;&gt;"Yes","Pending",AVERAGE(O19,Q19,S19,U19,W19))</f>
        <v>Pending</v>
      </c>
      <c r="Y19" s="21" t="str">
        <f aca="false">IF($C19&lt;&gt;"Yes","Pending",IF(D19&lt;PyCut,"Full","Light"))</f>
        <v>Pending</v>
      </c>
      <c r="Z19" s="21" t="str">
        <f aca="false">IF($C19&lt;&gt;"Yes","Pending",IF(E19&lt;SqlCut,"Full","Light"))</f>
        <v>Pending</v>
      </c>
      <c r="AA19" s="22" t="str">
        <f aca="false">IF($C19&lt;&gt;"Yes","Pending",IF(X19&gt;=1,"Over-claims",IF(X19&lt;=-1,"Under-claims","Calibrated")))</f>
        <v>Pending</v>
      </c>
      <c r="AB19" s="13" t="str">
        <f aca="false">IF($C19&lt;&gt;"Yes","Pending","Python "&amp;TEXT(D19,"0%")&amp;", SQL "&amp;TEXT(E19,"0%")&amp;", numbers "&amp;TEXT(F19,"0%")&amp;"; L3 "&amp;TEXT(M19,"0%")&amp;"; "&amp;AA19&amp;"; "&amp;IF(MIN(D19,E19,F19,G19,I19)&gt;=Band4,"no weak area","weakest area: "&amp;INDEX({"Python","SQL","numbers","case","LLM"},MATCH(MIN(D19,E19,F19,G19,I19),CHOOSE({1,2,3,4,5},D19,E19,F19,G19,I19),0))))</f>
        <v>Pending</v>
      </c>
    </row>
    <row r="20" customFormat="false" ht="15" hidden="false" customHeight="false" outlineLevel="0" collapsed="false">
      <c r="A20" s="21" t="str">
        <f aca="false">Entry!A20</f>
        <v>S14</v>
      </c>
      <c r="B20" s="13" t="str">
        <f aca="false">Entry!B20</f>
        <v>TBD</v>
      </c>
      <c r="C20" s="22" t="str">
        <f aca="false">Entry!BL20</f>
        <v>Pending</v>
      </c>
      <c r="D20" s="17" t="str">
        <f aca="false">IF($C20&lt;&gt;"Yes","Pending",SUM(Scoring!H20:S20)/12)</f>
        <v>Pending</v>
      </c>
      <c r="E20" s="17" t="str">
        <f aca="false">IF($C20&lt;&gt;"Yes","Pending",SUM(Scoring!T20:AA20)/8)</f>
        <v>Pending</v>
      </c>
      <c r="F20" s="17" t="str">
        <f aca="false">IF($C20&lt;&gt;"Yes","Pending",SUM(Scoring!AB20:AI20)/8)</f>
        <v>Pending</v>
      </c>
      <c r="G20" s="17" t="str">
        <f aca="false">IF($C20&lt;&gt;"Yes","Pending",SUM(Scoring!AJ20:AO20)/6)</f>
        <v>Pending</v>
      </c>
      <c r="H20" s="17" t="str">
        <f aca="false">IF($C20&lt;&gt;"Yes","Pending",SUM(Scoring!AP20:BA20)/12)</f>
        <v>Pending</v>
      </c>
      <c r="I20" s="17" t="str">
        <f aca="false">IF($C20&lt;&gt;"Yes","Pending",SUMPRODUCT((Scoring!$H$5:$AO$5=1)*Scoring!H20:AO20)/8)</f>
        <v>Pending</v>
      </c>
      <c r="J20" s="32" t="str">
        <f aca="false">IF($C20&lt;&gt;"Yes","Pending",SUM(Scoring!H20:BA20)/46)</f>
        <v>Pending</v>
      </c>
      <c r="K20" s="17" t="str">
        <f aca="false">IF($C20&lt;&gt;"Yes","Pending",SUMPRODUCT((Scoring!$H$4:$AO$4="L1")*Scoring!H20:AO20)/12)</f>
        <v>Pending</v>
      </c>
      <c r="L20" s="17" t="str">
        <f aca="false">IF($C20&lt;&gt;"Yes","Pending",SUMPRODUCT((Scoring!$H$4:$AO$4="L2")*Scoring!H20:AO20)/15)</f>
        <v>Pending</v>
      </c>
      <c r="M20" s="17" t="str">
        <f aca="false">IF($C20&lt;&gt;"Yes","Pending",SUMPRODUCT((Scoring!$H$4:$AO$4="L3")*Scoring!H20:AO20)/7)</f>
        <v>Pending</v>
      </c>
      <c r="N20" s="18" t="str">
        <f aca="false">IF($C20&lt;&gt;"Yes","Pending",VALUE(Entry!C20))</f>
        <v>Pending</v>
      </c>
      <c r="O20" s="33" t="str">
        <f aca="false">IF($C20&lt;&gt;"Yes","Pending",N20-IF(D20&gt;=Band4,4,IF(D20&gt;=Band3,3,IF(D20&gt;=Band2,2,1))))</f>
        <v>Pending</v>
      </c>
      <c r="P20" s="18" t="str">
        <f aca="false">IF($C20&lt;&gt;"Yes","Pending",VALUE(Entry!D20))</f>
        <v>Pending</v>
      </c>
      <c r="Q20" s="33" t="str">
        <f aca="false">IF($C20&lt;&gt;"Yes","Pending",P20-IF(E20&gt;=Band4,4,IF(E20&gt;=Band3,3,IF(E20&gt;=Band2,2,1))))</f>
        <v>Pending</v>
      </c>
      <c r="R20" s="18" t="str">
        <f aca="false">IF($C20&lt;&gt;"Yes","Pending",VALUE(Entry!E20))</f>
        <v>Pending</v>
      </c>
      <c r="S20" s="33" t="str">
        <f aca="false">IF($C20&lt;&gt;"Yes","Pending",R20-IF(F20&gt;=Band4,4,IF(F20&gt;=Band3,3,IF(F20&gt;=Band2,2,1))))</f>
        <v>Pending</v>
      </c>
      <c r="T20" s="18" t="str">
        <f aca="false">IF($C20&lt;&gt;"Yes","Pending",VALUE(Entry!F20))</f>
        <v>Pending</v>
      </c>
      <c r="U20" s="33" t="str">
        <f aca="false">IF($C20&lt;&gt;"Yes","Pending",T20-IF(G20&gt;=Band4,4,IF(G20&gt;=Band3,3,IF(G20&gt;=Band2,2,1))))</f>
        <v>Pending</v>
      </c>
      <c r="V20" s="18" t="str">
        <f aca="false">IF($C20&lt;&gt;"Yes","Pending",VALUE(Entry!G20))</f>
        <v>Pending</v>
      </c>
      <c r="W20" s="33" t="str">
        <f aca="false">IF($C20&lt;&gt;"Yes","Pending",V20-IF(I20&gt;=Band4,4,IF(I20&gt;=Band3,3,IF(I20&gt;=Band2,2,1))))</f>
        <v>Pending</v>
      </c>
      <c r="X20" s="20" t="str">
        <f aca="false">IF($C20&lt;&gt;"Yes","Pending",AVERAGE(O20,Q20,S20,U20,W20))</f>
        <v>Pending</v>
      </c>
      <c r="Y20" s="21" t="str">
        <f aca="false">IF($C20&lt;&gt;"Yes","Pending",IF(D20&lt;PyCut,"Full","Light"))</f>
        <v>Pending</v>
      </c>
      <c r="Z20" s="21" t="str">
        <f aca="false">IF($C20&lt;&gt;"Yes","Pending",IF(E20&lt;SqlCut,"Full","Light"))</f>
        <v>Pending</v>
      </c>
      <c r="AA20" s="22" t="str">
        <f aca="false">IF($C20&lt;&gt;"Yes","Pending",IF(X20&gt;=1,"Over-claims",IF(X20&lt;=-1,"Under-claims","Calibrated")))</f>
        <v>Pending</v>
      </c>
      <c r="AB20" s="13" t="str">
        <f aca="false">IF($C20&lt;&gt;"Yes","Pending","Python "&amp;TEXT(D20,"0%")&amp;", SQL "&amp;TEXT(E20,"0%")&amp;", numbers "&amp;TEXT(F20,"0%")&amp;"; L3 "&amp;TEXT(M20,"0%")&amp;"; "&amp;AA20&amp;"; "&amp;IF(MIN(D20,E20,F20,G20,I20)&gt;=Band4,"no weak area","weakest area: "&amp;INDEX({"Python","SQL","numbers","case","LLM"},MATCH(MIN(D20,E20,F20,G20,I20),CHOOSE({1,2,3,4,5},D20,E20,F20,G20,I20),0))))</f>
        <v>Pending</v>
      </c>
    </row>
    <row r="21" customFormat="false" ht="15" hidden="false" customHeight="false" outlineLevel="0" collapsed="false">
      <c r="A21" s="21" t="str">
        <f aca="false">Entry!A21</f>
        <v>S15</v>
      </c>
      <c r="B21" s="13" t="str">
        <f aca="false">Entry!B21</f>
        <v>TBD</v>
      </c>
      <c r="C21" s="22" t="str">
        <f aca="false">Entry!BL21</f>
        <v>Pending</v>
      </c>
      <c r="D21" s="17" t="str">
        <f aca="false">IF($C21&lt;&gt;"Yes","Pending",SUM(Scoring!H21:S21)/12)</f>
        <v>Pending</v>
      </c>
      <c r="E21" s="17" t="str">
        <f aca="false">IF($C21&lt;&gt;"Yes","Pending",SUM(Scoring!T21:AA21)/8)</f>
        <v>Pending</v>
      </c>
      <c r="F21" s="17" t="str">
        <f aca="false">IF($C21&lt;&gt;"Yes","Pending",SUM(Scoring!AB21:AI21)/8)</f>
        <v>Pending</v>
      </c>
      <c r="G21" s="17" t="str">
        <f aca="false">IF($C21&lt;&gt;"Yes","Pending",SUM(Scoring!AJ21:AO21)/6)</f>
        <v>Pending</v>
      </c>
      <c r="H21" s="17" t="str">
        <f aca="false">IF($C21&lt;&gt;"Yes","Pending",SUM(Scoring!AP21:BA21)/12)</f>
        <v>Pending</v>
      </c>
      <c r="I21" s="17" t="str">
        <f aca="false">IF($C21&lt;&gt;"Yes","Pending",SUMPRODUCT((Scoring!$H$5:$AO$5=1)*Scoring!H21:AO21)/8)</f>
        <v>Pending</v>
      </c>
      <c r="J21" s="32" t="str">
        <f aca="false">IF($C21&lt;&gt;"Yes","Pending",SUM(Scoring!H21:BA21)/46)</f>
        <v>Pending</v>
      </c>
      <c r="K21" s="17" t="str">
        <f aca="false">IF($C21&lt;&gt;"Yes","Pending",SUMPRODUCT((Scoring!$H$4:$AO$4="L1")*Scoring!H21:AO21)/12)</f>
        <v>Pending</v>
      </c>
      <c r="L21" s="17" t="str">
        <f aca="false">IF($C21&lt;&gt;"Yes","Pending",SUMPRODUCT((Scoring!$H$4:$AO$4="L2")*Scoring!H21:AO21)/15)</f>
        <v>Pending</v>
      </c>
      <c r="M21" s="17" t="str">
        <f aca="false">IF($C21&lt;&gt;"Yes","Pending",SUMPRODUCT((Scoring!$H$4:$AO$4="L3")*Scoring!H21:AO21)/7)</f>
        <v>Pending</v>
      </c>
      <c r="N21" s="18" t="str">
        <f aca="false">IF($C21&lt;&gt;"Yes","Pending",VALUE(Entry!C21))</f>
        <v>Pending</v>
      </c>
      <c r="O21" s="33" t="str">
        <f aca="false">IF($C21&lt;&gt;"Yes","Pending",N21-IF(D21&gt;=Band4,4,IF(D21&gt;=Band3,3,IF(D21&gt;=Band2,2,1))))</f>
        <v>Pending</v>
      </c>
      <c r="P21" s="18" t="str">
        <f aca="false">IF($C21&lt;&gt;"Yes","Pending",VALUE(Entry!D21))</f>
        <v>Pending</v>
      </c>
      <c r="Q21" s="33" t="str">
        <f aca="false">IF($C21&lt;&gt;"Yes","Pending",P21-IF(E21&gt;=Band4,4,IF(E21&gt;=Band3,3,IF(E21&gt;=Band2,2,1))))</f>
        <v>Pending</v>
      </c>
      <c r="R21" s="18" t="str">
        <f aca="false">IF($C21&lt;&gt;"Yes","Pending",VALUE(Entry!E21))</f>
        <v>Pending</v>
      </c>
      <c r="S21" s="33" t="str">
        <f aca="false">IF($C21&lt;&gt;"Yes","Pending",R21-IF(F21&gt;=Band4,4,IF(F21&gt;=Band3,3,IF(F21&gt;=Band2,2,1))))</f>
        <v>Pending</v>
      </c>
      <c r="T21" s="18" t="str">
        <f aca="false">IF($C21&lt;&gt;"Yes","Pending",VALUE(Entry!F21))</f>
        <v>Pending</v>
      </c>
      <c r="U21" s="33" t="str">
        <f aca="false">IF($C21&lt;&gt;"Yes","Pending",T21-IF(G21&gt;=Band4,4,IF(G21&gt;=Band3,3,IF(G21&gt;=Band2,2,1))))</f>
        <v>Pending</v>
      </c>
      <c r="V21" s="18" t="str">
        <f aca="false">IF($C21&lt;&gt;"Yes","Pending",VALUE(Entry!G21))</f>
        <v>Pending</v>
      </c>
      <c r="W21" s="33" t="str">
        <f aca="false">IF($C21&lt;&gt;"Yes","Pending",V21-IF(I21&gt;=Band4,4,IF(I21&gt;=Band3,3,IF(I21&gt;=Band2,2,1))))</f>
        <v>Pending</v>
      </c>
      <c r="X21" s="20" t="str">
        <f aca="false">IF($C21&lt;&gt;"Yes","Pending",AVERAGE(O21,Q21,S21,U21,W21))</f>
        <v>Pending</v>
      </c>
      <c r="Y21" s="21" t="str">
        <f aca="false">IF($C21&lt;&gt;"Yes","Pending",IF(D21&lt;PyCut,"Full","Light"))</f>
        <v>Pending</v>
      </c>
      <c r="Z21" s="21" t="str">
        <f aca="false">IF($C21&lt;&gt;"Yes","Pending",IF(E21&lt;SqlCut,"Full","Light"))</f>
        <v>Pending</v>
      </c>
      <c r="AA21" s="22" t="str">
        <f aca="false">IF($C21&lt;&gt;"Yes","Pending",IF(X21&gt;=1,"Over-claims",IF(X21&lt;=-1,"Under-claims","Calibrated")))</f>
        <v>Pending</v>
      </c>
      <c r="AB21" s="13" t="str">
        <f aca="false">IF($C21&lt;&gt;"Yes","Pending","Python "&amp;TEXT(D21,"0%")&amp;", SQL "&amp;TEXT(E21,"0%")&amp;", numbers "&amp;TEXT(F21,"0%")&amp;"; L3 "&amp;TEXT(M21,"0%")&amp;"; "&amp;AA21&amp;"; "&amp;IF(MIN(D21,E21,F21,G21,I21)&gt;=Band4,"no weak area","weakest area: "&amp;INDEX({"Python","SQL","numbers","case","LLM"},MATCH(MIN(D21,E21,F21,G21,I21),CHOOSE({1,2,3,4,5},D21,E21,F21,G21,I21),0))))</f>
        <v>Pending</v>
      </c>
    </row>
    <row r="22" customFormat="false" ht="15" hidden="false" customHeight="false" outlineLevel="0" collapsed="false">
      <c r="A22" s="21" t="str">
        <f aca="false">Entry!A22</f>
        <v>S16</v>
      </c>
      <c r="B22" s="13" t="str">
        <f aca="false">Entry!B22</f>
        <v>TBD</v>
      </c>
      <c r="C22" s="22" t="str">
        <f aca="false">Entry!BL22</f>
        <v>Pending</v>
      </c>
      <c r="D22" s="17" t="str">
        <f aca="false">IF($C22&lt;&gt;"Yes","Pending",SUM(Scoring!H22:S22)/12)</f>
        <v>Pending</v>
      </c>
      <c r="E22" s="17" t="str">
        <f aca="false">IF($C22&lt;&gt;"Yes","Pending",SUM(Scoring!T22:AA22)/8)</f>
        <v>Pending</v>
      </c>
      <c r="F22" s="17" t="str">
        <f aca="false">IF($C22&lt;&gt;"Yes","Pending",SUM(Scoring!AB22:AI22)/8)</f>
        <v>Pending</v>
      </c>
      <c r="G22" s="17" t="str">
        <f aca="false">IF($C22&lt;&gt;"Yes","Pending",SUM(Scoring!AJ22:AO22)/6)</f>
        <v>Pending</v>
      </c>
      <c r="H22" s="17" t="str">
        <f aca="false">IF($C22&lt;&gt;"Yes","Pending",SUM(Scoring!AP22:BA22)/12)</f>
        <v>Pending</v>
      </c>
      <c r="I22" s="17" t="str">
        <f aca="false">IF($C22&lt;&gt;"Yes","Pending",SUMPRODUCT((Scoring!$H$5:$AO$5=1)*Scoring!H22:AO22)/8)</f>
        <v>Pending</v>
      </c>
      <c r="J22" s="32" t="str">
        <f aca="false">IF($C22&lt;&gt;"Yes","Pending",SUM(Scoring!H22:BA22)/46)</f>
        <v>Pending</v>
      </c>
      <c r="K22" s="17" t="str">
        <f aca="false">IF($C22&lt;&gt;"Yes","Pending",SUMPRODUCT((Scoring!$H$4:$AO$4="L1")*Scoring!H22:AO22)/12)</f>
        <v>Pending</v>
      </c>
      <c r="L22" s="17" t="str">
        <f aca="false">IF($C22&lt;&gt;"Yes","Pending",SUMPRODUCT((Scoring!$H$4:$AO$4="L2")*Scoring!H22:AO22)/15)</f>
        <v>Pending</v>
      </c>
      <c r="M22" s="17" t="str">
        <f aca="false">IF($C22&lt;&gt;"Yes","Pending",SUMPRODUCT((Scoring!$H$4:$AO$4="L3")*Scoring!H22:AO22)/7)</f>
        <v>Pending</v>
      </c>
      <c r="N22" s="18" t="str">
        <f aca="false">IF($C22&lt;&gt;"Yes","Pending",VALUE(Entry!C22))</f>
        <v>Pending</v>
      </c>
      <c r="O22" s="33" t="str">
        <f aca="false">IF($C22&lt;&gt;"Yes","Pending",N22-IF(D22&gt;=Band4,4,IF(D22&gt;=Band3,3,IF(D22&gt;=Band2,2,1))))</f>
        <v>Pending</v>
      </c>
      <c r="P22" s="18" t="str">
        <f aca="false">IF($C22&lt;&gt;"Yes","Pending",VALUE(Entry!D22))</f>
        <v>Pending</v>
      </c>
      <c r="Q22" s="33" t="str">
        <f aca="false">IF($C22&lt;&gt;"Yes","Pending",P22-IF(E22&gt;=Band4,4,IF(E22&gt;=Band3,3,IF(E22&gt;=Band2,2,1))))</f>
        <v>Pending</v>
      </c>
      <c r="R22" s="18" t="str">
        <f aca="false">IF($C22&lt;&gt;"Yes","Pending",VALUE(Entry!E22))</f>
        <v>Pending</v>
      </c>
      <c r="S22" s="33" t="str">
        <f aca="false">IF($C22&lt;&gt;"Yes","Pending",R22-IF(F22&gt;=Band4,4,IF(F22&gt;=Band3,3,IF(F22&gt;=Band2,2,1))))</f>
        <v>Pending</v>
      </c>
      <c r="T22" s="18" t="str">
        <f aca="false">IF($C22&lt;&gt;"Yes","Pending",VALUE(Entry!F22))</f>
        <v>Pending</v>
      </c>
      <c r="U22" s="33" t="str">
        <f aca="false">IF($C22&lt;&gt;"Yes","Pending",T22-IF(G22&gt;=Band4,4,IF(G22&gt;=Band3,3,IF(G22&gt;=Band2,2,1))))</f>
        <v>Pending</v>
      </c>
      <c r="V22" s="18" t="str">
        <f aca="false">IF($C22&lt;&gt;"Yes","Pending",VALUE(Entry!G22))</f>
        <v>Pending</v>
      </c>
      <c r="W22" s="33" t="str">
        <f aca="false">IF($C22&lt;&gt;"Yes","Pending",V22-IF(I22&gt;=Band4,4,IF(I22&gt;=Band3,3,IF(I22&gt;=Band2,2,1))))</f>
        <v>Pending</v>
      </c>
      <c r="X22" s="20" t="str">
        <f aca="false">IF($C22&lt;&gt;"Yes","Pending",AVERAGE(O22,Q22,S22,U22,W22))</f>
        <v>Pending</v>
      </c>
      <c r="Y22" s="21" t="str">
        <f aca="false">IF($C22&lt;&gt;"Yes","Pending",IF(D22&lt;PyCut,"Full","Light"))</f>
        <v>Pending</v>
      </c>
      <c r="Z22" s="21" t="str">
        <f aca="false">IF($C22&lt;&gt;"Yes","Pending",IF(E22&lt;SqlCut,"Full","Light"))</f>
        <v>Pending</v>
      </c>
      <c r="AA22" s="22" t="str">
        <f aca="false">IF($C22&lt;&gt;"Yes","Pending",IF(X22&gt;=1,"Over-claims",IF(X22&lt;=-1,"Under-claims","Calibrated")))</f>
        <v>Pending</v>
      </c>
      <c r="AB22" s="13" t="str">
        <f aca="false">IF($C22&lt;&gt;"Yes","Pending","Python "&amp;TEXT(D22,"0%")&amp;", SQL "&amp;TEXT(E22,"0%")&amp;", numbers "&amp;TEXT(F22,"0%")&amp;"; L3 "&amp;TEXT(M22,"0%")&amp;"; "&amp;AA22&amp;"; "&amp;IF(MIN(D22,E22,F22,G22,I22)&gt;=Band4,"no weak area","weakest area: "&amp;INDEX({"Python","SQL","numbers","case","LLM"},MATCH(MIN(D22,E22,F22,G22,I22),CHOOSE({1,2,3,4,5},D22,E22,F22,G22,I22),0))))</f>
        <v>Pending</v>
      </c>
    </row>
    <row r="23" customFormat="false" ht="15" hidden="false" customHeight="false" outlineLevel="0" collapsed="false">
      <c r="A23" s="21" t="str">
        <f aca="false">Entry!A23</f>
        <v>S17</v>
      </c>
      <c r="B23" s="13" t="str">
        <f aca="false">Entry!B23</f>
        <v>TBD</v>
      </c>
      <c r="C23" s="22" t="str">
        <f aca="false">Entry!BL23</f>
        <v>Pending</v>
      </c>
      <c r="D23" s="17" t="str">
        <f aca="false">IF($C23&lt;&gt;"Yes","Pending",SUM(Scoring!H23:S23)/12)</f>
        <v>Pending</v>
      </c>
      <c r="E23" s="17" t="str">
        <f aca="false">IF($C23&lt;&gt;"Yes","Pending",SUM(Scoring!T23:AA23)/8)</f>
        <v>Pending</v>
      </c>
      <c r="F23" s="17" t="str">
        <f aca="false">IF($C23&lt;&gt;"Yes","Pending",SUM(Scoring!AB23:AI23)/8)</f>
        <v>Pending</v>
      </c>
      <c r="G23" s="17" t="str">
        <f aca="false">IF($C23&lt;&gt;"Yes","Pending",SUM(Scoring!AJ23:AO23)/6)</f>
        <v>Pending</v>
      </c>
      <c r="H23" s="17" t="str">
        <f aca="false">IF($C23&lt;&gt;"Yes","Pending",SUM(Scoring!AP23:BA23)/12)</f>
        <v>Pending</v>
      </c>
      <c r="I23" s="17" t="str">
        <f aca="false">IF($C23&lt;&gt;"Yes","Pending",SUMPRODUCT((Scoring!$H$5:$AO$5=1)*Scoring!H23:AO23)/8)</f>
        <v>Pending</v>
      </c>
      <c r="J23" s="32" t="str">
        <f aca="false">IF($C23&lt;&gt;"Yes","Pending",SUM(Scoring!H23:BA23)/46)</f>
        <v>Pending</v>
      </c>
      <c r="K23" s="17" t="str">
        <f aca="false">IF($C23&lt;&gt;"Yes","Pending",SUMPRODUCT((Scoring!$H$4:$AO$4="L1")*Scoring!H23:AO23)/12)</f>
        <v>Pending</v>
      </c>
      <c r="L23" s="17" t="str">
        <f aca="false">IF($C23&lt;&gt;"Yes","Pending",SUMPRODUCT((Scoring!$H$4:$AO$4="L2")*Scoring!H23:AO23)/15)</f>
        <v>Pending</v>
      </c>
      <c r="M23" s="17" t="str">
        <f aca="false">IF($C23&lt;&gt;"Yes","Pending",SUMPRODUCT((Scoring!$H$4:$AO$4="L3")*Scoring!H23:AO23)/7)</f>
        <v>Pending</v>
      </c>
      <c r="N23" s="18" t="str">
        <f aca="false">IF($C23&lt;&gt;"Yes","Pending",VALUE(Entry!C23))</f>
        <v>Pending</v>
      </c>
      <c r="O23" s="33" t="str">
        <f aca="false">IF($C23&lt;&gt;"Yes","Pending",N23-IF(D23&gt;=Band4,4,IF(D23&gt;=Band3,3,IF(D23&gt;=Band2,2,1))))</f>
        <v>Pending</v>
      </c>
      <c r="P23" s="18" t="str">
        <f aca="false">IF($C23&lt;&gt;"Yes","Pending",VALUE(Entry!D23))</f>
        <v>Pending</v>
      </c>
      <c r="Q23" s="33" t="str">
        <f aca="false">IF($C23&lt;&gt;"Yes","Pending",P23-IF(E23&gt;=Band4,4,IF(E23&gt;=Band3,3,IF(E23&gt;=Band2,2,1))))</f>
        <v>Pending</v>
      </c>
      <c r="R23" s="18" t="str">
        <f aca="false">IF($C23&lt;&gt;"Yes","Pending",VALUE(Entry!E23))</f>
        <v>Pending</v>
      </c>
      <c r="S23" s="33" t="str">
        <f aca="false">IF($C23&lt;&gt;"Yes","Pending",R23-IF(F23&gt;=Band4,4,IF(F23&gt;=Band3,3,IF(F23&gt;=Band2,2,1))))</f>
        <v>Pending</v>
      </c>
      <c r="T23" s="18" t="str">
        <f aca="false">IF($C23&lt;&gt;"Yes","Pending",VALUE(Entry!F23))</f>
        <v>Pending</v>
      </c>
      <c r="U23" s="33" t="str">
        <f aca="false">IF($C23&lt;&gt;"Yes","Pending",T23-IF(G23&gt;=Band4,4,IF(G23&gt;=Band3,3,IF(G23&gt;=Band2,2,1))))</f>
        <v>Pending</v>
      </c>
      <c r="V23" s="18" t="str">
        <f aca="false">IF($C23&lt;&gt;"Yes","Pending",VALUE(Entry!G23))</f>
        <v>Pending</v>
      </c>
      <c r="W23" s="33" t="str">
        <f aca="false">IF($C23&lt;&gt;"Yes","Pending",V23-IF(I23&gt;=Band4,4,IF(I23&gt;=Band3,3,IF(I23&gt;=Band2,2,1))))</f>
        <v>Pending</v>
      </c>
      <c r="X23" s="20" t="str">
        <f aca="false">IF($C23&lt;&gt;"Yes","Pending",AVERAGE(O23,Q23,S23,U23,W23))</f>
        <v>Pending</v>
      </c>
      <c r="Y23" s="21" t="str">
        <f aca="false">IF($C23&lt;&gt;"Yes","Pending",IF(D23&lt;PyCut,"Full","Light"))</f>
        <v>Pending</v>
      </c>
      <c r="Z23" s="21" t="str">
        <f aca="false">IF($C23&lt;&gt;"Yes","Pending",IF(E23&lt;SqlCut,"Full","Light"))</f>
        <v>Pending</v>
      </c>
      <c r="AA23" s="22" t="str">
        <f aca="false">IF($C23&lt;&gt;"Yes","Pending",IF(X23&gt;=1,"Over-claims",IF(X23&lt;=-1,"Under-claims","Calibrated")))</f>
        <v>Pending</v>
      </c>
      <c r="AB23" s="13" t="str">
        <f aca="false">IF($C23&lt;&gt;"Yes","Pending","Python "&amp;TEXT(D23,"0%")&amp;", SQL "&amp;TEXT(E23,"0%")&amp;", numbers "&amp;TEXT(F23,"0%")&amp;"; L3 "&amp;TEXT(M23,"0%")&amp;"; "&amp;AA23&amp;"; "&amp;IF(MIN(D23,E23,F23,G23,I23)&gt;=Band4,"no weak area","weakest area: "&amp;INDEX({"Python","SQL","numbers","case","LLM"},MATCH(MIN(D23,E23,F23,G23,I23),CHOOSE({1,2,3,4,5},D23,E23,F23,G23,I23),0))))</f>
        <v>Pending</v>
      </c>
    </row>
    <row r="24" customFormat="false" ht="15" hidden="false" customHeight="false" outlineLevel="0" collapsed="false">
      <c r="A24" s="21" t="str">
        <f aca="false">Entry!A24</f>
        <v>S18</v>
      </c>
      <c r="B24" s="13" t="str">
        <f aca="false">Entry!B24</f>
        <v>TBD</v>
      </c>
      <c r="C24" s="22" t="str">
        <f aca="false">Entry!BL24</f>
        <v>Pending</v>
      </c>
      <c r="D24" s="17" t="str">
        <f aca="false">IF($C24&lt;&gt;"Yes","Pending",SUM(Scoring!H24:S24)/12)</f>
        <v>Pending</v>
      </c>
      <c r="E24" s="17" t="str">
        <f aca="false">IF($C24&lt;&gt;"Yes","Pending",SUM(Scoring!T24:AA24)/8)</f>
        <v>Pending</v>
      </c>
      <c r="F24" s="17" t="str">
        <f aca="false">IF($C24&lt;&gt;"Yes","Pending",SUM(Scoring!AB24:AI24)/8)</f>
        <v>Pending</v>
      </c>
      <c r="G24" s="17" t="str">
        <f aca="false">IF($C24&lt;&gt;"Yes","Pending",SUM(Scoring!AJ24:AO24)/6)</f>
        <v>Pending</v>
      </c>
      <c r="H24" s="17" t="str">
        <f aca="false">IF($C24&lt;&gt;"Yes","Pending",SUM(Scoring!AP24:BA24)/12)</f>
        <v>Pending</v>
      </c>
      <c r="I24" s="17" t="str">
        <f aca="false">IF($C24&lt;&gt;"Yes","Pending",SUMPRODUCT((Scoring!$H$5:$AO$5=1)*Scoring!H24:AO24)/8)</f>
        <v>Pending</v>
      </c>
      <c r="J24" s="32" t="str">
        <f aca="false">IF($C24&lt;&gt;"Yes","Pending",SUM(Scoring!H24:BA24)/46)</f>
        <v>Pending</v>
      </c>
      <c r="K24" s="17" t="str">
        <f aca="false">IF($C24&lt;&gt;"Yes","Pending",SUMPRODUCT((Scoring!$H$4:$AO$4="L1")*Scoring!H24:AO24)/12)</f>
        <v>Pending</v>
      </c>
      <c r="L24" s="17" t="str">
        <f aca="false">IF($C24&lt;&gt;"Yes","Pending",SUMPRODUCT((Scoring!$H$4:$AO$4="L2")*Scoring!H24:AO24)/15)</f>
        <v>Pending</v>
      </c>
      <c r="M24" s="17" t="str">
        <f aca="false">IF($C24&lt;&gt;"Yes","Pending",SUMPRODUCT((Scoring!$H$4:$AO$4="L3")*Scoring!H24:AO24)/7)</f>
        <v>Pending</v>
      </c>
      <c r="N24" s="18" t="str">
        <f aca="false">IF($C24&lt;&gt;"Yes","Pending",VALUE(Entry!C24))</f>
        <v>Pending</v>
      </c>
      <c r="O24" s="33" t="str">
        <f aca="false">IF($C24&lt;&gt;"Yes","Pending",N24-IF(D24&gt;=Band4,4,IF(D24&gt;=Band3,3,IF(D24&gt;=Band2,2,1))))</f>
        <v>Pending</v>
      </c>
      <c r="P24" s="18" t="str">
        <f aca="false">IF($C24&lt;&gt;"Yes","Pending",VALUE(Entry!D24))</f>
        <v>Pending</v>
      </c>
      <c r="Q24" s="33" t="str">
        <f aca="false">IF($C24&lt;&gt;"Yes","Pending",P24-IF(E24&gt;=Band4,4,IF(E24&gt;=Band3,3,IF(E24&gt;=Band2,2,1))))</f>
        <v>Pending</v>
      </c>
      <c r="R24" s="18" t="str">
        <f aca="false">IF($C24&lt;&gt;"Yes","Pending",VALUE(Entry!E24))</f>
        <v>Pending</v>
      </c>
      <c r="S24" s="33" t="str">
        <f aca="false">IF($C24&lt;&gt;"Yes","Pending",R24-IF(F24&gt;=Band4,4,IF(F24&gt;=Band3,3,IF(F24&gt;=Band2,2,1))))</f>
        <v>Pending</v>
      </c>
      <c r="T24" s="18" t="str">
        <f aca="false">IF($C24&lt;&gt;"Yes","Pending",VALUE(Entry!F24))</f>
        <v>Pending</v>
      </c>
      <c r="U24" s="33" t="str">
        <f aca="false">IF($C24&lt;&gt;"Yes","Pending",T24-IF(G24&gt;=Band4,4,IF(G24&gt;=Band3,3,IF(G24&gt;=Band2,2,1))))</f>
        <v>Pending</v>
      </c>
      <c r="V24" s="18" t="str">
        <f aca="false">IF($C24&lt;&gt;"Yes","Pending",VALUE(Entry!G24))</f>
        <v>Pending</v>
      </c>
      <c r="W24" s="33" t="str">
        <f aca="false">IF($C24&lt;&gt;"Yes","Pending",V24-IF(I24&gt;=Band4,4,IF(I24&gt;=Band3,3,IF(I24&gt;=Band2,2,1))))</f>
        <v>Pending</v>
      </c>
      <c r="X24" s="20" t="str">
        <f aca="false">IF($C24&lt;&gt;"Yes","Pending",AVERAGE(O24,Q24,S24,U24,W24))</f>
        <v>Pending</v>
      </c>
      <c r="Y24" s="21" t="str">
        <f aca="false">IF($C24&lt;&gt;"Yes","Pending",IF(D24&lt;PyCut,"Full","Light"))</f>
        <v>Pending</v>
      </c>
      <c r="Z24" s="21" t="str">
        <f aca="false">IF($C24&lt;&gt;"Yes","Pending",IF(E24&lt;SqlCut,"Full","Light"))</f>
        <v>Pending</v>
      </c>
      <c r="AA24" s="22" t="str">
        <f aca="false">IF($C24&lt;&gt;"Yes","Pending",IF(X24&gt;=1,"Over-claims",IF(X24&lt;=-1,"Under-claims","Calibrated")))</f>
        <v>Pending</v>
      </c>
      <c r="AB24" s="13" t="str">
        <f aca="false">IF($C24&lt;&gt;"Yes","Pending","Python "&amp;TEXT(D24,"0%")&amp;", SQL "&amp;TEXT(E24,"0%")&amp;", numbers "&amp;TEXT(F24,"0%")&amp;"; L3 "&amp;TEXT(M24,"0%")&amp;"; "&amp;AA24&amp;"; "&amp;IF(MIN(D24,E24,F24,G24,I24)&gt;=Band4,"no weak area","weakest area: "&amp;INDEX({"Python","SQL","numbers","case","LLM"},MATCH(MIN(D24,E24,F24,G24,I24),CHOOSE({1,2,3,4,5},D24,E24,F24,G24,I24),0))))</f>
        <v>Pending</v>
      </c>
    </row>
    <row r="25" customFormat="false" ht="15" hidden="false" customHeight="false" outlineLevel="0" collapsed="false">
      <c r="A25" s="21" t="str">
        <f aca="false">Entry!A25</f>
        <v>S19</v>
      </c>
      <c r="B25" s="13" t="str">
        <f aca="false">Entry!B25</f>
        <v>TBD</v>
      </c>
      <c r="C25" s="22" t="str">
        <f aca="false">Entry!BL25</f>
        <v>Pending</v>
      </c>
      <c r="D25" s="17" t="str">
        <f aca="false">IF($C25&lt;&gt;"Yes","Pending",SUM(Scoring!H25:S25)/12)</f>
        <v>Pending</v>
      </c>
      <c r="E25" s="17" t="str">
        <f aca="false">IF($C25&lt;&gt;"Yes","Pending",SUM(Scoring!T25:AA25)/8)</f>
        <v>Pending</v>
      </c>
      <c r="F25" s="17" t="str">
        <f aca="false">IF($C25&lt;&gt;"Yes","Pending",SUM(Scoring!AB25:AI25)/8)</f>
        <v>Pending</v>
      </c>
      <c r="G25" s="17" t="str">
        <f aca="false">IF($C25&lt;&gt;"Yes","Pending",SUM(Scoring!AJ25:AO25)/6)</f>
        <v>Pending</v>
      </c>
      <c r="H25" s="17" t="str">
        <f aca="false">IF($C25&lt;&gt;"Yes","Pending",SUM(Scoring!AP25:BA25)/12)</f>
        <v>Pending</v>
      </c>
      <c r="I25" s="17" t="str">
        <f aca="false">IF($C25&lt;&gt;"Yes","Pending",SUMPRODUCT((Scoring!$H$5:$AO$5=1)*Scoring!H25:AO25)/8)</f>
        <v>Pending</v>
      </c>
      <c r="J25" s="32" t="str">
        <f aca="false">IF($C25&lt;&gt;"Yes","Pending",SUM(Scoring!H25:BA25)/46)</f>
        <v>Pending</v>
      </c>
      <c r="K25" s="17" t="str">
        <f aca="false">IF($C25&lt;&gt;"Yes","Pending",SUMPRODUCT((Scoring!$H$4:$AO$4="L1")*Scoring!H25:AO25)/12)</f>
        <v>Pending</v>
      </c>
      <c r="L25" s="17" t="str">
        <f aca="false">IF($C25&lt;&gt;"Yes","Pending",SUMPRODUCT((Scoring!$H$4:$AO$4="L2")*Scoring!H25:AO25)/15)</f>
        <v>Pending</v>
      </c>
      <c r="M25" s="17" t="str">
        <f aca="false">IF($C25&lt;&gt;"Yes","Pending",SUMPRODUCT((Scoring!$H$4:$AO$4="L3")*Scoring!H25:AO25)/7)</f>
        <v>Pending</v>
      </c>
      <c r="N25" s="18" t="str">
        <f aca="false">IF($C25&lt;&gt;"Yes","Pending",VALUE(Entry!C25))</f>
        <v>Pending</v>
      </c>
      <c r="O25" s="33" t="str">
        <f aca="false">IF($C25&lt;&gt;"Yes","Pending",N25-IF(D25&gt;=Band4,4,IF(D25&gt;=Band3,3,IF(D25&gt;=Band2,2,1))))</f>
        <v>Pending</v>
      </c>
      <c r="P25" s="18" t="str">
        <f aca="false">IF($C25&lt;&gt;"Yes","Pending",VALUE(Entry!D25))</f>
        <v>Pending</v>
      </c>
      <c r="Q25" s="33" t="str">
        <f aca="false">IF($C25&lt;&gt;"Yes","Pending",P25-IF(E25&gt;=Band4,4,IF(E25&gt;=Band3,3,IF(E25&gt;=Band2,2,1))))</f>
        <v>Pending</v>
      </c>
      <c r="R25" s="18" t="str">
        <f aca="false">IF($C25&lt;&gt;"Yes","Pending",VALUE(Entry!E25))</f>
        <v>Pending</v>
      </c>
      <c r="S25" s="33" t="str">
        <f aca="false">IF($C25&lt;&gt;"Yes","Pending",R25-IF(F25&gt;=Band4,4,IF(F25&gt;=Band3,3,IF(F25&gt;=Band2,2,1))))</f>
        <v>Pending</v>
      </c>
      <c r="T25" s="18" t="str">
        <f aca="false">IF($C25&lt;&gt;"Yes","Pending",VALUE(Entry!F25))</f>
        <v>Pending</v>
      </c>
      <c r="U25" s="33" t="str">
        <f aca="false">IF($C25&lt;&gt;"Yes","Pending",T25-IF(G25&gt;=Band4,4,IF(G25&gt;=Band3,3,IF(G25&gt;=Band2,2,1))))</f>
        <v>Pending</v>
      </c>
      <c r="V25" s="18" t="str">
        <f aca="false">IF($C25&lt;&gt;"Yes","Pending",VALUE(Entry!G25))</f>
        <v>Pending</v>
      </c>
      <c r="W25" s="33" t="str">
        <f aca="false">IF($C25&lt;&gt;"Yes","Pending",V25-IF(I25&gt;=Band4,4,IF(I25&gt;=Band3,3,IF(I25&gt;=Band2,2,1))))</f>
        <v>Pending</v>
      </c>
      <c r="X25" s="20" t="str">
        <f aca="false">IF($C25&lt;&gt;"Yes","Pending",AVERAGE(O25,Q25,S25,U25,W25))</f>
        <v>Pending</v>
      </c>
      <c r="Y25" s="21" t="str">
        <f aca="false">IF($C25&lt;&gt;"Yes","Pending",IF(D25&lt;PyCut,"Full","Light"))</f>
        <v>Pending</v>
      </c>
      <c r="Z25" s="21" t="str">
        <f aca="false">IF($C25&lt;&gt;"Yes","Pending",IF(E25&lt;SqlCut,"Full","Light"))</f>
        <v>Pending</v>
      </c>
      <c r="AA25" s="22" t="str">
        <f aca="false">IF($C25&lt;&gt;"Yes","Pending",IF(X25&gt;=1,"Over-claims",IF(X25&lt;=-1,"Under-claims","Calibrated")))</f>
        <v>Pending</v>
      </c>
      <c r="AB25" s="13" t="str">
        <f aca="false">IF($C25&lt;&gt;"Yes","Pending","Python "&amp;TEXT(D25,"0%")&amp;", SQL "&amp;TEXT(E25,"0%")&amp;", numbers "&amp;TEXT(F25,"0%")&amp;"; L3 "&amp;TEXT(M25,"0%")&amp;"; "&amp;AA25&amp;"; "&amp;IF(MIN(D25,E25,F25,G25,I25)&gt;=Band4,"no weak area","weakest area: "&amp;INDEX({"Python","SQL","numbers","case","LLM"},MATCH(MIN(D25,E25,F25,G25,I25),CHOOSE({1,2,3,4,5},D25,E25,F25,G25,I25),0))))</f>
        <v>Pending</v>
      </c>
    </row>
    <row r="26" customFormat="false" ht="15" hidden="false" customHeight="false" outlineLevel="0" collapsed="false">
      <c r="A26" s="21" t="str">
        <f aca="false">Entry!A26</f>
        <v>S20</v>
      </c>
      <c r="B26" s="13" t="str">
        <f aca="false">Entry!B26</f>
        <v>TBD</v>
      </c>
      <c r="C26" s="22" t="str">
        <f aca="false">Entry!BL26</f>
        <v>Pending</v>
      </c>
      <c r="D26" s="17" t="str">
        <f aca="false">IF($C26&lt;&gt;"Yes","Pending",SUM(Scoring!H26:S26)/12)</f>
        <v>Pending</v>
      </c>
      <c r="E26" s="17" t="str">
        <f aca="false">IF($C26&lt;&gt;"Yes","Pending",SUM(Scoring!T26:AA26)/8)</f>
        <v>Pending</v>
      </c>
      <c r="F26" s="17" t="str">
        <f aca="false">IF($C26&lt;&gt;"Yes","Pending",SUM(Scoring!AB26:AI26)/8)</f>
        <v>Pending</v>
      </c>
      <c r="G26" s="17" t="str">
        <f aca="false">IF($C26&lt;&gt;"Yes","Pending",SUM(Scoring!AJ26:AO26)/6)</f>
        <v>Pending</v>
      </c>
      <c r="H26" s="17" t="str">
        <f aca="false">IF($C26&lt;&gt;"Yes","Pending",SUM(Scoring!AP26:BA26)/12)</f>
        <v>Pending</v>
      </c>
      <c r="I26" s="17" t="str">
        <f aca="false">IF($C26&lt;&gt;"Yes","Pending",SUMPRODUCT((Scoring!$H$5:$AO$5=1)*Scoring!H26:AO26)/8)</f>
        <v>Pending</v>
      </c>
      <c r="J26" s="32" t="str">
        <f aca="false">IF($C26&lt;&gt;"Yes","Pending",SUM(Scoring!H26:BA26)/46)</f>
        <v>Pending</v>
      </c>
      <c r="K26" s="17" t="str">
        <f aca="false">IF($C26&lt;&gt;"Yes","Pending",SUMPRODUCT((Scoring!$H$4:$AO$4="L1")*Scoring!H26:AO26)/12)</f>
        <v>Pending</v>
      </c>
      <c r="L26" s="17" t="str">
        <f aca="false">IF($C26&lt;&gt;"Yes","Pending",SUMPRODUCT((Scoring!$H$4:$AO$4="L2")*Scoring!H26:AO26)/15)</f>
        <v>Pending</v>
      </c>
      <c r="M26" s="17" t="str">
        <f aca="false">IF($C26&lt;&gt;"Yes","Pending",SUMPRODUCT((Scoring!$H$4:$AO$4="L3")*Scoring!H26:AO26)/7)</f>
        <v>Pending</v>
      </c>
      <c r="N26" s="18" t="str">
        <f aca="false">IF($C26&lt;&gt;"Yes","Pending",VALUE(Entry!C26))</f>
        <v>Pending</v>
      </c>
      <c r="O26" s="33" t="str">
        <f aca="false">IF($C26&lt;&gt;"Yes","Pending",N26-IF(D26&gt;=Band4,4,IF(D26&gt;=Band3,3,IF(D26&gt;=Band2,2,1))))</f>
        <v>Pending</v>
      </c>
      <c r="P26" s="18" t="str">
        <f aca="false">IF($C26&lt;&gt;"Yes","Pending",VALUE(Entry!D26))</f>
        <v>Pending</v>
      </c>
      <c r="Q26" s="33" t="str">
        <f aca="false">IF($C26&lt;&gt;"Yes","Pending",P26-IF(E26&gt;=Band4,4,IF(E26&gt;=Band3,3,IF(E26&gt;=Band2,2,1))))</f>
        <v>Pending</v>
      </c>
      <c r="R26" s="18" t="str">
        <f aca="false">IF($C26&lt;&gt;"Yes","Pending",VALUE(Entry!E26))</f>
        <v>Pending</v>
      </c>
      <c r="S26" s="33" t="str">
        <f aca="false">IF($C26&lt;&gt;"Yes","Pending",R26-IF(F26&gt;=Band4,4,IF(F26&gt;=Band3,3,IF(F26&gt;=Band2,2,1))))</f>
        <v>Pending</v>
      </c>
      <c r="T26" s="18" t="str">
        <f aca="false">IF($C26&lt;&gt;"Yes","Pending",VALUE(Entry!F26))</f>
        <v>Pending</v>
      </c>
      <c r="U26" s="33" t="str">
        <f aca="false">IF($C26&lt;&gt;"Yes","Pending",T26-IF(G26&gt;=Band4,4,IF(G26&gt;=Band3,3,IF(G26&gt;=Band2,2,1))))</f>
        <v>Pending</v>
      </c>
      <c r="V26" s="18" t="str">
        <f aca="false">IF($C26&lt;&gt;"Yes","Pending",VALUE(Entry!G26))</f>
        <v>Pending</v>
      </c>
      <c r="W26" s="33" t="str">
        <f aca="false">IF($C26&lt;&gt;"Yes","Pending",V26-IF(I26&gt;=Band4,4,IF(I26&gt;=Band3,3,IF(I26&gt;=Band2,2,1))))</f>
        <v>Pending</v>
      </c>
      <c r="X26" s="20" t="str">
        <f aca="false">IF($C26&lt;&gt;"Yes","Pending",AVERAGE(O26,Q26,S26,U26,W26))</f>
        <v>Pending</v>
      </c>
      <c r="Y26" s="21" t="str">
        <f aca="false">IF($C26&lt;&gt;"Yes","Pending",IF(D26&lt;PyCut,"Full","Light"))</f>
        <v>Pending</v>
      </c>
      <c r="Z26" s="21" t="str">
        <f aca="false">IF($C26&lt;&gt;"Yes","Pending",IF(E26&lt;SqlCut,"Full","Light"))</f>
        <v>Pending</v>
      </c>
      <c r="AA26" s="22" t="str">
        <f aca="false">IF($C26&lt;&gt;"Yes","Pending",IF(X26&gt;=1,"Over-claims",IF(X26&lt;=-1,"Under-claims","Calibrated")))</f>
        <v>Pending</v>
      </c>
      <c r="AB26" s="13" t="str">
        <f aca="false">IF($C26&lt;&gt;"Yes","Pending","Python "&amp;TEXT(D26,"0%")&amp;", SQL "&amp;TEXT(E26,"0%")&amp;", numbers "&amp;TEXT(F26,"0%")&amp;"; L3 "&amp;TEXT(M26,"0%")&amp;"; "&amp;AA26&amp;"; "&amp;IF(MIN(D26,E26,F26,G26,I26)&gt;=Band4,"no weak area","weakest area: "&amp;INDEX({"Python","SQL","numbers","case","LLM"},MATCH(MIN(D26,E26,F26,G26,I26),CHOOSE({1,2,3,4,5},D26,E26,F26,G26,I26),0))))</f>
        <v>Pending</v>
      </c>
    </row>
    <row r="27" customFormat="false" ht="15" hidden="false" customHeight="false" outlineLevel="0" collapsed="false">
      <c r="A27" s="21" t="str">
        <f aca="false">Entry!A27</f>
        <v>S21</v>
      </c>
      <c r="B27" s="13" t="str">
        <f aca="false">Entry!B27</f>
        <v>TBD</v>
      </c>
      <c r="C27" s="22" t="str">
        <f aca="false">Entry!BL27</f>
        <v>Pending</v>
      </c>
      <c r="D27" s="17" t="str">
        <f aca="false">IF($C27&lt;&gt;"Yes","Pending",SUM(Scoring!H27:S27)/12)</f>
        <v>Pending</v>
      </c>
      <c r="E27" s="17" t="str">
        <f aca="false">IF($C27&lt;&gt;"Yes","Pending",SUM(Scoring!T27:AA27)/8)</f>
        <v>Pending</v>
      </c>
      <c r="F27" s="17" t="str">
        <f aca="false">IF($C27&lt;&gt;"Yes","Pending",SUM(Scoring!AB27:AI27)/8)</f>
        <v>Pending</v>
      </c>
      <c r="G27" s="17" t="str">
        <f aca="false">IF($C27&lt;&gt;"Yes","Pending",SUM(Scoring!AJ27:AO27)/6)</f>
        <v>Pending</v>
      </c>
      <c r="H27" s="17" t="str">
        <f aca="false">IF($C27&lt;&gt;"Yes","Pending",SUM(Scoring!AP27:BA27)/12)</f>
        <v>Pending</v>
      </c>
      <c r="I27" s="17" t="str">
        <f aca="false">IF($C27&lt;&gt;"Yes","Pending",SUMPRODUCT((Scoring!$H$5:$AO$5=1)*Scoring!H27:AO27)/8)</f>
        <v>Pending</v>
      </c>
      <c r="J27" s="32" t="str">
        <f aca="false">IF($C27&lt;&gt;"Yes","Pending",SUM(Scoring!H27:BA27)/46)</f>
        <v>Pending</v>
      </c>
      <c r="K27" s="17" t="str">
        <f aca="false">IF($C27&lt;&gt;"Yes","Pending",SUMPRODUCT((Scoring!$H$4:$AO$4="L1")*Scoring!H27:AO27)/12)</f>
        <v>Pending</v>
      </c>
      <c r="L27" s="17" t="str">
        <f aca="false">IF($C27&lt;&gt;"Yes","Pending",SUMPRODUCT((Scoring!$H$4:$AO$4="L2")*Scoring!H27:AO27)/15)</f>
        <v>Pending</v>
      </c>
      <c r="M27" s="17" t="str">
        <f aca="false">IF($C27&lt;&gt;"Yes","Pending",SUMPRODUCT((Scoring!$H$4:$AO$4="L3")*Scoring!H27:AO27)/7)</f>
        <v>Pending</v>
      </c>
      <c r="N27" s="18" t="str">
        <f aca="false">IF($C27&lt;&gt;"Yes","Pending",VALUE(Entry!C27))</f>
        <v>Pending</v>
      </c>
      <c r="O27" s="33" t="str">
        <f aca="false">IF($C27&lt;&gt;"Yes","Pending",N27-IF(D27&gt;=Band4,4,IF(D27&gt;=Band3,3,IF(D27&gt;=Band2,2,1))))</f>
        <v>Pending</v>
      </c>
      <c r="P27" s="18" t="str">
        <f aca="false">IF($C27&lt;&gt;"Yes","Pending",VALUE(Entry!D27))</f>
        <v>Pending</v>
      </c>
      <c r="Q27" s="33" t="str">
        <f aca="false">IF($C27&lt;&gt;"Yes","Pending",P27-IF(E27&gt;=Band4,4,IF(E27&gt;=Band3,3,IF(E27&gt;=Band2,2,1))))</f>
        <v>Pending</v>
      </c>
      <c r="R27" s="18" t="str">
        <f aca="false">IF($C27&lt;&gt;"Yes","Pending",VALUE(Entry!E27))</f>
        <v>Pending</v>
      </c>
      <c r="S27" s="33" t="str">
        <f aca="false">IF($C27&lt;&gt;"Yes","Pending",R27-IF(F27&gt;=Band4,4,IF(F27&gt;=Band3,3,IF(F27&gt;=Band2,2,1))))</f>
        <v>Pending</v>
      </c>
      <c r="T27" s="18" t="str">
        <f aca="false">IF($C27&lt;&gt;"Yes","Pending",VALUE(Entry!F27))</f>
        <v>Pending</v>
      </c>
      <c r="U27" s="33" t="str">
        <f aca="false">IF($C27&lt;&gt;"Yes","Pending",T27-IF(G27&gt;=Band4,4,IF(G27&gt;=Band3,3,IF(G27&gt;=Band2,2,1))))</f>
        <v>Pending</v>
      </c>
      <c r="V27" s="18" t="str">
        <f aca="false">IF($C27&lt;&gt;"Yes","Pending",VALUE(Entry!G27))</f>
        <v>Pending</v>
      </c>
      <c r="W27" s="33" t="str">
        <f aca="false">IF($C27&lt;&gt;"Yes","Pending",V27-IF(I27&gt;=Band4,4,IF(I27&gt;=Band3,3,IF(I27&gt;=Band2,2,1))))</f>
        <v>Pending</v>
      </c>
      <c r="X27" s="20" t="str">
        <f aca="false">IF($C27&lt;&gt;"Yes","Pending",AVERAGE(O27,Q27,S27,U27,W27))</f>
        <v>Pending</v>
      </c>
      <c r="Y27" s="21" t="str">
        <f aca="false">IF($C27&lt;&gt;"Yes","Pending",IF(D27&lt;PyCut,"Full","Light"))</f>
        <v>Pending</v>
      </c>
      <c r="Z27" s="21" t="str">
        <f aca="false">IF($C27&lt;&gt;"Yes","Pending",IF(E27&lt;SqlCut,"Full","Light"))</f>
        <v>Pending</v>
      </c>
      <c r="AA27" s="22" t="str">
        <f aca="false">IF($C27&lt;&gt;"Yes","Pending",IF(X27&gt;=1,"Over-claims",IF(X27&lt;=-1,"Under-claims","Calibrated")))</f>
        <v>Pending</v>
      </c>
      <c r="AB27" s="13" t="str">
        <f aca="false">IF($C27&lt;&gt;"Yes","Pending","Python "&amp;TEXT(D27,"0%")&amp;", SQL "&amp;TEXT(E27,"0%")&amp;", numbers "&amp;TEXT(F27,"0%")&amp;"; L3 "&amp;TEXT(M27,"0%")&amp;"; "&amp;AA27&amp;"; "&amp;IF(MIN(D27,E27,F27,G27,I27)&gt;=Band4,"no weak area","weakest area: "&amp;INDEX({"Python","SQL","numbers","case","LLM"},MATCH(MIN(D27,E27,F27,G27,I27),CHOOSE({1,2,3,4,5},D27,E27,F27,G27,I27),0))))</f>
        <v>Pending</v>
      </c>
    </row>
    <row r="28" customFormat="false" ht="15" hidden="false" customHeight="false" outlineLevel="0" collapsed="false">
      <c r="A28" s="21" t="str">
        <f aca="false">Entry!A28</f>
        <v>S22</v>
      </c>
      <c r="B28" s="13" t="str">
        <f aca="false">Entry!B28</f>
        <v>TBD</v>
      </c>
      <c r="C28" s="22" t="str">
        <f aca="false">Entry!BL28</f>
        <v>Pending</v>
      </c>
      <c r="D28" s="17" t="str">
        <f aca="false">IF($C28&lt;&gt;"Yes","Pending",SUM(Scoring!H28:S28)/12)</f>
        <v>Pending</v>
      </c>
      <c r="E28" s="17" t="str">
        <f aca="false">IF($C28&lt;&gt;"Yes","Pending",SUM(Scoring!T28:AA28)/8)</f>
        <v>Pending</v>
      </c>
      <c r="F28" s="17" t="str">
        <f aca="false">IF($C28&lt;&gt;"Yes","Pending",SUM(Scoring!AB28:AI28)/8)</f>
        <v>Pending</v>
      </c>
      <c r="G28" s="17" t="str">
        <f aca="false">IF($C28&lt;&gt;"Yes","Pending",SUM(Scoring!AJ28:AO28)/6)</f>
        <v>Pending</v>
      </c>
      <c r="H28" s="17" t="str">
        <f aca="false">IF($C28&lt;&gt;"Yes","Pending",SUM(Scoring!AP28:BA28)/12)</f>
        <v>Pending</v>
      </c>
      <c r="I28" s="17" t="str">
        <f aca="false">IF($C28&lt;&gt;"Yes","Pending",SUMPRODUCT((Scoring!$H$5:$AO$5=1)*Scoring!H28:AO28)/8)</f>
        <v>Pending</v>
      </c>
      <c r="J28" s="32" t="str">
        <f aca="false">IF($C28&lt;&gt;"Yes","Pending",SUM(Scoring!H28:BA28)/46)</f>
        <v>Pending</v>
      </c>
      <c r="K28" s="17" t="str">
        <f aca="false">IF($C28&lt;&gt;"Yes","Pending",SUMPRODUCT((Scoring!$H$4:$AO$4="L1")*Scoring!H28:AO28)/12)</f>
        <v>Pending</v>
      </c>
      <c r="L28" s="17" t="str">
        <f aca="false">IF($C28&lt;&gt;"Yes","Pending",SUMPRODUCT((Scoring!$H$4:$AO$4="L2")*Scoring!H28:AO28)/15)</f>
        <v>Pending</v>
      </c>
      <c r="M28" s="17" t="str">
        <f aca="false">IF($C28&lt;&gt;"Yes","Pending",SUMPRODUCT((Scoring!$H$4:$AO$4="L3")*Scoring!H28:AO28)/7)</f>
        <v>Pending</v>
      </c>
      <c r="N28" s="18" t="str">
        <f aca="false">IF($C28&lt;&gt;"Yes","Pending",VALUE(Entry!C28))</f>
        <v>Pending</v>
      </c>
      <c r="O28" s="33" t="str">
        <f aca="false">IF($C28&lt;&gt;"Yes","Pending",N28-IF(D28&gt;=Band4,4,IF(D28&gt;=Band3,3,IF(D28&gt;=Band2,2,1))))</f>
        <v>Pending</v>
      </c>
      <c r="P28" s="18" t="str">
        <f aca="false">IF($C28&lt;&gt;"Yes","Pending",VALUE(Entry!D28))</f>
        <v>Pending</v>
      </c>
      <c r="Q28" s="33" t="str">
        <f aca="false">IF($C28&lt;&gt;"Yes","Pending",P28-IF(E28&gt;=Band4,4,IF(E28&gt;=Band3,3,IF(E28&gt;=Band2,2,1))))</f>
        <v>Pending</v>
      </c>
      <c r="R28" s="18" t="str">
        <f aca="false">IF($C28&lt;&gt;"Yes","Pending",VALUE(Entry!E28))</f>
        <v>Pending</v>
      </c>
      <c r="S28" s="33" t="str">
        <f aca="false">IF($C28&lt;&gt;"Yes","Pending",R28-IF(F28&gt;=Band4,4,IF(F28&gt;=Band3,3,IF(F28&gt;=Band2,2,1))))</f>
        <v>Pending</v>
      </c>
      <c r="T28" s="18" t="str">
        <f aca="false">IF($C28&lt;&gt;"Yes","Pending",VALUE(Entry!F28))</f>
        <v>Pending</v>
      </c>
      <c r="U28" s="33" t="str">
        <f aca="false">IF($C28&lt;&gt;"Yes","Pending",T28-IF(G28&gt;=Band4,4,IF(G28&gt;=Band3,3,IF(G28&gt;=Band2,2,1))))</f>
        <v>Pending</v>
      </c>
      <c r="V28" s="18" t="str">
        <f aca="false">IF($C28&lt;&gt;"Yes","Pending",VALUE(Entry!G28))</f>
        <v>Pending</v>
      </c>
      <c r="W28" s="33" t="str">
        <f aca="false">IF($C28&lt;&gt;"Yes","Pending",V28-IF(I28&gt;=Band4,4,IF(I28&gt;=Band3,3,IF(I28&gt;=Band2,2,1))))</f>
        <v>Pending</v>
      </c>
      <c r="X28" s="20" t="str">
        <f aca="false">IF($C28&lt;&gt;"Yes","Pending",AVERAGE(O28,Q28,S28,U28,W28))</f>
        <v>Pending</v>
      </c>
      <c r="Y28" s="21" t="str">
        <f aca="false">IF($C28&lt;&gt;"Yes","Pending",IF(D28&lt;PyCut,"Full","Light"))</f>
        <v>Pending</v>
      </c>
      <c r="Z28" s="21" t="str">
        <f aca="false">IF($C28&lt;&gt;"Yes","Pending",IF(E28&lt;SqlCut,"Full","Light"))</f>
        <v>Pending</v>
      </c>
      <c r="AA28" s="22" t="str">
        <f aca="false">IF($C28&lt;&gt;"Yes","Pending",IF(X28&gt;=1,"Over-claims",IF(X28&lt;=-1,"Under-claims","Calibrated")))</f>
        <v>Pending</v>
      </c>
      <c r="AB28" s="13" t="str">
        <f aca="false">IF($C28&lt;&gt;"Yes","Pending","Python "&amp;TEXT(D28,"0%")&amp;", SQL "&amp;TEXT(E28,"0%")&amp;", numbers "&amp;TEXT(F28,"0%")&amp;"; L3 "&amp;TEXT(M28,"0%")&amp;"; "&amp;AA28&amp;"; "&amp;IF(MIN(D28,E28,F28,G28,I28)&gt;=Band4,"no weak area","weakest area: "&amp;INDEX({"Python","SQL","numbers","case","LLM"},MATCH(MIN(D28,E28,F28,G28,I28),CHOOSE({1,2,3,4,5},D28,E28,F28,G28,I28),0))))</f>
        <v>Pending</v>
      </c>
    </row>
    <row r="29" customFormat="false" ht="15" hidden="false" customHeight="false" outlineLevel="0" collapsed="false">
      <c r="A29" s="21" t="str">
        <f aca="false">Entry!A29</f>
        <v>S23</v>
      </c>
      <c r="B29" s="13" t="str">
        <f aca="false">Entry!B29</f>
        <v>TBD</v>
      </c>
      <c r="C29" s="22" t="str">
        <f aca="false">Entry!BL29</f>
        <v>Pending</v>
      </c>
      <c r="D29" s="17" t="str">
        <f aca="false">IF($C29&lt;&gt;"Yes","Pending",SUM(Scoring!H29:S29)/12)</f>
        <v>Pending</v>
      </c>
      <c r="E29" s="17" t="str">
        <f aca="false">IF($C29&lt;&gt;"Yes","Pending",SUM(Scoring!T29:AA29)/8)</f>
        <v>Pending</v>
      </c>
      <c r="F29" s="17" t="str">
        <f aca="false">IF($C29&lt;&gt;"Yes","Pending",SUM(Scoring!AB29:AI29)/8)</f>
        <v>Pending</v>
      </c>
      <c r="G29" s="17" t="str">
        <f aca="false">IF($C29&lt;&gt;"Yes","Pending",SUM(Scoring!AJ29:AO29)/6)</f>
        <v>Pending</v>
      </c>
      <c r="H29" s="17" t="str">
        <f aca="false">IF($C29&lt;&gt;"Yes","Pending",SUM(Scoring!AP29:BA29)/12)</f>
        <v>Pending</v>
      </c>
      <c r="I29" s="17" t="str">
        <f aca="false">IF($C29&lt;&gt;"Yes","Pending",SUMPRODUCT((Scoring!$H$5:$AO$5=1)*Scoring!H29:AO29)/8)</f>
        <v>Pending</v>
      </c>
      <c r="J29" s="32" t="str">
        <f aca="false">IF($C29&lt;&gt;"Yes","Pending",SUM(Scoring!H29:BA29)/46)</f>
        <v>Pending</v>
      </c>
      <c r="K29" s="17" t="str">
        <f aca="false">IF($C29&lt;&gt;"Yes","Pending",SUMPRODUCT((Scoring!$H$4:$AO$4="L1")*Scoring!H29:AO29)/12)</f>
        <v>Pending</v>
      </c>
      <c r="L29" s="17" t="str">
        <f aca="false">IF($C29&lt;&gt;"Yes","Pending",SUMPRODUCT((Scoring!$H$4:$AO$4="L2")*Scoring!H29:AO29)/15)</f>
        <v>Pending</v>
      </c>
      <c r="M29" s="17" t="str">
        <f aca="false">IF($C29&lt;&gt;"Yes","Pending",SUMPRODUCT((Scoring!$H$4:$AO$4="L3")*Scoring!H29:AO29)/7)</f>
        <v>Pending</v>
      </c>
      <c r="N29" s="18" t="str">
        <f aca="false">IF($C29&lt;&gt;"Yes","Pending",VALUE(Entry!C29))</f>
        <v>Pending</v>
      </c>
      <c r="O29" s="33" t="str">
        <f aca="false">IF($C29&lt;&gt;"Yes","Pending",N29-IF(D29&gt;=Band4,4,IF(D29&gt;=Band3,3,IF(D29&gt;=Band2,2,1))))</f>
        <v>Pending</v>
      </c>
      <c r="P29" s="18" t="str">
        <f aca="false">IF($C29&lt;&gt;"Yes","Pending",VALUE(Entry!D29))</f>
        <v>Pending</v>
      </c>
      <c r="Q29" s="33" t="str">
        <f aca="false">IF($C29&lt;&gt;"Yes","Pending",P29-IF(E29&gt;=Band4,4,IF(E29&gt;=Band3,3,IF(E29&gt;=Band2,2,1))))</f>
        <v>Pending</v>
      </c>
      <c r="R29" s="18" t="str">
        <f aca="false">IF($C29&lt;&gt;"Yes","Pending",VALUE(Entry!E29))</f>
        <v>Pending</v>
      </c>
      <c r="S29" s="33" t="str">
        <f aca="false">IF($C29&lt;&gt;"Yes","Pending",R29-IF(F29&gt;=Band4,4,IF(F29&gt;=Band3,3,IF(F29&gt;=Band2,2,1))))</f>
        <v>Pending</v>
      </c>
      <c r="T29" s="18" t="str">
        <f aca="false">IF($C29&lt;&gt;"Yes","Pending",VALUE(Entry!F29))</f>
        <v>Pending</v>
      </c>
      <c r="U29" s="33" t="str">
        <f aca="false">IF($C29&lt;&gt;"Yes","Pending",T29-IF(G29&gt;=Band4,4,IF(G29&gt;=Band3,3,IF(G29&gt;=Band2,2,1))))</f>
        <v>Pending</v>
      </c>
      <c r="V29" s="18" t="str">
        <f aca="false">IF($C29&lt;&gt;"Yes","Pending",VALUE(Entry!G29))</f>
        <v>Pending</v>
      </c>
      <c r="W29" s="33" t="str">
        <f aca="false">IF($C29&lt;&gt;"Yes","Pending",V29-IF(I29&gt;=Band4,4,IF(I29&gt;=Band3,3,IF(I29&gt;=Band2,2,1))))</f>
        <v>Pending</v>
      </c>
      <c r="X29" s="20" t="str">
        <f aca="false">IF($C29&lt;&gt;"Yes","Pending",AVERAGE(O29,Q29,S29,U29,W29))</f>
        <v>Pending</v>
      </c>
      <c r="Y29" s="21" t="str">
        <f aca="false">IF($C29&lt;&gt;"Yes","Pending",IF(D29&lt;PyCut,"Full","Light"))</f>
        <v>Pending</v>
      </c>
      <c r="Z29" s="21" t="str">
        <f aca="false">IF($C29&lt;&gt;"Yes","Pending",IF(E29&lt;SqlCut,"Full","Light"))</f>
        <v>Pending</v>
      </c>
      <c r="AA29" s="22" t="str">
        <f aca="false">IF($C29&lt;&gt;"Yes","Pending",IF(X29&gt;=1,"Over-claims",IF(X29&lt;=-1,"Under-claims","Calibrated")))</f>
        <v>Pending</v>
      </c>
      <c r="AB29" s="13" t="str">
        <f aca="false">IF($C29&lt;&gt;"Yes","Pending","Python "&amp;TEXT(D29,"0%")&amp;", SQL "&amp;TEXT(E29,"0%")&amp;", numbers "&amp;TEXT(F29,"0%")&amp;"; L3 "&amp;TEXT(M29,"0%")&amp;"; "&amp;AA29&amp;"; "&amp;IF(MIN(D29,E29,F29,G29,I29)&gt;=Band4,"no weak area","weakest area: "&amp;INDEX({"Python","SQL","numbers","case","LLM"},MATCH(MIN(D29,E29,F29,G29,I29),CHOOSE({1,2,3,4,5},D29,E29,F29,G29,I29),0))))</f>
        <v>Pending</v>
      </c>
    </row>
    <row r="30" customFormat="false" ht="15" hidden="false" customHeight="false" outlineLevel="0" collapsed="false">
      <c r="A30" s="21" t="str">
        <f aca="false">Entry!A30</f>
        <v>S24</v>
      </c>
      <c r="B30" s="13" t="str">
        <f aca="false">Entry!B30</f>
        <v>TBD</v>
      </c>
      <c r="C30" s="22" t="str">
        <f aca="false">Entry!BL30</f>
        <v>Pending</v>
      </c>
      <c r="D30" s="17" t="str">
        <f aca="false">IF($C30&lt;&gt;"Yes","Pending",SUM(Scoring!H30:S30)/12)</f>
        <v>Pending</v>
      </c>
      <c r="E30" s="17" t="str">
        <f aca="false">IF($C30&lt;&gt;"Yes","Pending",SUM(Scoring!T30:AA30)/8)</f>
        <v>Pending</v>
      </c>
      <c r="F30" s="17" t="str">
        <f aca="false">IF($C30&lt;&gt;"Yes","Pending",SUM(Scoring!AB30:AI30)/8)</f>
        <v>Pending</v>
      </c>
      <c r="G30" s="17" t="str">
        <f aca="false">IF($C30&lt;&gt;"Yes","Pending",SUM(Scoring!AJ30:AO30)/6)</f>
        <v>Pending</v>
      </c>
      <c r="H30" s="17" t="str">
        <f aca="false">IF($C30&lt;&gt;"Yes","Pending",SUM(Scoring!AP30:BA30)/12)</f>
        <v>Pending</v>
      </c>
      <c r="I30" s="17" t="str">
        <f aca="false">IF($C30&lt;&gt;"Yes","Pending",SUMPRODUCT((Scoring!$H$5:$AO$5=1)*Scoring!H30:AO30)/8)</f>
        <v>Pending</v>
      </c>
      <c r="J30" s="32" t="str">
        <f aca="false">IF($C30&lt;&gt;"Yes","Pending",SUM(Scoring!H30:BA30)/46)</f>
        <v>Pending</v>
      </c>
      <c r="K30" s="17" t="str">
        <f aca="false">IF($C30&lt;&gt;"Yes","Pending",SUMPRODUCT((Scoring!$H$4:$AO$4="L1")*Scoring!H30:AO30)/12)</f>
        <v>Pending</v>
      </c>
      <c r="L30" s="17" t="str">
        <f aca="false">IF($C30&lt;&gt;"Yes","Pending",SUMPRODUCT((Scoring!$H$4:$AO$4="L2")*Scoring!H30:AO30)/15)</f>
        <v>Pending</v>
      </c>
      <c r="M30" s="17" t="str">
        <f aca="false">IF($C30&lt;&gt;"Yes","Pending",SUMPRODUCT((Scoring!$H$4:$AO$4="L3")*Scoring!H30:AO30)/7)</f>
        <v>Pending</v>
      </c>
      <c r="N30" s="18" t="str">
        <f aca="false">IF($C30&lt;&gt;"Yes","Pending",VALUE(Entry!C30))</f>
        <v>Pending</v>
      </c>
      <c r="O30" s="33" t="str">
        <f aca="false">IF($C30&lt;&gt;"Yes","Pending",N30-IF(D30&gt;=Band4,4,IF(D30&gt;=Band3,3,IF(D30&gt;=Band2,2,1))))</f>
        <v>Pending</v>
      </c>
      <c r="P30" s="18" t="str">
        <f aca="false">IF($C30&lt;&gt;"Yes","Pending",VALUE(Entry!D30))</f>
        <v>Pending</v>
      </c>
      <c r="Q30" s="33" t="str">
        <f aca="false">IF($C30&lt;&gt;"Yes","Pending",P30-IF(E30&gt;=Band4,4,IF(E30&gt;=Band3,3,IF(E30&gt;=Band2,2,1))))</f>
        <v>Pending</v>
      </c>
      <c r="R30" s="18" t="str">
        <f aca="false">IF($C30&lt;&gt;"Yes","Pending",VALUE(Entry!E30))</f>
        <v>Pending</v>
      </c>
      <c r="S30" s="33" t="str">
        <f aca="false">IF($C30&lt;&gt;"Yes","Pending",R30-IF(F30&gt;=Band4,4,IF(F30&gt;=Band3,3,IF(F30&gt;=Band2,2,1))))</f>
        <v>Pending</v>
      </c>
      <c r="T30" s="18" t="str">
        <f aca="false">IF($C30&lt;&gt;"Yes","Pending",VALUE(Entry!F30))</f>
        <v>Pending</v>
      </c>
      <c r="U30" s="33" t="str">
        <f aca="false">IF($C30&lt;&gt;"Yes","Pending",T30-IF(G30&gt;=Band4,4,IF(G30&gt;=Band3,3,IF(G30&gt;=Band2,2,1))))</f>
        <v>Pending</v>
      </c>
      <c r="V30" s="18" t="str">
        <f aca="false">IF($C30&lt;&gt;"Yes","Pending",VALUE(Entry!G30))</f>
        <v>Pending</v>
      </c>
      <c r="W30" s="33" t="str">
        <f aca="false">IF($C30&lt;&gt;"Yes","Pending",V30-IF(I30&gt;=Band4,4,IF(I30&gt;=Band3,3,IF(I30&gt;=Band2,2,1))))</f>
        <v>Pending</v>
      </c>
      <c r="X30" s="20" t="str">
        <f aca="false">IF($C30&lt;&gt;"Yes","Pending",AVERAGE(O30,Q30,S30,U30,W30))</f>
        <v>Pending</v>
      </c>
      <c r="Y30" s="21" t="str">
        <f aca="false">IF($C30&lt;&gt;"Yes","Pending",IF(D30&lt;PyCut,"Full","Light"))</f>
        <v>Pending</v>
      </c>
      <c r="Z30" s="21" t="str">
        <f aca="false">IF($C30&lt;&gt;"Yes","Pending",IF(E30&lt;SqlCut,"Full","Light"))</f>
        <v>Pending</v>
      </c>
      <c r="AA30" s="22" t="str">
        <f aca="false">IF($C30&lt;&gt;"Yes","Pending",IF(X30&gt;=1,"Over-claims",IF(X30&lt;=-1,"Under-claims","Calibrated")))</f>
        <v>Pending</v>
      </c>
      <c r="AB30" s="13" t="str">
        <f aca="false">IF($C30&lt;&gt;"Yes","Pending","Python "&amp;TEXT(D30,"0%")&amp;", SQL "&amp;TEXT(E30,"0%")&amp;", numbers "&amp;TEXT(F30,"0%")&amp;"; L3 "&amp;TEXT(M30,"0%")&amp;"; "&amp;AA30&amp;"; "&amp;IF(MIN(D30,E30,F30,G30,I30)&gt;=Band4,"no weak area","weakest area: "&amp;INDEX({"Python","SQL","numbers","case","LLM"},MATCH(MIN(D30,E30,F30,G30,I30),CHOOSE({1,2,3,4,5},D30,E30,F30,G30,I30),0))))</f>
        <v>Pending</v>
      </c>
    </row>
    <row r="31" customFormat="false" ht="15" hidden="false" customHeight="false" outlineLevel="0" collapsed="false">
      <c r="A31" s="21" t="str">
        <f aca="false">Entry!A31</f>
        <v>S25</v>
      </c>
      <c r="B31" s="13" t="str">
        <f aca="false">Entry!B31</f>
        <v>TBD</v>
      </c>
      <c r="C31" s="22" t="str">
        <f aca="false">Entry!BL31</f>
        <v>Pending</v>
      </c>
      <c r="D31" s="17" t="str">
        <f aca="false">IF($C31&lt;&gt;"Yes","Pending",SUM(Scoring!H31:S31)/12)</f>
        <v>Pending</v>
      </c>
      <c r="E31" s="17" t="str">
        <f aca="false">IF($C31&lt;&gt;"Yes","Pending",SUM(Scoring!T31:AA31)/8)</f>
        <v>Pending</v>
      </c>
      <c r="F31" s="17" t="str">
        <f aca="false">IF($C31&lt;&gt;"Yes","Pending",SUM(Scoring!AB31:AI31)/8)</f>
        <v>Pending</v>
      </c>
      <c r="G31" s="17" t="str">
        <f aca="false">IF($C31&lt;&gt;"Yes","Pending",SUM(Scoring!AJ31:AO31)/6)</f>
        <v>Pending</v>
      </c>
      <c r="H31" s="17" t="str">
        <f aca="false">IF($C31&lt;&gt;"Yes","Pending",SUM(Scoring!AP31:BA31)/12)</f>
        <v>Pending</v>
      </c>
      <c r="I31" s="17" t="str">
        <f aca="false">IF($C31&lt;&gt;"Yes","Pending",SUMPRODUCT((Scoring!$H$5:$AO$5=1)*Scoring!H31:AO31)/8)</f>
        <v>Pending</v>
      </c>
      <c r="J31" s="32" t="str">
        <f aca="false">IF($C31&lt;&gt;"Yes","Pending",SUM(Scoring!H31:BA31)/46)</f>
        <v>Pending</v>
      </c>
      <c r="K31" s="17" t="str">
        <f aca="false">IF($C31&lt;&gt;"Yes","Pending",SUMPRODUCT((Scoring!$H$4:$AO$4="L1")*Scoring!H31:AO31)/12)</f>
        <v>Pending</v>
      </c>
      <c r="L31" s="17" t="str">
        <f aca="false">IF($C31&lt;&gt;"Yes","Pending",SUMPRODUCT((Scoring!$H$4:$AO$4="L2")*Scoring!H31:AO31)/15)</f>
        <v>Pending</v>
      </c>
      <c r="M31" s="17" t="str">
        <f aca="false">IF($C31&lt;&gt;"Yes","Pending",SUMPRODUCT((Scoring!$H$4:$AO$4="L3")*Scoring!H31:AO31)/7)</f>
        <v>Pending</v>
      </c>
      <c r="N31" s="18" t="str">
        <f aca="false">IF($C31&lt;&gt;"Yes","Pending",VALUE(Entry!C31))</f>
        <v>Pending</v>
      </c>
      <c r="O31" s="33" t="str">
        <f aca="false">IF($C31&lt;&gt;"Yes","Pending",N31-IF(D31&gt;=Band4,4,IF(D31&gt;=Band3,3,IF(D31&gt;=Band2,2,1))))</f>
        <v>Pending</v>
      </c>
      <c r="P31" s="18" t="str">
        <f aca="false">IF($C31&lt;&gt;"Yes","Pending",VALUE(Entry!D31))</f>
        <v>Pending</v>
      </c>
      <c r="Q31" s="33" t="str">
        <f aca="false">IF($C31&lt;&gt;"Yes","Pending",P31-IF(E31&gt;=Band4,4,IF(E31&gt;=Band3,3,IF(E31&gt;=Band2,2,1))))</f>
        <v>Pending</v>
      </c>
      <c r="R31" s="18" t="str">
        <f aca="false">IF($C31&lt;&gt;"Yes","Pending",VALUE(Entry!E31))</f>
        <v>Pending</v>
      </c>
      <c r="S31" s="33" t="str">
        <f aca="false">IF($C31&lt;&gt;"Yes","Pending",R31-IF(F31&gt;=Band4,4,IF(F31&gt;=Band3,3,IF(F31&gt;=Band2,2,1))))</f>
        <v>Pending</v>
      </c>
      <c r="T31" s="18" t="str">
        <f aca="false">IF($C31&lt;&gt;"Yes","Pending",VALUE(Entry!F31))</f>
        <v>Pending</v>
      </c>
      <c r="U31" s="33" t="str">
        <f aca="false">IF($C31&lt;&gt;"Yes","Pending",T31-IF(G31&gt;=Band4,4,IF(G31&gt;=Band3,3,IF(G31&gt;=Band2,2,1))))</f>
        <v>Pending</v>
      </c>
      <c r="V31" s="18" t="str">
        <f aca="false">IF($C31&lt;&gt;"Yes","Pending",VALUE(Entry!G31))</f>
        <v>Pending</v>
      </c>
      <c r="W31" s="33" t="str">
        <f aca="false">IF($C31&lt;&gt;"Yes","Pending",V31-IF(I31&gt;=Band4,4,IF(I31&gt;=Band3,3,IF(I31&gt;=Band2,2,1))))</f>
        <v>Pending</v>
      </c>
      <c r="X31" s="20" t="str">
        <f aca="false">IF($C31&lt;&gt;"Yes","Pending",AVERAGE(O31,Q31,S31,U31,W31))</f>
        <v>Pending</v>
      </c>
      <c r="Y31" s="21" t="str">
        <f aca="false">IF($C31&lt;&gt;"Yes","Pending",IF(D31&lt;PyCut,"Full","Light"))</f>
        <v>Pending</v>
      </c>
      <c r="Z31" s="21" t="str">
        <f aca="false">IF($C31&lt;&gt;"Yes","Pending",IF(E31&lt;SqlCut,"Full","Light"))</f>
        <v>Pending</v>
      </c>
      <c r="AA31" s="22" t="str">
        <f aca="false">IF($C31&lt;&gt;"Yes","Pending",IF(X31&gt;=1,"Over-claims",IF(X31&lt;=-1,"Under-claims","Calibrated")))</f>
        <v>Pending</v>
      </c>
      <c r="AB31" s="13" t="str">
        <f aca="false">IF($C31&lt;&gt;"Yes","Pending","Python "&amp;TEXT(D31,"0%")&amp;", SQL "&amp;TEXT(E31,"0%")&amp;", numbers "&amp;TEXT(F31,"0%")&amp;"; L3 "&amp;TEXT(M31,"0%")&amp;"; "&amp;AA31&amp;"; "&amp;IF(MIN(D31,E31,F31,G31,I31)&gt;=Band4,"no weak area","weakest area: "&amp;INDEX({"Python","SQL","numbers","case","LLM"},MATCH(MIN(D31,E31,F31,G31,I31),CHOOSE({1,2,3,4,5},D31,E31,F31,G31,I31),0))))</f>
        <v>Pending</v>
      </c>
    </row>
    <row r="32" customFormat="false" ht="15" hidden="false" customHeight="false" outlineLevel="0" collapsed="false">
      <c r="A32" s="21" t="str">
        <f aca="false">Entry!A32</f>
        <v>S26</v>
      </c>
      <c r="B32" s="13" t="str">
        <f aca="false">Entry!B32</f>
        <v>TBD</v>
      </c>
      <c r="C32" s="22" t="str">
        <f aca="false">Entry!BL32</f>
        <v>Pending</v>
      </c>
      <c r="D32" s="17" t="str">
        <f aca="false">IF($C32&lt;&gt;"Yes","Pending",SUM(Scoring!H32:S32)/12)</f>
        <v>Pending</v>
      </c>
      <c r="E32" s="17" t="str">
        <f aca="false">IF($C32&lt;&gt;"Yes","Pending",SUM(Scoring!T32:AA32)/8)</f>
        <v>Pending</v>
      </c>
      <c r="F32" s="17" t="str">
        <f aca="false">IF($C32&lt;&gt;"Yes","Pending",SUM(Scoring!AB32:AI32)/8)</f>
        <v>Pending</v>
      </c>
      <c r="G32" s="17" t="str">
        <f aca="false">IF($C32&lt;&gt;"Yes","Pending",SUM(Scoring!AJ32:AO32)/6)</f>
        <v>Pending</v>
      </c>
      <c r="H32" s="17" t="str">
        <f aca="false">IF($C32&lt;&gt;"Yes","Pending",SUM(Scoring!AP32:BA32)/12)</f>
        <v>Pending</v>
      </c>
      <c r="I32" s="17" t="str">
        <f aca="false">IF($C32&lt;&gt;"Yes","Pending",SUMPRODUCT((Scoring!$H$5:$AO$5=1)*Scoring!H32:AO32)/8)</f>
        <v>Pending</v>
      </c>
      <c r="J32" s="32" t="str">
        <f aca="false">IF($C32&lt;&gt;"Yes","Pending",SUM(Scoring!H32:BA32)/46)</f>
        <v>Pending</v>
      </c>
      <c r="K32" s="17" t="str">
        <f aca="false">IF($C32&lt;&gt;"Yes","Pending",SUMPRODUCT((Scoring!$H$4:$AO$4="L1")*Scoring!H32:AO32)/12)</f>
        <v>Pending</v>
      </c>
      <c r="L32" s="17" t="str">
        <f aca="false">IF($C32&lt;&gt;"Yes","Pending",SUMPRODUCT((Scoring!$H$4:$AO$4="L2")*Scoring!H32:AO32)/15)</f>
        <v>Pending</v>
      </c>
      <c r="M32" s="17" t="str">
        <f aca="false">IF($C32&lt;&gt;"Yes","Pending",SUMPRODUCT((Scoring!$H$4:$AO$4="L3")*Scoring!H32:AO32)/7)</f>
        <v>Pending</v>
      </c>
      <c r="N32" s="18" t="str">
        <f aca="false">IF($C32&lt;&gt;"Yes","Pending",VALUE(Entry!C32))</f>
        <v>Pending</v>
      </c>
      <c r="O32" s="33" t="str">
        <f aca="false">IF($C32&lt;&gt;"Yes","Pending",N32-IF(D32&gt;=Band4,4,IF(D32&gt;=Band3,3,IF(D32&gt;=Band2,2,1))))</f>
        <v>Pending</v>
      </c>
      <c r="P32" s="18" t="str">
        <f aca="false">IF($C32&lt;&gt;"Yes","Pending",VALUE(Entry!D32))</f>
        <v>Pending</v>
      </c>
      <c r="Q32" s="33" t="str">
        <f aca="false">IF($C32&lt;&gt;"Yes","Pending",P32-IF(E32&gt;=Band4,4,IF(E32&gt;=Band3,3,IF(E32&gt;=Band2,2,1))))</f>
        <v>Pending</v>
      </c>
      <c r="R32" s="18" t="str">
        <f aca="false">IF($C32&lt;&gt;"Yes","Pending",VALUE(Entry!E32))</f>
        <v>Pending</v>
      </c>
      <c r="S32" s="33" t="str">
        <f aca="false">IF($C32&lt;&gt;"Yes","Pending",R32-IF(F32&gt;=Band4,4,IF(F32&gt;=Band3,3,IF(F32&gt;=Band2,2,1))))</f>
        <v>Pending</v>
      </c>
      <c r="T32" s="18" t="str">
        <f aca="false">IF($C32&lt;&gt;"Yes","Pending",VALUE(Entry!F32))</f>
        <v>Pending</v>
      </c>
      <c r="U32" s="33" t="str">
        <f aca="false">IF($C32&lt;&gt;"Yes","Pending",T32-IF(G32&gt;=Band4,4,IF(G32&gt;=Band3,3,IF(G32&gt;=Band2,2,1))))</f>
        <v>Pending</v>
      </c>
      <c r="V32" s="18" t="str">
        <f aca="false">IF($C32&lt;&gt;"Yes","Pending",VALUE(Entry!G32))</f>
        <v>Pending</v>
      </c>
      <c r="W32" s="33" t="str">
        <f aca="false">IF($C32&lt;&gt;"Yes","Pending",V32-IF(I32&gt;=Band4,4,IF(I32&gt;=Band3,3,IF(I32&gt;=Band2,2,1))))</f>
        <v>Pending</v>
      </c>
      <c r="X32" s="20" t="str">
        <f aca="false">IF($C32&lt;&gt;"Yes","Pending",AVERAGE(O32,Q32,S32,U32,W32))</f>
        <v>Pending</v>
      </c>
      <c r="Y32" s="21" t="str">
        <f aca="false">IF($C32&lt;&gt;"Yes","Pending",IF(D32&lt;PyCut,"Full","Light"))</f>
        <v>Pending</v>
      </c>
      <c r="Z32" s="21" t="str">
        <f aca="false">IF($C32&lt;&gt;"Yes","Pending",IF(E32&lt;SqlCut,"Full","Light"))</f>
        <v>Pending</v>
      </c>
      <c r="AA32" s="22" t="str">
        <f aca="false">IF($C32&lt;&gt;"Yes","Pending",IF(X32&gt;=1,"Over-claims",IF(X32&lt;=-1,"Under-claims","Calibrated")))</f>
        <v>Pending</v>
      </c>
      <c r="AB32" s="13" t="str">
        <f aca="false">IF($C32&lt;&gt;"Yes","Pending","Python "&amp;TEXT(D32,"0%")&amp;", SQL "&amp;TEXT(E32,"0%")&amp;", numbers "&amp;TEXT(F32,"0%")&amp;"; L3 "&amp;TEXT(M32,"0%")&amp;"; "&amp;AA32&amp;"; "&amp;IF(MIN(D32,E32,F32,G32,I32)&gt;=Band4,"no weak area","weakest area: "&amp;INDEX({"Python","SQL","numbers","case","LLM"},MATCH(MIN(D32,E32,F32,G32,I32),CHOOSE({1,2,3,4,5},D32,E32,F32,G32,I32),0))))</f>
        <v>Pending</v>
      </c>
    </row>
    <row r="33" customFormat="false" ht="15" hidden="false" customHeight="false" outlineLevel="0" collapsed="false">
      <c r="A33" s="21" t="str">
        <f aca="false">Entry!A33</f>
        <v>S27</v>
      </c>
      <c r="B33" s="13" t="str">
        <f aca="false">Entry!B33</f>
        <v>TBD</v>
      </c>
      <c r="C33" s="22" t="str">
        <f aca="false">Entry!BL33</f>
        <v>Pending</v>
      </c>
      <c r="D33" s="17" t="str">
        <f aca="false">IF($C33&lt;&gt;"Yes","Pending",SUM(Scoring!H33:S33)/12)</f>
        <v>Pending</v>
      </c>
      <c r="E33" s="17" t="str">
        <f aca="false">IF($C33&lt;&gt;"Yes","Pending",SUM(Scoring!T33:AA33)/8)</f>
        <v>Pending</v>
      </c>
      <c r="F33" s="17" t="str">
        <f aca="false">IF($C33&lt;&gt;"Yes","Pending",SUM(Scoring!AB33:AI33)/8)</f>
        <v>Pending</v>
      </c>
      <c r="G33" s="17" t="str">
        <f aca="false">IF($C33&lt;&gt;"Yes","Pending",SUM(Scoring!AJ33:AO33)/6)</f>
        <v>Pending</v>
      </c>
      <c r="H33" s="17" t="str">
        <f aca="false">IF($C33&lt;&gt;"Yes","Pending",SUM(Scoring!AP33:BA33)/12)</f>
        <v>Pending</v>
      </c>
      <c r="I33" s="17" t="str">
        <f aca="false">IF($C33&lt;&gt;"Yes","Pending",SUMPRODUCT((Scoring!$H$5:$AO$5=1)*Scoring!H33:AO33)/8)</f>
        <v>Pending</v>
      </c>
      <c r="J33" s="32" t="str">
        <f aca="false">IF($C33&lt;&gt;"Yes","Pending",SUM(Scoring!H33:BA33)/46)</f>
        <v>Pending</v>
      </c>
      <c r="K33" s="17" t="str">
        <f aca="false">IF($C33&lt;&gt;"Yes","Pending",SUMPRODUCT((Scoring!$H$4:$AO$4="L1")*Scoring!H33:AO33)/12)</f>
        <v>Pending</v>
      </c>
      <c r="L33" s="17" t="str">
        <f aca="false">IF($C33&lt;&gt;"Yes","Pending",SUMPRODUCT((Scoring!$H$4:$AO$4="L2")*Scoring!H33:AO33)/15)</f>
        <v>Pending</v>
      </c>
      <c r="M33" s="17" t="str">
        <f aca="false">IF($C33&lt;&gt;"Yes","Pending",SUMPRODUCT((Scoring!$H$4:$AO$4="L3")*Scoring!H33:AO33)/7)</f>
        <v>Pending</v>
      </c>
      <c r="N33" s="18" t="str">
        <f aca="false">IF($C33&lt;&gt;"Yes","Pending",VALUE(Entry!C33))</f>
        <v>Pending</v>
      </c>
      <c r="O33" s="33" t="str">
        <f aca="false">IF($C33&lt;&gt;"Yes","Pending",N33-IF(D33&gt;=Band4,4,IF(D33&gt;=Band3,3,IF(D33&gt;=Band2,2,1))))</f>
        <v>Pending</v>
      </c>
      <c r="P33" s="18" t="str">
        <f aca="false">IF($C33&lt;&gt;"Yes","Pending",VALUE(Entry!D33))</f>
        <v>Pending</v>
      </c>
      <c r="Q33" s="33" t="str">
        <f aca="false">IF($C33&lt;&gt;"Yes","Pending",P33-IF(E33&gt;=Band4,4,IF(E33&gt;=Band3,3,IF(E33&gt;=Band2,2,1))))</f>
        <v>Pending</v>
      </c>
      <c r="R33" s="18" t="str">
        <f aca="false">IF($C33&lt;&gt;"Yes","Pending",VALUE(Entry!E33))</f>
        <v>Pending</v>
      </c>
      <c r="S33" s="33" t="str">
        <f aca="false">IF($C33&lt;&gt;"Yes","Pending",R33-IF(F33&gt;=Band4,4,IF(F33&gt;=Band3,3,IF(F33&gt;=Band2,2,1))))</f>
        <v>Pending</v>
      </c>
      <c r="T33" s="18" t="str">
        <f aca="false">IF($C33&lt;&gt;"Yes","Pending",VALUE(Entry!F33))</f>
        <v>Pending</v>
      </c>
      <c r="U33" s="33" t="str">
        <f aca="false">IF($C33&lt;&gt;"Yes","Pending",T33-IF(G33&gt;=Band4,4,IF(G33&gt;=Band3,3,IF(G33&gt;=Band2,2,1))))</f>
        <v>Pending</v>
      </c>
      <c r="V33" s="18" t="str">
        <f aca="false">IF($C33&lt;&gt;"Yes","Pending",VALUE(Entry!G33))</f>
        <v>Pending</v>
      </c>
      <c r="W33" s="33" t="str">
        <f aca="false">IF($C33&lt;&gt;"Yes","Pending",V33-IF(I33&gt;=Band4,4,IF(I33&gt;=Band3,3,IF(I33&gt;=Band2,2,1))))</f>
        <v>Pending</v>
      </c>
      <c r="X33" s="20" t="str">
        <f aca="false">IF($C33&lt;&gt;"Yes","Pending",AVERAGE(O33,Q33,S33,U33,W33))</f>
        <v>Pending</v>
      </c>
      <c r="Y33" s="21" t="str">
        <f aca="false">IF($C33&lt;&gt;"Yes","Pending",IF(D33&lt;PyCut,"Full","Light"))</f>
        <v>Pending</v>
      </c>
      <c r="Z33" s="21" t="str">
        <f aca="false">IF($C33&lt;&gt;"Yes","Pending",IF(E33&lt;SqlCut,"Full","Light"))</f>
        <v>Pending</v>
      </c>
      <c r="AA33" s="22" t="str">
        <f aca="false">IF($C33&lt;&gt;"Yes","Pending",IF(X33&gt;=1,"Over-claims",IF(X33&lt;=-1,"Under-claims","Calibrated")))</f>
        <v>Pending</v>
      </c>
      <c r="AB33" s="13" t="str">
        <f aca="false">IF($C33&lt;&gt;"Yes","Pending","Python "&amp;TEXT(D33,"0%")&amp;", SQL "&amp;TEXT(E33,"0%")&amp;", numbers "&amp;TEXT(F33,"0%")&amp;"; L3 "&amp;TEXT(M33,"0%")&amp;"; "&amp;AA33&amp;"; "&amp;IF(MIN(D33,E33,F33,G33,I33)&gt;=Band4,"no weak area","weakest area: "&amp;INDEX({"Python","SQL","numbers","case","LLM"},MATCH(MIN(D33,E33,F33,G33,I33),CHOOSE({1,2,3,4,5},D33,E33,F33,G33,I33),0))))</f>
        <v>Pending</v>
      </c>
    </row>
    <row r="34" customFormat="false" ht="15" hidden="false" customHeight="false" outlineLevel="0" collapsed="false">
      <c r="A34" s="21" t="str">
        <f aca="false">Entry!A34</f>
        <v>S28</v>
      </c>
      <c r="B34" s="13" t="str">
        <f aca="false">Entry!B34</f>
        <v>TBD</v>
      </c>
      <c r="C34" s="22" t="str">
        <f aca="false">Entry!BL34</f>
        <v>Pending</v>
      </c>
      <c r="D34" s="17" t="str">
        <f aca="false">IF($C34&lt;&gt;"Yes","Pending",SUM(Scoring!H34:S34)/12)</f>
        <v>Pending</v>
      </c>
      <c r="E34" s="17" t="str">
        <f aca="false">IF($C34&lt;&gt;"Yes","Pending",SUM(Scoring!T34:AA34)/8)</f>
        <v>Pending</v>
      </c>
      <c r="F34" s="17" t="str">
        <f aca="false">IF($C34&lt;&gt;"Yes","Pending",SUM(Scoring!AB34:AI34)/8)</f>
        <v>Pending</v>
      </c>
      <c r="G34" s="17" t="str">
        <f aca="false">IF($C34&lt;&gt;"Yes","Pending",SUM(Scoring!AJ34:AO34)/6)</f>
        <v>Pending</v>
      </c>
      <c r="H34" s="17" t="str">
        <f aca="false">IF($C34&lt;&gt;"Yes","Pending",SUM(Scoring!AP34:BA34)/12)</f>
        <v>Pending</v>
      </c>
      <c r="I34" s="17" t="str">
        <f aca="false">IF($C34&lt;&gt;"Yes","Pending",SUMPRODUCT((Scoring!$H$5:$AO$5=1)*Scoring!H34:AO34)/8)</f>
        <v>Pending</v>
      </c>
      <c r="J34" s="32" t="str">
        <f aca="false">IF($C34&lt;&gt;"Yes","Pending",SUM(Scoring!H34:BA34)/46)</f>
        <v>Pending</v>
      </c>
      <c r="K34" s="17" t="str">
        <f aca="false">IF($C34&lt;&gt;"Yes","Pending",SUMPRODUCT((Scoring!$H$4:$AO$4="L1")*Scoring!H34:AO34)/12)</f>
        <v>Pending</v>
      </c>
      <c r="L34" s="17" t="str">
        <f aca="false">IF($C34&lt;&gt;"Yes","Pending",SUMPRODUCT((Scoring!$H$4:$AO$4="L2")*Scoring!H34:AO34)/15)</f>
        <v>Pending</v>
      </c>
      <c r="M34" s="17" t="str">
        <f aca="false">IF($C34&lt;&gt;"Yes","Pending",SUMPRODUCT((Scoring!$H$4:$AO$4="L3")*Scoring!H34:AO34)/7)</f>
        <v>Pending</v>
      </c>
      <c r="N34" s="18" t="str">
        <f aca="false">IF($C34&lt;&gt;"Yes","Pending",VALUE(Entry!C34))</f>
        <v>Pending</v>
      </c>
      <c r="O34" s="33" t="str">
        <f aca="false">IF($C34&lt;&gt;"Yes","Pending",N34-IF(D34&gt;=Band4,4,IF(D34&gt;=Band3,3,IF(D34&gt;=Band2,2,1))))</f>
        <v>Pending</v>
      </c>
      <c r="P34" s="18" t="str">
        <f aca="false">IF($C34&lt;&gt;"Yes","Pending",VALUE(Entry!D34))</f>
        <v>Pending</v>
      </c>
      <c r="Q34" s="33" t="str">
        <f aca="false">IF($C34&lt;&gt;"Yes","Pending",P34-IF(E34&gt;=Band4,4,IF(E34&gt;=Band3,3,IF(E34&gt;=Band2,2,1))))</f>
        <v>Pending</v>
      </c>
      <c r="R34" s="18" t="str">
        <f aca="false">IF($C34&lt;&gt;"Yes","Pending",VALUE(Entry!E34))</f>
        <v>Pending</v>
      </c>
      <c r="S34" s="33" t="str">
        <f aca="false">IF($C34&lt;&gt;"Yes","Pending",R34-IF(F34&gt;=Band4,4,IF(F34&gt;=Band3,3,IF(F34&gt;=Band2,2,1))))</f>
        <v>Pending</v>
      </c>
      <c r="T34" s="18" t="str">
        <f aca="false">IF($C34&lt;&gt;"Yes","Pending",VALUE(Entry!F34))</f>
        <v>Pending</v>
      </c>
      <c r="U34" s="33" t="str">
        <f aca="false">IF($C34&lt;&gt;"Yes","Pending",T34-IF(G34&gt;=Band4,4,IF(G34&gt;=Band3,3,IF(G34&gt;=Band2,2,1))))</f>
        <v>Pending</v>
      </c>
      <c r="V34" s="18" t="str">
        <f aca="false">IF($C34&lt;&gt;"Yes","Pending",VALUE(Entry!G34))</f>
        <v>Pending</v>
      </c>
      <c r="W34" s="33" t="str">
        <f aca="false">IF($C34&lt;&gt;"Yes","Pending",V34-IF(I34&gt;=Band4,4,IF(I34&gt;=Band3,3,IF(I34&gt;=Band2,2,1))))</f>
        <v>Pending</v>
      </c>
      <c r="X34" s="20" t="str">
        <f aca="false">IF($C34&lt;&gt;"Yes","Pending",AVERAGE(O34,Q34,S34,U34,W34))</f>
        <v>Pending</v>
      </c>
      <c r="Y34" s="21" t="str">
        <f aca="false">IF($C34&lt;&gt;"Yes","Pending",IF(D34&lt;PyCut,"Full","Light"))</f>
        <v>Pending</v>
      </c>
      <c r="Z34" s="21" t="str">
        <f aca="false">IF($C34&lt;&gt;"Yes","Pending",IF(E34&lt;SqlCut,"Full","Light"))</f>
        <v>Pending</v>
      </c>
      <c r="AA34" s="22" t="str">
        <f aca="false">IF($C34&lt;&gt;"Yes","Pending",IF(X34&gt;=1,"Over-claims",IF(X34&lt;=-1,"Under-claims","Calibrated")))</f>
        <v>Pending</v>
      </c>
      <c r="AB34" s="13" t="str">
        <f aca="false">IF($C34&lt;&gt;"Yes","Pending","Python "&amp;TEXT(D34,"0%")&amp;", SQL "&amp;TEXT(E34,"0%")&amp;", numbers "&amp;TEXT(F34,"0%")&amp;"; L3 "&amp;TEXT(M34,"0%")&amp;"; "&amp;AA34&amp;"; "&amp;IF(MIN(D34,E34,F34,G34,I34)&gt;=Band4,"no weak area","weakest area: "&amp;INDEX({"Python","SQL","numbers","case","LLM"},MATCH(MIN(D34,E34,F34,G34,I34),CHOOSE({1,2,3,4,5},D34,E34,F34,G34,I34),0))))</f>
        <v>Pending</v>
      </c>
    </row>
    <row r="35" customFormat="false" ht="15" hidden="false" customHeight="false" outlineLevel="0" collapsed="false">
      <c r="A35" s="21" t="str">
        <f aca="false">Entry!A35</f>
        <v>S29</v>
      </c>
      <c r="B35" s="13" t="str">
        <f aca="false">Entry!B35</f>
        <v>TBD</v>
      </c>
      <c r="C35" s="22" t="str">
        <f aca="false">Entry!BL35</f>
        <v>Pending</v>
      </c>
      <c r="D35" s="17" t="str">
        <f aca="false">IF($C35&lt;&gt;"Yes","Pending",SUM(Scoring!H35:S35)/12)</f>
        <v>Pending</v>
      </c>
      <c r="E35" s="17" t="str">
        <f aca="false">IF($C35&lt;&gt;"Yes","Pending",SUM(Scoring!T35:AA35)/8)</f>
        <v>Pending</v>
      </c>
      <c r="F35" s="17" t="str">
        <f aca="false">IF($C35&lt;&gt;"Yes","Pending",SUM(Scoring!AB35:AI35)/8)</f>
        <v>Pending</v>
      </c>
      <c r="G35" s="17" t="str">
        <f aca="false">IF($C35&lt;&gt;"Yes","Pending",SUM(Scoring!AJ35:AO35)/6)</f>
        <v>Pending</v>
      </c>
      <c r="H35" s="17" t="str">
        <f aca="false">IF($C35&lt;&gt;"Yes","Pending",SUM(Scoring!AP35:BA35)/12)</f>
        <v>Pending</v>
      </c>
      <c r="I35" s="17" t="str">
        <f aca="false">IF($C35&lt;&gt;"Yes","Pending",SUMPRODUCT((Scoring!$H$5:$AO$5=1)*Scoring!H35:AO35)/8)</f>
        <v>Pending</v>
      </c>
      <c r="J35" s="32" t="str">
        <f aca="false">IF($C35&lt;&gt;"Yes","Pending",SUM(Scoring!H35:BA35)/46)</f>
        <v>Pending</v>
      </c>
      <c r="K35" s="17" t="str">
        <f aca="false">IF($C35&lt;&gt;"Yes","Pending",SUMPRODUCT((Scoring!$H$4:$AO$4="L1")*Scoring!H35:AO35)/12)</f>
        <v>Pending</v>
      </c>
      <c r="L35" s="17" t="str">
        <f aca="false">IF($C35&lt;&gt;"Yes","Pending",SUMPRODUCT((Scoring!$H$4:$AO$4="L2")*Scoring!H35:AO35)/15)</f>
        <v>Pending</v>
      </c>
      <c r="M35" s="17" t="str">
        <f aca="false">IF($C35&lt;&gt;"Yes","Pending",SUMPRODUCT((Scoring!$H$4:$AO$4="L3")*Scoring!H35:AO35)/7)</f>
        <v>Pending</v>
      </c>
      <c r="N35" s="18" t="str">
        <f aca="false">IF($C35&lt;&gt;"Yes","Pending",VALUE(Entry!C35))</f>
        <v>Pending</v>
      </c>
      <c r="O35" s="33" t="str">
        <f aca="false">IF($C35&lt;&gt;"Yes","Pending",N35-IF(D35&gt;=Band4,4,IF(D35&gt;=Band3,3,IF(D35&gt;=Band2,2,1))))</f>
        <v>Pending</v>
      </c>
      <c r="P35" s="18" t="str">
        <f aca="false">IF($C35&lt;&gt;"Yes","Pending",VALUE(Entry!D35))</f>
        <v>Pending</v>
      </c>
      <c r="Q35" s="33" t="str">
        <f aca="false">IF($C35&lt;&gt;"Yes","Pending",P35-IF(E35&gt;=Band4,4,IF(E35&gt;=Band3,3,IF(E35&gt;=Band2,2,1))))</f>
        <v>Pending</v>
      </c>
      <c r="R35" s="18" t="str">
        <f aca="false">IF($C35&lt;&gt;"Yes","Pending",VALUE(Entry!E35))</f>
        <v>Pending</v>
      </c>
      <c r="S35" s="33" t="str">
        <f aca="false">IF($C35&lt;&gt;"Yes","Pending",R35-IF(F35&gt;=Band4,4,IF(F35&gt;=Band3,3,IF(F35&gt;=Band2,2,1))))</f>
        <v>Pending</v>
      </c>
      <c r="T35" s="18" t="str">
        <f aca="false">IF($C35&lt;&gt;"Yes","Pending",VALUE(Entry!F35))</f>
        <v>Pending</v>
      </c>
      <c r="U35" s="33" t="str">
        <f aca="false">IF($C35&lt;&gt;"Yes","Pending",T35-IF(G35&gt;=Band4,4,IF(G35&gt;=Band3,3,IF(G35&gt;=Band2,2,1))))</f>
        <v>Pending</v>
      </c>
      <c r="V35" s="18" t="str">
        <f aca="false">IF($C35&lt;&gt;"Yes","Pending",VALUE(Entry!G35))</f>
        <v>Pending</v>
      </c>
      <c r="W35" s="33" t="str">
        <f aca="false">IF($C35&lt;&gt;"Yes","Pending",V35-IF(I35&gt;=Band4,4,IF(I35&gt;=Band3,3,IF(I35&gt;=Band2,2,1))))</f>
        <v>Pending</v>
      </c>
      <c r="X35" s="20" t="str">
        <f aca="false">IF($C35&lt;&gt;"Yes","Pending",AVERAGE(O35,Q35,S35,U35,W35))</f>
        <v>Pending</v>
      </c>
      <c r="Y35" s="21" t="str">
        <f aca="false">IF($C35&lt;&gt;"Yes","Pending",IF(D35&lt;PyCut,"Full","Light"))</f>
        <v>Pending</v>
      </c>
      <c r="Z35" s="21" t="str">
        <f aca="false">IF($C35&lt;&gt;"Yes","Pending",IF(E35&lt;SqlCut,"Full","Light"))</f>
        <v>Pending</v>
      </c>
      <c r="AA35" s="22" t="str">
        <f aca="false">IF($C35&lt;&gt;"Yes","Pending",IF(X35&gt;=1,"Over-claims",IF(X35&lt;=-1,"Under-claims","Calibrated")))</f>
        <v>Pending</v>
      </c>
      <c r="AB35" s="13" t="str">
        <f aca="false">IF($C35&lt;&gt;"Yes","Pending","Python "&amp;TEXT(D35,"0%")&amp;", SQL "&amp;TEXT(E35,"0%")&amp;", numbers "&amp;TEXT(F35,"0%")&amp;"; L3 "&amp;TEXT(M35,"0%")&amp;"; "&amp;AA35&amp;"; "&amp;IF(MIN(D35,E35,F35,G35,I35)&gt;=Band4,"no weak area","weakest area: "&amp;INDEX({"Python","SQL","numbers","case","LLM"},MATCH(MIN(D35,E35,F35,G35,I35),CHOOSE({1,2,3,4,5},D35,E35,F35,G35,I35),0))))</f>
        <v>Pending</v>
      </c>
    </row>
    <row r="36" customFormat="false" ht="15" hidden="false" customHeight="false" outlineLevel="0" collapsed="false">
      <c r="A36" s="21" t="str">
        <f aca="false">Entry!A36</f>
        <v>S30</v>
      </c>
      <c r="B36" s="13" t="str">
        <f aca="false">Entry!B36</f>
        <v>TBD</v>
      </c>
      <c r="C36" s="22" t="str">
        <f aca="false">Entry!BL36</f>
        <v>Pending</v>
      </c>
      <c r="D36" s="17" t="str">
        <f aca="false">IF($C36&lt;&gt;"Yes","Pending",SUM(Scoring!H36:S36)/12)</f>
        <v>Pending</v>
      </c>
      <c r="E36" s="17" t="str">
        <f aca="false">IF($C36&lt;&gt;"Yes","Pending",SUM(Scoring!T36:AA36)/8)</f>
        <v>Pending</v>
      </c>
      <c r="F36" s="17" t="str">
        <f aca="false">IF($C36&lt;&gt;"Yes","Pending",SUM(Scoring!AB36:AI36)/8)</f>
        <v>Pending</v>
      </c>
      <c r="G36" s="17" t="str">
        <f aca="false">IF($C36&lt;&gt;"Yes","Pending",SUM(Scoring!AJ36:AO36)/6)</f>
        <v>Pending</v>
      </c>
      <c r="H36" s="17" t="str">
        <f aca="false">IF($C36&lt;&gt;"Yes","Pending",SUM(Scoring!AP36:BA36)/12)</f>
        <v>Pending</v>
      </c>
      <c r="I36" s="17" t="str">
        <f aca="false">IF($C36&lt;&gt;"Yes","Pending",SUMPRODUCT((Scoring!$H$5:$AO$5=1)*Scoring!H36:AO36)/8)</f>
        <v>Pending</v>
      </c>
      <c r="J36" s="32" t="str">
        <f aca="false">IF($C36&lt;&gt;"Yes","Pending",SUM(Scoring!H36:BA36)/46)</f>
        <v>Pending</v>
      </c>
      <c r="K36" s="17" t="str">
        <f aca="false">IF($C36&lt;&gt;"Yes","Pending",SUMPRODUCT((Scoring!$H$4:$AO$4="L1")*Scoring!H36:AO36)/12)</f>
        <v>Pending</v>
      </c>
      <c r="L36" s="17" t="str">
        <f aca="false">IF($C36&lt;&gt;"Yes","Pending",SUMPRODUCT((Scoring!$H$4:$AO$4="L2")*Scoring!H36:AO36)/15)</f>
        <v>Pending</v>
      </c>
      <c r="M36" s="17" t="str">
        <f aca="false">IF($C36&lt;&gt;"Yes","Pending",SUMPRODUCT((Scoring!$H$4:$AO$4="L3")*Scoring!H36:AO36)/7)</f>
        <v>Pending</v>
      </c>
      <c r="N36" s="18" t="str">
        <f aca="false">IF($C36&lt;&gt;"Yes","Pending",VALUE(Entry!C36))</f>
        <v>Pending</v>
      </c>
      <c r="O36" s="33" t="str">
        <f aca="false">IF($C36&lt;&gt;"Yes","Pending",N36-IF(D36&gt;=Band4,4,IF(D36&gt;=Band3,3,IF(D36&gt;=Band2,2,1))))</f>
        <v>Pending</v>
      </c>
      <c r="P36" s="18" t="str">
        <f aca="false">IF($C36&lt;&gt;"Yes","Pending",VALUE(Entry!D36))</f>
        <v>Pending</v>
      </c>
      <c r="Q36" s="33" t="str">
        <f aca="false">IF($C36&lt;&gt;"Yes","Pending",P36-IF(E36&gt;=Band4,4,IF(E36&gt;=Band3,3,IF(E36&gt;=Band2,2,1))))</f>
        <v>Pending</v>
      </c>
      <c r="R36" s="18" t="str">
        <f aca="false">IF($C36&lt;&gt;"Yes","Pending",VALUE(Entry!E36))</f>
        <v>Pending</v>
      </c>
      <c r="S36" s="33" t="str">
        <f aca="false">IF($C36&lt;&gt;"Yes","Pending",R36-IF(F36&gt;=Band4,4,IF(F36&gt;=Band3,3,IF(F36&gt;=Band2,2,1))))</f>
        <v>Pending</v>
      </c>
      <c r="T36" s="18" t="str">
        <f aca="false">IF($C36&lt;&gt;"Yes","Pending",VALUE(Entry!F36))</f>
        <v>Pending</v>
      </c>
      <c r="U36" s="33" t="str">
        <f aca="false">IF($C36&lt;&gt;"Yes","Pending",T36-IF(G36&gt;=Band4,4,IF(G36&gt;=Band3,3,IF(G36&gt;=Band2,2,1))))</f>
        <v>Pending</v>
      </c>
      <c r="V36" s="18" t="str">
        <f aca="false">IF($C36&lt;&gt;"Yes","Pending",VALUE(Entry!G36))</f>
        <v>Pending</v>
      </c>
      <c r="W36" s="33" t="str">
        <f aca="false">IF($C36&lt;&gt;"Yes","Pending",V36-IF(I36&gt;=Band4,4,IF(I36&gt;=Band3,3,IF(I36&gt;=Band2,2,1))))</f>
        <v>Pending</v>
      </c>
      <c r="X36" s="20" t="str">
        <f aca="false">IF($C36&lt;&gt;"Yes","Pending",AVERAGE(O36,Q36,S36,U36,W36))</f>
        <v>Pending</v>
      </c>
      <c r="Y36" s="21" t="str">
        <f aca="false">IF($C36&lt;&gt;"Yes","Pending",IF(D36&lt;PyCut,"Full","Light"))</f>
        <v>Pending</v>
      </c>
      <c r="Z36" s="21" t="str">
        <f aca="false">IF($C36&lt;&gt;"Yes","Pending",IF(E36&lt;SqlCut,"Full","Light"))</f>
        <v>Pending</v>
      </c>
      <c r="AA36" s="22" t="str">
        <f aca="false">IF($C36&lt;&gt;"Yes","Pending",IF(X36&gt;=1,"Over-claims",IF(X36&lt;=-1,"Under-claims","Calibrated")))</f>
        <v>Pending</v>
      </c>
      <c r="AB36" s="13" t="str">
        <f aca="false">IF($C36&lt;&gt;"Yes","Pending","Python "&amp;TEXT(D36,"0%")&amp;", SQL "&amp;TEXT(E36,"0%")&amp;", numbers "&amp;TEXT(F36,"0%")&amp;"; L3 "&amp;TEXT(M36,"0%")&amp;"; "&amp;AA36&amp;"; "&amp;IF(MIN(D36,E36,F36,G36,I36)&gt;=Band4,"no weak area","weakest area: "&amp;INDEX({"Python","SQL","numbers","case","LLM"},MATCH(MIN(D36,E36,F36,G36,I36),CHOOSE({1,2,3,4,5},D36,E36,F36,G36,I36),0))))</f>
        <v>Pending</v>
      </c>
    </row>
    <row r="37" customFormat="false" ht="15" hidden="false" customHeight="false" outlineLevel="0" collapsed="false">
      <c r="A37" s="21" t="str">
        <f aca="false">Entry!A37</f>
        <v>S31</v>
      </c>
      <c r="B37" s="13" t="str">
        <f aca="false">Entry!B37</f>
        <v>TBD</v>
      </c>
      <c r="C37" s="22" t="str">
        <f aca="false">Entry!BL37</f>
        <v>Pending</v>
      </c>
      <c r="D37" s="17" t="str">
        <f aca="false">IF($C37&lt;&gt;"Yes","Pending",SUM(Scoring!H37:S37)/12)</f>
        <v>Pending</v>
      </c>
      <c r="E37" s="17" t="str">
        <f aca="false">IF($C37&lt;&gt;"Yes","Pending",SUM(Scoring!T37:AA37)/8)</f>
        <v>Pending</v>
      </c>
      <c r="F37" s="17" t="str">
        <f aca="false">IF($C37&lt;&gt;"Yes","Pending",SUM(Scoring!AB37:AI37)/8)</f>
        <v>Pending</v>
      </c>
      <c r="G37" s="17" t="str">
        <f aca="false">IF($C37&lt;&gt;"Yes","Pending",SUM(Scoring!AJ37:AO37)/6)</f>
        <v>Pending</v>
      </c>
      <c r="H37" s="17" t="str">
        <f aca="false">IF($C37&lt;&gt;"Yes","Pending",SUM(Scoring!AP37:BA37)/12)</f>
        <v>Pending</v>
      </c>
      <c r="I37" s="17" t="str">
        <f aca="false">IF($C37&lt;&gt;"Yes","Pending",SUMPRODUCT((Scoring!$H$5:$AO$5=1)*Scoring!H37:AO37)/8)</f>
        <v>Pending</v>
      </c>
      <c r="J37" s="32" t="str">
        <f aca="false">IF($C37&lt;&gt;"Yes","Pending",SUM(Scoring!H37:BA37)/46)</f>
        <v>Pending</v>
      </c>
      <c r="K37" s="17" t="str">
        <f aca="false">IF($C37&lt;&gt;"Yes","Pending",SUMPRODUCT((Scoring!$H$4:$AO$4="L1")*Scoring!H37:AO37)/12)</f>
        <v>Pending</v>
      </c>
      <c r="L37" s="17" t="str">
        <f aca="false">IF($C37&lt;&gt;"Yes","Pending",SUMPRODUCT((Scoring!$H$4:$AO$4="L2")*Scoring!H37:AO37)/15)</f>
        <v>Pending</v>
      </c>
      <c r="M37" s="17" t="str">
        <f aca="false">IF($C37&lt;&gt;"Yes","Pending",SUMPRODUCT((Scoring!$H$4:$AO$4="L3")*Scoring!H37:AO37)/7)</f>
        <v>Pending</v>
      </c>
      <c r="N37" s="18" t="str">
        <f aca="false">IF($C37&lt;&gt;"Yes","Pending",VALUE(Entry!C37))</f>
        <v>Pending</v>
      </c>
      <c r="O37" s="33" t="str">
        <f aca="false">IF($C37&lt;&gt;"Yes","Pending",N37-IF(D37&gt;=Band4,4,IF(D37&gt;=Band3,3,IF(D37&gt;=Band2,2,1))))</f>
        <v>Pending</v>
      </c>
      <c r="P37" s="18" t="str">
        <f aca="false">IF($C37&lt;&gt;"Yes","Pending",VALUE(Entry!D37))</f>
        <v>Pending</v>
      </c>
      <c r="Q37" s="33" t="str">
        <f aca="false">IF($C37&lt;&gt;"Yes","Pending",P37-IF(E37&gt;=Band4,4,IF(E37&gt;=Band3,3,IF(E37&gt;=Band2,2,1))))</f>
        <v>Pending</v>
      </c>
      <c r="R37" s="18" t="str">
        <f aca="false">IF($C37&lt;&gt;"Yes","Pending",VALUE(Entry!E37))</f>
        <v>Pending</v>
      </c>
      <c r="S37" s="33" t="str">
        <f aca="false">IF($C37&lt;&gt;"Yes","Pending",R37-IF(F37&gt;=Band4,4,IF(F37&gt;=Band3,3,IF(F37&gt;=Band2,2,1))))</f>
        <v>Pending</v>
      </c>
      <c r="T37" s="18" t="str">
        <f aca="false">IF($C37&lt;&gt;"Yes","Pending",VALUE(Entry!F37))</f>
        <v>Pending</v>
      </c>
      <c r="U37" s="33" t="str">
        <f aca="false">IF($C37&lt;&gt;"Yes","Pending",T37-IF(G37&gt;=Band4,4,IF(G37&gt;=Band3,3,IF(G37&gt;=Band2,2,1))))</f>
        <v>Pending</v>
      </c>
      <c r="V37" s="18" t="str">
        <f aca="false">IF($C37&lt;&gt;"Yes","Pending",VALUE(Entry!G37))</f>
        <v>Pending</v>
      </c>
      <c r="W37" s="33" t="str">
        <f aca="false">IF($C37&lt;&gt;"Yes","Pending",V37-IF(I37&gt;=Band4,4,IF(I37&gt;=Band3,3,IF(I37&gt;=Band2,2,1))))</f>
        <v>Pending</v>
      </c>
      <c r="X37" s="20" t="str">
        <f aca="false">IF($C37&lt;&gt;"Yes","Pending",AVERAGE(O37,Q37,S37,U37,W37))</f>
        <v>Pending</v>
      </c>
      <c r="Y37" s="21" t="str">
        <f aca="false">IF($C37&lt;&gt;"Yes","Pending",IF(D37&lt;PyCut,"Full","Light"))</f>
        <v>Pending</v>
      </c>
      <c r="Z37" s="21" t="str">
        <f aca="false">IF($C37&lt;&gt;"Yes","Pending",IF(E37&lt;SqlCut,"Full","Light"))</f>
        <v>Pending</v>
      </c>
      <c r="AA37" s="22" t="str">
        <f aca="false">IF($C37&lt;&gt;"Yes","Pending",IF(X37&gt;=1,"Over-claims",IF(X37&lt;=-1,"Under-claims","Calibrated")))</f>
        <v>Pending</v>
      </c>
      <c r="AB37" s="13" t="str">
        <f aca="false">IF($C37&lt;&gt;"Yes","Pending","Python "&amp;TEXT(D37,"0%")&amp;", SQL "&amp;TEXT(E37,"0%")&amp;", numbers "&amp;TEXT(F37,"0%")&amp;"; L3 "&amp;TEXT(M37,"0%")&amp;"; "&amp;AA37&amp;"; "&amp;IF(MIN(D37,E37,F37,G37,I37)&gt;=Band4,"no weak area","weakest area: "&amp;INDEX({"Python","SQL","numbers","case","LLM"},MATCH(MIN(D37,E37,F37,G37,I37),CHOOSE({1,2,3,4,5},D37,E37,F37,G37,I37),0))))</f>
        <v>Pending</v>
      </c>
    </row>
    <row r="38" customFormat="false" ht="15" hidden="false" customHeight="false" outlineLevel="0" collapsed="false">
      <c r="A38" s="21" t="str">
        <f aca="false">Entry!A38</f>
        <v>S32</v>
      </c>
      <c r="B38" s="13" t="str">
        <f aca="false">Entry!B38</f>
        <v>TBD</v>
      </c>
      <c r="C38" s="22" t="str">
        <f aca="false">Entry!BL38</f>
        <v>Pending</v>
      </c>
      <c r="D38" s="17" t="str">
        <f aca="false">IF($C38&lt;&gt;"Yes","Pending",SUM(Scoring!H38:S38)/12)</f>
        <v>Pending</v>
      </c>
      <c r="E38" s="17" t="str">
        <f aca="false">IF($C38&lt;&gt;"Yes","Pending",SUM(Scoring!T38:AA38)/8)</f>
        <v>Pending</v>
      </c>
      <c r="F38" s="17" t="str">
        <f aca="false">IF($C38&lt;&gt;"Yes","Pending",SUM(Scoring!AB38:AI38)/8)</f>
        <v>Pending</v>
      </c>
      <c r="G38" s="17" t="str">
        <f aca="false">IF($C38&lt;&gt;"Yes","Pending",SUM(Scoring!AJ38:AO38)/6)</f>
        <v>Pending</v>
      </c>
      <c r="H38" s="17" t="str">
        <f aca="false">IF($C38&lt;&gt;"Yes","Pending",SUM(Scoring!AP38:BA38)/12)</f>
        <v>Pending</v>
      </c>
      <c r="I38" s="17" t="str">
        <f aca="false">IF($C38&lt;&gt;"Yes","Pending",SUMPRODUCT((Scoring!$H$5:$AO$5=1)*Scoring!H38:AO38)/8)</f>
        <v>Pending</v>
      </c>
      <c r="J38" s="32" t="str">
        <f aca="false">IF($C38&lt;&gt;"Yes","Pending",SUM(Scoring!H38:BA38)/46)</f>
        <v>Pending</v>
      </c>
      <c r="K38" s="17" t="str">
        <f aca="false">IF($C38&lt;&gt;"Yes","Pending",SUMPRODUCT((Scoring!$H$4:$AO$4="L1")*Scoring!H38:AO38)/12)</f>
        <v>Pending</v>
      </c>
      <c r="L38" s="17" t="str">
        <f aca="false">IF($C38&lt;&gt;"Yes","Pending",SUMPRODUCT((Scoring!$H$4:$AO$4="L2")*Scoring!H38:AO38)/15)</f>
        <v>Pending</v>
      </c>
      <c r="M38" s="17" t="str">
        <f aca="false">IF($C38&lt;&gt;"Yes","Pending",SUMPRODUCT((Scoring!$H$4:$AO$4="L3")*Scoring!H38:AO38)/7)</f>
        <v>Pending</v>
      </c>
      <c r="N38" s="18" t="str">
        <f aca="false">IF($C38&lt;&gt;"Yes","Pending",VALUE(Entry!C38))</f>
        <v>Pending</v>
      </c>
      <c r="O38" s="33" t="str">
        <f aca="false">IF($C38&lt;&gt;"Yes","Pending",N38-IF(D38&gt;=Band4,4,IF(D38&gt;=Band3,3,IF(D38&gt;=Band2,2,1))))</f>
        <v>Pending</v>
      </c>
      <c r="P38" s="18" t="str">
        <f aca="false">IF($C38&lt;&gt;"Yes","Pending",VALUE(Entry!D38))</f>
        <v>Pending</v>
      </c>
      <c r="Q38" s="33" t="str">
        <f aca="false">IF($C38&lt;&gt;"Yes","Pending",P38-IF(E38&gt;=Band4,4,IF(E38&gt;=Band3,3,IF(E38&gt;=Band2,2,1))))</f>
        <v>Pending</v>
      </c>
      <c r="R38" s="18" t="str">
        <f aca="false">IF($C38&lt;&gt;"Yes","Pending",VALUE(Entry!E38))</f>
        <v>Pending</v>
      </c>
      <c r="S38" s="33" t="str">
        <f aca="false">IF($C38&lt;&gt;"Yes","Pending",R38-IF(F38&gt;=Band4,4,IF(F38&gt;=Band3,3,IF(F38&gt;=Band2,2,1))))</f>
        <v>Pending</v>
      </c>
      <c r="T38" s="18" t="str">
        <f aca="false">IF($C38&lt;&gt;"Yes","Pending",VALUE(Entry!F38))</f>
        <v>Pending</v>
      </c>
      <c r="U38" s="33" t="str">
        <f aca="false">IF($C38&lt;&gt;"Yes","Pending",T38-IF(G38&gt;=Band4,4,IF(G38&gt;=Band3,3,IF(G38&gt;=Band2,2,1))))</f>
        <v>Pending</v>
      </c>
      <c r="V38" s="18" t="str">
        <f aca="false">IF($C38&lt;&gt;"Yes","Pending",VALUE(Entry!G38))</f>
        <v>Pending</v>
      </c>
      <c r="W38" s="33" t="str">
        <f aca="false">IF($C38&lt;&gt;"Yes","Pending",V38-IF(I38&gt;=Band4,4,IF(I38&gt;=Band3,3,IF(I38&gt;=Band2,2,1))))</f>
        <v>Pending</v>
      </c>
      <c r="X38" s="20" t="str">
        <f aca="false">IF($C38&lt;&gt;"Yes","Pending",AVERAGE(O38,Q38,S38,U38,W38))</f>
        <v>Pending</v>
      </c>
      <c r="Y38" s="21" t="str">
        <f aca="false">IF($C38&lt;&gt;"Yes","Pending",IF(D38&lt;PyCut,"Full","Light"))</f>
        <v>Pending</v>
      </c>
      <c r="Z38" s="21" t="str">
        <f aca="false">IF($C38&lt;&gt;"Yes","Pending",IF(E38&lt;SqlCut,"Full","Light"))</f>
        <v>Pending</v>
      </c>
      <c r="AA38" s="22" t="str">
        <f aca="false">IF($C38&lt;&gt;"Yes","Pending",IF(X38&gt;=1,"Over-claims",IF(X38&lt;=-1,"Under-claims","Calibrated")))</f>
        <v>Pending</v>
      </c>
      <c r="AB38" s="13" t="str">
        <f aca="false">IF($C38&lt;&gt;"Yes","Pending","Python "&amp;TEXT(D38,"0%")&amp;", SQL "&amp;TEXT(E38,"0%")&amp;", numbers "&amp;TEXT(F38,"0%")&amp;"; L3 "&amp;TEXT(M38,"0%")&amp;"; "&amp;AA38&amp;"; "&amp;IF(MIN(D38,E38,F38,G38,I38)&gt;=Band4,"no weak area","weakest area: "&amp;INDEX({"Python","SQL","numbers","case","LLM"},MATCH(MIN(D38,E38,F38,G38,I38),CHOOSE({1,2,3,4,5},D38,E38,F38,G38,I38),0))))</f>
        <v>Pending</v>
      </c>
    </row>
    <row r="39" customFormat="false" ht="15" hidden="false" customHeight="false" outlineLevel="0" collapsed="false">
      <c r="A39" s="21" t="str">
        <f aca="false">Entry!A39</f>
        <v>S33</v>
      </c>
      <c r="B39" s="13" t="str">
        <f aca="false">Entry!B39</f>
        <v>TBD</v>
      </c>
      <c r="C39" s="22" t="str">
        <f aca="false">Entry!BL39</f>
        <v>Pending</v>
      </c>
      <c r="D39" s="17" t="str">
        <f aca="false">IF($C39&lt;&gt;"Yes","Pending",SUM(Scoring!H39:S39)/12)</f>
        <v>Pending</v>
      </c>
      <c r="E39" s="17" t="str">
        <f aca="false">IF($C39&lt;&gt;"Yes","Pending",SUM(Scoring!T39:AA39)/8)</f>
        <v>Pending</v>
      </c>
      <c r="F39" s="17" t="str">
        <f aca="false">IF($C39&lt;&gt;"Yes","Pending",SUM(Scoring!AB39:AI39)/8)</f>
        <v>Pending</v>
      </c>
      <c r="G39" s="17" t="str">
        <f aca="false">IF($C39&lt;&gt;"Yes","Pending",SUM(Scoring!AJ39:AO39)/6)</f>
        <v>Pending</v>
      </c>
      <c r="H39" s="17" t="str">
        <f aca="false">IF($C39&lt;&gt;"Yes","Pending",SUM(Scoring!AP39:BA39)/12)</f>
        <v>Pending</v>
      </c>
      <c r="I39" s="17" t="str">
        <f aca="false">IF($C39&lt;&gt;"Yes","Pending",SUMPRODUCT((Scoring!$H$5:$AO$5=1)*Scoring!H39:AO39)/8)</f>
        <v>Pending</v>
      </c>
      <c r="J39" s="32" t="str">
        <f aca="false">IF($C39&lt;&gt;"Yes","Pending",SUM(Scoring!H39:BA39)/46)</f>
        <v>Pending</v>
      </c>
      <c r="K39" s="17" t="str">
        <f aca="false">IF($C39&lt;&gt;"Yes","Pending",SUMPRODUCT((Scoring!$H$4:$AO$4="L1")*Scoring!H39:AO39)/12)</f>
        <v>Pending</v>
      </c>
      <c r="L39" s="17" t="str">
        <f aca="false">IF($C39&lt;&gt;"Yes","Pending",SUMPRODUCT((Scoring!$H$4:$AO$4="L2")*Scoring!H39:AO39)/15)</f>
        <v>Pending</v>
      </c>
      <c r="M39" s="17" t="str">
        <f aca="false">IF($C39&lt;&gt;"Yes","Pending",SUMPRODUCT((Scoring!$H$4:$AO$4="L3")*Scoring!H39:AO39)/7)</f>
        <v>Pending</v>
      </c>
      <c r="N39" s="18" t="str">
        <f aca="false">IF($C39&lt;&gt;"Yes","Pending",VALUE(Entry!C39))</f>
        <v>Pending</v>
      </c>
      <c r="O39" s="33" t="str">
        <f aca="false">IF($C39&lt;&gt;"Yes","Pending",N39-IF(D39&gt;=Band4,4,IF(D39&gt;=Band3,3,IF(D39&gt;=Band2,2,1))))</f>
        <v>Pending</v>
      </c>
      <c r="P39" s="18" t="str">
        <f aca="false">IF($C39&lt;&gt;"Yes","Pending",VALUE(Entry!D39))</f>
        <v>Pending</v>
      </c>
      <c r="Q39" s="33" t="str">
        <f aca="false">IF($C39&lt;&gt;"Yes","Pending",P39-IF(E39&gt;=Band4,4,IF(E39&gt;=Band3,3,IF(E39&gt;=Band2,2,1))))</f>
        <v>Pending</v>
      </c>
      <c r="R39" s="18" t="str">
        <f aca="false">IF($C39&lt;&gt;"Yes","Pending",VALUE(Entry!E39))</f>
        <v>Pending</v>
      </c>
      <c r="S39" s="33" t="str">
        <f aca="false">IF($C39&lt;&gt;"Yes","Pending",R39-IF(F39&gt;=Band4,4,IF(F39&gt;=Band3,3,IF(F39&gt;=Band2,2,1))))</f>
        <v>Pending</v>
      </c>
      <c r="T39" s="18" t="str">
        <f aca="false">IF($C39&lt;&gt;"Yes","Pending",VALUE(Entry!F39))</f>
        <v>Pending</v>
      </c>
      <c r="U39" s="33" t="str">
        <f aca="false">IF($C39&lt;&gt;"Yes","Pending",T39-IF(G39&gt;=Band4,4,IF(G39&gt;=Band3,3,IF(G39&gt;=Band2,2,1))))</f>
        <v>Pending</v>
      </c>
      <c r="V39" s="18" t="str">
        <f aca="false">IF($C39&lt;&gt;"Yes","Pending",VALUE(Entry!G39))</f>
        <v>Pending</v>
      </c>
      <c r="W39" s="33" t="str">
        <f aca="false">IF($C39&lt;&gt;"Yes","Pending",V39-IF(I39&gt;=Band4,4,IF(I39&gt;=Band3,3,IF(I39&gt;=Band2,2,1))))</f>
        <v>Pending</v>
      </c>
      <c r="X39" s="20" t="str">
        <f aca="false">IF($C39&lt;&gt;"Yes","Pending",AVERAGE(O39,Q39,S39,U39,W39))</f>
        <v>Pending</v>
      </c>
      <c r="Y39" s="21" t="str">
        <f aca="false">IF($C39&lt;&gt;"Yes","Pending",IF(D39&lt;PyCut,"Full","Light"))</f>
        <v>Pending</v>
      </c>
      <c r="Z39" s="21" t="str">
        <f aca="false">IF($C39&lt;&gt;"Yes","Pending",IF(E39&lt;SqlCut,"Full","Light"))</f>
        <v>Pending</v>
      </c>
      <c r="AA39" s="22" t="str">
        <f aca="false">IF($C39&lt;&gt;"Yes","Pending",IF(X39&gt;=1,"Over-claims",IF(X39&lt;=-1,"Under-claims","Calibrated")))</f>
        <v>Pending</v>
      </c>
      <c r="AB39" s="13" t="str">
        <f aca="false">IF($C39&lt;&gt;"Yes","Pending","Python "&amp;TEXT(D39,"0%")&amp;", SQL "&amp;TEXT(E39,"0%")&amp;", numbers "&amp;TEXT(F39,"0%")&amp;"; L3 "&amp;TEXT(M39,"0%")&amp;"; "&amp;AA39&amp;"; "&amp;IF(MIN(D39,E39,F39,G39,I39)&gt;=Band4,"no weak area","weakest area: "&amp;INDEX({"Python","SQL","numbers","case","LLM"},MATCH(MIN(D39,E39,F39,G39,I39),CHOOSE({1,2,3,4,5},D39,E39,F39,G39,I39),0))))</f>
        <v>Pending</v>
      </c>
    </row>
    <row r="40" customFormat="false" ht="15" hidden="false" customHeight="false" outlineLevel="0" collapsed="false">
      <c r="A40" s="21" t="str">
        <f aca="false">Entry!A40</f>
        <v>S34</v>
      </c>
      <c r="B40" s="13" t="str">
        <f aca="false">Entry!B40</f>
        <v>TBD</v>
      </c>
      <c r="C40" s="22" t="str">
        <f aca="false">Entry!BL40</f>
        <v>Pending</v>
      </c>
      <c r="D40" s="17" t="str">
        <f aca="false">IF($C40&lt;&gt;"Yes","Pending",SUM(Scoring!H40:S40)/12)</f>
        <v>Pending</v>
      </c>
      <c r="E40" s="17" t="str">
        <f aca="false">IF($C40&lt;&gt;"Yes","Pending",SUM(Scoring!T40:AA40)/8)</f>
        <v>Pending</v>
      </c>
      <c r="F40" s="17" t="str">
        <f aca="false">IF($C40&lt;&gt;"Yes","Pending",SUM(Scoring!AB40:AI40)/8)</f>
        <v>Pending</v>
      </c>
      <c r="G40" s="17" t="str">
        <f aca="false">IF($C40&lt;&gt;"Yes","Pending",SUM(Scoring!AJ40:AO40)/6)</f>
        <v>Pending</v>
      </c>
      <c r="H40" s="17" t="str">
        <f aca="false">IF($C40&lt;&gt;"Yes","Pending",SUM(Scoring!AP40:BA40)/12)</f>
        <v>Pending</v>
      </c>
      <c r="I40" s="17" t="str">
        <f aca="false">IF($C40&lt;&gt;"Yes","Pending",SUMPRODUCT((Scoring!$H$5:$AO$5=1)*Scoring!H40:AO40)/8)</f>
        <v>Pending</v>
      </c>
      <c r="J40" s="32" t="str">
        <f aca="false">IF($C40&lt;&gt;"Yes","Pending",SUM(Scoring!H40:BA40)/46)</f>
        <v>Pending</v>
      </c>
      <c r="K40" s="17" t="str">
        <f aca="false">IF($C40&lt;&gt;"Yes","Pending",SUMPRODUCT((Scoring!$H$4:$AO$4="L1")*Scoring!H40:AO40)/12)</f>
        <v>Pending</v>
      </c>
      <c r="L40" s="17" t="str">
        <f aca="false">IF($C40&lt;&gt;"Yes","Pending",SUMPRODUCT((Scoring!$H$4:$AO$4="L2")*Scoring!H40:AO40)/15)</f>
        <v>Pending</v>
      </c>
      <c r="M40" s="17" t="str">
        <f aca="false">IF($C40&lt;&gt;"Yes","Pending",SUMPRODUCT((Scoring!$H$4:$AO$4="L3")*Scoring!H40:AO40)/7)</f>
        <v>Pending</v>
      </c>
      <c r="N40" s="18" t="str">
        <f aca="false">IF($C40&lt;&gt;"Yes","Pending",VALUE(Entry!C40))</f>
        <v>Pending</v>
      </c>
      <c r="O40" s="33" t="str">
        <f aca="false">IF($C40&lt;&gt;"Yes","Pending",N40-IF(D40&gt;=Band4,4,IF(D40&gt;=Band3,3,IF(D40&gt;=Band2,2,1))))</f>
        <v>Pending</v>
      </c>
      <c r="P40" s="18" t="str">
        <f aca="false">IF($C40&lt;&gt;"Yes","Pending",VALUE(Entry!D40))</f>
        <v>Pending</v>
      </c>
      <c r="Q40" s="33" t="str">
        <f aca="false">IF($C40&lt;&gt;"Yes","Pending",P40-IF(E40&gt;=Band4,4,IF(E40&gt;=Band3,3,IF(E40&gt;=Band2,2,1))))</f>
        <v>Pending</v>
      </c>
      <c r="R40" s="18" t="str">
        <f aca="false">IF($C40&lt;&gt;"Yes","Pending",VALUE(Entry!E40))</f>
        <v>Pending</v>
      </c>
      <c r="S40" s="33" t="str">
        <f aca="false">IF($C40&lt;&gt;"Yes","Pending",R40-IF(F40&gt;=Band4,4,IF(F40&gt;=Band3,3,IF(F40&gt;=Band2,2,1))))</f>
        <v>Pending</v>
      </c>
      <c r="T40" s="18" t="str">
        <f aca="false">IF($C40&lt;&gt;"Yes","Pending",VALUE(Entry!F40))</f>
        <v>Pending</v>
      </c>
      <c r="U40" s="33" t="str">
        <f aca="false">IF($C40&lt;&gt;"Yes","Pending",T40-IF(G40&gt;=Band4,4,IF(G40&gt;=Band3,3,IF(G40&gt;=Band2,2,1))))</f>
        <v>Pending</v>
      </c>
      <c r="V40" s="18" t="str">
        <f aca="false">IF($C40&lt;&gt;"Yes","Pending",VALUE(Entry!G40))</f>
        <v>Pending</v>
      </c>
      <c r="W40" s="33" t="str">
        <f aca="false">IF($C40&lt;&gt;"Yes","Pending",V40-IF(I40&gt;=Band4,4,IF(I40&gt;=Band3,3,IF(I40&gt;=Band2,2,1))))</f>
        <v>Pending</v>
      </c>
      <c r="X40" s="20" t="str">
        <f aca="false">IF($C40&lt;&gt;"Yes","Pending",AVERAGE(O40,Q40,S40,U40,W40))</f>
        <v>Pending</v>
      </c>
      <c r="Y40" s="21" t="str">
        <f aca="false">IF($C40&lt;&gt;"Yes","Pending",IF(D40&lt;PyCut,"Full","Light"))</f>
        <v>Pending</v>
      </c>
      <c r="Z40" s="21" t="str">
        <f aca="false">IF($C40&lt;&gt;"Yes","Pending",IF(E40&lt;SqlCut,"Full","Light"))</f>
        <v>Pending</v>
      </c>
      <c r="AA40" s="22" t="str">
        <f aca="false">IF($C40&lt;&gt;"Yes","Pending",IF(X40&gt;=1,"Over-claims",IF(X40&lt;=-1,"Under-claims","Calibrated")))</f>
        <v>Pending</v>
      </c>
      <c r="AB40" s="13" t="str">
        <f aca="false">IF($C40&lt;&gt;"Yes","Pending","Python "&amp;TEXT(D40,"0%")&amp;", SQL "&amp;TEXT(E40,"0%")&amp;", numbers "&amp;TEXT(F40,"0%")&amp;"; L3 "&amp;TEXT(M40,"0%")&amp;"; "&amp;AA40&amp;"; "&amp;IF(MIN(D40,E40,F40,G40,I40)&gt;=Band4,"no weak area","weakest area: "&amp;INDEX({"Python","SQL","numbers","case","LLM"},MATCH(MIN(D40,E40,F40,G40,I40),CHOOSE({1,2,3,4,5},D40,E40,F40,G40,I40),0))))</f>
        <v>Pending</v>
      </c>
    </row>
    <row r="41" customFormat="false" ht="15" hidden="false" customHeight="false" outlineLevel="0" collapsed="false">
      <c r="A41" s="21" t="str">
        <f aca="false">Entry!A41</f>
        <v>S35</v>
      </c>
      <c r="B41" s="13" t="str">
        <f aca="false">Entry!B41</f>
        <v>TBD</v>
      </c>
      <c r="C41" s="22" t="str">
        <f aca="false">Entry!BL41</f>
        <v>Pending</v>
      </c>
      <c r="D41" s="17" t="str">
        <f aca="false">IF($C41&lt;&gt;"Yes","Pending",SUM(Scoring!H41:S41)/12)</f>
        <v>Pending</v>
      </c>
      <c r="E41" s="17" t="str">
        <f aca="false">IF($C41&lt;&gt;"Yes","Pending",SUM(Scoring!T41:AA41)/8)</f>
        <v>Pending</v>
      </c>
      <c r="F41" s="17" t="str">
        <f aca="false">IF($C41&lt;&gt;"Yes","Pending",SUM(Scoring!AB41:AI41)/8)</f>
        <v>Pending</v>
      </c>
      <c r="G41" s="17" t="str">
        <f aca="false">IF($C41&lt;&gt;"Yes","Pending",SUM(Scoring!AJ41:AO41)/6)</f>
        <v>Pending</v>
      </c>
      <c r="H41" s="17" t="str">
        <f aca="false">IF($C41&lt;&gt;"Yes","Pending",SUM(Scoring!AP41:BA41)/12)</f>
        <v>Pending</v>
      </c>
      <c r="I41" s="17" t="str">
        <f aca="false">IF($C41&lt;&gt;"Yes","Pending",SUMPRODUCT((Scoring!$H$5:$AO$5=1)*Scoring!H41:AO41)/8)</f>
        <v>Pending</v>
      </c>
      <c r="J41" s="32" t="str">
        <f aca="false">IF($C41&lt;&gt;"Yes","Pending",SUM(Scoring!H41:BA41)/46)</f>
        <v>Pending</v>
      </c>
      <c r="K41" s="17" t="str">
        <f aca="false">IF($C41&lt;&gt;"Yes","Pending",SUMPRODUCT((Scoring!$H$4:$AO$4="L1")*Scoring!H41:AO41)/12)</f>
        <v>Pending</v>
      </c>
      <c r="L41" s="17" t="str">
        <f aca="false">IF($C41&lt;&gt;"Yes","Pending",SUMPRODUCT((Scoring!$H$4:$AO$4="L2")*Scoring!H41:AO41)/15)</f>
        <v>Pending</v>
      </c>
      <c r="M41" s="17" t="str">
        <f aca="false">IF($C41&lt;&gt;"Yes","Pending",SUMPRODUCT((Scoring!$H$4:$AO$4="L3")*Scoring!H41:AO41)/7)</f>
        <v>Pending</v>
      </c>
      <c r="N41" s="18" t="str">
        <f aca="false">IF($C41&lt;&gt;"Yes","Pending",VALUE(Entry!C41))</f>
        <v>Pending</v>
      </c>
      <c r="O41" s="33" t="str">
        <f aca="false">IF($C41&lt;&gt;"Yes","Pending",N41-IF(D41&gt;=Band4,4,IF(D41&gt;=Band3,3,IF(D41&gt;=Band2,2,1))))</f>
        <v>Pending</v>
      </c>
      <c r="P41" s="18" t="str">
        <f aca="false">IF($C41&lt;&gt;"Yes","Pending",VALUE(Entry!D41))</f>
        <v>Pending</v>
      </c>
      <c r="Q41" s="33" t="str">
        <f aca="false">IF($C41&lt;&gt;"Yes","Pending",P41-IF(E41&gt;=Band4,4,IF(E41&gt;=Band3,3,IF(E41&gt;=Band2,2,1))))</f>
        <v>Pending</v>
      </c>
      <c r="R41" s="18" t="str">
        <f aca="false">IF($C41&lt;&gt;"Yes","Pending",VALUE(Entry!E41))</f>
        <v>Pending</v>
      </c>
      <c r="S41" s="33" t="str">
        <f aca="false">IF($C41&lt;&gt;"Yes","Pending",R41-IF(F41&gt;=Band4,4,IF(F41&gt;=Band3,3,IF(F41&gt;=Band2,2,1))))</f>
        <v>Pending</v>
      </c>
      <c r="T41" s="18" t="str">
        <f aca="false">IF($C41&lt;&gt;"Yes","Pending",VALUE(Entry!F41))</f>
        <v>Pending</v>
      </c>
      <c r="U41" s="33" t="str">
        <f aca="false">IF($C41&lt;&gt;"Yes","Pending",T41-IF(G41&gt;=Band4,4,IF(G41&gt;=Band3,3,IF(G41&gt;=Band2,2,1))))</f>
        <v>Pending</v>
      </c>
      <c r="V41" s="18" t="str">
        <f aca="false">IF($C41&lt;&gt;"Yes","Pending",VALUE(Entry!G41))</f>
        <v>Pending</v>
      </c>
      <c r="W41" s="33" t="str">
        <f aca="false">IF($C41&lt;&gt;"Yes","Pending",V41-IF(I41&gt;=Band4,4,IF(I41&gt;=Band3,3,IF(I41&gt;=Band2,2,1))))</f>
        <v>Pending</v>
      </c>
      <c r="X41" s="20" t="str">
        <f aca="false">IF($C41&lt;&gt;"Yes","Pending",AVERAGE(O41,Q41,S41,U41,W41))</f>
        <v>Pending</v>
      </c>
      <c r="Y41" s="21" t="str">
        <f aca="false">IF($C41&lt;&gt;"Yes","Pending",IF(D41&lt;PyCut,"Full","Light"))</f>
        <v>Pending</v>
      </c>
      <c r="Z41" s="21" t="str">
        <f aca="false">IF($C41&lt;&gt;"Yes","Pending",IF(E41&lt;SqlCut,"Full","Light"))</f>
        <v>Pending</v>
      </c>
      <c r="AA41" s="22" t="str">
        <f aca="false">IF($C41&lt;&gt;"Yes","Pending",IF(X41&gt;=1,"Over-claims",IF(X41&lt;=-1,"Under-claims","Calibrated")))</f>
        <v>Pending</v>
      </c>
      <c r="AB41" s="13" t="str">
        <f aca="false">IF($C41&lt;&gt;"Yes","Pending","Python "&amp;TEXT(D41,"0%")&amp;", SQL "&amp;TEXT(E41,"0%")&amp;", numbers "&amp;TEXT(F41,"0%")&amp;"; L3 "&amp;TEXT(M41,"0%")&amp;"; "&amp;AA41&amp;"; "&amp;IF(MIN(D41,E41,F41,G41,I41)&gt;=Band4,"no weak area","weakest area: "&amp;INDEX({"Python","SQL","numbers","case","LLM"},MATCH(MIN(D41,E41,F41,G41,I41),CHOOSE({1,2,3,4,5},D41,E41,F41,G41,I41),0))))</f>
        <v>Pending</v>
      </c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</sheetData>
  <mergeCells count="4">
    <mergeCell ref="D5:J5"/>
    <mergeCell ref="K5:M5"/>
    <mergeCell ref="N5:W5"/>
    <mergeCell ref="X5:AB5"/>
  </mergeCells>
  <conditionalFormatting sqref="D7:M41">
    <cfRule type="colorScale" priority="2">
      <colorScale>
        <cfvo type="num" val="0.3"/>
        <cfvo type="num" val="0.6"/>
        <cfvo type="num" val="0.9"/>
        <color rgb="FFE8C9A6"/>
        <color rgb="FFF9F8F3"/>
        <color rgb="FFB9CDA8"/>
      </colorScale>
    </cfRule>
  </conditionalFormatting>
  <conditionalFormatting sqref="Y7:Z41">
    <cfRule type="cellIs" priority="3" operator="equal" aboveAverage="0" equalAverage="0" bottom="0" percent="0" rank="0" text="" dxfId="1">
      <formula>"Full"</formula>
    </cfRule>
  </conditionalFormatting>
  <conditionalFormatting sqref="AA7:AA41">
    <cfRule type="cellIs" priority="4" operator="equal" aboveAverage="0" equalAverage="0" bottom="0" percent="0" rank="0" text="" dxfId="1">
      <formula>"Over-claims"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2026-09-27T20:52:15Z</dcterms:created>
  <dc:creator>openpyxl</dc:creator>
  <dc:description/>
  <dc:language>en-US</dc:language>
  <cp:lastModifiedBy/>
  <dcterms:modified xsi:type="dcterms:W3CDTF">2026-09-27T20:52:28Z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