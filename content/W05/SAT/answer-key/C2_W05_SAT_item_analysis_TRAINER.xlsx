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arks" sheetId="2" state="visible" r:id="rId2"/>
    <sheet xmlns:r="http://schemas.openxmlformats.org/officeDocument/2006/relationships" name="Items" sheetId="3" state="visible" r:id="rId3"/>
    <sheet xmlns:r="http://schemas.openxmlformats.org/officeDocument/2006/relationships" name="Discussion" sheetId="4" state="visible" r:id="rId4"/>
    <sheet xmlns:r="http://schemas.openxmlformats.org/officeDocument/2006/relationships" name="Tags" sheetId="5" state="visible" r:id="rId5"/>
    <sheet xmlns:r="http://schemas.openxmlformats.org/officeDocument/2006/relationships" name="Seats" sheetId="6" state="visible" r:id="rId6"/>
    <sheet xmlns:r="http://schemas.openxmlformats.org/officeDocument/2006/relationships" name="Rat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0F5C"/>
      </patternFill>
    </fill>
    <fill>
      <patternFill patternType="solid">
        <fgColor rgb="00FFF4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Week 5 recap paper: item analysis</t>
        </is>
      </c>
    </row>
    <row r="2">
      <c r="A2" s="2" t="inlineStr">
        <is>
          <t>TRAINER. Fill this after the swap-marking, one row per seat and never a name.</t>
        </is>
      </c>
    </row>
    <row r="3">
      <c r="A3" s="2" t="inlineStr">
        <is>
          <t>Marks: type 1 for a tick, 0 for a cross and leave a blank for an item left empty. Yellow cells are the only inputs; everything else is computed.</t>
        </is>
      </c>
    </row>
    <row r="4">
      <c r="A4" s="2" t="inlineStr">
        <is>
          <t>Items: each item's right rate, the top and bottom thirds' rates (thirds by total, once three or more seats are in), and a flag when fewer than one in five got it right or the bottom third beat the top third. Both are this programme's own working rule for a room of 39.</t>
        </is>
      </c>
    </row>
    <row r="5">
      <c r="A5" s="2" t="inlineStr">
        <is>
          <t>Discussion: the items from the most missed, which is the order the solution discussion takes.</t>
        </is>
      </c>
    </row>
    <row r="6">
      <c r="A6" s="2" t="inlineStr">
        <is>
          <t>Tags: the room's rate by tag and by part. Seats: each seat's rate by tag, for Monday's remediation read. Neither is a ranking, and neither is read out by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3" t="inlineStr">
        <is>
          <t>Marks: 1 right, 0 wrong, blank left empty</t>
        </is>
      </c>
    </row>
    <row r="2">
      <c r="A2" t="inlineStr">
        <is>
          <t>Part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4</v>
      </c>
      <c r="S2" t="n">
        <v>4</v>
      </c>
      <c r="T2" t="n">
        <v>4</v>
      </c>
      <c r="U2" t="n">
        <v>4</v>
      </c>
      <c r="V2" t="n">
        <v>5</v>
      </c>
      <c r="W2" t="n">
        <v>5</v>
      </c>
      <c r="X2" t="n">
        <v>5</v>
      </c>
      <c r="Y2" t="n">
        <v>5</v>
      </c>
    </row>
    <row r="3">
      <c r="A3" t="inlineStr">
        <is>
          <t>Tag</t>
        </is>
      </c>
      <c r="B3" t="inlineStr">
        <is>
          <t>[S]</t>
        </is>
      </c>
      <c r="C3" t="inlineStr">
        <is>
          <t>[D]</t>
        </is>
      </c>
      <c r="D3" t="inlineStr">
        <is>
          <t>[F]</t>
        </is>
      </c>
      <c r="E3" t="inlineStr">
        <is>
          <t>[S]</t>
        </is>
      </c>
      <c r="F3" t="inlineStr">
        <is>
          <t>[S]</t>
        </is>
      </c>
      <c r="G3" t="inlineStr">
        <is>
          <t>[F]</t>
        </is>
      </c>
      <c r="H3" t="inlineStr">
        <is>
          <t>[S]</t>
        </is>
      </c>
      <c r="I3" t="inlineStr">
        <is>
          <t>[S]</t>
        </is>
      </c>
      <c r="J3" t="inlineStr">
        <is>
          <t>[S]</t>
        </is>
      </c>
      <c r="K3" t="inlineStr">
        <is>
          <t>[D]</t>
        </is>
      </c>
      <c r="L3" t="inlineStr">
        <is>
          <t>[S]</t>
        </is>
      </c>
      <c r="M3" t="inlineStr">
        <is>
          <t>[S]</t>
        </is>
      </c>
      <c r="N3" t="inlineStr">
        <is>
          <t>[S]</t>
        </is>
      </c>
      <c r="O3" t="inlineStr">
        <is>
          <t>[F]</t>
        </is>
      </c>
      <c r="P3" t="inlineStr">
        <is>
          <t>[F]</t>
        </is>
      </c>
      <c r="Q3" t="inlineStr">
        <is>
          <t>[S]</t>
        </is>
      </c>
      <c r="R3" t="inlineStr">
        <is>
          <t>[S]</t>
        </is>
      </c>
      <c r="S3" t="inlineStr">
        <is>
          <t>[F]</t>
        </is>
      </c>
      <c r="T3" t="inlineStr">
        <is>
          <t>[F]</t>
        </is>
      </c>
      <c r="U3" t="inlineStr">
        <is>
          <t>[D]</t>
        </is>
      </c>
      <c r="V3" t="inlineStr">
        <is>
          <t>[F]</t>
        </is>
      </c>
      <c r="W3" t="inlineStr">
        <is>
          <t>[D]</t>
        </is>
      </c>
      <c r="X3" t="inlineStr">
        <is>
          <t>[D]</t>
        </is>
      </c>
      <c r="Y3" t="inlineStr">
        <is>
          <t>[D]</t>
        </is>
      </c>
    </row>
    <row r="4">
      <c r="A4" s="4" t="inlineStr">
        <is>
          <t>Seat</t>
        </is>
      </c>
      <c r="B4" s="4" t="inlineStr">
        <is>
          <t>Q1</t>
        </is>
      </c>
      <c r="C4" s="4" t="inlineStr">
        <is>
          <t>Q2</t>
        </is>
      </c>
      <c r="D4" s="4" t="inlineStr">
        <is>
          <t>Q3</t>
        </is>
      </c>
      <c r="E4" s="4" t="inlineStr">
        <is>
          <t>Q4</t>
        </is>
      </c>
      <c r="F4" s="4" t="inlineStr">
        <is>
          <t>Q5</t>
        </is>
      </c>
      <c r="G4" s="4" t="inlineStr">
        <is>
          <t>Q6</t>
        </is>
      </c>
      <c r="H4" s="4" t="inlineStr">
        <is>
          <t>Q7</t>
        </is>
      </c>
      <c r="I4" s="4" t="inlineStr">
        <is>
          <t>Q8</t>
        </is>
      </c>
      <c r="J4" s="4" t="inlineStr">
        <is>
          <t>Q9</t>
        </is>
      </c>
      <c r="K4" s="4" t="inlineStr">
        <is>
          <t>Q10</t>
        </is>
      </c>
      <c r="L4" s="4" t="inlineStr">
        <is>
          <t>Q11</t>
        </is>
      </c>
      <c r="M4" s="4" t="inlineStr">
        <is>
          <t>Q12</t>
        </is>
      </c>
      <c r="N4" s="4" t="inlineStr">
        <is>
          <t>Q13</t>
        </is>
      </c>
      <c r="O4" s="4" t="inlineStr">
        <is>
          <t>Q14</t>
        </is>
      </c>
      <c r="P4" s="4" t="inlineStr">
        <is>
          <t>Q15</t>
        </is>
      </c>
      <c r="Q4" s="4" t="inlineStr">
        <is>
          <t>Q16</t>
        </is>
      </c>
      <c r="R4" s="4" t="inlineStr">
        <is>
          <t>Q17</t>
        </is>
      </c>
      <c r="S4" s="4" t="inlineStr">
        <is>
          <t>Q18</t>
        </is>
      </c>
      <c r="T4" s="4" t="inlineStr">
        <is>
          <t>Q19</t>
        </is>
      </c>
      <c r="U4" s="4" t="inlineStr">
        <is>
          <t>Q20</t>
        </is>
      </c>
      <c r="V4" s="4" t="inlineStr">
        <is>
          <t>Q21</t>
        </is>
      </c>
      <c r="W4" s="4" t="inlineStr">
        <is>
          <t>Q22</t>
        </is>
      </c>
      <c r="X4" s="4" t="inlineStr">
        <is>
          <t>Q23</t>
        </is>
      </c>
      <c r="Y4" s="4" t="inlineStr">
        <is>
          <t>Q24</t>
        </is>
      </c>
      <c r="Z4" s="4" t="inlineStr">
        <is>
          <t>Total</t>
        </is>
      </c>
      <c r="AA4" s="4" t="inlineStr">
        <is>
          <t>Answered</t>
        </is>
      </c>
      <c r="AB4" s="4" t="inlineStr">
        <is>
          <t>Band</t>
        </is>
      </c>
    </row>
    <row r="5">
      <c r="A5" t="n">
        <v>1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>
        <f>IF(COUNT(B5:Y5)=0,"",SUM(B5:Y5))</f>
        <v/>
      </c>
      <c r="AA5">
        <f>COUNT(B5:Y5)</f>
        <v/>
      </c>
      <c r="AB5">
        <f>IF(OR(Z5="",COUNT($Z$5:$Z$43)&lt;3),"",IF(RANK(Z5,$Z$5:$Z$43,0)&lt;=ROUND(COUNT($Z$5:$Z$43)/3,0),"top",IF(RANK(Z5,$Z$5:$Z$43,1)&lt;=ROUND(COUNT($Z$5:$Z$43)/3,0),"bottom","middle")))</f>
        <v/>
      </c>
    </row>
    <row r="6">
      <c r="A6" t="n">
        <v>2</v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>
        <f>IF(COUNT(B6:Y6)=0,"",SUM(B6:Y6))</f>
        <v/>
      </c>
      <c r="AA6">
        <f>COUNT(B6:Y6)</f>
        <v/>
      </c>
      <c r="AB6">
        <f>IF(OR(Z6="",COUNT($Z$5:$Z$43)&lt;3),"",IF(RANK(Z6,$Z$5:$Z$43,0)&lt;=ROUND(COUNT($Z$5:$Z$43)/3,0),"top",IF(RANK(Z6,$Z$5:$Z$43,1)&lt;=ROUND(COUNT($Z$5:$Z$43)/3,0),"bottom","middle")))</f>
        <v/>
      </c>
    </row>
    <row r="7">
      <c r="A7" t="n">
        <v>3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>
        <f>IF(COUNT(B7:Y7)=0,"",SUM(B7:Y7))</f>
        <v/>
      </c>
      <c r="AA7">
        <f>COUNT(B7:Y7)</f>
        <v/>
      </c>
      <c r="AB7">
        <f>IF(OR(Z7="",COUNT($Z$5:$Z$43)&lt;3),"",IF(RANK(Z7,$Z$5:$Z$43,0)&lt;=ROUND(COUNT($Z$5:$Z$43)/3,0),"top",IF(RANK(Z7,$Z$5:$Z$43,1)&lt;=ROUND(COUNT($Z$5:$Z$43)/3,0),"bottom","middle")))</f>
        <v/>
      </c>
    </row>
    <row r="8">
      <c r="A8" t="n">
        <v>4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>
        <f>IF(COUNT(B8:Y8)=0,"",SUM(B8:Y8))</f>
        <v/>
      </c>
      <c r="AA8">
        <f>COUNT(B8:Y8)</f>
        <v/>
      </c>
      <c r="AB8">
        <f>IF(OR(Z8="",COUNT($Z$5:$Z$43)&lt;3),"",IF(RANK(Z8,$Z$5:$Z$43,0)&lt;=ROUND(COUNT($Z$5:$Z$43)/3,0),"top",IF(RANK(Z8,$Z$5:$Z$43,1)&lt;=ROUND(COUNT($Z$5:$Z$43)/3,0),"bottom","middle")))</f>
        <v/>
      </c>
    </row>
    <row r="9">
      <c r="A9" t="n">
        <v>5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>
        <f>IF(COUNT(B9:Y9)=0,"",SUM(B9:Y9))</f>
        <v/>
      </c>
      <c r="AA9">
        <f>COUNT(B9:Y9)</f>
        <v/>
      </c>
      <c r="AB9">
        <f>IF(OR(Z9="",COUNT($Z$5:$Z$43)&lt;3),"",IF(RANK(Z9,$Z$5:$Z$43,0)&lt;=ROUND(COUNT($Z$5:$Z$43)/3,0),"top",IF(RANK(Z9,$Z$5:$Z$43,1)&lt;=ROUND(COUNT($Z$5:$Z$43)/3,0),"bottom","middle")))</f>
        <v/>
      </c>
    </row>
    <row r="10">
      <c r="A10" t="n">
        <v>6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>
        <f>IF(COUNT(B10:Y10)=0,"",SUM(B10:Y10))</f>
        <v/>
      </c>
      <c r="AA10">
        <f>COUNT(B10:Y10)</f>
        <v/>
      </c>
      <c r="AB10">
        <f>IF(OR(Z10="",COUNT($Z$5:$Z$43)&lt;3),"",IF(RANK(Z10,$Z$5:$Z$43,0)&lt;=ROUND(COUNT($Z$5:$Z$43)/3,0),"top",IF(RANK(Z10,$Z$5:$Z$43,1)&lt;=ROUND(COUNT($Z$5:$Z$43)/3,0),"bottom","middle")))</f>
        <v/>
      </c>
    </row>
    <row r="11">
      <c r="A11" t="n">
        <v>7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>
        <f>IF(COUNT(B11:Y11)=0,"",SUM(B11:Y11))</f>
        <v/>
      </c>
      <c r="AA11">
        <f>COUNT(B11:Y11)</f>
        <v/>
      </c>
      <c r="AB11">
        <f>IF(OR(Z11="",COUNT($Z$5:$Z$43)&lt;3),"",IF(RANK(Z11,$Z$5:$Z$43,0)&lt;=ROUND(COUNT($Z$5:$Z$43)/3,0),"top",IF(RANK(Z11,$Z$5:$Z$43,1)&lt;=ROUND(COUNT($Z$5:$Z$43)/3,0),"bottom","middle")))</f>
        <v/>
      </c>
    </row>
    <row r="12">
      <c r="A12" t="n">
        <v>8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>
        <f>IF(COUNT(B12:Y12)=0,"",SUM(B12:Y12))</f>
        <v/>
      </c>
      <c r="AA12">
        <f>COUNT(B12:Y12)</f>
        <v/>
      </c>
      <c r="AB12">
        <f>IF(OR(Z12="",COUNT($Z$5:$Z$43)&lt;3),"",IF(RANK(Z12,$Z$5:$Z$43,0)&lt;=ROUND(COUNT($Z$5:$Z$43)/3,0),"top",IF(RANK(Z12,$Z$5:$Z$43,1)&lt;=ROUND(COUNT($Z$5:$Z$43)/3,0),"bottom","middle")))</f>
        <v/>
      </c>
    </row>
    <row r="13">
      <c r="A13" t="n">
        <v>9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>
        <f>IF(COUNT(B13:Y13)=0,"",SUM(B13:Y13))</f>
        <v/>
      </c>
      <c r="AA13">
        <f>COUNT(B13:Y13)</f>
        <v/>
      </c>
      <c r="AB13">
        <f>IF(OR(Z13="",COUNT($Z$5:$Z$43)&lt;3),"",IF(RANK(Z13,$Z$5:$Z$43,0)&lt;=ROUND(COUNT($Z$5:$Z$43)/3,0),"top",IF(RANK(Z13,$Z$5:$Z$43,1)&lt;=ROUND(COUNT($Z$5:$Z$43)/3,0),"bottom","middle")))</f>
        <v/>
      </c>
    </row>
    <row r="14">
      <c r="A14" t="n">
        <v>10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>
        <f>IF(COUNT(B14:Y14)=0,"",SUM(B14:Y14))</f>
        <v/>
      </c>
      <c r="AA14">
        <f>COUNT(B14:Y14)</f>
        <v/>
      </c>
      <c r="AB14">
        <f>IF(OR(Z14="",COUNT($Z$5:$Z$43)&lt;3),"",IF(RANK(Z14,$Z$5:$Z$43,0)&lt;=ROUND(COUNT($Z$5:$Z$43)/3,0),"top",IF(RANK(Z14,$Z$5:$Z$43,1)&lt;=ROUND(COUNT($Z$5:$Z$43)/3,0),"bottom","middle")))</f>
        <v/>
      </c>
    </row>
    <row r="15">
      <c r="A15" t="n">
        <v>11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>
        <f>IF(COUNT(B15:Y15)=0,"",SUM(B15:Y15))</f>
        <v/>
      </c>
      <c r="AA15">
        <f>COUNT(B15:Y15)</f>
        <v/>
      </c>
      <c r="AB15">
        <f>IF(OR(Z15="",COUNT($Z$5:$Z$43)&lt;3),"",IF(RANK(Z15,$Z$5:$Z$43,0)&lt;=ROUND(COUNT($Z$5:$Z$43)/3,0),"top",IF(RANK(Z15,$Z$5:$Z$43,1)&lt;=ROUND(COUNT($Z$5:$Z$43)/3,0),"bottom","middle")))</f>
        <v/>
      </c>
    </row>
    <row r="16">
      <c r="A16" t="n">
        <v>12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>
        <f>IF(COUNT(B16:Y16)=0,"",SUM(B16:Y16))</f>
        <v/>
      </c>
      <c r="AA16">
        <f>COUNT(B16:Y16)</f>
        <v/>
      </c>
      <c r="AB16">
        <f>IF(OR(Z16="",COUNT($Z$5:$Z$43)&lt;3),"",IF(RANK(Z16,$Z$5:$Z$43,0)&lt;=ROUND(COUNT($Z$5:$Z$43)/3,0),"top",IF(RANK(Z16,$Z$5:$Z$43,1)&lt;=ROUND(COUNT($Z$5:$Z$43)/3,0),"bottom","middle")))</f>
        <v/>
      </c>
    </row>
    <row r="17">
      <c r="A17" t="n">
        <v>13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>
        <f>IF(COUNT(B17:Y17)=0,"",SUM(B17:Y17))</f>
        <v/>
      </c>
      <c r="AA17">
        <f>COUNT(B17:Y17)</f>
        <v/>
      </c>
      <c r="AB17">
        <f>IF(OR(Z17="",COUNT($Z$5:$Z$43)&lt;3),"",IF(RANK(Z17,$Z$5:$Z$43,0)&lt;=ROUND(COUNT($Z$5:$Z$43)/3,0),"top",IF(RANK(Z17,$Z$5:$Z$43,1)&lt;=ROUND(COUNT($Z$5:$Z$43)/3,0),"bottom","middle")))</f>
        <v/>
      </c>
    </row>
    <row r="18">
      <c r="A18" t="n">
        <v>14</v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>
        <f>IF(COUNT(B18:Y18)=0,"",SUM(B18:Y18))</f>
        <v/>
      </c>
      <c r="AA18">
        <f>COUNT(B18:Y18)</f>
        <v/>
      </c>
      <c r="AB18">
        <f>IF(OR(Z18="",COUNT($Z$5:$Z$43)&lt;3),"",IF(RANK(Z18,$Z$5:$Z$43,0)&lt;=ROUND(COUNT($Z$5:$Z$43)/3,0),"top",IF(RANK(Z18,$Z$5:$Z$43,1)&lt;=ROUND(COUNT($Z$5:$Z$43)/3,0),"bottom","middle")))</f>
        <v/>
      </c>
    </row>
    <row r="19">
      <c r="A19" t="n">
        <v>15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>
        <f>IF(COUNT(B19:Y19)=0,"",SUM(B19:Y19))</f>
        <v/>
      </c>
      <c r="AA19">
        <f>COUNT(B19:Y19)</f>
        <v/>
      </c>
      <c r="AB19">
        <f>IF(OR(Z19="",COUNT($Z$5:$Z$43)&lt;3),"",IF(RANK(Z19,$Z$5:$Z$43,0)&lt;=ROUND(COUNT($Z$5:$Z$43)/3,0),"top",IF(RANK(Z19,$Z$5:$Z$43,1)&lt;=ROUND(COUNT($Z$5:$Z$43)/3,0),"bottom","middle")))</f>
        <v/>
      </c>
    </row>
    <row r="20">
      <c r="A20" t="n">
        <v>16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>
        <f>IF(COUNT(B20:Y20)=0,"",SUM(B20:Y20))</f>
        <v/>
      </c>
      <c r="AA20">
        <f>COUNT(B20:Y20)</f>
        <v/>
      </c>
      <c r="AB20">
        <f>IF(OR(Z20="",COUNT($Z$5:$Z$43)&lt;3),"",IF(RANK(Z20,$Z$5:$Z$43,0)&lt;=ROUND(COUNT($Z$5:$Z$43)/3,0),"top",IF(RANK(Z20,$Z$5:$Z$43,1)&lt;=ROUND(COUNT($Z$5:$Z$43)/3,0),"bottom","middle")))</f>
        <v/>
      </c>
    </row>
    <row r="21">
      <c r="A21" t="n">
        <v>17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>
        <f>IF(COUNT(B21:Y21)=0,"",SUM(B21:Y21))</f>
        <v/>
      </c>
      <c r="AA21">
        <f>COUNT(B21:Y21)</f>
        <v/>
      </c>
      <c r="AB21">
        <f>IF(OR(Z21="",COUNT($Z$5:$Z$43)&lt;3),"",IF(RANK(Z21,$Z$5:$Z$43,0)&lt;=ROUND(COUNT($Z$5:$Z$43)/3,0),"top",IF(RANK(Z21,$Z$5:$Z$43,1)&lt;=ROUND(COUNT($Z$5:$Z$43)/3,0),"bottom","middle")))</f>
        <v/>
      </c>
    </row>
    <row r="22">
      <c r="A22" t="n">
        <v>18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>
        <f>IF(COUNT(B22:Y22)=0,"",SUM(B22:Y22))</f>
        <v/>
      </c>
      <c r="AA22">
        <f>COUNT(B22:Y22)</f>
        <v/>
      </c>
      <c r="AB22">
        <f>IF(OR(Z22="",COUNT($Z$5:$Z$43)&lt;3),"",IF(RANK(Z22,$Z$5:$Z$43,0)&lt;=ROUND(COUNT($Z$5:$Z$43)/3,0),"top",IF(RANK(Z22,$Z$5:$Z$43,1)&lt;=ROUND(COUNT($Z$5:$Z$43)/3,0),"bottom","middle")))</f>
        <v/>
      </c>
    </row>
    <row r="23">
      <c r="A23" t="n">
        <v>19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>
        <f>IF(COUNT(B23:Y23)=0,"",SUM(B23:Y23))</f>
        <v/>
      </c>
      <c r="AA23">
        <f>COUNT(B23:Y23)</f>
        <v/>
      </c>
      <c r="AB23">
        <f>IF(OR(Z23="",COUNT($Z$5:$Z$43)&lt;3),"",IF(RANK(Z23,$Z$5:$Z$43,0)&lt;=ROUND(COUNT($Z$5:$Z$43)/3,0),"top",IF(RANK(Z23,$Z$5:$Z$43,1)&lt;=ROUND(COUNT($Z$5:$Z$43)/3,0),"bottom","middle")))</f>
        <v/>
      </c>
    </row>
    <row r="24">
      <c r="A24" t="n">
        <v>20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>
        <f>IF(COUNT(B24:Y24)=0,"",SUM(B24:Y24))</f>
        <v/>
      </c>
      <c r="AA24">
        <f>COUNT(B24:Y24)</f>
        <v/>
      </c>
      <c r="AB24">
        <f>IF(OR(Z24="",COUNT($Z$5:$Z$43)&lt;3),"",IF(RANK(Z24,$Z$5:$Z$43,0)&lt;=ROUND(COUNT($Z$5:$Z$43)/3,0),"top",IF(RANK(Z24,$Z$5:$Z$43,1)&lt;=ROUND(COUNT($Z$5:$Z$43)/3,0),"bottom","middle")))</f>
        <v/>
      </c>
    </row>
    <row r="25">
      <c r="A25" t="n">
        <v>21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>
        <f>IF(COUNT(B25:Y25)=0,"",SUM(B25:Y25))</f>
        <v/>
      </c>
      <c r="AA25">
        <f>COUNT(B25:Y25)</f>
        <v/>
      </c>
      <c r="AB25">
        <f>IF(OR(Z25="",COUNT($Z$5:$Z$43)&lt;3),"",IF(RANK(Z25,$Z$5:$Z$43,0)&lt;=ROUND(COUNT($Z$5:$Z$43)/3,0),"top",IF(RANK(Z25,$Z$5:$Z$43,1)&lt;=ROUND(COUNT($Z$5:$Z$43)/3,0),"bottom","middle")))</f>
        <v/>
      </c>
    </row>
    <row r="26">
      <c r="A26" t="n">
        <v>22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>
        <f>IF(COUNT(B26:Y26)=0,"",SUM(B26:Y26))</f>
        <v/>
      </c>
      <c r="AA26">
        <f>COUNT(B26:Y26)</f>
        <v/>
      </c>
      <c r="AB26">
        <f>IF(OR(Z26="",COUNT($Z$5:$Z$43)&lt;3),"",IF(RANK(Z26,$Z$5:$Z$43,0)&lt;=ROUND(COUNT($Z$5:$Z$43)/3,0),"top",IF(RANK(Z26,$Z$5:$Z$43,1)&lt;=ROUND(COUNT($Z$5:$Z$43)/3,0),"bottom","middle")))</f>
        <v/>
      </c>
    </row>
    <row r="27">
      <c r="A27" t="n">
        <v>23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>
        <f>IF(COUNT(B27:Y27)=0,"",SUM(B27:Y27))</f>
        <v/>
      </c>
      <c r="AA27">
        <f>COUNT(B27:Y27)</f>
        <v/>
      </c>
      <c r="AB27">
        <f>IF(OR(Z27="",COUNT($Z$5:$Z$43)&lt;3),"",IF(RANK(Z27,$Z$5:$Z$43,0)&lt;=ROUND(COUNT($Z$5:$Z$43)/3,0),"top",IF(RANK(Z27,$Z$5:$Z$43,1)&lt;=ROUND(COUNT($Z$5:$Z$43)/3,0),"bottom","middle")))</f>
        <v/>
      </c>
    </row>
    <row r="28">
      <c r="A28" t="n">
        <v>24</v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>
        <f>IF(COUNT(B28:Y28)=0,"",SUM(B28:Y28))</f>
        <v/>
      </c>
      <c r="AA28">
        <f>COUNT(B28:Y28)</f>
        <v/>
      </c>
      <c r="AB28">
        <f>IF(OR(Z28="",COUNT($Z$5:$Z$43)&lt;3),"",IF(RANK(Z28,$Z$5:$Z$43,0)&lt;=ROUND(COUNT($Z$5:$Z$43)/3,0),"top",IF(RANK(Z28,$Z$5:$Z$43,1)&lt;=ROUND(COUNT($Z$5:$Z$43)/3,0),"bottom","middle")))</f>
        <v/>
      </c>
    </row>
    <row r="29">
      <c r="A29" t="n">
        <v>25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>
        <f>IF(COUNT(B29:Y29)=0,"",SUM(B29:Y29))</f>
        <v/>
      </c>
      <c r="AA29">
        <f>COUNT(B29:Y29)</f>
        <v/>
      </c>
      <c r="AB29">
        <f>IF(OR(Z29="",COUNT($Z$5:$Z$43)&lt;3),"",IF(RANK(Z29,$Z$5:$Z$43,0)&lt;=ROUND(COUNT($Z$5:$Z$43)/3,0),"top",IF(RANK(Z29,$Z$5:$Z$43,1)&lt;=ROUND(COUNT($Z$5:$Z$43)/3,0),"bottom","middle")))</f>
        <v/>
      </c>
    </row>
    <row r="30">
      <c r="A30" t="n">
        <v>26</v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>
        <f>IF(COUNT(B30:Y30)=0,"",SUM(B30:Y30))</f>
        <v/>
      </c>
      <c r="AA30">
        <f>COUNT(B30:Y30)</f>
        <v/>
      </c>
      <c r="AB30">
        <f>IF(OR(Z30="",COUNT($Z$5:$Z$43)&lt;3),"",IF(RANK(Z30,$Z$5:$Z$43,0)&lt;=ROUND(COUNT($Z$5:$Z$43)/3,0),"top",IF(RANK(Z30,$Z$5:$Z$43,1)&lt;=ROUND(COUNT($Z$5:$Z$43)/3,0),"bottom","middle")))</f>
        <v/>
      </c>
    </row>
    <row r="31">
      <c r="A31" t="n">
        <v>27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>
        <f>IF(COUNT(B31:Y31)=0,"",SUM(B31:Y31))</f>
        <v/>
      </c>
      <c r="AA31">
        <f>COUNT(B31:Y31)</f>
        <v/>
      </c>
      <c r="AB31">
        <f>IF(OR(Z31="",COUNT($Z$5:$Z$43)&lt;3),"",IF(RANK(Z31,$Z$5:$Z$43,0)&lt;=ROUND(COUNT($Z$5:$Z$43)/3,0),"top",IF(RANK(Z31,$Z$5:$Z$43,1)&lt;=ROUND(COUNT($Z$5:$Z$43)/3,0),"bottom","middle")))</f>
        <v/>
      </c>
    </row>
    <row r="32">
      <c r="A32" t="n">
        <v>28</v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>
        <f>IF(COUNT(B32:Y32)=0,"",SUM(B32:Y32))</f>
        <v/>
      </c>
      <c r="AA32">
        <f>COUNT(B32:Y32)</f>
        <v/>
      </c>
      <c r="AB32">
        <f>IF(OR(Z32="",COUNT($Z$5:$Z$43)&lt;3),"",IF(RANK(Z32,$Z$5:$Z$43,0)&lt;=ROUND(COUNT($Z$5:$Z$43)/3,0),"top",IF(RANK(Z32,$Z$5:$Z$43,1)&lt;=ROUND(COUNT($Z$5:$Z$43)/3,0),"bottom","middle")))</f>
        <v/>
      </c>
    </row>
    <row r="33">
      <c r="A33" t="n">
        <v>29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>
        <f>IF(COUNT(B33:Y33)=0,"",SUM(B33:Y33))</f>
        <v/>
      </c>
      <c r="AA33">
        <f>COUNT(B33:Y33)</f>
        <v/>
      </c>
      <c r="AB33">
        <f>IF(OR(Z33="",COUNT($Z$5:$Z$43)&lt;3),"",IF(RANK(Z33,$Z$5:$Z$43,0)&lt;=ROUND(COUNT($Z$5:$Z$43)/3,0),"top",IF(RANK(Z33,$Z$5:$Z$43,1)&lt;=ROUND(COUNT($Z$5:$Z$43)/3,0),"bottom","middle")))</f>
        <v/>
      </c>
    </row>
    <row r="34">
      <c r="A34" t="n">
        <v>30</v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>
        <f>IF(COUNT(B34:Y34)=0,"",SUM(B34:Y34))</f>
        <v/>
      </c>
      <c r="AA34">
        <f>COUNT(B34:Y34)</f>
        <v/>
      </c>
      <c r="AB34">
        <f>IF(OR(Z34="",COUNT($Z$5:$Z$43)&lt;3),"",IF(RANK(Z34,$Z$5:$Z$43,0)&lt;=ROUND(COUNT($Z$5:$Z$43)/3,0),"top",IF(RANK(Z34,$Z$5:$Z$43,1)&lt;=ROUND(COUNT($Z$5:$Z$43)/3,0),"bottom","middle")))</f>
        <v/>
      </c>
    </row>
    <row r="35">
      <c r="A35" t="n">
        <v>31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>
        <f>IF(COUNT(B35:Y35)=0,"",SUM(B35:Y35))</f>
        <v/>
      </c>
      <c r="AA35">
        <f>COUNT(B35:Y35)</f>
        <v/>
      </c>
      <c r="AB35">
        <f>IF(OR(Z35="",COUNT($Z$5:$Z$43)&lt;3),"",IF(RANK(Z35,$Z$5:$Z$43,0)&lt;=ROUND(COUNT($Z$5:$Z$43)/3,0),"top",IF(RANK(Z35,$Z$5:$Z$43,1)&lt;=ROUND(COUNT($Z$5:$Z$43)/3,0),"bottom","middle")))</f>
        <v/>
      </c>
    </row>
    <row r="36">
      <c r="A36" t="n">
        <v>32</v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>
        <f>IF(COUNT(B36:Y36)=0,"",SUM(B36:Y36))</f>
        <v/>
      </c>
      <c r="AA36">
        <f>COUNT(B36:Y36)</f>
        <v/>
      </c>
      <c r="AB36">
        <f>IF(OR(Z36="",COUNT($Z$5:$Z$43)&lt;3),"",IF(RANK(Z36,$Z$5:$Z$43,0)&lt;=ROUND(COUNT($Z$5:$Z$43)/3,0),"top",IF(RANK(Z36,$Z$5:$Z$43,1)&lt;=ROUND(COUNT($Z$5:$Z$43)/3,0),"bottom","middle")))</f>
        <v/>
      </c>
    </row>
    <row r="37">
      <c r="A37" t="n">
        <v>33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>
        <f>IF(COUNT(B37:Y37)=0,"",SUM(B37:Y37))</f>
        <v/>
      </c>
      <c r="AA37">
        <f>COUNT(B37:Y37)</f>
        <v/>
      </c>
      <c r="AB37">
        <f>IF(OR(Z37="",COUNT($Z$5:$Z$43)&lt;3),"",IF(RANK(Z37,$Z$5:$Z$43,0)&lt;=ROUND(COUNT($Z$5:$Z$43)/3,0),"top",IF(RANK(Z37,$Z$5:$Z$43,1)&lt;=ROUND(COUNT($Z$5:$Z$43)/3,0),"bottom","middle")))</f>
        <v/>
      </c>
    </row>
    <row r="38">
      <c r="A38" t="n">
        <v>34</v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>
        <f>IF(COUNT(B38:Y38)=0,"",SUM(B38:Y38))</f>
        <v/>
      </c>
      <c r="AA38">
        <f>COUNT(B38:Y38)</f>
        <v/>
      </c>
      <c r="AB38">
        <f>IF(OR(Z38="",COUNT($Z$5:$Z$43)&lt;3),"",IF(RANK(Z38,$Z$5:$Z$43,0)&lt;=ROUND(COUNT($Z$5:$Z$43)/3,0),"top",IF(RANK(Z38,$Z$5:$Z$43,1)&lt;=ROUND(COUNT($Z$5:$Z$43)/3,0),"bottom","middle")))</f>
        <v/>
      </c>
    </row>
    <row r="39">
      <c r="A39" t="n">
        <v>35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>
        <f>IF(COUNT(B39:Y39)=0,"",SUM(B39:Y39))</f>
        <v/>
      </c>
      <c r="AA39">
        <f>COUNT(B39:Y39)</f>
        <v/>
      </c>
      <c r="AB39">
        <f>IF(OR(Z39="",COUNT($Z$5:$Z$43)&lt;3),"",IF(RANK(Z39,$Z$5:$Z$43,0)&lt;=ROUND(COUNT($Z$5:$Z$43)/3,0),"top",IF(RANK(Z39,$Z$5:$Z$43,1)&lt;=ROUND(COUNT($Z$5:$Z$43)/3,0),"bottom","middle")))</f>
        <v/>
      </c>
    </row>
    <row r="40">
      <c r="A40" t="n">
        <v>36</v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>
        <f>IF(COUNT(B40:Y40)=0,"",SUM(B40:Y40))</f>
        <v/>
      </c>
      <c r="AA40">
        <f>COUNT(B40:Y40)</f>
        <v/>
      </c>
      <c r="AB40">
        <f>IF(OR(Z40="",COUNT($Z$5:$Z$43)&lt;3),"",IF(RANK(Z40,$Z$5:$Z$43,0)&lt;=ROUND(COUNT($Z$5:$Z$43)/3,0),"top",IF(RANK(Z40,$Z$5:$Z$43,1)&lt;=ROUND(COUNT($Z$5:$Z$43)/3,0),"bottom","middle")))</f>
        <v/>
      </c>
    </row>
    <row r="41">
      <c r="A41" t="n">
        <v>37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>
        <f>IF(COUNT(B41:Y41)=0,"",SUM(B41:Y41))</f>
        <v/>
      </c>
      <c r="AA41">
        <f>COUNT(B41:Y41)</f>
        <v/>
      </c>
      <c r="AB41">
        <f>IF(OR(Z41="",COUNT($Z$5:$Z$43)&lt;3),"",IF(RANK(Z41,$Z$5:$Z$43,0)&lt;=ROUND(COUNT($Z$5:$Z$43)/3,0),"top",IF(RANK(Z41,$Z$5:$Z$43,1)&lt;=ROUND(COUNT($Z$5:$Z$43)/3,0),"bottom","middle")))</f>
        <v/>
      </c>
    </row>
    <row r="42">
      <c r="A42" t="n">
        <v>38</v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>
        <f>IF(COUNT(B42:Y42)=0,"",SUM(B42:Y42))</f>
        <v/>
      </c>
      <c r="AA42">
        <f>COUNT(B42:Y42)</f>
        <v/>
      </c>
      <c r="AB42">
        <f>IF(OR(Z42="",COUNT($Z$5:$Z$43)&lt;3),"",IF(RANK(Z42,$Z$5:$Z$43,0)&lt;=ROUND(COUNT($Z$5:$Z$43)/3,0),"top",IF(RANK(Z42,$Z$5:$Z$43,1)&lt;=ROUND(COUNT($Z$5:$Z$43)/3,0),"bottom","middle")))</f>
        <v/>
      </c>
    </row>
    <row r="43">
      <c r="A43" t="n">
        <v>39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>
        <f>IF(COUNT(B43:Y43)=0,"",SUM(B43:Y43))</f>
        <v/>
      </c>
      <c r="AA43">
        <f>COUNT(B43:Y43)</f>
        <v/>
      </c>
      <c r="AB43">
        <f>IF(OR(Z43="",COUNT($Z$5:$Z$43)&lt;3),"",IF(RANK(Z43,$Z$5:$Z$43,0)&lt;=ROUND(COUNT($Z$5:$Z$43)/3,0),"top",IF(RANK(Z43,$Z$5:$Z$43,1)&lt;=ROUND(COUNT($Z$5:$Z$43)/3,0),"bottom","middle")))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52" customWidth="1" min="13" max="13"/>
  </cols>
  <sheetData>
    <row r="1">
      <c r="A1" s="3" t="inlineStr">
        <is>
          <t>Items: the room's rate, the thirds, and what to check</t>
        </is>
      </c>
    </row>
    <row r="4">
      <c r="A4" s="4" t="inlineStr">
        <is>
          <t>Q</t>
        </is>
      </c>
      <c r="B4" s="4" t="inlineStr">
        <is>
          <t>Part</t>
        </is>
      </c>
      <c r="C4" s="4" t="inlineStr">
        <is>
          <t>Type</t>
        </is>
      </c>
      <c r="D4" s="4" t="inlineStr">
        <is>
          <t>Level</t>
        </is>
      </c>
      <c r="E4" s="4" t="inlineStr">
        <is>
          <t>Tag</t>
        </is>
      </c>
      <c r="F4" s="4" t="inlineStr">
        <is>
          <t>Key</t>
        </is>
      </c>
      <c r="G4" s="4" t="inlineStr">
        <is>
          <t>Right</t>
        </is>
      </c>
      <c r="H4" s="4" t="inlineStr">
        <is>
          <t>Answered</t>
        </is>
      </c>
      <c r="I4" s="4" t="inlineStr">
        <is>
          <t>Right rate</t>
        </is>
      </c>
      <c r="J4" s="4" t="inlineStr">
        <is>
          <t>Top third rate</t>
        </is>
      </c>
      <c r="K4" s="4" t="inlineStr">
        <is>
          <t>Bottom third rate</t>
        </is>
      </c>
      <c r="L4" s="4" t="inlineStr">
        <is>
          <t>Top minus bottom</t>
        </is>
      </c>
      <c r="M4" s="4" t="inlineStr">
        <is>
          <t>Flag</t>
        </is>
      </c>
      <c r="N4" s="4" t="inlineStr">
        <is>
          <t>Order key</t>
        </is>
      </c>
    </row>
    <row r="5">
      <c r="A5" t="n">
        <v>1</v>
      </c>
      <c r="B5" t="n">
        <v>1</v>
      </c>
      <c r="C5" t="inlineStr">
        <is>
          <t>One correct option</t>
        </is>
      </c>
      <c r="D5" t="inlineStr">
        <is>
          <t>Medium</t>
        </is>
      </c>
      <c r="E5" t="inlineStr">
        <is>
          <t>[S]</t>
        </is>
      </c>
      <c r="F5" t="inlineStr">
        <is>
          <t>b</t>
        </is>
      </c>
      <c r="G5">
        <f>COUNTIF(Marks!B$5:B$43,1)</f>
        <v/>
      </c>
      <c r="H5">
        <f>COUNT(Marks!B$5:B$43)</f>
        <v/>
      </c>
      <c r="I5" s="6">
        <f>IF(H5=0,"",G5/H5)</f>
        <v/>
      </c>
      <c r="J5" s="6">
        <f>IF(SUMPRODUCT((Marks!$AB$5:$AB$43="top")*ISNUMBER(Marks!B$5:B$43))=0,"",SUMPRODUCT((Marks!$AB$5:$AB$43="top")*(Marks!B$5:B$43=1))/SUMPRODUCT((Marks!$AB$5:$AB$43="top")*ISNUMBER(Marks!B$5:B$43)))</f>
        <v/>
      </c>
      <c r="K5" s="6">
        <f>IF(SUMPRODUCT((Marks!$AB$5:$AB$43="bottom")*ISNUMBER(Marks!B$5:B$43))=0,"",SUMPRODUCT((Marks!$AB$5:$AB$43="bottom")*(Marks!B$5:B$43=1))/SUMPRODUCT((Marks!$AB$5:$AB$43="bottom")*ISNUMBER(Marks!B$5:B$43)))</f>
        <v/>
      </c>
      <c r="L5" s="6">
        <f>IF(OR(J5="",K5=""),"",J5-K5)</f>
        <v/>
      </c>
      <c r="M5">
        <f>IF(H5=0,"",IF(I5&lt;0.2,"Check the item: fewer than one in five got it right",IF(AND(L5&lt;&gt;"",N(L5)&lt;0),"Check the item: the bottom third beat the top third","")))</f>
        <v/>
      </c>
      <c r="N5">
        <f>IF(H5=0,"",I5+ROW()/1000000)</f>
        <v/>
      </c>
    </row>
    <row r="6">
      <c r="A6" t="n">
        <v>2</v>
      </c>
      <c r="B6" t="n">
        <v>1</v>
      </c>
      <c r="C6" t="inlineStr">
        <is>
          <t>True or false</t>
        </is>
      </c>
      <c r="D6" t="inlineStr">
        <is>
          <t>Hard</t>
        </is>
      </c>
      <c r="E6" t="inlineStr">
        <is>
          <t>[D]</t>
        </is>
      </c>
      <c r="F6" t="inlineStr">
        <is>
          <t>a</t>
        </is>
      </c>
      <c r="G6">
        <f>COUNTIF(Marks!C$5:C$43,1)</f>
        <v/>
      </c>
      <c r="H6">
        <f>COUNT(Marks!C$5:C$43)</f>
        <v/>
      </c>
      <c r="I6" s="6">
        <f>IF(H6=0,"",G6/H6)</f>
        <v/>
      </c>
      <c r="J6" s="6">
        <f>IF(SUMPRODUCT((Marks!$AB$5:$AB$43="top")*ISNUMBER(Marks!C$5:C$43))=0,"",SUMPRODUCT((Marks!$AB$5:$AB$43="top")*(Marks!C$5:C$43=1))/SUMPRODUCT((Marks!$AB$5:$AB$43="top")*ISNUMBER(Marks!C$5:C$43)))</f>
        <v/>
      </c>
      <c r="K6" s="6">
        <f>IF(SUMPRODUCT((Marks!$AB$5:$AB$43="bottom")*ISNUMBER(Marks!C$5:C$43))=0,"",SUMPRODUCT((Marks!$AB$5:$AB$43="bottom")*(Marks!C$5:C$43=1))/SUMPRODUCT((Marks!$AB$5:$AB$43="bottom")*ISNUMBER(Marks!C$5:C$43)))</f>
        <v/>
      </c>
      <c r="L6" s="6">
        <f>IF(OR(J6="",K6=""),"",J6-K6)</f>
        <v/>
      </c>
      <c r="M6">
        <f>IF(H6=0,"",IF(I6&lt;0.2,"Check the item: fewer than one in five got it right",IF(AND(L6&lt;&gt;"",N(L6)&lt;0),"Check the item: the bottom third beat the top third","")))</f>
        <v/>
      </c>
      <c r="N6">
        <f>IF(H6=0,"",I6+ROW()/1000000)</f>
        <v/>
      </c>
    </row>
    <row r="7">
      <c r="A7" t="n">
        <v>3</v>
      </c>
      <c r="B7" t="n">
        <v>1</v>
      </c>
      <c r="C7" t="inlineStr">
        <is>
          <t>One correct option</t>
        </is>
      </c>
      <c r="D7" t="inlineStr">
        <is>
          <t>Medium</t>
        </is>
      </c>
      <c r="E7" t="inlineStr">
        <is>
          <t>[F]</t>
        </is>
      </c>
      <c r="F7" t="inlineStr">
        <is>
          <t>d</t>
        </is>
      </c>
      <c r="G7">
        <f>COUNTIF(Marks!D$5:D$43,1)</f>
        <v/>
      </c>
      <c r="H7">
        <f>COUNT(Marks!D$5:D$43)</f>
        <v/>
      </c>
      <c r="I7" s="6">
        <f>IF(H7=0,"",G7/H7)</f>
        <v/>
      </c>
      <c r="J7" s="6">
        <f>IF(SUMPRODUCT((Marks!$AB$5:$AB$43="top")*ISNUMBER(Marks!D$5:D$43))=0,"",SUMPRODUCT((Marks!$AB$5:$AB$43="top")*(Marks!D$5:D$43=1))/SUMPRODUCT((Marks!$AB$5:$AB$43="top")*ISNUMBER(Marks!D$5:D$43)))</f>
        <v/>
      </c>
      <c r="K7" s="6">
        <f>IF(SUMPRODUCT((Marks!$AB$5:$AB$43="bottom")*ISNUMBER(Marks!D$5:D$43))=0,"",SUMPRODUCT((Marks!$AB$5:$AB$43="bottom")*(Marks!D$5:D$43=1))/SUMPRODUCT((Marks!$AB$5:$AB$43="bottom")*ISNUMBER(Marks!D$5:D$43)))</f>
        <v/>
      </c>
      <c r="L7" s="6">
        <f>IF(OR(J7="",K7=""),"",J7-K7)</f>
        <v/>
      </c>
      <c r="M7">
        <f>IF(H7=0,"",IF(I7&lt;0.2,"Check the item: fewer than one in five got it right",IF(AND(L7&lt;&gt;"",N(L7)&lt;0),"Check the item: the bottom third beat the top third","")))</f>
        <v/>
      </c>
      <c r="N7">
        <f>IF(H7=0,"",I7+ROW()/1000000)</f>
        <v/>
      </c>
    </row>
    <row r="8">
      <c r="A8" t="n">
        <v>4</v>
      </c>
      <c r="B8" t="n">
        <v>1</v>
      </c>
      <c r="C8" t="inlineStr">
        <is>
          <t>More than one correct</t>
        </is>
      </c>
      <c r="D8" t="inlineStr">
        <is>
          <t>Medium</t>
        </is>
      </c>
      <c r="E8" t="inlineStr">
        <is>
          <t>[S]</t>
        </is>
      </c>
      <c r="F8" t="inlineStr">
        <is>
          <t>a, d</t>
        </is>
      </c>
      <c r="G8">
        <f>COUNTIF(Marks!E$5:E$43,1)</f>
        <v/>
      </c>
      <c r="H8">
        <f>COUNT(Marks!E$5:E$43)</f>
        <v/>
      </c>
      <c r="I8" s="6">
        <f>IF(H8=0,"",G8/H8)</f>
        <v/>
      </c>
      <c r="J8" s="6">
        <f>IF(SUMPRODUCT((Marks!$AB$5:$AB$43="top")*ISNUMBER(Marks!E$5:E$43))=0,"",SUMPRODUCT((Marks!$AB$5:$AB$43="top")*(Marks!E$5:E$43=1))/SUMPRODUCT((Marks!$AB$5:$AB$43="top")*ISNUMBER(Marks!E$5:E$43)))</f>
        <v/>
      </c>
      <c r="K8" s="6">
        <f>IF(SUMPRODUCT((Marks!$AB$5:$AB$43="bottom")*ISNUMBER(Marks!E$5:E$43))=0,"",SUMPRODUCT((Marks!$AB$5:$AB$43="bottom")*(Marks!E$5:E$43=1))/SUMPRODUCT((Marks!$AB$5:$AB$43="bottom")*ISNUMBER(Marks!E$5:E$43)))</f>
        <v/>
      </c>
      <c r="L8" s="6">
        <f>IF(OR(J8="",K8=""),"",J8-K8)</f>
        <v/>
      </c>
      <c r="M8">
        <f>IF(H8=0,"",IF(I8&lt;0.2,"Check the item: fewer than one in five got it right",IF(AND(L8&lt;&gt;"",N(L8)&lt;0),"Check the item: the bottom third beat the top third","")))</f>
        <v/>
      </c>
      <c r="N8">
        <f>IF(H8=0,"",I8+ROW()/1000000)</f>
        <v/>
      </c>
    </row>
    <row r="9">
      <c r="A9" t="n">
        <v>5</v>
      </c>
      <c r="B9" t="n">
        <v>1</v>
      </c>
      <c r="C9" t="inlineStr">
        <is>
          <t>Fill in the blank</t>
        </is>
      </c>
      <c r="D9" t="inlineStr">
        <is>
          <t>Easy</t>
        </is>
      </c>
      <c r="E9" t="inlineStr">
        <is>
          <t>[S]</t>
        </is>
      </c>
      <c r="F9" t="inlineStr">
        <is>
          <t>c</t>
        </is>
      </c>
      <c r="G9">
        <f>COUNTIF(Marks!F$5:F$43,1)</f>
        <v/>
      </c>
      <c r="H9">
        <f>COUNT(Marks!F$5:F$43)</f>
        <v/>
      </c>
      <c r="I9" s="6">
        <f>IF(H9=0,"",G9/H9)</f>
        <v/>
      </c>
      <c r="J9" s="6">
        <f>IF(SUMPRODUCT((Marks!$AB$5:$AB$43="top")*ISNUMBER(Marks!F$5:F$43))=0,"",SUMPRODUCT((Marks!$AB$5:$AB$43="top")*(Marks!F$5:F$43=1))/SUMPRODUCT((Marks!$AB$5:$AB$43="top")*ISNUMBER(Marks!F$5:F$43)))</f>
        <v/>
      </c>
      <c r="K9" s="6">
        <f>IF(SUMPRODUCT((Marks!$AB$5:$AB$43="bottom")*ISNUMBER(Marks!F$5:F$43))=0,"",SUMPRODUCT((Marks!$AB$5:$AB$43="bottom")*(Marks!F$5:F$43=1))/SUMPRODUCT((Marks!$AB$5:$AB$43="bottom")*ISNUMBER(Marks!F$5:F$43)))</f>
        <v/>
      </c>
      <c r="L9" s="6">
        <f>IF(OR(J9="",K9=""),"",J9-K9)</f>
        <v/>
      </c>
      <c r="M9">
        <f>IF(H9=0,"",IF(I9&lt;0.2,"Check the item: fewer than one in five got it right",IF(AND(L9&lt;&gt;"",N(L9)&lt;0),"Check the item: the bottom third beat the top third","")))</f>
        <v/>
      </c>
      <c r="N9">
        <f>IF(H9=0,"",I9+ROW()/1000000)</f>
        <v/>
      </c>
    </row>
    <row r="10">
      <c r="A10" t="n">
        <v>6</v>
      </c>
      <c r="B10" t="n">
        <v>2</v>
      </c>
      <c r="C10" t="inlineStr">
        <is>
          <t>True or false</t>
        </is>
      </c>
      <c r="D10" t="inlineStr">
        <is>
          <t>Medium</t>
        </is>
      </c>
      <c r="E10" t="inlineStr">
        <is>
          <t>[F]</t>
        </is>
      </c>
      <c r="F10" t="inlineStr">
        <is>
          <t>d</t>
        </is>
      </c>
      <c r="G10">
        <f>COUNTIF(Marks!G$5:G$43,1)</f>
        <v/>
      </c>
      <c r="H10">
        <f>COUNT(Marks!G$5:G$43)</f>
        <v/>
      </c>
      <c r="I10" s="6">
        <f>IF(H10=0,"",G10/H10)</f>
        <v/>
      </c>
      <c r="J10" s="6">
        <f>IF(SUMPRODUCT((Marks!$AB$5:$AB$43="top")*ISNUMBER(Marks!G$5:G$43))=0,"",SUMPRODUCT((Marks!$AB$5:$AB$43="top")*(Marks!G$5:G$43=1))/SUMPRODUCT((Marks!$AB$5:$AB$43="top")*ISNUMBER(Marks!G$5:G$43)))</f>
        <v/>
      </c>
      <c r="K10" s="6">
        <f>IF(SUMPRODUCT((Marks!$AB$5:$AB$43="bottom")*ISNUMBER(Marks!G$5:G$43))=0,"",SUMPRODUCT((Marks!$AB$5:$AB$43="bottom")*(Marks!G$5:G$43=1))/SUMPRODUCT((Marks!$AB$5:$AB$43="bottom")*ISNUMBER(Marks!G$5:G$43)))</f>
        <v/>
      </c>
      <c r="L10" s="6">
        <f>IF(OR(J10="",K10=""),"",J10-K10)</f>
        <v/>
      </c>
      <c r="M10">
        <f>IF(H10=0,"",IF(I10&lt;0.2,"Check the item: fewer than one in five got it right",IF(AND(L10&lt;&gt;"",N(L10)&lt;0),"Check the item: the bottom third beat the top third","")))</f>
        <v/>
      </c>
      <c r="N10">
        <f>IF(H10=0,"",I10+ROW()/1000000)</f>
        <v/>
      </c>
    </row>
    <row r="11">
      <c r="A11" t="n">
        <v>7</v>
      </c>
      <c r="B11" t="n">
        <v>2</v>
      </c>
      <c r="C11" t="inlineStr">
        <is>
          <t>Applied maths</t>
        </is>
      </c>
      <c r="D11" t="inlineStr">
        <is>
          <t>Medium</t>
        </is>
      </c>
      <c r="E11" t="inlineStr">
        <is>
          <t>[S]</t>
        </is>
      </c>
      <c r="F11" t="inlineStr">
        <is>
          <t>Precision 174 / 268 = 0.65; recall 174 / 928 = 0.19; F1 = 2 x 174 / (2 x 174 + 94 + 754) = 348 / 1,196 = 0.29.</t>
        </is>
      </c>
      <c r="G11">
        <f>COUNTIF(Marks!H$5:H$43,1)</f>
        <v/>
      </c>
      <c r="H11">
        <f>COUNT(Marks!H$5:H$43)</f>
        <v/>
      </c>
      <c r="I11" s="6">
        <f>IF(H11=0,"",G11/H11)</f>
        <v/>
      </c>
      <c r="J11" s="6">
        <f>IF(SUMPRODUCT((Marks!$AB$5:$AB$43="top")*ISNUMBER(Marks!H$5:H$43))=0,"",SUMPRODUCT((Marks!$AB$5:$AB$43="top")*(Marks!H$5:H$43=1))/SUMPRODUCT((Marks!$AB$5:$AB$43="top")*ISNUMBER(Marks!H$5:H$43)))</f>
        <v/>
      </c>
      <c r="K11" s="6">
        <f>IF(SUMPRODUCT((Marks!$AB$5:$AB$43="bottom")*ISNUMBER(Marks!H$5:H$43))=0,"",SUMPRODUCT((Marks!$AB$5:$AB$43="bottom")*(Marks!H$5:H$43=1))/SUMPRODUCT((Marks!$AB$5:$AB$43="bottom")*ISNUMBER(Marks!H$5:H$43)))</f>
        <v/>
      </c>
      <c r="L11" s="6">
        <f>IF(OR(J11="",K11=""),"",J11-K11)</f>
        <v/>
      </c>
      <c r="M11">
        <f>IF(H11=0,"",IF(I11&lt;0.2,"Check the item: fewer than one in five got it right",IF(AND(L11&lt;&gt;"",N(L11)&lt;0),"Check the item: the bottom third beat the top third","")))</f>
        <v/>
      </c>
      <c r="N11">
        <f>IF(H11=0,"",I11+ROW()/1000000)</f>
        <v/>
      </c>
    </row>
    <row r="12">
      <c r="A12" t="n">
        <v>8</v>
      </c>
      <c r="B12" t="n">
        <v>2</v>
      </c>
      <c r="C12" t="inlineStr">
        <is>
          <t>Applied maths</t>
        </is>
      </c>
      <c r="D12" t="inlineStr">
        <is>
          <t>Medium</t>
        </is>
      </c>
      <c r="E12" t="inlineStr">
        <is>
          <t>[S]</t>
        </is>
      </c>
      <c r="F12" t="inlineStr">
        <is>
          <t>Call when p x 1,200 &gt; (1 - p) x 40, so p &gt; 40 / 1,240 = 1 / 31, about 0.032 (1 in 30, 0.033, from one buyer paying for 30 calls, is accepted); the line moves down from 0.5 and recall leads.</t>
        </is>
      </c>
      <c r="G12">
        <f>COUNTIF(Marks!I$5:I$43,1)</f>
        <v/>
      </c>
      <c r="H12">
        <f>COUNT(Marks!I$5:I$43)</f>
        <v/>
      </c>
      <c r="I12" s="6">
        <f>IF(H12=0,"",G12/H12)</f>
        <v/>
      </c>
      <c r="J12" s="6">
        <f>IF(SUMPRODUCT((Marks!$AB$5:$AB$43="top")*ISNUMBER(Marks!I$5:I$43))=0,"",SUMPRODUCT((Marks!$AB$5:$AB$43="top")*(Marks!I$5:I$43=1))/SUMPRODUCT((Marks!$AB$5:$AB$43="top")*ISNUMBER(Marks!I$5:I$43)))</f>
        <v/>
      </c>
      <c r="K12" s="6">
        <f>IF(SUMPRODUCT((Marks!$AB$5:$AB$43="bottom")*ISNUMBER(Marks!I$5:I$43))=0,"",SUMPRODUCT((Marks!$AB$5:$AB$43="bottom")*(Marks!I$5:I$43=1))/SUMPRODUCT((Marks!$AB$5:$AB$43="bottom")*ISNUMBER(Marks!I$5:I$43)))</f>
        <v/>
      </c>
      <c r="L12" s="6">
        <f>IF(OR(J12="",K12=""),"",J12-K12)</f>
        <v/>
      </c>
      <c r="M12">
        <f>IF(H12=0,"",IF(I12&lt;0.2,"Check the item: fewer than one in five got it right",IF(AND(L12&lt;&gt;"",N(L12)&lt;0),"Check the item: the bottom third beat the top third","")))</f>
        <v/>
      </c>
      <c r="N12">
        <f>IF(H12=0,"",I12+ROW()/1000000)</f>
        <v/>
      </c>
    </row>
    <row r="13">
      <c r="A13" t="n">
        <v>9</v>
      </c>
      <c r="B13" t="n">
        <v>2</v>
      </c>
      <c r="C13" t="inlineStr">
        <is>
          <t>One correct option</t>
        </is>
      </c>
      <c r="D13" t="inlineStr">
        <is>
          <t>Medium</t>
        </is>
      </c>
      <c r="E13" t="inlineStr">
        <is>
          <t>[S]</t>
        </is>
      </c>
      <c r="F13" t="inlineStr">
        <is>
          <t>b</t>
        </is>
      </c>
      <c r="G13">
        <f>COUNTIF(Marks!J$5:J$43,1)</f>
        <v/>
      </c>
      <c r="H13">
        <f>COUNT(Marks!J$5:J$43)</f>
        <v/>
      </c>
      <c r="I13" s="6">
        <f>IF(H13=0,"",G13/H13)</f>
        <v/>
      </c>
      <c r="J13" s="6">
        <f>IF(SUMPRODUCT((Marks!$AB$5:$AB$43="top")*ISNUMBER(Marks!J$5:J$43))=0,"",SUMPRODUCT((Marks!$AB$5:$AB$43="top")*(Marks!J$5:J$43=1))/SUMPRODUCT((Marks!$AB$5:$AB$43="top")*ISNUMBER(Marks!J$5:J$43)))</f>
        <v/>
      </c>
      <c r="K13" s="6">
        <f>IF(SUMPRODUCT((Marks!$AB$5:$AB$43="bottom")*ISNUMBER(Marks!J$5:J$43))=0,"",SUMPRODUCT((Marks!$AB$5:$AB$43="bottom")*(Marks!J$5:J$43=1))/SUMPRODUCT((Marks!$AB$5:$AB$43="bottom")*ISNUMBER(Marks!J$5:J$43)))</f>
        <v/>
      </c>
      <c r="L13" s="6">
        <f>IF(OR(J13="",K13=""),"",J13-K13)</f>
        <v/>
      </c>
      <c r="M13">
        <f>IF(H13=0,"",IF(I13&lt;0.2,"Check the item: fewer than one in five got it right",IF(AND(L13&lt;&gt;"",N(L13)&lt;0),"Check the item: the bottom third beat the top third","")))</f>
        <v/>
      </c>
      <c r="N13">
        <f>IF(H13=0,"",I13+ROW()/1000000)</f>
        <v/>
      </c>
    </row>
    <row r="14">
      <c r="A14" t="n">
        <v>10</v>
      </c>
      <c r="B14" t="n">
        <v>2</v>
      </c>
      <c r="C14" t="inlineStr">
        <is>
          <t>One correct option</t>
        </is>
      </c>
      <c r="D14" t="inlineStr">
        <is>
          <t>Hard</t>
        </is>
      </c>
      <c r="E14" t="inlineStr">
        <is>
          <t>[D]</t>
        </is>
      </c>
      <c r="F14" t="inlineStr">
        <is>
          <t>c</t>
        </is>
      </c>
      <c r="G14">
        <f>COUNTIF(Marks!K$5:K$43,1)</f>
        <v/>
      </c>
      <c r="H14">
        <f>COUNT(Marks!K$5:K$43)</f>
        <v/>
      </c>
      <c r="I14" s="6">
        <f>IF(H14=0,"",G14/H14)</f>
        <v/>
      </c>
      <c r="J14" s="6">
        <f>IF(SUMPRODUCT((Marks!$AB$5:$AB$43="top")*ISNUMBER(Marks!K$5:K$43))=0,"",SUMPRODUCT((Marks!$AB$5:$AB$43="top")*(Marks!K$5:K$43=1))/SUMPRODUCT((Marks!$AB$5:$AB$43="top")*ISNUMBER(Marks!K$5:K$43)))</f>
        <v/>
      </c>
      <c r="K14" s="6">
        <f>IF(SUMPRODUCT((Marks!$AB$5:$AB$43="bottom")*ISNUMBER(Marks!K$5:K$43))=0,"",SUMPRODUCT((Marks!$AB$5:$AB$43="bottom")*(Marks!K$5:K$43=1))/SUMPRODUCT((Marks!$AB$5:$AB$43="bottom")*ISNUMBER(Marks!K$5:K$43)))</f>
        <v/>
      </c>
      <c r="L14" s="6">
        <f>IF(OR(J14="",K14=""),"",J14-K14)</f>
        <v/>
      </c>
      <c r="M14">
        <f>IF(H14=0,"",IF(I14&lt;0.2,"Check the item: fewer than one in five got it right",IF(AND(L14&lt;&gt;"",N(L14)&lt;0),"Check the item: the bottom third beat the top third","")))</f>
        <v/>
      </c>
      <c r="N14">
        <f>IF(H14=0,"",I14+ROW()/1000000)</f>
        <v/>
      </c>
    </row>
    <row r="15">
      <c r="A15" t="n">
        <v>11</v>
      </c>
      <c r="B15" t="n">
        <v>2</v>
      </c>
      <c r="C15" t="inlineStr">
        <is>
          <t>Fill in the blank</t>
        </is>
      </c>
      <c r="D15" t="inlineStr">
        <is>
          <t>Easy</t>
        </is>
      </c>
      <c r="E15" t="inlineStr">
        <is>
          <t>[S]</t>
        </is>
      </c>
      <c r="F15" t="inlineStr">
        <is>
          <t>b</t>
        </is>
      </c>
      <c r="G15">
        <f>COUNTIF(Marks!L$5:L$43,1)</f>
        <v/>
      </c>
      <c r="H15">
        <f>COUNT(Marks!L$5:L$43)</f>
        <v/>
      </c>
      <c r="I15" s="6">
        <f>IF(H15=0,"",G15/H15)</f>
        <v/>
      </c>
      <c r="J15" s="6">
        <f>IF(SUMPRODUCT((Marks!$AB$5:$AB$43="top")*ISNUMBER(Marks!L$5:L$43))=0,"",SUMPRODUCT((Marks!$AB$5:$AB$43="top")*(Marks!L$5:L$43=1))/SUMPRODUCT((Marks!$AB$5:$AB$43="top")*ISNUMBER(Marks!L$5:L$43)))</f>
        <v/>
      </c>
      <c r="K15" s="6">
        <f>IF(SUMPRODUCT((Marks!$AB$5:$AB$43="bottom")*ISNUMBER(Marks!L$5:L$43))=0,"",SUMPRODUCT((Marks!$AB$5:$AB$43="bottom")*(Marks!L$5:L$43=1))/SUMPRODUCT((Marks!$AB$5:$AB$43="bottom")*ISNUMBER(Marks!L$5:L$43)))</f>
        <v/>
      </c>
      <c r="L15" s="6">
        <f>IF(OR(J15="",K15=""),"",J15-K15)</f>
        <v/>
      </c>
      <c r="M15">
        <f>IF(H15=0,"",IF(I15&lt;0.2,"Check the item: fewer than one in five got it right",IF(AND(L15&lt;&gt;"",N(L15)&lt;0),"Check the item: the bottom third beat the top third","")))</f>
        <v/>
      </c>
      <c r="N15">
        <f>IF(H15=0,"",I15+ROW()/1000000)</f>
        <v/>
      </c>
    </row>
    <row r="16">
      <c r="A16" t="n">
        <v>12</v>
      </c>
      <c r="B16" t="n">
        <v>3</v>
      </c>
      <c r="C16" t="inlineStr">
        <is>
          <t>One correct option</t>
        </is>
      </c>
      <c r="D16" t="inlineStr">
        <is>
          <t>Medium</t>
        </is>
      </c>
      <c r="E16" t="inlineStr">
        <is>
          <t>[S]</t>
        </is>
      </c>
      <c r="F16" t="inlineStr">
        <is>
          <t>c</t>
        </is>
      </c>
      <c r="G16">
        <f>COUNTIF(Marks!M$5:M$43,1)</f>
        <v/>
      </c>
      <c r="H16">
        <f>COUNT(Marks!M$5:M$43)</f>
        <v/>
      </c>
      <c r="I16" s="6">
        <f>IF(H16=0,"",G16/H16)</f>
        <v/>
      </c>
      <c r="J16" s="6">
        <f>IF(SUMPRODUCT((Marks!$AB$5:$AB$43="top")*ISNUMBER(Marks!M$5:M$43))=0,"",SUMPRODUCT((Marks!$AB$5:$AB$43="top")*(Marks!M$5:M$43=1))/SUMPRODUCT((Marks!$AB$5:$AB$43="top")*ISNUMBER(Marks!M$5:M$43)))</f>
        <v/>
      </c>
      <c r="K16" s="6">
        <f>IF(SUMPRODUCT((Marks!$AB$5:$AB$43="bottom")*ISNUMBER(Marks!M$5:M$43))=0,"",SUMPRODUCT((Marks!$AB$5:$AB$43="bottom")*(Marks!M$5:M$43=1))/SUMPRODUCT((Marks!$AB$5:$AB$43="bottom")*ISNUMBER(Marks!M$5:M$43)))</f>
        <v/>
      </c>
      <c r="L16" s="6">
        <f>IF(OR(J16="",K16=""),"",J16-K16)</f>
        <v/>
      </c>
      <c r="M16">
        <f>IF(H16=0,"",IF(I16&lt;0.2,"Check the item: fewer than one in five got it right",IF(AND(L16&lt;&gt;"",N(L16)&lt;0),"Check the item: the bottom third beat the top third","")))</f>
        <v/>
      </c>
      <c r="N16">
        <f>IF(H16=0,"",I16+ROW()/1000000)</f>
        <v/>
      </c>
    </row>
    <row r="17">
      <c r="A17" t="n">
        <v>13</v>
      </c>
      <c r="B17" t="n">
        <v>3</v>
      </c>
      <c r="C17" t="inlineStr">
        <is>
          <t>More than one correct</t>
        </is>
      </c>
      <c r="D17" t="inlineStr">
        <is>
          <t>Hard</t>
        </is>
      </c>
      <c r="E17" t="inlineStr">
        <is>
          <t>[S]</t>
        </is>
      </c>
      <c r="F17" t="inlineStr">
        <is>
          <t>b, c</t>
        </is>
      </c>
      <c r="G17">
        <f>COUNTIF(Marks!N$5:N$43,1)</f>
        <v/>
      </c>
      <c r="H17">
        <f>COUNT(Marks!N$5:N$43)</f>
        <v/>
      </c>
      <c r="I17" s="6">
        <f>IF(H17=0,"",G17/H17)</f>
        <v/>
      </c>
      <c r="J17" s="6">
        <f>IF(SUMPRODUCT((Marks!$AB$5:$AB$43="top")*ISNUMBER(Marks!N$5:N$43))=0,"",SUMPRODUCT((Marks!$AB$5:$AB$43="top")*(Marks!N$5:N$43=1))/SUMPRODUCT((Marks!$AB$5:$AB$43="top")*ISNUMBER(Marks!N$5:N$43)))</f>
        <v/>
      </c>
      <c r="K17" s="6">
        <f>IF(SUMPRODUCT((Marks!$AB$5:$AB$43="bottom")*ISNUMBER(Marks!N$5:N$43))=0,"",SUMPRODUCT((Marks!$AB$5:$AB$43="bottom")*(Marks!N$5:N$43=1))/SUMPRODUCT((Marks!$AB$5:$AB$43="bottom")*ISNUMBER(Marks!N$5:N$43)))</f>
        <v/>
      </c>
      <c r="L17" s="6">
        <f>IF(OR(J17="",K17=""),"",J17-K17)</f>
        <v/>
      </c>
      <c r="M17">
        <f>IF(H17=0,"",IF(I17&lt;0.2,"Check the item: fewer than one in five got it right",IF(AND(L17&lt;&gt;"",N(L17)&lt;0),"Check the item: the bottom third beat the top third","")))</f>
        <v/>
      </c>
      <c r="N17">
        <f>IF(H17=0,"",I17+ROW()/1000000)</f>
        <v/>
      </c>
    </row>
    <row r="18">
      <c r="A18" t="n">
        <v>14</v>
      </c>
      <c r="B18" t="n">
        <v>3</v>
      </c>
      <c r="C18" t="inlineStr">
        <is>
          <t>True or false</t>
        </is>
      </c>
      <c r="D18" t="inlineStr">
        <is>
          <t>Medium</t>
        </is>
      </c>
      <c r="E18" t="inlineStr">
        <is>
          <t>[F]</t>
        </is>
      </c>
      <c r="F18" t="inlineStr">
        <is>
          <t>a</t>
        </is>
      </c>
      <c r="G18">
        <f>COUNTIF(Marks!O$5:O$43,1)</f>
        <v/>
      </c>
      <c r="H18">
        <f>COUNT(Marks!O$5:O$43)</f>
        <v/>
      </c>
      <c r="I18" s="6">
        <f>IF(H18=0,"",G18/H18)</f>
        <v/>
      </c>
      <c r="J18" s="6">
        <f>IF(SUMPRODUCT((Marks!$AB$5:$AB$43="top")*ISNUMBER(Marks!O$5:O$43))=0,"",SUMPRODUCT((Marks!$AB$5:$AB$43="top")*(Marks!O$5:O$43=1))/SUMPRODUCT((Marks!$AB$5:$AB$43="top")*ISNUMBER(Marks!O$5:O$43)))</f>
        <v/>
      </c>
      <c r="K18" s="6">
        <f>IF(SUMPRODUCT((Marks!$AB$5:$AB$43="bottom")*ISNUMBER(Marks!O$5:O$43))=0,"",SUMPRODUCT((Marks!$AB$5:$AB$43="bottom")*(Marks!O$5:O$43=1))/SUMPRODUCT((Marks!$AB$5:$AB$43="bottom")*ISNUMBER(Marks!O$5:O$43)))</f>
        <v/>
      </c>
      <c r="L18" s="6">
        <f>IF(OR(J18="",K18=""),"",J18-K18)</f>
        <v/>
      </c>
      <c r="M18">
        <f>IF(H18=0,"",IF(I18&lt;0.2,"Check the item: fewer than one in five got it right",IF(AND(L18&lt;&gt;"",N(L18)&lt;0),"Check the item: the bottom third beat the top third","")))</f>
        <v/>
      </c>
      <c r="N18">
        <f>IF(H18=0,"",I18+ROW()/1000000)</f>
        <v/>
      </c>
    </row>
    <row r="19">
      <c r="A19" t="n">
        <v>15</v>
      </c>
      <c r="B19" t="n">
        <v>3</v>
      </c>
      <c r="C19" t="inlineStr">
        <is>
          <t>One correct option</t>
        </is>
      </c>
      <c r="D19" t="inlineStr">
        <is>
          <t>Medium</t>
        </is>
      </c>
      <c r="E19" t="inlineStr">
        <is>
          <t>[F]</t>
        </is>
      </c>
      <c r="F19" t="inlineStr">
        <is>
          <t>d</t>
        </is>
      </c>
      <c r="G19">
        <f>COUNTIF(Marks!P$5:P$43,1)</f>
        <v/>
      </c>
      <c r="H19">
        <f>COUNT(Marks!P$5:P$43)</f>
        <v/>
      </c>
      <c r="I19" s="6">
        <f>IF(H19=0,"",G19/H19)</f>
        <v/>
      </c>
      <c r="J19" s="6">
        <f>IF(SUMPRODUCT((Marks!$AB$5:$AB$43="top")*ISNUMBER(Marks!P$5:P$43))=0,"",SUMPRODUCT((Marks!$AB$5:$AB$43="top")*(Marks!P$5:P$43=1))/SUMPRODUCT((Marks!$AB$5:$AB$43="top")*ISNUMBER(Marks!P$5:P$43)))</f>
        <v/>
      </c>
      <c r="K19" s="6">
        <f>IF(SUMPRODUCT((Marks!$AB$5:$AB$43="bottom")*ISNUMBER(Marks!P$5:P$43))=0,"",SUMPRODUCT((Marks!$AB$5:$AB$43="bottom")*(Marks!P$5:P$43=1))/SUMPRODUCT((Marks!$AB$5:$AB$43="bottom")*ISNUMBER(Marks!P$5:P$43)))</f>
        <v/>
      </c>
      <c r="L19" s="6">
        <f>IF(OR(J19="",K19=""),"",J19-K19)</f>
        <v/>
      </c>
      <c r="M19">
        <f>IF(H19=0,"",IF(I19&lt;0.2,"Check the item: fewer than one in five got it right",IF(AND(L19&lt;&gt;"",N(L19)&lt;0),"Check the item: the bottom third beat the top third","")))</f>
        <v/>
      </c>
      <c r="N19">
        <f>IF(H19=0,"",I19+ROW()/1000000)</f>
        <v/>
      </c>
    </row>
    <row r="20">
      <c r="A20" t="n">
        <v>16</v>
      </c>
      <c r="B20" t="n">
        <v>3</v>
      </c>
      <c r="C20" t="inlineStr">
        <is>
          <t>Fill in the blank</t>
        </is>
      </c>
      <c r="D20" t="inlineStr">
        <is>
          <t>Easy</t>
        </is>
      </c>
      <c r="E20" t="inlineStr">
        <is>
          <t>[S]</t>
        </is>
      </c>
      <c r="F20" t="inlineStr">
        <is>
          <t>c</t>
        </is>
      </c>
      <c r="G20">
        <f>COUNTIF(Marks!Q$5:Q$43,1)</f>
        <v/>
      </c>
      <c r="H20">
        <f>COUNT(Marks!Q$5:Q$43)</f>
        <v/>
      </c>
      <c r="I20" s="6">
        <f>IF(H20=0,"",G20/H20)</f>
        <v/>
      </c>
      <c r="J20" s="6">
        <f>IF(SUMPRODUCT((Marks!$AB$5:$AB$43="top")*ISNUMBER(Marks!Q$5:Q$43))=0,"",SUMPRODUCT((Marks!$AB$5:$AB$43="top")*(Marks!Q$5:Q$43=1))/SUMPRODUCT((Marks!$AB$5:$AB$43="top")*ISNUMBER(Marks!Q$5:Q$43)))</f>
        <v/>
      </c>
      <c r="K20" s="6">
        <f>IF(SUMPRODUCT((Marks!$AB$5:$AB$43="bottom")*ISNUMBER(Marks!Q$5:Q$43))=0,"",SUMPRODUCT((Marks!$AB$5:$AB$43="bottom")*(Marks!Q$5:Q$43=1))/SUMPRODUCT((Marks!$AB$5:$AB$43="bottom")*ISNUMBER(Marks!Q$5:Q$43)))</f>
        <v/>
      </c>
      <c r="L20" s="6">
        <f>IF(OR(J20="",K20=""),"",J20-K20)</f>
        <v/>
      </c>
      <c r="M20">
        <f>IF(H20=0,"",IF(I20&lt;0.2,"Check the item: fewer than one in five got it right",IF(AND(L20&lt;&gt;"",N(L20)&lt;0),"Check the item: the bottom third beat the top third","")))</f>
        <v/>
      </c>
      <c r="N20">
        <f>IF(H20=0,"",I20+ROW()/1000000)</f>
        <v/>
      </c>
    </row>
    <row r="21">
      <c r="A21" t="n">
        <v>17</v>
      </c>
      <c r="B21" t="n">
        <v>4</v>
      </c>
      <c r="C21" t="inlineStr">
        <is>
          <t>One correct option</t>
        </is>
      </c>
      <c r="D21" t="inlineStr">
        <is>
          <t>Medium</t>
        </is>
      </c>
      <c r="E21" t="inlineStr">
        <is>
          <t>[S]</t>
        </is>
      </c>
      <c r="F21" t="inlineStr">
        <is>
          <t>a</t>
        </is>
      </c>
      <c r="G21">
        <f>COUNTIF(Marks!R$5:R$43,1)</f>
        <v/>
      </c>
      <c r="H21">
        <f>COUNT(Marks!R$5:R$43)</f>
        <v/>
      </c>
      <c r="I21" s="6">
        <f>IF(H21=0,"",G21/H21)</f>
        <v/>
      </c>
      <c r="J21" s="6">
        <f>IF(SUMPRODUCT((Marks!$AB$5:$AB$43="top")*ISNUMBER(Marks!R$5:R$43))=0,"",SUMPRODUCT((Marks!$AB$5:$AB$43="top")*(Marks!R$5:R$43=1))/SUMPRODUCT((Marks!$AB$5:$AB$43="top")*ISNUMBER(Marks!R$5:R$43)))</f>
        <v/>
      </c>
      <c r="K21" s="6">
        <f>IF(SUMPRODUCT((Marks!$AB$5:$AB$43="bottom")*ISNUMBER(Marks!R$5:R$43))=0,"",SUMPRODUCT((Marks!$AB$5:$AB$43="bottom")*(Marks!R$5:R$43=1))/SUMPRODUCT((Marks!$AB$5:$AB$43="bottom")*ISNUMBER(Marks!R$5:R$43)))</f>
        <v/>
      </c>
      <c r="L21" s="6">
        <f>IF(OR(J21="",K21=""),"",J21-K21)</f>
        <v/>
      </c>
      <c r="M21">
        <f>IF(H21=0,"",IF(I21&lt;0.2,"Check the item: fewer than one in five got it right",IF(AND(L21&lt;&gt;"",N(L21)&lt;0),"Check the item: the bottom third beat the top third","")))</f>
        <v/>
      </c>
      <c r="N21">
        <f>IF(H21=0,"",I21+ROW()/1000000)</f>
        <v/>
      </c>
    </row>
    <row r="22">
      <c r="A22" t="n">
        <v>18</v>
      </c>
      <c r="B22" t="n">
        <v>4</v>
      </c>
      <c r="C22" t="inlineStr">
        <is>
          <t>More than one correct</t>
        </is>
      </c>
      <c r="D22" t="inlineStr">
        <is>
          <t>Medium</t>
        </is>
      </c>
      <c r="E22" t="inlineStr">
        <is>
          <t>[F]</t>
        </is>
      </c>
      <c r="F22" t="inlineStr">
        <is>
          <t>a, b, d</t>
        </is>
      </c>
      <c r="G22">
        <f>COUNTIF(Marks!S$5:S$43,1)</f>
        <v/>
      </c>
      <c r="H22">
        <f>COUNT(Marks!S$5:S$43)</f>
        <v/>
      </c>
      <c r="I22" s="6">
        <f>IF(H22=0,"",G22/H22)</f>
        <v/>
      </c>
      <c r="J22" s="6">
        <f>IF(SUMPRODUCT((Marks!$AB$5:$AB$43="top")*ISNUMBER(Marks!S$5:S$43))=0,"",SUMPRODUCT((Marks!$AB$5:$AB$43="top")*(Marks!S$5:S$43=1))/SUMPRODUCT((Marks!$AB$5:$AB$43="top")*ISNUMBER(Marks!S$5:S$43)))</f>
        <v/>
      </c>
      <c r="K22" s="6">
        <f>IF(SUMPRODUCT((Marks!$AB$5:$AB$43="bottom")*ISNUMBER(Marks!S$5:S$43))=0,"",SUMPRODUCT((Marks!$AB$5:$AB$43="bottom")*(Marks!S$5:S$43=1))/SUMPRODUCT((Marks!$AB$5:$AB$43="bottom")*ISNUMBER(Marks!S$5:S$43)))</f>
        <v/>
      </c>
      <c r="L22" s="6">
        <f>IF(OR(J22="",K22=""),"",J22-K22)</f>
        <v/>
      </c>
      <c r="M22">
        <f>IF(H22=0,"",IF(I22&lt;0.2,"Check the item: fewer than one in five got it right",IF(AND(L22&lt;&gt;"",N(L22)&lt;0),"Check the item: the bottom third beat the top third","")))</f>
        <v/>
      </c>
      <c r="N22">
        <f>IF(H22=0,"",I22+ROW()/1000000)</f>
        <v/>
      </c>
    </row>
    <row r="23">
      <c r="A23" t="n">
        <v>19</v>
      </c>
      <c r="B23" t="n">
        <v>4</v>
      </c>
      <c r="C23" t="inlineStr">
        <is>
          <t>One correct option</t>
        </is>
      </c>
      <c r="D23" t="inlineStr">
        <is>
          <t>Hard</t>
        </is>
      </c>
      <c r="E23" t="inlineStr">
        <is>
          <t>[F]</t>
        </is>
      </c>
      <c r="F23" t="inlineStr">
        <is>
          <t>b</t>
        </is>
      </c>
      <c r="G23">
        <f>COUNTIF(Marks!T$5:T$43,1)</f>
        <v/>
      </c>
      <c r="H23">
        <f>COUNT(Marks!T$5:T$43)</f>
        <v/>
      </c>
      <c r="I23" s="6">
        <f>IF(H23=0,"",G23/H23)</f>
        <v/>
      </c>
      <c r="J23" s="6">
        <f>IF(SUMPRODUCT((Marks!$AB$5:$AB$43="top")*ISNUMBER(Marks!T$5:T$43))=0,"",SUMPRODUCT((Marks!$AB$5:$AB$43="top")*(Marks!T$5:T$43=1))/SUMPRODUCT((Marks!$AB$5:$AB$43="top")*ISNUMBER(Marks!T$5:T$43)))</f>
        <v/>
      </c>
      <c r="K23" s="6">
        <f>IF(SUMPRODUCT((Marks!$AB$5:$AB$43="bottom")*ISNUMBER(Marks!T$5:T$43))=0,"",SUMPRODUCT((Marks!$AB$5:$AB$43="bottom")*(Marks!T$5:T$43=1))/SUMPRODUCT((Marks!$AB$5:$AB$43="bottom")*ISNUMBER(Marks!T$5:T$43)))</f>
        <v/>
      </c>
      <c r="L23" s="6">
        <f>IF(OR(J23="",K23=""),"",J23-K23)</f>
        <v/>
      </c>
      <c r="M23">
        <f>IF(H23=0,"",IF(I23&lt;0.2,"Check the item: fewer than one in five got it right",IF(AND(L23&lt;&gt;"",N(L23)&lt;0),"Check the item: the bottom third beat the top third","")))</f>
        <v/>
      </c>
      <c r="N23">
        <f>IF(H23=0,"",I23+ROW()/1000000)</f>
        <v/>
      </c>
    </row>
    <row r="24">
      <c r="A24" t="n">
        <v>20</v>
      </c>
      <c r="B24" t="n">
        <v>4</v>
      </c>
      <c r="C24" t="inlineStr">
        <is>
          <t>True or false</t>
        </is>
      </c>
      <c r="D24" t="inlineStr">
        <is>
          <t>Hard</t>
        </is>
      </c>
      <c r="E24" t="inlineStr">
        <is>
          <t>[D]</t>
        </is>
      </c>
      <c r="F24" t="inlineStr">
        <is>
          <t>b</t>
        </is>
      </c>
      <c r="G24">
        <f>COUNTIF(Marks!U$5:U$43,1)</f>
        <v/>
      </c>
      <c r="H24">
        <f>COUNT(Marks!U$5:U$43)</f>
        <v/>
      </c>
      <c r="I24" s="6">
        <f>IF(H24=0,"",G24/H24)</f>
        <v/>
      </c>
      <c r="J24" s="6">
        <f>IF(SUMPRODUCT((Marks!$AB$5:$AB$43="top")*ISNUMBER(Marks!U$5:U$43))=0,"",SUMPRODUCT((Marks!$AB$5:$AB$43="top")*(Marks!U$5:U$43=1))/SUMPRODUCT((Marks!$AB$5:$AB$43="top")*ISNUMBER(Marks!U$5:U$43)))</f>
        <v/>
      </c>
      <c r="K24" s="6">
        <f>IF(SUMPRODUCT((Marks!$AB$5:$AB$43="bottom")*ISNUMBER(Marks!U$5:U$43))=0,"",SUMPRODUCT((Marks!$AB$5:$AB$43="bottom")*(Marks!U$5:U$43=1))/SUMPRODUCT((Marks!$AB$5:$AB$43="bottom")*ISNUMBER(Marks!U$5:U$43)))</f>
        <v/>
      </c>
      <c r="L24" s="6">
        <f>IF(OR(J24="",K24=""),"",J24-K24)</f>
        <v/>
      </c>
      <c r="M24">
        <f>IF(H24=0,"",IF(I24&lt;0.2,"Check the item: fewer than one in five got it right",IF(AND(L24&lt;&gt;"",N(L24)&lt;0),"Check the item: the bottom third beat the top third","")))</f>
        <v/>
      </c>
      <c r="N24">
        <f>IF(H24=0,"",I24+ROW()/1000000)</f>
        <v/>
      </c>
    </row>
    <row r="25">
      <c r="A25" t="n">
        <v>21</v>
      </c>
      <c r="B25" t="n">
        <v>5</v>
      </c>
      <c r="C25" t="inlineStr">
        <is>
          <t>One correct option</t>
        </is>
      </c>
      <c r="D25" t="inlineStr">
        <is>
          <t>Hard</t>
        </is>
      </c>
      <c r="E25" t="inlineStr">
        <is>
          <t>[F]</t>
        </is>
      </c>
      <c r="F25" t="inlineStr">
        <is>
          <t>a</t>
        </is>
      </c>
      <c r="G25">
        <f>COUNTIF(Marks!V$5:V$43,1)</f>
        <v/>
      </c>
      <c r="H25">
        <f>COUNT(Marks!V$5:V$43)</f>
        <v/>
      </c>
      <c r="I25" s="6">
        <f>IF(H25=0,"",G25/H25)</f>
        <v/>
      </c>
      <c r="J25" s="6">
        <f>IF(SUMPRODUCT((Marks!$AB$5:$AB$43="top")*ISNUMBER(Marks!V$5:V$43))=0,"",SUMPRODUCT((Marks!$AB$5:$AB$43="top")*(Marks!V$5:V$43=1))/SUMPRODUCT((Marks!$AB$5:$AB$43="top")*ISNUMBER(Marks!V$5:V$43)))</f>
        <v/>
      </c>
      <c r="K25" s="6">
        <f>IF(SUMPRODUCT((Marks!$AB$5:$AB$43="bottom")*ISNUMBER(Marks!V$5:V$43))=0,"",SUMPRODUCT((Marks!$AB$5:$AB$43="bottom")*(Marks!V$5:V$43=1))/SUMPRODUCT((Marks!$AB$5:$AB$43="bottom")*ISNUMBER(Marks!V$5:V$43)))</f>
        <v/>
      </c>
      <c r="L25" s="6">
        <f>IF(OR(J25="",K25=""),"",J25-K25)</f>
        <v/>
      </c>
      <c r="M25">
        <f>IF(H25=0,"",IF(I25&lt;0.2,"Check the item: fewer than one in five got it right",IF(AND(L25&lt;&gt;"",N(L25)&lt;0),"Check the item: the bottom third beat the top third","")))</f>
        <v/>
      </c>
      <c r="N25">
        <f>IF(H25=0,"",I25+ROW()/1000000)</f>
        <v/>
      </c>
    </row>
    <row r="26">
      <c r="A26" t="n">
        <v>22</v>
      </c>
      <c r="B26" t="n">
        <v>5</v>
      </c>
      <c r="C26" t="inlineStr">
        <is>
          <t>More than one correct</t>
        </is>
      </c>
      <c r="D26" t="inlineStr">
        <is>
          <t>Medium</t>
        </is>
      </c>
      <c r="E26" t="inlineStr">
        <is>
          <t>[D]</t>
        </is>
      </c>
      <c r="F26" t="inlineStr">
        <is>
          <t>b, c</t>
        </is>
      </c>
      <c r="G26">
        <f>COUNTIF(Marks!W$5:W$43,1)</f>
        <v/>
      </c>
      <c r="H26">
        <f>COUNT(Marks!W$5:W$43)</f>
        <v/>
      </c>
      <c r="I26" s="6">
        <f>IF(H26=0,"",G26/H26)</f>
        <v/>
      </c>
      <c r="J26" s="6">
        <f>IF(SUMPRODUCT((Marks!$AB$5:$AB$43="top")*ISNUMBER(Marks!W$5:W$43))=0,"",SUMPRODUCT((Marks!$AB$5:$AB$43="top")*(Marks!W$5:W$43=1))/SUMPRODUCT((Marks!$AB$5:$AB$43="top")*ISNUMBER(Marks!W$5:W$43)))</f>
        <v/>
      </c>
      <c r="K26" s="6">
        <f>IF(SUMPRODUCT((Marks!$AB$5:$AB$43="bottom")*ISNUMBER(Marks!W$5:W$43))=0,"",SUMPRODUCT((Marks!$AB$5:$AB$43="bottom")*(Marks!W$5:W$43=1))/SUMPRODUCT((Marks!$AB$5:$AB$43="bottom")*ISNUMBER(Marks!W$5:W$43)))</f>
        <v/>
      </c>
      <c r="L26" s="6">
        <f>IF(OR(J26="",K26=""),"",J26-K26)</f>
        <v/>
      </c>
      <c r="M26">
        <f>IF(H26=0,"",IF(I26&lt;0.2,"Check the item: fewer than one in five got it right",IF(AND(L26&lt;&gt;"",N(L26)&lt;0),"Check the item: the bottom third beat the top third","")))</f>
        <v/>
      </c>
      <c r="N26">
        <f>IF(H26=0,"",I26+ROW()/1000000)</f>
        <v/>
      </c>
    </row>
    <row r="27">
      <c r="A27" t="n">
        <v>23</v>
      </c>
      <c r="B27" t="n">
        <v>5</v>
      </c>
      <c r="C27" t="inlineStr">
        <is>
          <t>One correct option</t>
        </is>
      </c>
      <c r="D27" t="inlineStr">
        <is>
          <t>Medium</t>
        </is>
      </c>
      <c r="E27" t="inlineStr">
        <is>
          <t>[D]</t>
        </is>
      </c>
      <c r="F27" t="inlineStr">
        <is>
          <t>c</t>
        </is>
      </c>
      <c r="G27">
        <f>COUNTIF(Marks!X$5:X$43,1)</f>
        <v/>
      </c>
      <c r="H27">
        <f>COUNT(Marks!X$5:X$43)</f>
        <v/>
      </c>
      <c r="I27" s="6">
        <f>IF(H27=0,"",G27/H27)</f>
        <v/>
      </c>
      <c r="J27" s="6">
        <f>IF(SUMPRODUCT((Marks!$AB$5:$AB$43="top")*ISNUMBER(Marks!X$5:X$43))=0,"",SUMPRODUCT((Marks!$AB$5:$AB$43="top")*(Marks!X$5:X$43=1))/SUMPRODUCT((Marks!$AB$5:$AB$43="top")*ISNUMBER(Marks!X$5:X$43)))</f>
        <v/>
      </c>
      <c r="K27" s="6">
        <f>IF(SUMPRODUCT((Marks!$AB$5:$AB$43="bottom")*ISNUMBER(Marks!X$5:X$43))=0,"",SUMPRODUCT((Marks!$AB$5:$AB$43="bottom")*(Marks!X$5:X$43=1))/SUMPRODUCT((Marks!$AB$5:$AB$43="bottom")*ISNUMBER(Marks!X$5:X$43)))</f>
        <v/>
      </c>
      <c r="L27" s="6">
        <f>IF(OR(J27="",K27=""),"",J27-K27)</f>
        <v/>
      </c>
      <c r="M27">
        <f>IF(H27=0,"",IF(I27&lt;0.2,"Check the item: fewer than one in five got it right",IF(AND(L27&lt;&gt;"",N(L27)&lt;0),"Check the item: the bottom third beat the top third","")))</f>
        <v/>
      </c>
      <c r="N27">
        <f>IF(H27=0,"",I27+ROW()/1000000)</f>
        <v/>
      </c>
    </row>
    <row r="28">
      <c r="A28" t="n">
        <v>24</v>
      </c>
      <c r="B28" t="n">
        <v>5</v>
      </c>
      <c r="C28" t="inlineStr">
        <is>
          <t>One correct option</t>
        </is>
      </c>
      <c r="D28" t="inlineStr">
        <is>
          <t>Hard</t>
        </is>
      </c>
      <c r="E28" t="inlineStr">
        <is>
          <t>[D]</t>
        </is>
      </c>
      <c r="F28" t="inlineStr">
        <is>
          <t>b</t>
        </is>
      </c>
      <c r="G28">
        <f>COUNTIF(Marks!Y$5:Y$43,1)</f>
        <v/>
      </c>
      <c r="H28">
        <f>COUNT(Marks!Y$5:Y$43)</f>
        <v/>
      </c>
      <c r="I28" s="6">
        <f>IF(H28=0,"",G28/H28)</f>
        <v/>
      </c>
      <c r="J28" s="6">
        <f>IF(SUMPRODUCT((Marks!$AB$5:$AB$43="top")*ISNUMBER(Marks!Y$5:Y$43))=0,"",SUMPRODUCT((Marks!$AB$5:$AB$43="top")*(Marks!Y$5:Y$43=1))/SUMPRODUCT((Marks!$AB$5:$AB$43="top")*ISNUMBER(Marks!Y$5:Y$43)))</f>
        <v/>
      </c>
      <c r="K28" s="6">
        <f>IF(SUMPRODUCT((Marks!$AB$5:$AB$43="bottom")*ISNUMBER(Marks!Y$5:Y$43))=0,"",SUMPRODUCT((Marks!$AB$5:$AB$43="bottom")*(Marks!Y$5:Y$43=1))/SUMPRODUCT((Marks!$AB$5:$AB$43="bottom")*ISNUMBER(Marks!Y$5:Y$43)))</f>
        <v/>
      </c>
      <c r="L28" s="6">
        <f>IF(OR(J28="",K28=""),"",J28-K28)</f>
        <v/>
      </c>
      <c r="M28">
        <f>IF(H28=0,"",IF(I28&lt;0.2,"Check the item: fewer than one in five got it right",IF(AND(L28&lt;&gt;"",N(L28)&lt;0),"Check the item: the bottom third beat the top third","")))</f>
        <v/>
      </c>
      <c r="N28">
        <f>IF(H28=0,"",I28+ROW()/1000000)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52" customWidth="1" min="6" max="6"/>
  </cols>
  <sheetData>
    <row r="1">
      <c r="A1" s="3" t="inlineStr">
        <is>
          <t>The solution discussion, from the most-missed item</t>
        </is>
      </c>
    </row>
    <row r="2">
      <c r="B2">
        <f>IF(SUM(Items!H5:H28)=0,"No marks entered yet.","Most-missed first: take the items from the top.")</f>
        <v/>
      </c>
    </row>
    <row r="4">
      <c r="A4" s="4" t="inlineStr">
        <is>
          <t>Order</t>
        </is>
      </c>
      <c r="B4" s="4" t="inlineStr">
        <is>
          <t>Q</t>
        </is>
      </c>
      <c r="C4" s="4" t="inlineStr">
        <is>
          <t>Right rate</t>
        </is>
      </c>
      <c r="D4" s="4" t="inlineStr">
        <is>
          <t>Part</t>
        </is>
      </c>
      <c r="E4" s="4" t="inlineStr">
        <is>
          <t>Tag</t>
        </is>
      </c>
      <c r="F4" s="4" t="inlineStr">
        <is>
          <t>Flag</t>
        </is>
      </c>
    </row>
    <row r="5">
      <c r="A5" t="n">
        <v>1</v>
      </c>
      <c r="B5">
        <f>IF(COUNT(Items!$N$5:$N$28)&lt;A5,"",INDEX(Items!$A$5:$A$28,MATCH(SMALL(Items!$N$5:$N$28,A5),Items!$N$5:$N$28,0)))</f>
        <v/>
      </c>
      <c r="C5" s="6">
        <f>IF(B5="","",INDEX(Items!$I$5:$I$28,MATCH(B5,Items!$A$5:$A$28,0)))</f>
        <v/>
      </c>
      <c r="D5">
        <f>IF(B5="","",INDEX(Items!$B$5:$B$28,MATCH(B5,Items!$A$5:$A$28,0)))</f>
        <v/>
      </c>
      <c r="E5">
        <f>IF(B5="","",INDEX(Items!$E$5:$E$28,MATCH(B5,Items!$A$5:$A$28,0)))</f>
        <v/>
      </c>
      <c r="F5">
        <f>IF(B5="","",INDEX(Items!$M$5:$M$28,MATCH(B5,Items!$A$5:$A$28,0)))</f>
        <v/>
      </c>
    </row>
    <row r="6">
      <c r="A6" t="n">
        <v>2</v>
      </c>
      <c r="B6">
        <f>IF(COUNT(Items!$N$5:$N$28)&lt;A6,"",INDEX(Items!$A$5:$A$28,MATCH(SMALL(Items!$N$5:$N$28,A6),Items!$N$5:$N$28,0)))</f>
        <v/>
      </c>
      <c r="C6" s="6">
        <f>IF(B6="","",INDEX(Items!$I$5:$I$28,MATCH(B6,Items!$A$5:$A$28,0)))</f>
        <v/>
      </c>
      <c r="D6">
        <f>IF(B6="","",INDEX(Items!$B$5:$B$28,MATCH(B6,Items!$A$5:$A$28,0)))</f>
        <v/>
      </c>
      <c r="E6">
        <f>IF(B6="","",INDEX(Items!$E$5:$E$28,MATCH(B6,Items!$A$5:$A$28,0)))</f>
        <v/>
      </c>
      <c r="F6">
        <f>IF(B6="","",INDEX(Items!$M$5:$M$28,MATCH(B6,Items!$A$5:$A$28,0)))</f>
        <v/>
      </c>
    </row>
    <row r="7">
      <c r="A7" t="n">
        <v>3</v>
      </c>
      <c r="B7">
        <f>IF(COUNT(Items!$N$5:$N$28)&lt;A7,"",INDEX(Items!$A$5:$A$28,MATCH(SMALL(Items!$N$5:$N$28,A7),Items!$N$5:$N$28,0)))</f>
        <v/>
      </c>
      <c r="C7" s="6">
        <f>IF(B7="","",INDEX(Items!$I$5:$I$28,MATCH(B7,Items!$A$5:$A$28,0)))</f>
        <v/>
      </c>
      <c r="D7">
        <f>IF(B7="","",INDEX(Items!$B$5:$B$28,MATCH(B7,Items!$A$5:$A$28,0)))</f>
        <v/>
      </c>
      <c r="E7">
        <f>IF(B7="","",INDEX(Items!$E$5:$E$28,MATCH(B7,Items!$A$5:$A$28,0)))</f>
        <v/>
      </c>
      <c r="F7">
        <f>IF(B7="","",INDEX(Items!$M$5:$M$28,MATCH(B7,Items!$A$5:$A$28,0)))</f>
        <v/>
      </c>
    </row>
    <row r="8">
      <c r="A8" t="n">
        <v>4</v>
      </c>
      <c r="B8">
        <f>IF(COUNT(Items!$N$5:$N$28)&lt;A8,"",INDEX(Items!$A$5:$A$28,MATCH(SMALL(Items!$N$5:$N$28,A8),Items!$N$5:$N$28,0)))</f>
        <v/>
      </c>
      <c r="C8" s="6">
        <f>IF(B8="","",INDEX(Items!$I$5:$I$28,MATCH(B8,Items!$A$5:$A$28,0)))</f>
        <v/>
      </c>
      <c r="D8">
        <f>IF(B8="","",INDEX(Items!$B$5:$B$28,MATCH(B8,Items!$A$5:$A$28,0)))</f>
        <v/>
      </c>
      <c r="E8">
        <f>IF(B8="","",INDEX(Items!$E$5:$E$28,MATCH(B8,Items!$A$5:$A$28,0)))</f>
        <v/>
      </c>
      <c r="F8">
        <f>IF(B8="","",INDEX(Items!$M$5:$M$28,MATCH(B8,Items!$A$5:$A$28,0)))</f>
        <v/>
      </c>
    </row>
    <row r="9">
      <c r="A9" t="n">
        <v>5</v>
      </c>
      <c r="B9">
        <f>IF(COUNT(Items!$N$5:$N$28)&lt;A9,"",INDEX(Items!$A$5:$A$28,MATCH(SMALL(Items!$N$5:$N$28,A9),Items!$N$5:$N$28,0)))</f>
        <v/>
      </c>
      <c r="C9" s="6">
        <f>IF(B9="","",INDEX(Items!$I$5:$I$28,MATCH(B9,Items!$A$5:$A$28,0)))</f>
        <v/>
      </c>
      <c r="D9">
        <f>IF(B9="","",INDEX(Items!$B$5:$B$28,MATCH(B9,Items!$A$5:$A$28,0)))</f>
        <v/>
      </c>
      <c r="E9">
        <f>IF(B9="","",INDEX(Items!$E$5:$E$28,MATCH(B9,Items!$A$5:$A$28,0)))</f>
        <v/>
      </c>
      <c r="F9">
        <f>IF(B9="","",INDEX(Items!$M$5:$M$28,MATCH(B9,Items!$A$5:$A$28,0)))</f>
        <v/>
      </c>
    </row>
    <row r="10">
      <c r="A10" t="n">
        <v>6</v>
      </c>
      <c r="B10">
        <f>IF(COUNT(Items!$N$5:$N$28)&lt;A10,"",INDEX(Items!$A$5:$A$28,MATCH(SMALL(Items!$N$5:$N$28,A10),Items!$N$5:$N$28,0)))</f>
        <v/>
      </c>
      <c r="C10" s="6">
        <f>IF(B10="","",INDEX(Items!$I$5:$I$28,MATCH(B10,Items!$A$5:$A$28,0)))</f>
        <v/>
      </c>
      <c r="D10">
        <f>IF(B10="","",INDEX(Items!$B$5:$B$28,MATCH(B10,Items!$A$5:$A$28,0)))</f>
        <v/>
      </c>
      <c r="E10">
        <f>IF(B10="","",INDEX(Items!$E$5:$E$28,MATCH(B10,Items!$A$5:$A$28,0)))</f>
        <v/>
      </c>
      <c r="F10">
        <f>IF(B10="","",INDEX(Items!$M$5:$M$28,MATCH(B10,Items!$A$5:$A$28,0)))</f>
        <v/>
      </c>
    </row>
    <row r="11">
      <c r="A11" t="n">
        <v>7</v>
      </c>
      <c r="B11">
        <f>IF(COUNT(Items!$N$5:$N$28)&lt;A11,"",INDEX(Items!$A$5:$A$28,MATCH(SMALL(Items!$N$5:$N$28,A11),Items!$N$5:$N$28,0)))</f>
        <v/>
      </c>
      <c r="C11" s="6">
        <f>IF(B11="","",INDEX(Items!$I$5:$I$28,MATCH(B11,Items!$A$5:$A$28,0)))</f>
        <v/>
      </c>
      <c r="D11">
        <f>IF(B11="","",INDEX(Items!$B$5:$B$28,MATCH(B11,Items!$A$5:$A$28,0)))</f>
        <v/>
      </c>
      <c r="E11">
        <f>IF(B11="","",INDEX(Items!$E$5:$E$28,MATCH(B11,Items!$A$5:$A$28,0)))</f>
        <v/>
      </c>
      <c r="F11">
        <f>IF(B11="","",INDEX(Items!$M$5:$M$28,MATCH(B11,Items!$A$5:$A$28,0)))</f>
        <v/>
      </c>
    </row>
    <row r="12">
      <c r="A12" t="n">
        <v>8</v>
      </c>
      <c r="B12">
        <f>IF(COUNT(Items!$N$5:$N$28)&lt;A12,"",INDEX(Items!$A$5:$A$28,MATCH(SMALL(Items!$N$5:$N$28,A12),Items!$N$5:$N$28,0)))</f>
        <v/>
      </c>
      <c r="C12" s="6">
        <f>IF(B12="","",INDEX(Items!$I$5:$I$28,MATCH(B12,Items!$A$5:$A$28,0)))</f>
        <v/>
      </c>
      <c r="D12">
        <f>IF(B12="","",INDEX(Items!$B$5:$B$28,MATCH(B12,Items!$A$5:$A$28,0)))</f>
        <v/>
      </c>
      <c r="E12">
        <f>IF(B12="","",INDEX(Items!$E$5:$E$28,MATCH(B12,Items!$A$5:$A$28,0)))</f>
        <v/>
      </c>
      <c r="F12">
        <f>IF(B12="","",INDEX(Items!$M$5:$M$28,MATCH(B12,Items!$A$5:$A$28,0)))</f>
        <v/>
      </c>
    </row>
    <row r="13">
      <c r="A13" t="n">
        <v>9</v>
      </c>
      <c r="B13">
        <f>IF(COUNT(Items!$N$5:$N$28)&lt;A13,"",INDEX(Items!$A$5:$A$28,MATCH(SMALL(Items!$N$5:$N$28,A13),Items!$N$5:$N$28,0)))</f>
        <v/>
      </c>
      <c r="C13" s="6">
        <f>IF(B13="","",INDEX(Items!$I$5:$I$28,MATCH(B13,Items!$A$5:$A$28,0)))</f>
        <v/>
      </c>
      <c r="D13">
        <f>IF(B13="","",INDEX(Items!$B$5:$B$28,MATCH(B13,Items!$A$5:$A$28,0)))</f>
        <v/>
      </c>
      <c r="E13">
        <f>IF(B13="","",INDEX(Items!$E$5:$E$28,MATCH(B13,Items!$A$5:$A$28,0)))</f>
        <v/>
      </c>
      <c r="F13">
        <f>IF(B13="","",INDEX(Items!$M$5:$M$28,MATCH(B13,Items!$A$5:$A$28,0)))</f>
        <v/>
      </c>
    </row>
    <row r="14">
      <c r="A14" t="n">
        <v>10</v>
      </c>
      <c r="B14">
        <f>IF(COUNT(Items!$N$5:$N$28)&lt;A14,"",INDEX(Items!$A$5:$A$28,MATCH(SMALL(Items!$N$5:$N$28,A14),Items!$N$5:$N$28,0)))</f>
        <v/>
      </c>
      <c r="C14" s="6">
        <f>IF(B14="","",INDEX(Items!$I$5:$I$28,MATCH(B14,Items!$A$5:$A$28,0)))</f>
        <v/>
      </c>
      <c r="D14">
        <f>IF(B14="","",INDEX(Items!$B$5:$B$28,MATCH(B14,Items!$A$5:$A$28,0)))</f>
        <v/>
      </c>
      <c r="E14">
        <f>IF(B14="","",INDEX(Items!$E$5:$E$28,MATCH(B14,Items!$A$5:$A$28,0)))</f>
        <v/>
      </c>
      <c r="F14">
        <f>IF(B14="","",INDEX(Items!$M$5:$M$28,MATCH(B14,Items!$A$5:$A$28,0)))</f>
        <v/>
      </c>
    </row>
    <row r="15">
      <c r="A15" t="n">
        <v>11</v>
      </c>
      <c r="B15">
        <f>IF(COUNT(Items!$N$5:$N$28)&lt;A15,"",INDEX(Items!$A$5:$A$28,MATCH(SMALL(Items!$N$5:$N$28,A15),Items!$N$5:$N$28,0)))</f>
        <v/>
      </c>
      <c r="C15" s="6">
        <f>IF(B15="","",INDEX(Items!$I$5:$I$28,MATCH(B15,Items!$A$5:$A$28,0)))</f>
        <v/>
      </c>
      <c r="D15">
        <f>IF(B15="","",INDEX(Items!$B$5:$B$28,MATCH(B15,Items!$A$5:$A$28,0)))</f>
        <v/>
      </c>
      <c r="E15">
        <f>IF(B15="","",INDEX(Items!$E$5:$E$28,MATCH(B15,Items!$A$5:$A$28,0)))</f>
        <v/>
      </c>
      <c r="F15">
        <f>IF(B15="","",INDEX(Items!$M$5:$M$28,MATCH(B15,Items!$A$5:$A$28,0)))</f>
        <v/>
      </c>
    </row>
    <row r="16">
      <c r="A16" t="n">
        <v>12</v>
      </c>
      <c r="B16">
        <f>IF(COUNT(Items!$N$5:$N$28)&lt;A16,"",INDEX(Items!$A$5:$A$28,MATCH(SMALL(Items!$N$5:$N$28,A16),Items!$N$5:$N$28,0)))</f>
        <v/>
      </c>
      <c r="C16" s="6">
        <f>IF(B16="","",INDEX(Items!$I$5:$I$28,MATCH(B16,Items!$A$5:$A$28,0)))</f>
        <v/>
      </c>
      <c r="D16">
        <f>IF(B16="","",INDEX(Items!$B$5:$B$28,MATCH(B16,Items!$A$5:$A$28,0)))</f>
        <v/>
      </c>
      <c r="E16">
        <f>IF(B16="","",INDEX(Items!$E$5:$E$28,MATCH(B16,Items!$A$5:$A$28,0)))</f>
        <v/>
      </c>
      <c r="F16">
        <f>IF(B16="","",INDEX(Items!$M$5:$M$28,MATCH(B16,Items!$A$5:$A$28,0)))</f>
        <v/>
      </c>
    </row>
    <row r="17">
      <c r="A17" t="n">
        <v>13</v>
      </c>
      <c r="B17">
        <f>IF(COUNT(Items!$N$5:$N$28)&lt;A17,"",INDEX(Items!$A$5:$A$28,MATCH(SMALL(Items!$N$5:$N$28,A17),Items!$N$5:$N$28,0)))</f>
        <v/>
      </c>
      <c r="C17" s="6">
        <f>IF(B17="","",INDEX(Items!$I$5:$I$28,MATCH(B17,Items!$A$5:$A$28,0)))</f>
        <v/>
      </c>
      <c r="D17">
        <f>IF(B17="","",INDEX(Items!$B$5:$B$28,MATCH(B17,Items!$A$5:$A$28,0)))</f>
        <v/>
      </c>
      <c r="E17">
        <f>IF(B17="","",INDEX(Items!$E$5:$E$28,MATCH(B17,Items!$A$5:$A$28,0)))</f>
        <v/>
      </c>
      <c r="F17">
        <f>IF(B17="","",INDEX(Items!$M$5:$M$28,MATCH(B17,Items!$A$5:$A$28,0)))</f>
        <v/>
      </c>
    </row>
    <row r="18">
      <c r="A18" t="n">
        <v>14</v>
      </c>
      <c r="B18">
        <f>IF(COUNT(Items!$N$5:$N$28)&lt;A18,"",INDEX(Items!$A$5:$A$28,MATCH(SMALL(Items!$N$5:$N$28,A18),Items!$N$5:$N$28,0)))</f>
        <v/>
      </c>
      <c r="C18" s="6">
        <f>IF(B18="","",INDEX(Items!$I$5:$I$28,MATCH(B18,Items!$A$5:$A$28,0)))</f>
        <v/>
      </c>
      <c r="D18">
        <f>IF(B18="","",INDEX(Items!$B$5:$B$28,MATCH(B18,Items!$A$5:$A$28,0)))</f>
        <v/>
      </c>
      <c r="E18">
        <f>IF(B18="","",INDEX(Items!$E$5:$E$28,MATCH(B18,Items!$A$5:$A$28,0)))</f>
        <v/>
      </c>
      <c r="F18">
        <f>IF(B18="","",INDEX(Items!$M$5:$M$28,MATCH(B18,Items!$A$5:$A$28,0)))</f>
        <v/>
      </c>
    </row>
    <row r="19">
      <c r="A19" t="n">
        <v>15</v>
      </c>
      <c r="B19">
        <f>IF(COUNT(Items!$N$5:$N$28)&lt;A19,"",INDEX(Items!$A$5:$A$28,MATCH(SMALL(Items!$N$5:$N$28,A19),Items!$N$5:$N$28,0)))</f>
        <v/>
      </c>
      <c r="C19" s="6">
        <f>IF(B19="","",INDEX(Items!$I$5:$I$28,MATCH(B19,Items!$A$5:$A$28,0)))</f>
        <v/>
      </c>
      <c r="D19">
        <f>IF(B19="","",INDEX(Items!$B$5:$B$28,MATCH(B19,Items!$A$5:$A$28,0)))</f>
        <v/>
      </c>
      <c r="E19">
        <f>IF(B19="","",INDEX(Items!$E$5:$E$28,MATCH(B19,Items!$A$5:$A$28,0)))</f>
        <v/>
      </c>
      <c r="F19">
        <f>IF(B19="","",INDEX(Items!$M$5:$M$28,MATCH(B19,Items!$A$5:$A$28,0)))</f>
        <v/>
      </c>
    </row>
    <row r="20">
      <c r="A20" t="n">
        <v>16</v>
      </c>
      <c r="B20">
        <f>IF(COUNT(Items!$N$5:$N$28)&lt;A20,"",INDEX(Items!$A$5:$A$28,MATCH(SMALL(Items!$N$5:$N$28,A20),Items!$N$5:$N$28,0)))</f>
        <v/>
      </c>
      <c r="C20" s="6">
        <f>IF(B20="","",INDEX(Items!$I$5:$I$28,MATCH(B20,Items!$A$5:$A$28,0)))</f>
        <v/>
      </c>
      <c r="D20">
        <f>IF(B20="","",INDEX(Items!$B$5:$B$28,MATCH(B20,Items!$A$5:$A$28,0)))</f>
        <v/>
      </c>
      <c r="E20">
        <f>IF(B20="","",INDEX(Items!$E$5:$E$28,MATCH(B20,Items!$A$5:$A$28,0)))</f>
        <v/>
      </c>
      <c r="F20">
        <f>IF(B20="","",INDEX(Items!$M$5:$M$28,MATCH(B20,Items!$A$5:$A$28,0)))</f>
        <v/>
      </c>
    </row>
    <row r="21">
      <c r="A21" t="n">
        <v>17</v>
      </c>
      <c r="B21">
        <f>IF(COUNT(Items!$N$5:$N$28)&lt;A21,"",INDEX(Items!$A$5:$A$28,MATCH(SMALL(Items!$N$5:$N$28,A21),Items!$N$5:$N$28,0)))</f>
        <v/>
      </c>
      <c r="C21" s="6">
        <f>IF(B21="","",INDEX(Items!$I$5:$I$28,MATCH(B21,Items!$A$5:$A$28,0)))</f>
        <v/>
      </c>
      <c r="D21">
        <f>IF(B21="","",INDEX(Items!$B$5:$B$28,MATCH(B21,Items!$A$5:$A$28,0)))</f>
        <v/>
      </c>
      <c r="E21">
        <f>IF(B21="","",INDEX(Items!$E$5:$E$28,MATCH(B21,Items!$A$5:$A$28,0)))</f>
        <v/>
      </c>
      <c r="F21">
        <f>IF(B21="","",INDEX(Items!$M$5:$M$28,MATCH(B21,Items!$A$5:$A$28,0)))</f>
        <v/>
      </c>
    </row>
    <row r="22">
      <c r="A22" t="n">
        <v>18</v>
      </c>
      <c r="B22">
        <f>IF(COUNT(Items!$N$5:$N$28)&lt;A22,"",INDEX(Items!$A$5:$A$28,MATCH(SMALL(Items!$N$5:$N$28,A22),Items!$N$5:$N$28,0)))</f>
        <v/>
      </c>
      <c r="C22" s="6">
        <f>IF(B22="","",INDEX(Items!$I$5:$I$28,MATCH(B22,Items!$A$5:$A$28,0)))</f>
        <v/>
      </c>
      <c r="D22">
        <f>IF(B22="","",INDEX(Items!$B$5:$B$28,MATCH(B22,Items!$A$5:$A$28,0)))</f>
        <v/>
      </c>
      <c r="E22">
        <f>IF(B22="","",INDEX(Items!$E$5:$E$28,MATCH(B22,Items!$A$5:$A$28,0)))</f>
        <v/>
      </c>
      <c r="F22">
        <f>IF(B22="","",INDEX(Items!$M$5:$M$28,MATCH(B22,Items!$A$5:$A$28,0)))</f>
        <v/>
      </c>
    </row>
    <row r="23">
      <c r="A23" t="n">
        <v>19</v>
      </c>
      <c r="B23">
        <f>IF(COUNT(Items!$N$5:$N$28)&lt;A23,"",INDEX(Items!$A$5:$A$28,MATCH(SMALL(Items!$N$5:$N$28,A23),Items!$N$5:$N$28,0)))</f>
        <v/>
      </c>
      <c r="C23" s="6">
        <f>IF(B23="","",INDEX(Items!$I$5:$I$28,MATCH(B23,Items!$A$5:$A$28,0)))</f>
        <v/>
      </c>
      <c r="D23">
        <f>IF(B23="","",INDEX(Items!$B$5:$B$28,MATCH(B23,Items!$A$5:$A$28,0)))</f>
        <v/>
      </c>
      <c r="E23">
        <f>IF(B23="","",INDEX(Items!$E$5:$E$28,MATCH(B23,Items!$A$5:$A$28,0)))</f>
        <v/>
      </c>
      <c r="F23">
        <f>IF(B23="","",INDEX(Items!$M$5:$M$28,MATCH(B23,Items!$A$5:$A$28,0)))</f>
        <v/>
      </c>
    </row>
    <row r="24">
      <c r="A24" t="n">
        <v>20</v>
      </c>
      <c r="B24">
        <f>IF(COUNT(Items!$N$5:$N$28)&lt;A24,"",INDEX(Items!$A$5:$A$28,MATCH(SMALL(Items!$N$5:$N$28,A24),Items!$N$5:$N$28,0)))</f>
        <v/>
      </c>
      <c r="C24" s="6">
        <f>IF(B24="","",INDEX(Items!$I$5:$I$28,MATCH(B24,Items!$A$5:$A$28,0)))</f>
        <v/>
      </c>
      <c r="D24">
        <f>IF(B24="","",INDEX(Items!$B$5:$B$28,MATCH(B24,Items!$A$5:$A$28,0)))</f>
        <v/>
      </c>
      <c r="E24">
        <f>IF(B24="","",INDEX(Items!$E$5:$E$28,MATCH(B24,Items!$A$5:$A$28,0)))</f>
        <v/>
      </c>
      <c r="F24">
        <f>IF(B24="","",INDEX(Items!$M$5:$M$28,MATCH(B24,Items!$A$5:$A$28,0)))</f>
        <v/>
      </c>
    </row>
    <row r="25">
      <c r="A25" t="n">
        <v>21</v>
      </c>
      <c r="B25">
        <f>IF(COUNT(Items!$N$5:$N$28)&lt;A25,"",INDEX(Items!$A$5:$A$28,MATCH(SMALL(Items!$N$5:$N$28,A25),Items!$N$5:$N$28,0)))</f>
        <v/>
      </c>
      <c r="C25" s="6">
        <f>IF(B25="","",INDEX(Items!$I$5:$I$28,MATCH(B25,Items!$A$5:$A$28,0)))</f>
        <v/>
      </c>
      <c r="D25">
        <f>IF(B25="","",INDEX(Items!$B$5:$B$28,MATCH(B25,Items!$A$5:$A$28,0)))</f>
        <v/>
      </c>
      <c r="E25">
        <f>IF(B25="","",INDEX(Items!$E$5:$E$28,MATCH(B25,Items!$A$5:$A$28,0)))</f>
        <v/>
      </c>
      <c r="F25">
        <f>IF(B25="","",INDEX(Items!$M$5:$M$28,MATCH(B25,Items!$A$5:$A$28,0)))</f>
        <v/>
      </c>
    </row>
    <row r="26">
      <c r="A26" t="n">
        <v>22</v>
      </c>
      <c r="B26">
        <f>IF(COUNT(Items!$N$5:$N$28)&lt;A26,"",INDEX(Items!$A$5:$A$28,MATCH(SMALL(Items!$N$5:$N$28,A26),Items!$N$5:$N$28,0)))</f>
        <v/>
      </c>
      <c r="C26" s="6">
        <f>IF(B26="","",INDEX(Items!$I$5:$I$28,MATCH(B26,Items!$A$5:$A$28,0)))</f>
        <v/>
      </c>
      <c r="D26">
        <f>IF(B26="","",INDEX(Items!$B$5:$B$28,MATCH(B26,Items!$A$5:$A$28,0)))</f>
        <v/>
      </c>
      <c r="E26">
        <f>IF(B26="","",INDEX(Items!$E$5:$E$28,MATCH(B26,Items!$A$5:$A$28,0)))</f>
        <v/>
      </c>
      <c r="F26">
        <f>IF(B26="","",INDEX(Items!$M$5:$M$28,MATCH(B26,Items!$A$5:$A$28,0)))</f>
        <v/>
      </c>
    </row>
    <row r="27">
      <c r="A27" t="n">
        <v>23</v>
      </c>
      <c r="B27">
        <f>IF(COUNT(Items!$N$5:$N$28)&lt;A27,"",INDEX(Items!$A$5:$A$28,MATCH(SMALL(Items!$N$5:$N$28,A27),Items!$N$5:$N$28,0)))</f>
        <v/>
      </c>
      <c r="C27" s="6">
        <f>IF(B27="","",INDEX(Items!$I$5:$I$28,MATCH(B27,Items!$A$5:$A$28,0)))</f>
        <v/>
      </c>
      <c r="D27">
        <f>IF(B27="","",INDEX(Items!$B$5:$B$28,MATCH(B27,Items!$A$5:$A$28,0)))</f>
        <v/>
      </c>
      <c r="E27">
        <f>IF(B27="","",INDEX(Items!$E$5:$E$28,MATCH(B27,Items!$A$5:$A$28,0)))</f>
        <v/>
      </c>
      <c r="F27">
        <f>IF(B27="","",INDEX(Items!$M$5:$M$28,MATCH(B27,Items!$A$5:$A$28,0)))</f>
        <v/>
      </c>
    </row>
    <row r="28">
      <c r="A28" t="n">
        <v>24</v>
      </c>
      <c r="B28">
        <f>IF(COUNT(Items!$N$5:$N$28)&lt;A28,"",INDEX(Items!$A$5:$A$28,MATCH(SMALL(Items!$N$5:$N$28,A28),Items!$N$5:$N$28,0)))</f>
        <v/>
      </c>
      <c r="C28" s="6">
        <f>IF(B28="","",INDEX(Items!$I$5:$I$28,MATCH(B28,Items!$A$5:$A$28,0)))</f>
        <v/>
      </c>
      <c r="D28">
        <f>IF(B28="","",INDEX(Items!$B$5:$B$28,MATCH(B28,Items!$A$5:$A$28,0)))</f>
        <v/>
      </c>
      <c r="E28">
        <f>IF(B28="","",INDEX(Items!$E$5:$E$28,MATCH(B28,Items!$A$5:$A$28,0)))</f>
        <v/>
      </c>
      <c r="F28">
        <f>IF(B28="","",INDEX(Items!$M$5:$M$28,MATCH(B28,Items!$A$5:$A$28,0)))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3" t="inlineStr">
        <is>
          <t>The room's rate by tag and by part</t>
        </is>
      </c>
    </row>
    <row r="4">
      <c r="A4" s="4" t="inlineStr">
        <is>
          <t>Tag or part</t>
        </is>
      </c>
      <c r="B4" s="4" t="inlineStr">
        <is>
          <t>Name</t>
        </is>
      </c>
      <c r="C4" s="4" t="inlineStr">
        <is>
          <t>Items</t>
        </is>
      </c>
      <c r="D4" s="4" t="inlineStr">
        <is>
          <t>Right rate</t>
        </is>
      </c>
    </row>
    <row r="5">
      <c r="A5" t="inlineStr">
        <is>
          <t>[S]</t>
        </is>
      </c>
      <c r="B5" t="inlineStr">
        <is>
          <t>tag</t>
        </is>
      </c>
      <c r="C5">
        <f>COUNTIF(Items!$E$5:$E$28,A5)</f>
        <v/>
      </c>
      <c r="D5" s="6">
        <f>IF(SUMPRODUCT((Items!$E$5:$E$28=A5)*Items!$H$5:$H$28)=0,"",SUMPRODUCT((Items!$E$5:$E$28=A5)*Items!$G$5:$G$28)/SUMPRODUCT((Items!$E$5:$E$28=A5)*Items!$H$5:$H$28))</f>
        <v/>
      </c>
    </row>
    <row r="6">
      <c r="A6" t="inlineStr">
        <is>
          <t>[F]</t>
        </is>
      </c>
      <c r="B6" t="inlineStr">
        <is>
          <t>tag</t>
        </is>
      </c>
      <c r="C6">
        <f>COUNTIF(Items!$E$5:$E$28,A6)</f>
        <v/>
      </c>
      <c r="D6" s="6">
        <f>IF(SUMPRODUCT((Items!$E$5:$E$28=A6)*Items!$H$5:$H$28)=0,"",SUMPRODUCT((Items!$E$5:$E$28=A6)*Items!$G$5:$G$28)/SUMPRODUCT((Items!$E$5:$E$28=A6)*Items!$H$5:$H$28))</f>
        <v/>
      </c>
    </row>
    <row r="7">
      <c r="A7" t="inlineStr">
        <is>
          <t>[D]</t>
        </is>
      </c>
      <c r="B7" t="inlineStr">
        <is>
          <t>tag</t>
        </is>
      </c>
      <c r="C7">
        <f>COUNTIF(Items!$E$5:$E$28,A7)</f>
        <v/>
      </c>
      <c r="D7" s="6">
        <f>IF(SUMPRODUCT((Items!$E$5:$E$28=A7)*Items!$H$5:$H$28)=0,"",SUMPRODUCT((Items!$E$5:$E$28=A7)*Items!$G$5:$G$28)/SUMPRODUCT((Items!$E$5:$E$28=A7)*Items!$H$5:$H$28))</f>
        <v/>
      </c>
    </row>
    <row r="8">
      <c r="A8" t="n">
        <v>1</v>
      </c>
      <c r="B8" t="inlineStr">
        <is>
          <t>Part 1. Should the bank build a model, and what must it beat?</t>
        </is>
      </c>
      <c r="C8">
        <f>COUNTIF(Items!$B$5:$B$28,A8)</f>
        <v/>
      </c>
      <c r="D8" s="6">
        <f>IF(SUMPRODUCT((Items!$B$5:$B$28=A8)*Items!$H$5:$H$28)=0,"",SUMPRODUCT((Items!$B$5:$B$28=A8)*Items!$G$5:$G$28)/SUMPRODUCT((Items!$B$5:$B$28=A8)*Items!$H$5:$H$28))</f>
        <v/>
      </c>
    </row>
    <row r="9">
      <c r="A9" t="n">
        <v>2</v>
      </c>
      <c r="B9" t="inlineStr">
        <is>
          <t>Part 2. Which number tells the truth, and where does the line go?</t>
        </is>
      </c>
      <c r="C9">
        <f>COUNTIF(Items!$B$5:$B$28,A9)</f>
        <v/>
      </c>
      <c r="D9" s="6">
        <f>IF(SUMPRODUCT((Items!$B$5:$B$28=A9)*Items!$H$5:$H$28)=0,"",SUMPRODUCT((Items!$B$5:$B$28=A9)*Items!$G$5:$G$28)/SUMPRODUCT((Items!$B$5:$B$28=A9)*Items!$H$5:$H$28))</f>
        <v/>
      </c>
    </row>
    <row r="10">
      <c r="A10" t="n">
        <v>3</v>
      </c>
      <c r="B10" t="inlineStr">
        <is>
          <t>Part 3. What was the model allowed to know?</t>
        </is>
      </c>
      <c r="C10">
        <f>COUNTIF(Items!$B$5:$B$28,A10)</f>
        <v/>
      </c>
      <c r="D10" s="6">
        <f>IF(SUMPRODUCT((Items!$B$5:$B$28=A10)*Items!$H$5:$H$28)=0,"",SUMPRODUCT((Items!$B$5:$B$28=A10)*Items!$G$5:$G$28)/SUMPRODUCT((Items!$B$5:$B$28=A10)*Items!$H$5:$H$28))</f>
        <v/>
      </c>
    </row>
    <row r="11">
      <c r="A11" t="n">
        <v>4</v>
      </c>
      <c r="B11" t="inlineStr">
        <is>
          <t>Part 4. Is the model learning, or memorising?</t>
        </is>
      </c>
      <c r="C11">
        <f>COUNTIF(Items!$B$5:$B$28,A11)</f>
        <v/>
      </c>
      <c r="D11" s="6">
        <f>IF(SUMPRODUCT((Items!$B$5:$B$28=A11)*Items!$H$5:$H$28)=0,"",SUMPRODUCT((Items!$B$5:$B$28=A11)*Items!$G$5:$G$28)/SUMPRODUCT((Items!$B$5:$B$28=A11)*Items!$H$5:$H$28))</f>
        <v/>
      </c>
    </row>
    <row r="12">
      <c r="A12" t="n">
        <v>5</v>
      </c>
      <c r="B12" t="inlineStr">
        <is>
          <t>Part 5. Would the committee sign, and what moves to lending?</t>
        </is>
      </c>
      <c r="C12">
        <f>COUNTIF(Items!$B$5:$B$28,A12)</f>
        <v/>
      </c>
      <c r="D12" s="6">
        <f>IF(SUMPRODUCT((Items!$B$5:$B$28=A12)*Items!$H$5:$H$28)=0,"",SUMPRODUCT((Items!$B$5:$B$28=A12)*Items!$G$5:$G$28)/SUMPRODUCT((Items!$B$5:$B$28=A12)*Items!$H$5:$H$28))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Each seat's rate by tag, for Monday's remediation read</t>
        </is>
      </c>
    </row>
    <row r="4">
      <c r="A4" s="4" t="inlineStr">
        <is>
          <t>Seat</t>
        </is>
      </c>
      <c r="B4" s="4" t="inlineStr">
        <is>
          <t>[S]</t>
        </is>
      </c>
      <c r="C4" s="4" t="inlineStr">
        <is>
          <t>[F]</t>
        </is>
      </c>
      <c r="D4" s="4" t="inlineStr">
        <is>
          <t>[D]</t>
        </is>
      </c>
    </row>
    <row r="5">
      <c r="A5" t="n">
        <v>1</v>
      </c>
      <c r="B5" s="6">
        <f>IF(SUMPRODUCT((Marks!$B$3:$Y$3=B$4)*ISNUMBER(Marks!$B$5:$Y$5))=0,"",SUMPRODUCT((Marks!$B$3:$Y$3=B$4)*(Marks!$B$5:$Y$5=1))/SUMPRODUCT((Marks!$B$3:$Y$3=B$4)*ISNUMBER(Marks!$B$5:$Y$5)))</f>
        <v/>
      </c>
      <c r="C5" s="6">
        <f>IF(SUMPRODUCT((Marks!$B$3:$Y$3=C$4)*ISNUMBER(Marks!$B$5:$Y$5))=0,"",SUMPRODUCT((Marks!$B$3:$Y$3=C$4)*(Marks!$B$5:$Y$5=1))/SUMPRODUCT((Marks!$B$3:$Y$3=C$4)*ISNUMBER(Marks!$B$5:$Y$5)))</f>
        <v/>
      </c>
      <c r="D5" s="6">
        <f>IF(SUMPRODUCT((Marks!$B$3:$Y$3=D$4)*ISNUMBER(Marks!$B$5:$Y$5))=0,"",SUMPRODUCT((Marks!$B$3:$Y$3=D$4)*(Marks!$B$5:$Y$5=1))/SUMPRODUCT((Marks!$B$3:$Y$3=D$4)*ISNUMBER(Marks!$B$5:$Y$5)))</f>
        <v/>
      </c>
    </row>
    <row r="6">
      <c r="A6" t="n">
        <v>2</v>
      </c>
      <c r="B6" s="6">
        <f>IF(SUMPRODUCT((Marks!$B$3:$Y$3=B$4)*ISNUMBER(Marks!$B$6:$Y$6))=0,"",SUMPRODUCT((Marks!$B$3:$Y$3=B$4)*(Marks!$B$6:$Y$6=1))/SUMPRODUCT((Marks!$B$3:$Y$3=B$4)*ISNUMBER(Marks!$B$6:$Y$6)))</f>
        <v/>
      </c>
      <c r="C6" s="6">
        <f>IF(SUMPRODUCT((Marks!$B$3:$Y$3=C$4)*ISNUMBER(Marks!$B$6:$Y$6))=0,"",SUMPRODUCT((Marks!$B$3:$Y$3=C$4)*(Marks!$B$6:$Y$6=1))/SUMPRODUCT((Marks!$B$3:$Y$3=C$4)*ISNUMBER(Marks!$B$6:$Y$6)))</f>
        <v/>
      </c>
      <c r="D6" s="6">
        <f>IF(SUMPRODUCT((Marks!$B$3:$Y$3=D$4)*ISNUMBER(Marks!$B$6:$Y$6))=0,"",SUMPRODUCT((Marks!$B$3:$Y$3=D$4)*(Marks!$B$6:$Y$6=1))/SUMPRODUCT((Marks!$B$3:$Y$3=D$4)*ISNUMBER(Marks!$B$6:$Y$6)))</f>
        <v/>
      </c>
    </row>
    <row r="7">
      <c r="A7" t="n">
        <v>3</v>
      </c>
      <c r="B7" s="6">
        <f>IF(SUMPRODUCT((Marks!$B$3:$Y$3=B$4)*ISNUMBER(Marks!$B$7:$Y$7))=0,"",SUMPRODUCT((Marks!$B$3:$Y$3=B$4)*(Marks!$B$7:$Y$7=1))/SUMPRODUCT((Marks!$B$3:$Y$3=B$4)*ISNUMBER(Marks!$B$7:$Y$7)))</f>
        <v/>
      </c>
      <c r="C7" s="6">
        <f>IF(SUMPRODUCT((Marks!$B$3:$Y$3=C$4)*ISNUMBER(Marks!$B$7:$Y$7))=0,"",SUMPRODUCT((Marks!$B$3:$Y$3=C$4)*(Marks!$B$7:$Y$7=1))/SUMPRODUCT((Marks!$B$3:$Y$3=C$4)*ISNUMBER(Marks!$B$7:$Y$7)))</f>
        <v/>
      </c>
      <c r="D7" s="6">
        <f>IF(SUMPRODUCT((Marks!$B$3:$Y$3=D$4)*ISNUMBER(Marks!$B$7:$Y$7))=0,"",SUMPRODUCT((Marks!$B$3:$Y$3=D$4)*(Marks!$B$7:$Y$7=1))/SUMPRODUCT((Marks!$B$3:$Y$3=D$4)*ISNUMBER(Marks!$B$7:$Y$7)))</f>
        <v/>
      </c>
    </row>
    <row r="8">
      <c r="A8" t="n">
        <v>4</v>
      </c>
      <c r="B8" s="6">
        <f>IF(SUMPRODUCT((Marks!$B$3:$Y$3=B$4)*ISNUMBER(Marks!$B$8:$Y$8))=0,"",SUMPRODUCT((Marks!$B$3:$Y$3=B$4)*(Marks!$B$8:$Y$8=1))/SUMPRODUCT((Marks!$B$3:$Y$3=B$4)*ISNUMBER(Marks!$B$8:$Y$8)))</f>
        <v/>
      </c>
      <c r="C8" s="6">
        <f>IF(SUMPRODUCT((Marks!$B$3:$Y$3=C$4)*ISNUMBER(Marks!$B$8:$Y$8))=0,"",SUMPRODUCT((Marks!$B$3:$Y$3=C$4)*(Marks!$B$8:$Y$8=1))/SUMPRODUCT((Marks!$B$3:$Y$3=C$4)*ISNUMBER(Marks!$B$8:$Y$8)))</f>
        <v/>
      </c>
      <c r="D8" s="6">
        <f>IF(SUMPRODUCT((Marks!$B$3:$Y$3=D$4)*ISNUMBER(Marks!$B$8:$Y$8))=0,"",SUMPRODUCT((Marks!$B$3:$Y$3=D$4)*(Marks!$B$8:$Y$8=1))/SUMPRODUCT((Marks!$B$3:$Y$3=D$4)*ISNUMBER(Marks!$B$8:$Y$8)))</f>
        <v/>
      </c>
    </row>
    <row r="9">
      <c r="A9" t="n">
        <v>5</v>
      </c>
      <c r="B9" s="6">
        <f>IF(SUMPRODUCT((Marks!$B$3:$Y$3=B$4)*ISNUMBER(Marks!$B$9:$Y$9))=0,"",SUMPRODUCT((Marks!$B$3:$Y$3=B$4)*(Marks!$B$9:$Y$9=1))/SUMPRODUCT((Marks!$B$3:$Y$3=B$4)*ISNUMBER(Marks!$B$9:$Y$9)))</f>
        <v/>
      </c>
      <c r="C9" s="6">
        <f>IF(SUMPRODUCT((Marks!$B$3:$Y$3=C$4)*ISNUMBER(Marks!$B$9:$Y$9))=0,"",SUMPRODUCT((Marks!$B$3:$Y$3=C$4)*(Marks!$B$9:$Y$9=1))/SUMPRODUCT((Marks!$B$3:$Y$3=C$4)*ISNUMBER(Marks!$B$9:$Y$9)))</f>
        <v/>
      </c>
      <c r="D9" s="6">
        <f>IF(SUMPRODUCT((Marks!$B$3:$Y$3=D$4)*ISNUMBER(Marks!$B$9:$Y$9))=0,"",SUMPRODUCT((Marks!$B$3:$Y$3=D$4)*(Marks!$B$9:$Y$9=1))/SUMPRODUCT((Marks!$B$3:$Y$3=D$4)*ISNUMBER(Marks!$B$9:$Y$9)))</f>
        <v/>
      </c>
    </row>
    <row r="10">
      <c r="A10" t="n">
        <v>6</v>
      </c>
      <c r="B10" s="6">
        <f>IF(SUMPRODUCT((Marks!$B$3:$Y$3=B$4)*ISNUMBER(Marks!$B$10:$Y$10))=0,"",SUMPRODUCT((Marks!$B$3:$Y$3=B$4)*(Marks!$B$10:$Y$10=1))/SUMPRODUCT((Marks!$B$3:$Y$3=B$4)*ISNUMBER(Marks!$B$10:$Y$10)))</f>
        <v/>
      </c>
      <c r="C10" s="6">
        <f>IF(SUMPRODUCT((Marks!$B$3:$Y$3=C$4)*ISNUMBER(Marks!$B$10:$Y$10))=0,"",SUMPRODUCT((Marks!$B$3:$Y$3=C$4)*(Marks!$B$10:$Y$10=1))/SUMPRODUCT((Marks!$B$3:$Y$3=C$4)*ISNUMBER(Marks!$B$10:$Y$10)))</f>
        <v/>
      </c>
      <c r="D10" s="6">
        <f>IF(SUMPRODUCT((Marks!$B$3:$Y$3=D$4)*ISNUMBER(Marks!$B$10:$Y$10))=0,"",SUMPRODUCT((Marks!$B$3:$Y$3=D$4)*(Marks!$B$10:$Y$10=1))/SUMPRODUCT((Marks!$B$3:$Y$3=D$4)*ISNUMBER(Marks!$B$10:$Y$10)))</f>
        <v/>
      </c>
    </row>
    <row r="11">
      <c r="A11" t="n">
        <v>7</v>
      </c>
      <c r="B11" s="6">
        <f>IF(SUMPRODUCT((Marks!$B$3:$Y$3=B$4)*ISNUMBER(Marks!$B$11:$Y$11))=0,"",SUMPRODUCT((Marks!$B$3:$Y$3=B$4)*(Marks!$B$11:$Y$11=1))/SUMPRODUCT((Marks!$B$3:$Y$3=B$4)*ISNUMBER(Marks!$B$11:$Y$11)))</f>
        <v/>
      </c>
      <c r="C11" s="6">
        <f>IF(SUMPRODUCT((Marks!$B$3:$Y$3=C$4)*ISNUMBER(Marks!$B$11:$Y$11))=0,"",SUMPRODUCT((Marks!$B$3:$Y$3=C$4)*(Marks!$B$11:$Y$11=1))/SUMPRODUCT((Marks!$B$3:$Y$3=C$4)*ISNUMBER(Marks!$B$11:$Y$11)))</f>
        <v/>
      </c>
      <c r="D11" s="6">
        <f>IF(SUMPRODUCT((Marks!$B$3:$Y$3=D$4)*ISNUMBER(Marks!$B$11:$Y$11))=0,"",SUMPRODUCT((Marks!$B$3:$Y$3=D$4)*(Marks!$B$11:$Y$11=1))/SUMPRODUCT((Marks!$B$3:$Y$3=D$4)*ISNUMBER(Marks!$B$11:$Y$11)))</f>
        <v/>
      </c>
    </row>
    <row r="12">
      <c r="A12" t="n">
        <v>8</v>
      </c>
      <c r="B12" s="6">
        <f>IF(SUMPRODUCT((Marks!$B$3:$Y$3=B$4)*ISNUMBER(Marks!$B$12:$Y$12))=0,"",SUMPRODUCT((Marks!$B$3:$Y$3=B$4)*(Marks!$B$12:$Y$12=1))/SUMPRODUCT((Marks!$B$3:$Y$3=B$4)*ISNUMBER(Marks!$B$12:$Y$12)))</f>
        <v/>
      </c>
      <c r="C12" s="6">
        <f>IF(SUMPRODUCT((Marks!$B$3:$Y$3=C$4)*ISNUMBER(Marks!$B$12:$Y$12))=0,"",SUMPRODUCT((Marks!$B$3:$Y$3=C$4)*(Marks!$B$12:$Y$12=1))/SUMPRODUCT((Marks!$B$3:$Y$3=C$4)*ISNUMBER(Marks!$B$12:$Y$12)))</f>
        <v/>
      </c>
      <c r="D12" s="6">
        <f>IF(SUMPRODUCT((Marks!$B$3:$Y$3=D$4)*ISNUMBER(Marks!$B$12:$Y$12))=0,"",SUMPRODUCT((Marks!$B$3:$Y$3=D$4)*(Marks!$B$12:$Y$12=1))/SUMPRODUCT((Marks!$B$3:$Y$3=D$4)*ISNUMBER(Marks!$B$12:$Y$12)))</f>
        <v/>
      </c>
    </row>
    <row r="13">
      <c r="A13" t="n">
        <v>9</v>
      </c>
      <c r="B13" s="6">
        <f>IF(SUMPRODUCT((Marks!$B$3:$Y$3=B$4)*ISNUMBER(Marks!$B$13:$Y$13))=0,"",SUMPRODUCT((Marks!$B$3:$Y$3=B$4)*(Marks!$B$13:$Y$13=1))/SUMPRODUCT((Marks!$B$3:$Y$3=B$4)*ISNUMBER(Marks!$B$13:$Y$13)))</f>
        <v/>
      </c>
      <c r="C13" s="6">
        <f>IF(SUMPRODUCT((Marks!$B$3:$Y$3=C$4)*ISNUMBER(Marks!$B$13:$Y$13))=0,"",SUMPRODUCT((Marks!$B$3:$Y$3=C$4)*(Marks!$B$13:$Y$13=1))/SUMPRODUCT((Marks!$B$3:$Y$3=C$4)*ISNUMBER(Marks!$B$13:$Y$13)))</f>
        <v/>
      </c>
      <c r="D13" s="6">
        <f>IF(SUMPRODUCT((Marks!$B$3:$Y$3=D$4)*ISNUMBER(Marks!$B$13:$Y$13))=0,"",SUMPRODUCT((Marks!$B$3:$Y$3=D$4)*(Marks!$B$13:$Y$13=1))/SUMPRODUCT((Marks!$B$3:$Y$3=D$4)*ISNUMBER(Marks!$B$13:$Y$13)))</f>
        <v/>
      </c>
    </row>
    <row r="14">
      <c r="A14" t="n">
        <v>10</v>
      </c>
      <c r="B14" s="6">
        <f>IF(SUMPRODUCT((Marks!$B$3:$Y$3=B$4)*ISNUMBER(Marks!$B$14:$Y$14))=0,"",SUMPRODUCT((Marks!$B$3:$Y$3=B$4)*(Marks!$B$14:$Y$14=1))/SUMPRODUCT((Marks!$B$3:$Y$3=B$4)*ISNUMBER(Marks!$B$14:$Y$14)))</f>
        <v/>
      </c>
      <c r="C14" s="6">
        <f>IF(SUMPRODUCT((Marks!$B$3:$Y$3=C$4)*ISNUMBER(Marks!$B$14:$Y$14))=0,"",SUMPRODUCT((Marks!$B$3:$Y$3=C$4)*(Marks!$B$14:$Y$14=1))/SUMPRODUCT((Marks!$B$3:$Y$3=C$4)*ISNUMBER(Marks!$B$14:$Y$14)))</f>
        <v/>
      </c>
      <c r="D14" s="6">
        <f>IF(SUMPRODUCT((Marks!$B$3:$Y$3=D$4)*ISNUMBER(Marks!$B$14:$Y$14))=0,"",SUMPRODUCT((Marks!$B$3:$Y$3=D$4)*(Marks!$B$14:$Y$14=1))/SUMPRODUCT((Marks!$B$3:$Y$3=D$4)*ISNUMBER(Marks!$B$14:$Y$14)))</f>
        <v/>
      </c>
    </row>
    <row r="15">
      <c r="A15" t="n">
        <v>11</v>
      </c>
      <c r="B15" s="6">
        <f>IF(SUMPRODUCT((Marks!$B$3:$Y$3=B$4)*ISNUMBER(Marks!$B$15:$Y$15))=0,"",SUMPRODUCT((Marks!$B$3:$Y$3=B$4)*(Marks!$B$15:$Y$15=1))/SUMPRODUCT((Marks!$B$3:$Y$3=B$4)*ISNUMBER(Marks!$B$15:$Y$15)))</f>
        <v/>
      </c>
      <c r="C15" s="6">
        <f>IF(SUMPRODUCT((Marks!$B$3:$Y$3=C$4)*ISNUMBER(Marks!$B$15:$Y$15))=0,"",SUMPRODUCT((Marks!$B$3:$Y$3=C$4)*(Marks!$B$15:$Y$15=1))/SUMPRODUCT((Marks!$B$3:$Y$3=C$4)*ISNUMBER(Marks!$B$15:$Y$15)))</f>
        <v/>
      </c>
      <c r="D15" s="6">
        <f>IF(SUMPRODUCT((Marks!$B$3:$Y$3=D$4)*ISNUMBER(Marks!$B$15:$Y$15))=0,"",SUMPRODUCT((Marks!$B$3:$Y$3=D$4)*(Marks!$B$15:$Y$15=1))/SUMPRODUCT((Marks!$B$3:$Y$3=D$4)*ISNUMBER(Marks!$B$15:$Y$15)))</f>
        <v/>
      </c>
    </row>
    <row r="16">
      <c r="A16" t="n">
        <v>12</v>
      </c>
      <c r="B16" s="6">
        <f>IF(SUMPRODUCT((Marks!$B$3:$Y$3=B$4)*ISNUMBER(Marks!$B$16:$Y$16))=0,"",SUMPRODUCT((Marks!$B$3:$Y$3=B$4)*(Marks!$B$16:$Y$16=1))/SUMPRODUCT((Marks!$B$3:$Y$3=B$4)*ISNUMBER(Marks!$B$16:$Y$16)))</f>
        <v/>
      </c>
      <c r="C16" s="6">
        <f>IF(SUMPRODUCT((Marks!$B$3:$Y$3=C$4)*ISNUMBER(Marks!$B$16:$Y$16))=0,"",SUMPRODUCT((Marks!$B$3:$Y$3=C$4)*(Marks!$B$16:$Y$16=1))/SUMPRODUCT((Marks!$B$3:$Y$3=C$4)*ISNUMBER(Marks!$B$16:$Y$16)))</f>
        <v/>
      </c>
      <c r="D16" s="6">
        <f>IF(SUMPRODUCT((Marks!$B$3:$Y$3=D$4)*ISNUMBER(Marks!$B$16:$Y$16))=0,"",SUMPRODUCT((Marks!$B$3:$Y$3=D$4)*(Marks!$B$16:$Y$16=1))/SUMPRODUCT((Marks!$B$3:$Y$3=D$4)*ISNUMBER(Marks!$B$16:$Y$16)))</f>
        <v/>
      </c>
    </row>
    <row r="17">
      <c r="A17" t="n">
        <v>13</v>
      </c>
      <c r="B17" s="6">
        <f>IF(SUMPRODUCT((Marks!$B$3:$Y$3=B$4)*ISNUMBER(Marks!$B$17:$Y$17))=0,"",SUMPRODUCT((Marks!$B$3:$Y$3=B$4)*(Marks!$B$17:$Y$17=1))/SUMPRODUCT((Marks!$B$3:$Y$3=B$4)*ISNUMBER(Marks!$B$17:$Y$17)))</f>
        <v/>
      </c>
      <c r="C17" s="6">
        <f>IF(SUMPRODUCT((Marks!$B$3:$Y$3=C$4)*ISNUMBER(Marks!$B$17:$Y$17))=0,"",SUMPRODUCT((Marks!$B$3:$Y$3=C$4)*(Marks!$B$17:$Y$17=1))/SUMPRODUCT((Marks!$B$3:$Y$3=C$4)*ISNUMBER(Marks!$B$17:$Y$17)))</f>
        <v/>
      </c>
      <c r="D17" s="6">
        <f>IF(SUMPRODUCT((Marks!$B$3:$Y$3=D$4)*ISNUMBER(Marks!$B$17:$Y$17))=0,"",SUMPRODUCT((Marks!$B$3:$Y$3=D$4)*(Marks!$B$17:$Y$17=1))/SUMPRODUCT((Marks!$B$3:$Y$3=D$4)*ISNUMBER(Marks!$B$17:$Y$17)))</f>
        <v/>
      </c>
    </row>
    <row r="18">
      <c r="A18" t="n">
        <v>14</v>
      </c>
      <c r="B18" s="6">
        <f>IF(SUMPRODUCT((Marks!$B$3:$Y$3=B$4)*ISNUMBER(Marks!$B$18:$Y$18))=0,"",SUMPRODUCT((Marks!$B$3:$Y$3=B$4)*(Marks!$B$18:$Y$18=1))/SUMPRODUCT((Marks!$B$3:$Y$3=B$4)*ISNUMBER(Marks!$B$18:$Y$18)))</f>
        <v/>
      </c>
      <c r="C18" s="6">
        <f>IF(SUMPRODUCT((Marks!$B$3:$Y$3=C$4)*ISNUMBER(Marks!$B$18:$Y$18))=0,"",SUMPRODUCT((Marks!$B$3:$Y$3=C$4)*(Marks!$B$18:$Y$18=1))/SUMPRODUCT((Marks!$B$3:$Y$3=C$4)*ISNUMBER(Marks!$B$18:$Y$18)))</f>
        <v/>
      </c>
      <c r="D18" s="6">
        <f>IF(SUMPRODUCT((Marks!$B$3:$Y$3=D$4)*ISNUMBER(Marks!$B$18:$Y$18))=0,"",SUMPRODUCT((Marks!$B$3:$Y$3=D$4)*(Marks!$B$18:$Y$18=1))/SUMPRODUCT((Marks!$B$3:$Y$3=D$4)*ISNUMBER(Marks!$B$18:$Y$18)))</f>
        <v/>
      </c>
    </row>
    <row r="19">
      <c r="A19" t="n">
        <v>15</v>
      </c>
      <c r="B19" s="6">
        <f>IF(SUMPRODUCT((Marks!$B$3:$Y$3=B$4)*ISNUMBER(Marks!$B$19:$Y$19))=0,"",SUMPRODUCT((Marks!$B$3:$Y$3=B$4)*(Marks!$B$19:$Y$19=1))/SUMPRODUCT((Marks!$B$3:$Y$3=B$4)*ISNUMBER(Marks!$B$19:$Y$19)))</f>
        <v/>
      </c>
      <c r="C19" s="6">
        <f>IF(SUMPRODUCT((Marks!$B$3:$Y$3=C$4)*ISNUMBER(Marks!$B$19:$Y$19))=0,"",SUMPRODUCT((Marks!$B$3:$Y$3=C$4)*(Marks!$B$19:$Y$19=1))/SUMPRODUCT((Marks!$B$3:$Y$3=C$4)*ISNUMBER(Marks!$B$19:$Y$19)))</f>
        <v/>
      </c>
      <c r="D19" s="6">
        <f>IF(SUMPRODUCT((Marks!$B$3:$Y$3=D$4)*ISNUMBER(Marks!$B$19:$Y$19))=0,"",SUMPRODUCT((Marks!$B$3:$Y$3=D$4)*(Marks!$B$19:$Y$19=1))/SUMPRODUCT((Marks!$B$3:$Y$3=D$4)*ISNUMBER(Marks!$B$19:$Y$19)))</f>
        <v/>
      </c>
    </row>
    <row r="20">
      <c r="A20" t="n">
        <v>16</v>
      </c>
      <c r="B20" s="6">
        <f>IF(SUMPRODUCT((Marks!$B$3:$Y$3=B$4)*ISNUMBER(Marks!$B$20:$Y$20))=0,"",SUMPRODUCT((Marks!$B$3:$Y$3=B$4)*(Marks!$B$20:$Y$20=1))/SUMPRODUCT((Marks!$B$3:$Y$3=B$4)*ISNUMBER(Marks!$B$20:$Y$20)))</f>
        <v/>
      </c>
      <c r="C20" s="6">
        <f>IF(SUMPRODUCT((Marks!$B$3:$Y$3=C$4)*ISNUMBER(Marks!$B$20:$Y$20))=0,"",SUMPRODUCT((Marks!$B$3:$Y$3=C$4)*(Marks!$B$20:$Y$20=1))/SUMPRODUCT((Marks!$B$3:$Y$3=C$4)*ISNUMBER(Marks!$B$20:$Y$20)))</f>
        <v/>
      </c>
      <c r="D20" s="6">
        <f>IF(SUMPRODUCT((Marks!$B$3:$Y$3=D$4)*ISNUMBER(Marks!$B$20:$Y$20))=0,"",SUMPRODUCT((Marks!$B$3:$Y$3=D$4)*(Marks!$B$20:$Y$20=1))/SUMPRODUCT((Marks!$B$3:$Y$3=D$4)*ISNUMBER(Marks!$B$20:$Y$20)))</f>
        <v/>
      </c>
    </row>
    <row r="21">
      <c r="A21" t="n">
        <v>17</v>
      </c>
      <c r="B21" s="6">
        <f>IF(SUMPRODUCT((Marks!$B$3:$Y$3=B$4)*ISNUMBER(Marks!$B$21:$Y$21))=0,"",SUMPRODUCT((Marks!$B$3:$Y$3=B$4)*(Marks!$B$21:$Y$21=1))/SUMPRODUCT((Marks!$B$3:$Y$3=B$4)*ISNUMBER(Marks!$B$21:$Y$21)))</f>
        <v/>
      </c>
      <c r="C21" s="6">
        <f>IF(SUMPRODUCT((Marks!$B$3:$Y$3=C$4)*ISNUMBER(Marks!$B$21:$Y$21))=0,"",SUMPRODUCT((Marks!$B$3:$Y$3=C$4)*(Marks!$B$21:$Y$21=1))/SUMPRODUCT((Marks!$B$3:$Y$3=C$4)*ISNUMBER(Marks!$B$21:$Y$21)))</f>
        <v/>
      </c>
      <c r="D21" s="6">
        <f>IF(SUMPRODUCT((Marks!$B$3:$Y$3=D$4)*ISNUMBER(Marks!$B$21:$Y$21))=0,"",SUMPRODUCT((Marks!$B$3:$Y$3=D$4)*(Marks!$B$21:$Y$21=1))/SUMPRODUCT((Marks!$B$3:$Y$3=D$4)*ISNUMBER(Marks!$B$21:$Y$21)))</f>
        <v/>
      </c>
    </row>
    <row r="22">
      <c r="A22" t="n">
        <v>18</v>
      </c>
      <c r="B22" s="6">
        <f>IF(SUMPRODUCT((Marks!$B$3:$Y$3=B$4)*ISNUMBER(Marks!$B$22:$Y$22))=0,"",SUMPRODUCT((Marks!$B$3:$Y$3=B$4)*(Marks!$B$22:$Y$22=1))/SUMPRODUCT((Marks!$B$3:$Y$3=B$4)*ISNUMBER(Marks!$B$22:$Y$22)))</f>
        <v/>
      </c>
      <c r="C22" s="6">
        <f>IF(SUMPRODUCT((Marks!$B$3:$Y$3=C$4)*ISNUMBER(Marks!$B$22:$Y$22))=0,"",SUMPRODUCT((Marks!$B$3:$Y$3=C$4)*(Marks!$B$22:$Y$22=1))/SUMPRODUCT((Marks!$B$3:$Y$3=C$4)*ISNUMBER(Marks!$B$22:$Y$22)))</f>
        <v/>
      </c>
      <c r="D22" s="6">
        <f>IF(SUMPRODUCT((Marks!$B$3:$Y$3=D$4)*ISNUMBER(Marks!$B$22:$Y$22))=0,"",SUMPRODUCT((Marks!$B$3:$Y$3=D$4)*(Marks!$B$22:$Y$22=1))/SUMPRODUCT((Marks!$B$3:$Y$3=D$4)*ISNUMBER(Marks!$B$22:$Y$22)))</f>
        <v/>
      </c>
    </row>
    <row r="23">
      <c r="A23" t="n">
        <v>19</v>
      </c>
      <c r="B23" s="6">
        <f>IF(SUMPRODUCT((Marks!$B$3:$Y$3=B$4)*ISNUMBER(Marks!$B$23:$Y$23))=0,"",SUMPRODUCT((Marks!$B$3:$Y$3=B$4)*(Marks!$B$23:$Y$23=1))/SUMPRODUCT((Marks!$B$3:$Y$3=B$4)*ISNUMBER(Marks!$B$23:$Y$23)))</f>
        <v/>
      </c>
      <c r="C23" s="6">
        <f>IF(SUMPRODUCT((Marks!$B$3:$Y$3=C$4)*ISNUMBER(Marks!$B$23:$Y$23))=0,"",SUMPRODUCT((Marks!$B$3:$Y$3=C$4)*(Marks!$B$23:$Y$23=1))/SUMPRODUCT((Marks!$B$3:$Y$3=C$4)*ISNUMBER(Marks!$B$23:$Y$23)))</f>
        <v/>
      </c>
      <c r="D23" s="6">
        <f>IF(SUMPRODUCT((Marks!$B$3:$Y$3=D$4)*ISNUMBER(Marks!$B$23:$Y$23))=0,"",SUMPRODUCT((Marks!$B$3:$Y$3=D$4)*(Marks!$B$23:$Y$23=1))/SUMPRODUCT((Marks!$B$3:$Y$3=D$4)*ISNUMBER(Marks!$B$23:$Y$23)))</f>
        <v/>
      </c>
    </row>
    <row r="24">
      <c r="A24" t="n">
        <v>20</v>
      </c>
      <c r="B24" s="6">
        <f>IF(SUMPRODUCT((Marks!$B$3:$Y$3=B$4)*ISNUMBER(Marks!$B$24:$Y$24))=0,"",SUMPRODUCT((Marks!$B$3:$Y$3=B$4)*(Marks!$B$24:$Y$24=1))/SUMPRODUCT((Marks!$B$3:$Y$3=B$4)*ISNUMBER(Marks!$B$24:$Y$24)))</f>
        <v/>
      </c>
      <c r="C24" s="6">
        <f>IF(SUMPRODUCT((Marks!$B$3:$Y$3=C$4)*ISNUMBER(Marks!$B$24:$Y$24))=0,"",SUMPRODUCT((Marks!$B$3:$Y$3=C$4)*(Marks!$B$24:$Y$24=1))/SUMPRODUCT((Marks!$B$3:$Y$3=C$4)*ISNUMBER(Marks!$B$24:$Y$24)))</f>
        <v/>
      </c>
      <c r="D24" s="6">
        <f>IF(SUMPRODUCT((Marks!$B$3:$Y$3=D$4)*ISNUMBER(Marks!$B$24:$Y$24))=0,"",SUMPRODUCT((Marks!$B$3:$Y$3=D$4)*(Marks!$B$24:$Y$24=1))/SUMPRODUCT((Marks!$B$3:$Y$3=D$4)*ISNUMBER(Marks!$B$24:$Y$24)))</f>
        <v/>
      </c>
    </row>
    <row r="25">
      <c r="A25" t="n">
        <v>21</v>
      </c>
      <c r="B25" s="6">
        <f>IF(SUMPRODUCT((Marks!$B$3:$Y$3=B$4)*ISNUMBER(Marks!$B$25:$Y$25))=0,"",SUMPRODUCT((Marks!$B$3:$Y$3=B$4)*(Marks!$B$25:$Y$25=1))/SUMPRODUCT((Marks!$B$3:$Y$3=B$4)*ISNUMBER(Marks!$B$25:$Y$25)))</f>
        <v/>
      </c>
      <c r="C25" s="6">
        <f>IF(SUMPRODUCT((Marks!$B$3:$Y$3=C$4)*ISNUMBER(Marks!$B$25:$Y$25))=0,"",SUMPRODUCT((Marks!$B$3:$Y$3=C$4)*(Marks!$B$25:$Y$25=1))/SUMPRODUCT((Marks!$B$3:$Y$3=C$4)*ISNUMBER(Marks!$B$25:$Y$25)))</f>
        <v/>
      </c>
      <c r="D25" s="6">
        <f>IF(SUMPRODUCT((Marks!$B$3:$Y$3=D$4)*ISNUMBER(Marks!$B$25:$Y$25))=0,"",SUMPRODUCT((Marks!$B$3:$Y$3=D$4)*(Marks!$B$25:$Y$25=1))/SUMPRODUCT((Marks!$B$3:$Y$3=D$4)*ISNUMBER(Marks!$B$25:$Y$25)))</f>
        <v/>
      </c>
    </row>
    <row r="26">
      <c r="A26" t="n">
        <v>22</v>
      </c>
      <c r="B26" s="6">
        <f>IF(SUMPRODUCT((Marks!$B$3:$Y$3=B$4)*ISNUMBER(Marks!$B$26:$Y$26))=0,"",SUMPRODUCT((Marks!$B$3:$Y$3=B$4)*(Marks!$B$26:$Y$26=1))/SUMPRODUCT((Marks!$B$3:$Y$3=B$4)*ISNUMBER(Marks!$B$26:$Y$26)))</f>
        <v/>
      </c>
      <c r="C26" s="6">
        <f>IF(SUMPRODUCT((Marks!$B$3:$Y$3=C$4)*ISNUMBER(Marks!$B$26:$Y$26))=0,"",SUMPRODUCT((Marks!$B$3:$Y$3=C$4)*(Marks!$B$26:$Y$26=1))/SUMPRODUCT((Marks!$B$3:$Y$3=C$4)*ISNUMBER(Marks!$B$26:$Y$26)))</f>
        <v/>
      </c>
      <c r="D26" s="6">
        <f>IF(SUMPRODUCT((Marks!$B$3:$Y$3=D$4)*ISNUMBER(Marks!$B$26:$Y$26))=0,"",SUMPRODUCT((Marks!$B$3:$Y$3=D$4)*(Marks!$B$26:$Y$26=1))/SUMPRODUCT((Marks!$B$3:$Y$3=D$4)*ISNUMBER(Marks!$B$26:$Y$26)))</f>
        <v/>
      </c>
    </row>
    <row r="27">
      <c r="A27" t="n">
        <v>23</v>
      </c>
      <c r="B27" s="6">
        <f>IF(SUMPRODUCT((Marks!$B$3:$Y$3=B$4)*ISNUMBER(Marks!$B$27:$Y$27))=0,"",SUMPRODUCT((Marks!$B$3:$Y$3=B$4)*(Marks!$B$27:$Y$27=1))/SUMPRODUCT((Marks!$B$3:$Y$3=B$4)*ISNUMBER(Marks!$B$27:$Y$27)))</f>
        <v/>
      </c>
      <c r="C27" s="6">
        <f>IF(SUMPRODUCT((Marks!$B$3:$Y$3=C$4)*ISNUMBER(Marks!$B$27:$Y$27))=0,"",SUMPRODUCT((Marks!$B$3:$Y$3=C$4)*(Marks!$B$27:$Y$27=1))/SUMPRODUCT((Marks!$B$3:$Y$3=C$4)*ISNUMBER(Marks!$B$27:$Y$27)))</f>
        <v/>
      </c>
      <c r="D27" s="6">
        <f>IF(SUMPRODUCT((Marks!$B$3:$Y$3=D$4)*ISNUMBER(Marks!$B$27:$Y$27))=0,"",SUMPRODUCT((Marks!$B$3:$Y$3=D$4)*(Marks!$B$27:$Y$27=1))/SUMPRODUCT((Marks!$B$3:$Y$3=D$4)*ISNUMBER(Marks!$B$27:$Y$27)))</f>
        <v/>
      </c>
    </row>
    <row r="28">
      <c r="A28" t="n">
        <v>24</v>
      </c>
      <c r="B28" s="6">
        <f>IF(SUMPRODUCT((Marks!$B$3:$Y$3=B$4)*ISNUMBER(Marks!$B$28:$Y$28))=0,"",SUMPRODUCT((Marks!$B$3:$Y$3=B$4)*(Marks!$B$28:$Y$28=1))/SUMPRODUCT((Marks!$B$3:$Y$3=B$4)*ISNUMBER(Marks!$B$28:$Y$28)))</f>
        <v/>
      </c>
      <c r="C28" s="6">
        <f>IF(SUMPRODUCT((Marks!$B$3:$Y$3=C$4)*ISNUMBER(Marks!$B$28:$Y$28))=0,"",SUMPRODUCT((Marks!$B$3:$Y$3=C$4)*(Marks!$B$28:$Y$28=1))/SUMPRODUCT((Marks!$B$3:$Y$3=C$4)*ISNUMBER(Marks!$B$28:$Y$28)))</f>
        <v/>
      </c>
      <c r="D28" s="6">
        <f>IF(SUMPRODUCT((Marks!$B$3:$Y$3=D$4)*ISNUMBER(Marks!$B$28:$Y$28))=0,"",SUMPRODUCT((Marks!$B$3:$Y$3=D$4)*(Marks!$B$28:$Y$28=1))/SUMPRODUCT((Marks!$B$3:$Y$3=D$4)*ISNUMBER(Marks!$B$28:$Y$28)))</f>
        <v/>
      </c>
    </row>
    <row r="29">
      <c r="A29" t="n">
        <v>25</v>
      </c>
      <c r="B29" s="6">
        <f>IF(SUMPRODUCT((Marks!$B$3:$Y$3=B$4)*ISNUMBER(Marks!$B$29:$Y$29))=0,"",SUMPRODUCT((Marks!$B$3:$Y$3=B$4)*(Marks!$B$29:$Y$29=1))/SUMPRODUCT((Marks!$B$3:$Y$3=B$4)*ISNUMBER(Marks!$B$29:$Y$29)))</f>
        <v/>
      </c>
      <c r="C29" s="6">
        <f>IF(SUMPRODUCT((Marks!$B$3:$Y$3=C$4)*ISNUMBER(Marks!$B$29:$Y$29))=0,"",SUMPRODUCT((Marks!$B$3:$Y$3=C$4)*(Marks!$B$29:$Y$29=1))/SUMPRODUCT((Marks!$B$3:$Y$3=C$4)*ISNUMBER(Marks!$B$29:$Y$29)))</f>
        <v/>
      </c>
      <c r="D29" s="6">
        <f>IF(SUMPRODUCT((Marks!$B$3:$Y$3=D$4)*ISNUMBER(Marks!$B$29:$Y$29))=0,"",SUMPRODUCT((Marks!$B$3:$Y$3=D$4)*(Marks!$B$29:$Y$29=1))/SUMPRODUCT((Marks!$B$3:$Y$3=D$4)*ISNUMBER(Marks!$B$29:$Y$29)))</f>
        <v/>
      </c>
    </row>
    <row r="30">
      <c r="A30" t="n">
        <v>26</v>
      </c>
      <c r="B30" s="6">
        <f>IF(SUMPRODUCT((Marks!$B$3:$Y$3=B$4)*ISNUMBER(Marks!$B$30:$Y$30))=0,"",SUMPRODUCT((Marks!$B$3:$Y$3=B$4)*(Marks!$B$30:$Y$30=1))/SUMPRODUCT((Marks!$B$3:$Y$3=B$4)*ISNUMBER(Marks!$B$30:$Y$30)))</f>
        <v/>
      </c>
      <c r="C30" s="6">
        <f>IF(SUMPRODUCT((Marks!$B$3:$Y$3=C$4)*ISNUMBER(Marks!$B$30:$Y$30))=0,"",SUMPRODUCT((Marks!$B$3:$Y$3=C$4)*(Marks!$B$30:$Y$30=1))/SUMPRODUCT((Marks!$B$3:$Y$3=C$4)*ISNUMBER(Marks!$B$30:$Y$30)))</f>
        <v/>
      </c>
      <c r="D30" s="6">
        <f>IF(SUMPRODUCT((Marks!$B$3:$Y$3=D$4)*ISNUMBER(Marks!$B$30:$Y$30))=0,"",SUMPRODUCT((Marks!$B$3:$Y$3=D$4)*(Marks!$B$30:$Y$30=1))/SUMPRODUCT((Marks!$B$3:$Y$3=D$4)*ISNUMBER(Marks!$B$30:$Y$30)))</f>
        <v/>
      </c>
    </row>
    <row r="31">
      <c r="A31" t="n">
        <v>27</v>
      </c>
      <c r="B31" s="6">
        <f>IF(SUMPRODUCT((Marks!$B$3:$Y$3=B$4)*ISNUMBER(Marks!$B$31:$Y$31))=0,"",SUMPRODUCT((Marks!$B$3:$Y$3=B$4)*(Marks!$B$31:$Y$31=1))/SUMPRODUCT((Marks!$B$3:$Y$3=B$4)*ISNUMBER(Marks!$B$31:$Y$31)))</f>
        <v/>
      </c>
      <c r="C31" s="6">
        <f>IF(SUMPRODUCT((Marks!$B$3:$Y$3=C$4)*ISNUMBER(Marks!$B$31:$Y$31))=0,"",SUMPRODUCT((Marks!$B$3:$Y$3=C$4)*(Marks!$B$31:$Y$31=1))/SUMPRODUCT((Marks!$B$3:$Y$3=C$4)*ISNUMBER(Marks!$B$31:$Y$31)))</f>
        <v/>
      </c>
      <c r="D31" s="6">
        <f>IF(SUMPRODUCT((Marks!$B$3:$Y$3=D$4)*ISNUMBER(Marks!$B$31:$Y$31))=0,"",SUMPRODUCT((Marks!$B$3:$Y$3=D$4)*(Marks!$B$31:$Y$31=1))/SUMPRODUCT((Marks!$B$3:$Y$3=D$4)*ISNUMBER(Marks!$B$31:$Y$31)))</f>
        <v/>
      </c>
    </row>
    <row r="32">
      <c r="A32" t="n">
        <v>28</v>
      </c>
      <c r="B32" s="6">
        <f>IF(SUMPRODUCT((Marks!$B$3:$Y$3=B$4)*ISNUMBER(Marks!$B$32:$Y$32))=0,"",SUMPRODUCT((Marks!$B$3:$Y$3=B$4)*(Marks!$B$32:$Y$32=1))/SUMPRODUCT((Marks!$B$3:$Y$3=B$4)*ISNUMBER(Marks!$B$32:$Y$32)))</f>
        <v/>
      </c>
      <c r="C32" s="6">
        <f>IF(SUMPRODUCT((Marks!$B$3:$Y$3=C$4)*ISNUMBER(Marks!$B$32:$Y$32))=0,"",SUMPRODUCT((Marks!$B$3:$Y$3=C$4)*(Marks!$B$32:$Y$32=1))/SUMPRODUCT((Marks!$B$3:$Y$3=C$4)*ISNUMBER(Marks!$B$32:$Y$32)))</f>
        <v/>
      </c>
      <c r="D32" s="6">
        <f>IF(SUMPRODUCT((Marks!$B$3:$Y$3=D$4)*ISNUMBER(Marks!$B$32:$Y$32))=0,"",SUMPRODUCT((Marks!$B$3:$Y$3=D$4)*(Marks!$B$32:$Y$32=1))/SUMPRODUCT((Marks!$B$3:$Y$3=D$4)*ISNUMBER(Marks!$B$32:$Y$32)))</f>
        <v/>
      </c>
    </row>
    <row r="33">
      <c r="A33" t="n">
        <v>29</v>
      </c>
      <c r="B33" s="6">
        <f>IF(SUMPRODUCT((Marks!$B$3:$Y$3=B$4)*ISNUMBER(Marks!$B$33:$Y$33))=0,"",SUMPRODUCT((Marks!$B$3:$Y$3=B$4)*(Marks!$B$33:$Y$33=1))/SUMPRODUCT((Marks!$B$3:$Y$3=B$4)*ISNUMBER(Marks!$B$33:$Y$33)))</f>
        <v/>
      </c>
      <c r="C33" s="6">
        <f>IF(SUMPRODUCT((Marks!$B$3:$Y$3=C$4)*ISNUMBER(Marks!$B$33:$Y$33))=0,"",SUMPRODUCT((Marks!$B$3:$Y$3=C$4)*(Marks!$B$33:$Y$33=1))/SUMPRODUCT((Marks!$B$3:$Y$3=C$4)*ISNUMBER(Marks!$B$33:$Y$33)))</f>
        <v/>
      </c>
      <c r="D33" s="6">
        <f>IF(SUMPRODUCT((Marks!$B$3:$Y$3=D$4)*ISNUMBER(Marks!$B$33:$Y$33))=0,"",SUMPRODUCT((Marks!$B$3:$Y$3=D$4)*(Marks!$B$33:$Y$33=1))/SUMPRODUCT((Marks!$B$3:$Y$3=D$4)*ISNUMBER(Marks!$B$33:$Y$33)))</f>
        <v/>
      </c>
    </row>
    <row r="34">
      <c r="A34" t="n">
        <v>30</v>
      </c>
      <c r="B34" s="6">
        <f>IF(SUMPRODUCT((Marks!$B$3:$Y$3=B$4)*ISNUMBER(Marks!$B$34:$Y$34))=0,"",SUMPRODUCT((Marks!$B$3:$Y$3=B$4)*(Marks!$B$34:$Y$34=1))/SUMPRODUCT((Marks!$B$3:$Y$3=B$4)*ISNUMBER(Marks!$B$34:$Y$34)))</f>
        <v/>
      </c>
      <c r="C34" s="6">
        <f>IF(SUMPRODUCT((Marks!$B$3:$Y$3=C$4)*ISNUMBER(Marks!$B$34:$Y$34))=0,"",SUMPRODUCT((Marks!$B$3:$Y$3=C$4)*(Marks!$B$34:$Y$34=1))/SUMPRODUCT((Marks!$B$3:$Y$3=C$4)*ISNUMBER(Marks!$B$34:$Y$34)))</f>
        <v/>
      </c>
      <c r="D34" s="6">
        <f>IF(SUMPRODUCT((Marks!$B$3:$Y$3=D$4)*ISNUMBER(Marks!$B$34:$Y$34))=0,"",SUMPRODUCT((Marks!$B$3:$Y$3=D$4)*(Marks!$B$34:$Y$34=1))/SUMPRODUCT((Marks!$B$3:$Y$3=D$4)*ISNUMBER(Marks!$B$34:$Y$34)))</f>
        <v/>
      </c>
    </row>
    <row r="35">
      <c r="A35" t="n">
        <v>31</v>
      </c>
      <c r="B35" s="6">
        <f>IF(SUMPRODUCT((Marks!$B$3:$Y$3=B$4)*ISNUMBER(Marks!$B$35:$Y$35))=0,"",SUMPRODUCT((Marks!$B$3:$Y$3=B$4)*(Marks!$B$35:$Y$35=1))/SUMPRODUCT((Marks!$B$3:$Y$3=B$4)*ISNUMBER(Marks!$B$35:$Y$35)))</f>
        <v/>
      </c>
      <c r="C35" s="6">
        <f>IF(SUMPRODUCT((Marks!$B$3:$Y$3=C$4)*ISNUMBER(Marks!$B$35:$Y$35))=0,"",SUMPRODUCT((Marks!$B$3:$Y$3=C$4)*(Marks!$B$35:$Y$35=1))/SUMPRODUCT((Marks!$B$3:$Y$3=C$4)*ISNUMBER(Marks!$B$35:$Y$35)))</f>
        <v/>
      </c>
      <c r="D35" s="6">
        <f>IF(SUMPRODUCT((Marks!$B$3:$Y$3=D$4)*ISNUMBER(Marks!$B$35:$Y$35))=0,"",SUMPRODUCT((Marks!$B$3:$Y$3=D$4)*(Marks!$B$35:$Y$35=1))/SUMPRODUCT((Marks!$B$3:$Y$3=D$4)*ISNUMBER(Marks!$B$35:$Y$35)))</f>
        <v/>
      </c>
    </row>
    <row r="36">
      <c r="A36" t="n">
        <v>32</v>
      </c>
      <c r="B36" s="6">
        <f>IF(SUMPRODUCT((Marks!$B$3:$Y$3=B$4)*ISNUMBER(Marks!$B$36:$Y$36))=0,"",SUMPRODUCT((Marks!$B$3:$Y$3=B$4)*(Marks!$B$36:$Y$36=1))/SUMPRODUCT((Marks!$B$3:$Y$3=B$4)*ISNUMBER(Marks!$B$36:$Y$36)))</f>
        <v/>
      </c>
      <c r="C36" s="6">
        <f>IF(SUMPRODUCT((Marks!$B$3:$Y$3=C$4)*ISNUMBER(Marks!$B$36:$Y$36))=0,"",SUMPRODUCT((Marks!$B$3:$Y$3=C$4)*(Marks!$B$36:$Y$36=1))/SUMPRODUCT((Marks!$B$3:$Y$3=C$4)*ISNUMBER(Marks!$B$36:$Y$36)))</f>
        <v/>
      </c>
      <c r="D36" s="6">
        <f>IF(SUMPRODUCT((Marks!$B$3:$Y$3=D$4)*ISNUMBER(Marks!$B$36:$Y$36))=0,"",SUMPRODUCT((Marks!$B$3:$Y$3=D$4)*(Marks!$B$36:$Y$36=1))/SUMPRODUCT((Marks!$B$3:$Y$3=D$4)*ISNUMBER(Marks!$B$36:$Y$36)))</f>
        <v/>
      </c>
    </row>
    <row r="37">
      <c r="A37" t="n">
        <v>33</v>
      </c>
      <c r="B37" s="6">
        <f>IF(SUMPRODUCT((Marks!$B$3:$Y$3=B$4)*ISNUMBER(Marks!$B$37:$Y$37))=0,"",SUMPRODUCT((Marks!$B$3:$Y$3=B$4)*(Marks!$B$37:$Y$37=1))/SUMPRODUCT((Marks!$B$3:$Y$3=B$4)*ISNUMBER(Marks!$B$37:$Y$37)))</f>
        <v/>
      </c>
      <c r="C37" s="6">
        <f>IF(SUMPRODUCT((Marks!$B$3:$Y$3=C$4)*ISNUMBER(Marks!$B$37:$Y$37))=0,"",SUMPRODUCT((Marks!$B$3:$Y$3=C$4)*(Marks!$B$37:$Y$37=1))/SUMPRODUCT((Marks!$B$3:$Y$3=C$4)*ISNUMBER(Marks!$B$37:$Y$37)))</f>
        <v/>
      </c>
      <c r="D37" s="6">
        <f>IF(SUMPRODUCT((Marks!$B$3:$Y$3=D$4)*ISNUMBER(Marks!$B$37:$Y$37))=0,"",SUMPRODUCT((Marks!$B$3:$Y$3=D$4)*(Marks!$B$37:$Y$37=1))/SUMPRODUCT((Marks!$B$3:$Y$3=D$4)*ISNUMBER(Marks!$B$37:$Y$37)))</f>
        <v/>
      </c>
    </row>
    <row r="38">
      <c r="A38" t="n">
        <v>34</v>
      </c>
      <c r="B38" s="6">
        <f>IF(SUMPRODUCT((Marks!$B$3:$Y$3=B$4)*ISNUMBER(Marks!$B$38:$Y$38))=0,"",SUMPRODUCT((Marks!$B$3:$Y$3=B$4)*(Marks!$B$38:$Y$38=1))/SUMPRODUCT((Marks!$B$3:$Y$3=B$4)*ISNUMBER(Marks!$B$38:$Y$38)))</f>
        <v/>
      </c>
      <c r="C38" s="6">
        <f>IF(SUMPRODUCT((Marks!$B$3:$Y$3=C$4)*ISNUMBER(Marks!$B$38:$Y$38))=0,"",SUMPRODUCT((Marks!$B$3:$Y$3=C$4)*(Marks!$B$38:$Y$38=1))/SUMPRODUCT((Marks!$B$3:$Y$3=C$4)*ISNUMBER(Marks!$B$38:$Y$38)))</f>
        <v/>
      </c>
      <c r="D38" s="6">
        <f>IF(SUMPRODUCT((Marks!$B$3:$Y$3=D$4)*ISNUMBER(Marks!$B$38:$Y$38))=0,"",SUMPRODUCT((Marks!$B$3:$Y$3=D$4)*(Marks!$B$38:$Y$38=1))/SUMPRODUCT((Marks!$B$3:$Y$3=D$4)*ISNUMBER(Marks!$B$38:$Y$38)))</f>
        <v/>
      </c>
    </row>
    <row r="39">
      <c r="A39" t="n">
        <v>35</v>
      </c>
      <c r="B39" s="6">
        <f>IF(SUMPRODUCT((Marks!$B$3:$Y$3=B$4)*ISNUMBER(Marks!$B$39:$Y$39))=0,"",SUMPRODUCT((Marks!$B$3:$Y$3=B$4)*(Marks!$B$39:$Y$39=1))/SUMPRODUCT((Marks!$B$3:$Y$3=B$4)*ISNUMBER(Marks!$B$39:$Y$39)))</f>
        <v/>
      </c>
      <c r="C39" s="6">
        <f>IF(SUMPRODUCT((Marks!$B$3:$Y$3=C$4)*ISNUMBER(Marks!$B$39:$Y$39))=0,"",SUMPRODUCT((Marks!$B$3:$Y$3=C$4)*(Marks!$B$39:$Y$39=1))/SUMPRODUCT((Marks!$B$3:$Y$3=C$4)*ISNUMBER(Marks!$B$39:$Y$39)))</f>
        <v/>
      </c>
      <c r="D39" s="6">
        <f>IF(SUMPRODUCT((Marks!$B$3:$Y$3=D$4)*ISNUMBER(Marks!$B$39:$Y$39))=0,"",SUMPRODUCT((Marks!$B$3:$Y$3=D$4)*(Marks!$B$39:$Y$39=1))/SUMPRODUCT((Marks!$B$3:$Y$3=D$4)*ISNUMBER(Marks!$B$39:$Y$39)))</f>
        <v/>
      </c>
    </row>
    <row r="40">
      <c r="A40" t="n">
        <v>36</v>
      </c>
      <c r="B40" s="6">
        <f>IF(SUMPRODUCT((Marks!$B$3:$Y$3=B$4)*ISNUMBER(Marks!$B$40:$Y$40))=0,"",SUMPRODUCT((Marks!$B$3:$Y$3=B$4)*(Marks!$B$40:$Y$40=1))/SUMPRODUCT((Marks!$B$3:$Y$3=B$4)*ISNUMBER(Marks!$B$40:$Y$40)))</f>
        <v/>
      </c>
      <c r="C40" s="6">
        <f>IF(SUMPRODUCT((Marks!$B$3:$Y$3=C$4)*ISNUMBER(Marks!$B$40:$Y$40))=0,"",SUMPRODUCT((Marks!$B$3:$Y$3=C$4)*(Marks!$B$40:$Y$40=1))/SUMPRODUCT((Marks!$B$3:$Y$3=C$4)*ISNUMBER(Marks!$B$40:$Y$40)))</f>
        <v/>
      </c>
      <c r="D40" s="6">
        <f>IF(SUMPRODUCT((Marks!$B$3:$Y$3=D$4)*ISNUMBER(Marks!$B$40:$Y$40))=0,"",SUMPRODUCT((Marks!$B$3:$Y$3=D$4)*(Marks!$B$40:$Y$40=1))/SUMPRODUCT((Marks!$B$3:$Y$3=D$4)*ISNUMBER(Marks!$B$40:$Y$40)))</f>
        <v/>
      </c>
    </row>
    <row r="41">
      <c r="A41" t="n">
        <v>37</v>
      </c>
      <c r="B41" s="6">
        <f>IF(SUMPRODUCT((Marks!$B$3:$Y$3=B$4)*ISNUMBER(Marks!$B$41:$Y$41))=0,"",SUMPRODUCT((Marks!$B$3:$Y$3=B$4)*(Marks!$B$41:$Y$41=1))/SUMPRODUCT((Marks!$B$3:$Y$3=B$4)*ISNUMBER(Marks!$B$41:$Y$41)))</f>
        <v/>
      </c>
      <c r="C41" s="6">
        <f>IF(SUMPRODUCT((Marks!$B$3:$Y$3=C$4)*ISNUMBER(Marks!$B$41:$Y$41))=0,"",SUMPRODUCT((Marks!$B$3:$Y$3=C$4)*(Marks!$B$41:$Y$41=1))/SUMPRODUCT((Marks!$B$3:$Y$3=C$4)*ISNUMBER(Marks!$B$41:$Y$41)))</f>
        <v/>
      </c>
      <c r="D41" s="6">
        <f>IF(SUMPRODUCT((Marks!$B$3:$Y$3=D$4)*ISNUMBER(Marks!$B$41:$Y$41))=0,"",SUMPRODUCT((Marks!$B$3:$Y$3=D$4)*(Marks!$B$41:$Y$41=1))/SUMPRODUCT((Marks!$B$3:$Y$3=D$4)*ISNUMBER(Marks!$B$41:$Y$41)))</f>
        <v/>
      </c>
    </row>
    <row r="42">
      <c r="A42" t="n">
        <v>38</v>
      </c>
      <c r="B42" s="6">
        <f>IF(SUMPRODUCT((Marks!$B$3:$Y$3=B$4)*ISNUMBER(Marks!$B$42:$Y$42))=0,"",SUMPRODUCT((Marks!$B$3:$Y$3=B$4)*(Marks!$B$42:$Y$42=1))/SUMPRODUCT((Marks!$B$3:$Y$3=B$4)*ISNUMBER(Marks!$B$42:$Y$42)))</f>
        <v/>
      </c>
      <c r="C42" s="6">
        <f>IF(SUMPRODUCT((Marks!$B$3:$Y$3=C$4)*ISNUMBER(Marks!$B$42:$Y$42))=0,"",SUMPRODUCT((Marks!$B$3:$Y$3=C$4)*(Marks!$B$42:$Y$42=1))/SUMPRODUCT((Marks!$B$3:$Y$3=C$4)*ISNUMBER(Marks!$B$42:$Y$42)))</f>
        <v/>
      </c>
      <c r="D42" s="6">
        <f>IF(SUMPRODUCT((Marks!$B$3:$Y$3=D$4)*ISNUMBER(Marks!$B$42:$Y$42))=0,"",SUMPRODUCT((Marks!$B$3:$Y$3=D$4)*(Marks!$B$42:$Y$42=1))/SUMPRODUCT((Marks!$B$3:$Y$3=D$4)*ISNUMBER(Marks!$B$42:$Y$42)))</f>
        <v/>
      </c>
    </row>
    <row r="43">
      <c r="A43" t="n">
        <v>39</v>
      </c>
      <c r="B43" s="6">
        <f>IF(SUMPRODUCT((Marks!$B$3:$Y$3=B$4)*ISNUMBER(Marks!$B$43:$Y$43))=0,"",SUMPRODUCT((Marks!$B$3:$Y$3=B$4)*(Marks!$B$43:$Y$43=1))/SUMPRODUCT((Marks!$B$3:$Y$3=B$4)*ISNUMBER(Marks!$B$43:$Y$43)))</f>
        <v/>
      </c>
      <c r="C43" s="6">
        <f>IF(SUMPRODUCT((Marks!$B$3:$Y$3=C$4)*ISNUMBER(Marks!$B$43:$Y$43))=0,"",SUMPRODUCT((Marks!$B$3:$Y$3=C$4)*(Marks!$B$43:$Y$43=1))/SUMPRODUCT((Marks!$B$3:$Y$3=C$4)*ISNUMBER(Marks!$B$43:$Y$43)))</f>
        <v/>
      </c>
      <c r="D43" s="6">
        <f>IF(SUMPRODUCT((Marks!$B$3:$Y$3=D$4)*ISNUMBER(Marks!$B$43:$Y$43))=0,"",SUMPRODUCT((Marks!$B$3:$Y$3=D$4)*(Marks!$B$43:$Y$43=1))/SUMPRODUCT((Marks!$B$3:$Y$3=D$4)*ISNUMBER(Marks!$B$43:$Y$43)))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</cols>
  <sheetData>
    <row r="1">
      <c r="A1" s="3" t="inlineStr">
        <is>
          <t>Step one: each part's rating beside its score</t>
        </is>
      </c>
    </row>
    <row r="2">
      <c r="A2" t="inlineStr">
        <is>
          <t>Type each seat's ratings, 1 to 4, from the answer sheet; the rates on the right are computed.</t>
        </is>
      </c>
    </row>
    <row r="3">
      <c r="B3" t="n">
        <v>1</v>
      </c>
      <c r="C3" t="n">
        <v>2</v>
      </c>
      <c r="D3" t="n">
        <v>3</v>
      </c>
      <c r="E3" t="n">
        <v>4</v>
      </c>
      <c r="F3" t="n">
        <v>5</v>
      </c>
      <c r="H3" t="n">
        <v>1</v>
      </c>
      <c r="I3" t="n">
        <v>2</v>
      </c>
      <c r="J3" t="n">
        <v>3</v>
      </c>
      <c r="K3" t="n">
        <v>4</v>
      </c>
      <c r="L3" t="n">
        <v>5</v>
      </c>
    </row>
    <row r="4">
      <c r="A4" s="4" t="inlineStr">
        <is>
          <t>Seat</t>
        </is>
      </c>
      <c r="B4" s="4" t="inlineStr">
        <is>
          <t>Rating, part 1</t>
        </is>
      </c>
      <c r="C4" s="4" t="inlineStr">
        <is>
          <t>Rating, part 2</t>
        </is>
      </c>
      <c r="D4" s="4" t="inlineStr">
        <is>
          <t>Rating, part 3</t>
        </is>
      </c>
      <c r="E4" s="4" t="inlineStr">
        <is>
          <t>Rating, part 4</t>
        </is>
      </c>
      <c r="F4" s="4" t="inlineStr">
        <is>
          <t>Rating, part 5</t>
        </is>
      </c>
      <c r="H4" s="4" t="inlineStr">
        <is>
          <t>Right rate, part 1</t>
        </is>
      </c>
      <c r="I4" s="4" t="inlineStr">
        <is>
          <t>Right rate, part 2</t>
        </is>
      </c>
      <c r="J4" s="4" t="inlineStr">
        <is>
          <t>Right rate, part 3</t>
        </is>
      </c>
      <c r="K4" s="4" t="inlineStr">
        <is>
          <t>Right rate, part 4</t>
        </is>
      </c>
      <c r="L4" s="4" t="inlineStr">
        <is>
          <t>Right rate, part 5</t>
        </is>
      </c>
    </row>
    <row r="5">
      <c r="A5" t="n">
        <v>1</v>
      </c>
      <c r="B5" s="5" t="n"/>
      <c r="C5" s="5" t="n"/>
      <c r="D5" s="5" t="n"/>
      <c r="E5" s="5" t="n"/>
      <c r="F5" s="5" t="n"/>
      <c r="H5" s="6">
        <f>IF(SUMPRODUCT((Marks!$B$2:$Y$2=H$3)*ISNUMBER(Marks!$B$5:$Y$5))=0,"",SUMPRODUCT((Marks!$B$2:$Y$2=H$3)*(Marks!$B$5:$Y$5=1))/SUMPRODUCT((Marks!$B$2:$Y$2=H$3)*ISNUMBER(Marks!$B$5:$Y$5)))</f>
        <v/>
      </c>
      <c r="I5" s="6">
        <f>IF(SUMPRODUCT((Marks!$B$2:$Y$2=I$3)*ISNUMBER(Marks!$B$5:$Y$5))=0,"",SUMPRODUCT((Marks!$B$2:$Y$2=I$3)*(Marks!$B$5:$Y$5=1))/SUMPRODUCT((Marks!$B$2:$Y$2=I$3)*ISNUMBER(Marks!$B$5:$Y$5)))</f>
        <v/>
      </c>
      <c r="J5" s="6">
        <f>IF(SUMPRODUCT((Marks!$B$2:$Y$2=J$3)*ISNUMBER(Marks!$B$5:$Y$5))=0,"",SUMPRODUCT((Marks!$B$2:$Y$2=J$3)*(Marks!$B$5:$Y$5=1))/SUMPRODUCT((Marks!$B$2:$Y$2=J$3)*ISNUMBER(Marks!$B$5:$Y$5)))</f>
        <v/>
      </c>
      <c r="K5" s="6">
        <f>IF(SUMPRODUCT((Marks!$B$2:$Y$2=K$3)*ISNUMBER(Marks!$B$5:$Y$5))=0,"",SUMPRODUCT((Marks!$B$2:$Y$2=K$3)*(Marks!$B$5:$Y$5=1))/SUMPRODUCT((Marks!$B$2:$Y$2=K$3)*ISNUMBER(Marks!$B$5:$Y$5)))</f>
        <v/>
      </c>
      <c r="L5" s="6">
        <f>IF(SUMPRODUCT((Marks!$B$2:$Y$2=L$3)*ISNUMBER(Marks!$B$5:$Y$5))=0,"",SUMPRODUCT((Marks!$B$2:$Y$2=L$3)*(Marks!$B$5:$Y$5=1))/SUMPRODUCT((Marks!$B$2:$Y$2=L$3)*ISNUMBER(Marks!$B$5:$Y$5)))</f>
        <v/>
      </c>
    </row>
    <row r="6">
      <c r="A6" t="n">
        <v>2</v>
      </c>
      <c r="B6" s="5" t="n"/>
      <c r="C6" s="5" t="n"/>
      <c r="D6" s="5" t="n"/>
      <c r="E6" s="5" t="n"/>
      <c r="F6" s="5" t="n"/>
      <c r="H6" s="6">
        <f>IF(SUMPRODUCT((Marks!$B$2:$Y$2=H$3)*ISNUMBER(Marks!$B$6:$Y$6))=0,"",SUMPRODUCT((Marks!$B$2:$Y$2=H$3)*(Marks!$B$6:$Y$6=1))/SUMPRODUCT((Marks!$B$2:$Y$2=H$3)*ISNUMBER(Marks!$B$6:$Y$6)))</f>
        <v/>
      </c>
      <c r="I6" s="6">
        <f>IF(SUMPRODUCT((Marks!$B$2:$Y$2=I$3)*ISNUMBER(Marks!$B$6:$Y$6))=0,"",SUMPRODUCT((Marks!$B$2:$Y$2=I$3)*(Marks!$B$6:$Y$6=1))/SUMPRODUCT((Marks!$B$2:$Y$2=I$3)*ISNUMBER(Marks!$B$6:$Y$6)))</f>
        <v/>
      </c>
      <c r="J6" s="6">
        <f>IF(SUMPRODUCT((Marks!$B$2:$Y$2=J$3)*ISNUMBER(Marks!$B$6:$Y$6))=0,"",SUMPRODUCT((Marks!$B$2:$Y$2=J$3)*(Marks!$B$6:$Y$6=1))/SUMPRODUCT((Marks!$B$2:$Y$2=J$3)*ISNUMBER(Marks!$B$6:$Y$6)))</f>
        <v/>
      </c>
      <c r="K6" s="6">
        <f>IF(SUMPRODUCT((Marks!$B$2:$Y$2=K$3)*ISNUMBER(Marks!$B$6:$Y$6))=0,"",SUMPRODUCT((Marks!$B$2:$Y$2=K$3)*(Marks!$B$6:$Y$6=1))/SUMPRODUCT((Marks!$B$2:$Y$2=K$3)*ISNUMBER(Marks!$B$6:$Y$6)))</f>
        <v/>
      </c>
      <c r="L6" s="6">
        <f>IF(SUMPRODUCT((Marks!$B$2:$Y$2=L$3)*ISNUMBER(Marks!$B$6:$Y$6))=0,"",SUMPRODUCT((Marks!$B$2:$Y$2=L$3)*(Marks!$B$6:$Y$6=1))/SUMPRODUCT((Marks!$B$2:$Y$2=L$3)*ISNUMBER(Marks!$B$6:$Y$6)))</f>
        <v/>
      </c>
    </row>
    <row r="7">
      <c r="A7" t="n">
        <v>3</v>
      </c>
      <c r="B7" s="5" t="n"/>
      <c r="C7" s="5" t="n"/>
      <c r="D7" s="5" t="n"/>
      <c r="E7" s="5" t="n"/>
      <c r="F7" s="5" t="n"/>
      <c r="H7" s="6">
        <f>IF(SUMPRODUCT((Marks!$B$2:$Y$2=H$3)*ISNUMBER(Marks!$B$7:$Y$7))=0,"",SUMPRODUCT((Marks!$B$2:$Y$2=H$3)*(Marks!$B$7:$Y$7=1))/SUMPRODUCT((Marks!$B$2:$Y$2=H$3)*ISNUMBER(Marks!$B$7:$Y$7)))</f>
        <v/>
      </c>
      <c r="I7" s="6">
        <f>IF(SUMPRODUCT((Marks!$B$2:$Y$2=I$3)*ISNUMBER(Marks!$B$7:$Y$7))=0,"",SUMPRODUCT((Marks!$B$2:$Y$2=I$3)*(Marks!$B$7:$Y$7=1))/SUMPRODUCT((Marks!$B$2:$Y$2=I$3)*ISNUMBER(Marks!$B$7:$Y$7)))</f>
        <v/>
      </c>
      <c r="J7" s="6">
        <f>IF(SUMPRODUCT((Marks!$B$2:$Y$2=J$3)*ISNUMBER(Marks!$B$7:$Y$7))=0,"",SUMPRODUCT((Marks!$B$2:$Y$2=J$3)*(Marks!$B$7:$Y$7=1))/SUMPRODUCT((Marks!$B$2:$Y$2=J$3)*ISNUMBER(Marks!$B$7:$Y$7)))</f>
        <v/>
      </c>
      <c r="K7" s="6">
        <f>IF(SUMPRODUCT((Marks!$B$2:$Y$2=K$3)*ISNUMBER(Marks!$B$7:$Y$7))=0,"",SUMPRODUCT((Marks!$B$2:$Y$2=K$3)*(Marks!$B$7:$Y$7=1))/SUMPRODUCT((Marks!$B$2:$Y$2=K$3)*ISNUMBER(Marks!$B$7:$Y$7)))</f>
        <v/>
      </c>
      <c r="L7" s="6">
        <f>IF(SUMPRODUCT((Marks!$B$2:$Y$2=L$3)*ISNUMBER(Marks!$B$7:$Y$7))=0,"",SUMPRODUCT((Marks!$B$2:$Y$2=L$3)*(Marks!$B$7:$Y$7=1))/SUMPRODUCT((Marks!$B$2:$Y$2=L$3)*ISNUMBER(Marks!$B$7:$Y$7)))</f>
        <v/>
      </c>
    </row>
    <row r="8">
      <c r="A8" t="n">
        <v>4</v>
      </c>
      <c r="B8" s="5" t="n"/>
      <c r="C8" s="5" t="n"/>
      <c r="D8" s="5" t="n"/>
      <c r="E8" s="5" t="n"/>
      <c r="F8" s="5" t="n"/>
      <c r="H8" s="6">
        <f>IF(SUMPRODUCT((Marks!$B$2:$Y$2=H$3)*ISNUMBER(Marks!$B$8:$Y$8))=0,"",SUMPRODUCT((Marks!$B$2:$Y$2=H$3)*(Marks!$B$8:$Y$8=1))/SUMPRODUCT((Marks!$B$2:$Y$2=H$3)*ISNUMBER(Marks!$B$8:$Y$8)))</f>
        <v/>
      </c>
      <c r="I8" s="6">
        <f>IF(SUMPRODUCT((Marks!$B$2:$Y$2=I$3)*ISNUMBER(Marks!$B$8:$Y$8))=0,"",SUMPRODUCT((Marks!$B$2:$Y$2=I$3)*(Marks!$B$8:$Y$8=1))/SUMPRODUCT((Marks!$B$2:$Y$2=I$3)*ISNUMBER(Marks!$B$8:$Y$8)))</f>
        <v/>
      </c>
      <c r="J8" s="6">
        <f>IF(SUMPRODUCT((Marks!$B$2:$Y$2=J$3)*ISNUMBER(Marks!$B$8:$Y$8))=0,"",SUMPRODUCT((Marks!$B$2:$Y$2=J$3)*(Marks!$B$8:$Y$8=1))/SUMPRODUCT((Marks!$B$2:$Y$2=J$3)*ISNUMBER(Marks!$B$8:$Y$8)))</f>
        <v/>
      </c>
      <c r="K8" s="6">
        <f>IF(SUMPRODUCT((Marks!$B$2:$Y$2=K$3)*ISNUMBER(Marks!$B$8:$Y$8))=0,"",SUMPRODUCT((Marks!$B$2:$Y$2=K$3)*(Marks!$B$8:$Y$8=1))/SUMPRODUCT((Marks!$B$2:$Y$2=K$3)*ISNUMBER(Marks!$B$8:$Y$8)))</f>
        <v/>
      </c>
      <c r="L8" s="6">
        <f>IF(SUMPRODUCT((Marks!$B$2:$Y$2=L$3)*ISNUMBER(Marks!$B$8:$Y$8))=0,"",SUMPRODUCT((Marks!$B$2:$Y$2=L$3)*(Marks!$B$8:$Y$8=1))/SUMPRODUCT((Marks!$B$2:$Y$2=L$3)*ISNUMBER(Marks!$B$8:$Y$8)))</f>
        <v/>
      </c>
    </row>
    <row r="9">
      <c r="A9" t="n">
        <v>5</v>
      </c>
      <c r="B9" s="5" t="n"/>
      <c r="C9" s="5" t="n"/>
      <c r="D9" s="5" t="n"/>
      <c r="E9" s="5" t="n"/>
      <c r="F9" s="5" t="n"/>
      <c r="H9" s="6">
        <f>IF(SUMPRODUCT((Marks!$B$2:$Y$2=H$3)*ISNUMBER(Marks!$B$9:$Y$9))=0,"",SUMPRODUCT((Marks!$B$2:$Y$2=H$3)*(Marks!$B$9:$Y$9=1))/SUMPRODUCT((Marks!$B$2:$Y$2=H$3)*ISNUMBER(Marks!$B$9:$Y$9)))</f>
        <v/>
      </c>
      <c r="I9" s="6">
        <f>IF(SUMPRODUCT((Marks!$B$2:$Y$2=I$3)*ISNUMBER(Marks!$B$9:$Y$9))=0,"",SUMPRODUCT((Marks!$B$2:$Y$2=I$3)*(Marks!$B$9:$Y$9=1))/SUMPRODUCT((Marks!$B$2:$Y$2=I$3)*ISNUMBER(Marks!$B$9:$Y$9)))</f>
        <v/>
      </c>
      <c r="J9" s="6">
        <f>IF(SUMPRODUCT((Marks!$B$2:$Y$2=J$3)*ISNUMBER(Marks!$B$9:$Y$9))=0,"",SUMPRODUCT((Marks!$B$2:$Y$2=J$3)*(Marks!$B$9:$Y$9=1))/SUMPRODUCT((Marks!$B$2:$Y$2=J$3)*ISNUMBER(Marks!$B$9:$Y$9)))</f>
        <v/>
      </c>
      <c r="K9" s="6">
        <f>IF(SUMPRODUCT((Marks!$B$2:$Y$2=K$3)*ISNUMBER(Marks!$B$9:$Y$9))=0,"",SUMPRODUCT((Marks!$B$2:$Y$2=K$3)*(Marks!$B$9:$Y$9=1))/SUMPRODUCT((Marks!$B$2:$Y$2=K$3)*ISNUMBER(Marks!$B$9:$Y$9)))</f>
        <v/>
      </c>
      <c r="L9" s="6">
        <f>IF(SUMPRODUCT((Marks!$B$2:$Y$2=L$3)*ISNUMBER(Marks!$B$9:$Y$9))=0,"",SUMPRODUCT((Marks!$B$2:$Y$2=L$3)*(Marks!$B$9:$Y$9=1))/SUMPRODUCT((Marks!$B$2:$Y$2=L$3)*ISNUMBER(Marks!$B$9:$Y$9)))</f>
        <v/>
      </c>
    </row>
    <row r="10">
      <c r="A10" t="n">
        <v>6</v>
      </c>
      <c r="B10" s="5" t="n"/>
      <c r="C10" s="5" t="n"/>
      <c r="D10" s="5" t="n"/>
      <c r="E10" s="5" t="n"/>
      <c r="F10" s="5" t="n"/>
      <c r="H10" s="6">
        <f>IF(SUMPRODUCT((Marks!$B$2:$Y$2=H$3)*ISNUMBER(Marks!$B$10:$Y$10))=0,"",SUMPRODUCT((Marks!$B$2:$Y$2=H$3)*(Marks!$B$10:$Y$10=1))/SUMPRODUCT((Marks!$B$2:$Y$2=H$3)*ISNUMBER(Marks!$B$10:$Y$10)))</f>
        <v/>
      </c>
      <c r="I10" s="6">
        <f>IF(SUMPRODUCT((Marks!$B$2:$Y$2=I$3)*ISNUMBER(Marks!$B$10:$Y$10))=0,"",SUMPRODUCT((Marks!$B$2:$Y$2=I$3)*(Marks!$B$10:$Y$10=1))/SUMPRODUCT((Marks!$B$2:$Y$2=I$3)*ISNUMBER(Marks!$B$10:$Y$10)))</f>
        <v/>
      </c>
      <c r="J10" s="6">
        <f>IF(SUMPRODUCT((Marks!$B$2:$Y$2=J$3)*ISNUMBER(Marks!$B$10:$Y$10))=0,"",SUMPRODUCT((Marks!$B$2:$Y$2=J$3)*(Marks!$B$10:$Y$10=1))/SUMPRODUCT((Marks!$B$2:$Y$2=J$3)*ISNUMBER(Marks!$B$10:$Y$10)))</f>
        <v/>
      </c>
      <c r="K10" s="6">
        <f>IF(SUMPRODUCT((Marks!$B$2:$Y$2=K$3)*ISNUMBER(Marks!$B$10:$Y$10))=0,"",SUMPRODUCT((Marks!$B$2:$Y$2=K$3)*(Marks!$B$10:$Y$10=1))/SUMPRODUCT((Marks!$B$2:$Y$2=K$3)*ISNUMBER(Marks!$B$10:$Y$10)))</f>
        <v/>
      </c>
      <c r="L10" s="6">
        <f>IF(SUMPRODUCT((Marks!$B$2:$Y$2=L$3)*ISNUMBER(Marks!$B$10:$Y$10))=0,"",SUMPRODUCT((Marks!$B$2:$Y$2=L$3)*(Marks!$B$10:$Y$10=1))/SUMPRODUCT((Marks!$B$2:$Y$2=L$3)*ISNUMBER(Marks!$B$10:$Y$10)))</f>
        <v/>
      </c>
    </row>
    <row r="11">
      <c r="A11" t="n">
        <v>7</v>
      </c>
      <c r="B11" s="5" t="n"/>
      <c r="C11" s="5" t="n"/>
      <c r="D11" s="5" t="n"/>
      <c r="E11" s="5" t="n"/>
      <c r="F11" s="5" t="n"/>
      <c r="H11" s="6">
        <f>IF(SUMPRODUCT((Marks!$B$2:$Y$2=H$3)*ISNUMBER(Marks!$B$11:$Y$11))=0,"",SUMPRODUCT((Marks!$B$2:$Y$2=H$3)*(Marks!$B$11:$Y$11=1))/SUMPRODUCT((Marks!$B$2:$Y$2=H$3)*ISNUMBER(Marks!$B$11:$Y$11)))</f>
        <v/>
      </c>
      <c r="I11" s="6">
        <f>IF(SUMPRODUCT((Marks!$B$2:$Y$2=I$3)*ISNUMBER(Marks!$B$11:$Y$11))=0,"",SUMPRODUCT((Marks!$B$2:$Y$2=I$3)*(Marks!$B$11:$Y$11=1))/SUMPRODUCT((Marks!$B$2:$Y$2=I$3)*ISNUMBER(Marks!$B$11:$Y$11)))</f>
        <v/>
      </c>
      <c r="J11" s="6">
        <f>IF(SUMPRODUCT((Marks!$B$2:$Y$2=J$3)*ISNUMBER(Marks!$B$11:$Y$11))=0,"",SUMPRODUCT((Marks!$B$2:$Y$2=J$3)*(Marks!$B$11:$Y$11=1))/SUMPRODUCT((Marks!$B$2:$Y$2=J$3)*ISNUMBER(Marks!$B$11:$Y$11)))</f>
        <v/>
      </c>
      <c r="K11" s="6">
        <f>IF(SUMPRODUCT((Marks!$B$2:$Y$2=K$3)*ISNUMBER(Marks!$B$11:$Y$11))=0,"",SUMPRODUCT((Marks!$B$2:$Y$2=K$3)*(Marks!$B$11:$Y$11=1))/SUMPRODUCT((Marks!$B$2:$Y$2=K$3)*ISNUMBER(Marks!$B$11:$Y$11)))</f>
        <v/>
      </c>
      <c r="L11" s="6">
        <f>IF(SUMPRODUCT((Marks!$B$2:$Y$2=L$3)*ISNUMBER(Marks!$B$11:$Y$11))=0,"",SUMPRODUCT((Marks!$B$2:$Y$2=L$3)*(Marks!$B$11:$Y$11=1))/SUMPRODUCT((Marks!$B$2:$Y$2=L$3)*ISNUMBER(Marks!$B$11:$Y$11)))</f>
        <v/>
      </c>
    </row>
    <row r="12">
      <c r="A12" t="n">
        <v>8</v>
      </c>
      <c r="B12" s="5" t="n"/>
      <c r="C12" s="5" t="n"/>
      <c r="D12" s="5" t="n"/>
      <c r="E12" s="5" t="n"/>
      <c r="F12" s="5" t="n"/>
      <c r="H12" s="6">
        <f>IF(SUMPRODUCT((Marks!$B$2:$Y$2=H$3)*ISNUMBER(Marks!$B$12:$Y$12))=0,"",SUMPRODUCT((Marks!$B$2:$Y$2=H$3)*(Marks!$B$12:$Y$12=1))/SUMPRODUCT((Marks!$B$2:$Y$2=H$3)*ISNUMBER(Marks!$B$12:$Y$12)))</f>
        <v/>
      </c>
      <c r="I12" s="6">
        <f>IF(SUMPRODUCT((Marks!$B$2:$Y$2=I$3)*ISNUMBER(Marks!$B$12:$Y$12))=0,"",SUMPRODUCT((Marks!$B$2:$Y$2=I$3)*(Marks!$B$12:$Y$12=1))/SUMPRODUCT((Marks!$B$2:$Y$2=I$3)*ISNUMBER(Marks!$B$12:$Y$12)))</f>
        <v/>
      </c>
      <c r="J12" s="6">
        <f>IF(SUMPRODUCT((Marks!$B$2:$Y$2=J$3)*ISNUMBER(Marks!$B$12:$Y$12))=0,"",SUMPRODUCT((Marks!$B$2:$Y$2=J$3)*(Marks!$B$12:$Y$12=1))/SUMPRODUCT((Marks!$B$2:$Y$2=J$3)*ISNUMBER(Marks!$B$12:$Y$12)))</f>
        <v/>
      </c>
      <c r="K12" s="6">
        <f>IF(SUMPRODUCT((Marks!$B$2:$Y$2=K$3)*ISNUMBER(Marks!$B$12:$Y$12))=0,"",SUMPRODUCT((Marks!$B$2:$Y$2=K$3)*(Marks!$B$12:$Y$12=1))/SUMPRODUCT((Marks!$B$2:$Y$2=K$3)*ISNUMBER(Marks!$B$12:$Y$12)))</f>
        <v/>
      </c>
      <c r="L12" s="6">
        <f>IF(SUMPRODUCT((Marks!$B$2:$Y$2=L$3)*ISNUMBER(Marks!$B$12:$Y$12))=0,"",SUMPRODUCT((Marks!$B$2:$Y$2=L$3)*(Marks!$B$12:$Y$12=1))/SUMPRODUCT((Marks!$B$2:$Y$2=L$3)*ISNUMBER(Marks!$B$12:$Y$12)))</f>
        <v/>
      </c>
    </row>
    <row r="13">
      <c r="A13" t="n">
        <v>9</v>
      </c>
      <c r="B13" s="5" t="n"/>
      <c r="C13" s="5" t="n"/>
      <c r="D13" s="5" t="n"/>
      <c r="E13" s="5" t="n"/>
      <c r="F13" s="5" t="n"/>
      <c r="H13" s="6">
        <f>IF(SUMPRODUCT((Marks!$B$2:$Y$2=H$3)*ISNUMBER(Marks!$B$13:$Y$13))=0,"",SUMPRODUCT((Marks!$B$2:$Y$2=H$3)*(Marks!$B$13:$Y$13=1))/SUMPRODUCT((Marks!$B$2:$Y$2=H$3)*ISNUMBER(Marks!$B$13:$Y$13)))</f>
        <v/>
      </c>
      <c r="I13" s="6">
        <f>IF(SUMPRODUCT((Marks!$B$2:$Y$2=I$3)*ISNUMBER(Marks!$B$13:$Y$13))=0,"",SUMPRODUCT((Marks!$B$2:$Y$2=I$3)*(Marks!$B$13:$Y$13=1))/SUMPRODUCT((Marks!$B$2:$Y$2=I$3)*ISNUMBER(Marks!$B$13:$Y$13)))</f>
        <v/>
      </c>
      <c r="J13" s="6">
        <f>IF(SUMPRODUCT((Marks!$B$2:$Y$2=J$3)*ISNUMBER(Marks!$B$13:$Y$13))=0,"",SUMPRODUCT((Marks!$B$2:$Y$2=J$3)*(Marks!$B$13:$Y$13=1))/SUMPRODUCT((Marks!$B$2:$Y$2=J$3)*ISNUMBER(Marks!$B$13:$Y$13)))</f>
        <v/>
      </c>
      <c r="K13" s="6">
        <f>IF(SUMPRODUCT((Marks!$B$2:$Y$2=K$3)*ISNUMBER(Marks!$B$13:$Y$13))=0,"",SUMPRODUCT((Marks!$B$2:$Y$2=K$3)*(Marks!$B$13:$Y$13=1))/SUMPRODUCT((Marks!$B$2:$Y$2=K$3)*ISNUMBER(Marks!$B$13:$Y$13)))</f>
        <v/>
      </c>
      <c r="L13" s="6">
        <f>IF(SUMPRODUCT((Marks!$B$2:$Y$2=L$3)*ISNUMBER(Marks!$B$13:$Y$13))=0,"",SUMPRODUCT((Marks!$B$2:$Y$2=L$3)*(Marks!$B$13:$Y$13=1))/SUMPRODUCT((Marks!$B$2:$Y$2=L$3)*ISNUMBER(Marks!$B$13:$Y$13)))</f>
        <v/>
      </c>
    </row>
    <row r="14">
      <c r="A14" t="n">
        <v>10</v>
      </c>
      <c r="B14" s="5" t="n"/>
      <c r="C14" s="5" t="n"/>
      <c r="D14" s="5" t="n"/>
      <c r="E14" s="5" t="n"/>
      <c r="F14" s="5" t="n"/>
      <c r="H14" s="6">
        <f>IF(SUMPRODUCT((Marks!$B$2:$Y$2=H$3)*ISNUMBER(Marks!$B$14:$Y$14))=0,"",SUMPRODUCT((Marks!$B$2:$Y$2=H$3)*(Marks!$B$14:$Y$14=1))/SUMPRODUCT((Marks!$B$2:$Y$2=H$3)*ISNUMBER(Marks!$B$14:$Y$14)))</f>
        <v/>
      </c>
      <c r="I14" s="6">
        <f>IF(SUMPRODUCT((Marks!$B$2:$Y$2=I$3)*ISNUMBER(Marks!$B$14:$Y$14))=0,"",SUMPRODUCT((Marks!$B$2:$Y$2=I$3)*(Marks!$B$14:$Y$14=1))/SUMPRODUCT((Marks!$B$2:$Y$2=I$3)*ISNUMBER(Marks!$B$14:$Y$14)))</f>
        <v/>
      </c>
      <c r="J14" s="6">
        <f>IF(SUMPRODUCT((Marks!$B$2:$Y$2=J$3)*ISNUMBER(Marks!$B$14:$Y$14))=0,"",SUMPRODUCT((Marks!$B$2:$Y$2=J$3)*(Marks!$B$14:$Y$14=1))/SUMPRODUCT((Marks!$B$2:$Y$2=J$3)*ISNUMBER(Marks!$B$14:$Y$14)))</f>
        <v/>
      </c>
      <c r="K14" s="6">
        <f>IF(SUMPRODUCT((Marks!$B$2:$Y$2=K$3)*ISNUMBER(Marks!$B$14:$Y$14))=0,"",SUMPRODUCT((Marks!$B$2:$Y$2=K$3)*(Marks!$B$14:$Y$14=1))/SUMPRODUCT((Marks!$B$2:$Y$2=K$3)*ISNUMBER(Marks!$B$14:$Y$14)))</f>
        <v/>
      </c>
      <c r="L14" s="6">
        <f>IF(SUMPRODUCT((Marks!$B$2:$Y$2=L$3)*ISNUMBER(Marks!$B$14:$Y$14))=0,"",SUMPRODUCT((Marks!$B$2:$Y$2=L$3)*(Marks!$B$14:$Y$14=1))/SUMPRODUCT((Marks!$B$2:$Y$2=L$3)*ISNUMBER(Marks!$B$14:$Y$14)))</f>
        <v/>
      </c>
    </row>
    <row r="15">
      <c r="A15" t="n">
        <v>11</v>
      </c>
      <c r="B15" s="5" t="n"/>
      <c r="C15" s="5" t="n"/>
      <c r="D15" s="5" t="n"/>
      <c r="E15" s="5" t="n"/>
      <c r="F15" s="5" t="n"/>
      <c r="H15" s="6">
        <f>IF(SUMPRODUCT((Marks!$B$2:$Y$2=H$3)*ISNUMBER(Marks!$B$15:$Y$15))=0,"",SUMPRODUCT((Marks!$B$2:$Y$2=H$3)*(Marks!$B$15:$Y$15=1))/SUMPRODUCT((Marks!$B$2:$Y$2=H$3)*ISNUMBER(Marks!$B$15:$Y$15)))</f>
        <v/>
      </c>
      <c r="I15" s="6">
        <f>IF(SUMPRODUCT((Marks!$B$2:$Y$2=I$3)*ISNUMBER(Marks!$B$15:$Y$15))=0,"",SUMPRODUCT((Marks!$B$2:$Y$2=I$3)*(Marks!$B$15:$Y$15=1))/SUMPRODUCT((Marks!$B$2:$Y$2=I$3)*ISNUMBER(Marks!$B$15:$Y$15)))</f>
        <v/>
      </c>
      <c r="J15" s="6">
        <f>IF(SUMPRODUCT((Marks!$B$2:$Y$2=J$3)*ISNUMBER(Marks!$B$15:$Y$15))=0,"",SUMPRODUCT((Marks!$B$2:$Y$2=J$3)*(Marks!$B$15:$Y$15=1))/SUMPRODUCT((Marks!$B$2:$Y$2=J$3)*ISNUMBER(Marks!$B$15:$Y$15)))</f>
        <v/>
      </c>
      <c r="K15" s="6">
        <f>IF(SUMPRODUCT((Marks!$B$2:$Y$2=K$3)*ISNUMBER(Marks!$B$15:$Y$15))=0,"",SUMPRODUCT((Marks!$B$2:$Y$2=K$3)*(Marks!$B$15:$Y$15=1))/SUMPRODUCT((Marks!$B$2:$Y$2=K$3)*ISNUMBER(Marks!$B$15:$Y$15)))</f>
        <v/>
      </c>
      <c r="L15" s="6">
        <f>IF(SUMPRODUCT((Marks!$B$2:$Y$2=L$3)*ISNUMBER(Marks!$B$15:$Y$15))=0,"",SUMPRODUCT((Marks!$B$2:$Y$2=L$3)*(Marks!$B$15:$Y$15=1))/SUMPRODUCT((Marks!$B$2:$Y$2=L$3)*ISNUMBER(Marks!$B$15:$Y$15)))</f>
        <v/>
      </c>
    </row>
    <row r="16">
      <c r="A16" t="n">
        <v>12</v>
      </c>
      <c r="B16" s="5" t="n"/>
      <c r="C16" s="5" t="n"/>
      <c r="D16" s="5" t="n"/>
      <c r="E16" s="5" t="n"/>
      <c r="F16" s="5" t="n"/>
      <c r="H16" s="6">
        <f>IF(SUMPRODUCT((Marks!$B$2:$Y$2=H$3)*ISNUMBER(Marks!$B$16:$Y$16))=0,"",SUMPRODUCT((Marks!$B$2:$Y$2=H$3)*(Marks!$B$16:$Y$16=1))/SUMPRODUCT((Marks!$B$2:$Y$2=H$3)*ISNUMBER(Marks!$B$16:$Y$16)))</f>
        <v/>
      </c>
      <c r="I16" s="6">
        <f>IF(SUMPRODUCT((Marks!$B$2:$Y$2=I$3)*ISNUMBER(Marks!$B$16:$Y$16))=0,"",SUMPRODUCT((Marks!$B$2:$Y$2=I$3)*(Marks!$B$16:$Y$16=1))/SUMPRODUCT((Marks!$B$2:$Y$2=I$3)*ISNUMBER(Marks!$B$16:$Y$16)))</f>
        <v/>
      </c>
      <c r="J16" s="6">
        <f>IF(SUMPRODUCT((Marks!$B$2:$Y$2=J$3)*ISNUMBER(Marks!$B$16:$Y$16))=0,"",SUMPRODUCT((Marks!$B$2:$Y$2=J$3)*(Marks!$B$16:$Y$16=1))/SUMPRODUCT((Marks!$B$2:$Y$2=J$3)*ISNUMBER(Marks!$B$16:$Y$16)))</f>
        <v/>
      </c>
      <c r="K16" s="6">
        <f>IF(SUMPRODUCT((Marks!$B$2:$Y$2=K$3)*ISNUMBER(Marks!$B$16:$Y$16))=0,"",SUMPRODUCT((Marks!$B$2:$Y$2=K$3)*(Marks!$B$16:$Y$16=1))/SUMPRODUCT((Marks!$B$2:$Y$2=K$3)*ISNUMBER(Marks!$B$16:$Y$16)))</f>
        <v/>
      </c>
      <c r="L16" s="6">
        <f>IF(SUMPRODUCT((Marks!$B$2:$Y$2=L$3)*ISNUMBER(Marks!$B$16:$Y$16))=0,"",SUMPRODUCT((Marks!$B$2:$Y$2=L$3)*(Marks!$B$16:$Y$16=1))/SUMPRODUCT((Marks!$B$2:$Y$2=L$3)*ISNUMBER(Marks!$B$16:$Y$16)))</f>
        <v/>
      </c>
    </row>
    <row r="17">
      <c r="A17" t="n">
        <v>13</v>
      </c>
      <c r="B17" s="5" t="n"/>
      <c r="C17" s="5" t="n"/>
      <c r="D17" s="5" t="n"/>
      <c r="E17" s="5" t="n"/>
      <c r="F17" s="5" t="n"/>
      <c r="H17" s="6">
        <f>IF(SUMPRODUCT((Marks!$B$2:$Y$2=H$3)*ISNUMBER(Marks!$B$17:$Y$17))=0,"",SUMPRODUCT((Marks!$B$2:$Y$2=H$3)*(Marks!$B$17:$Y$17=1))/SUMPRODUCT((Marks!$B$2:$Y$2=H$3)*ISNUMBER(Marks!$B$17:$Y$17)))</f>
        <v/>
      </c>
      <c r="I17" s="6">
        <f>IF(SUMPRODUCT((Marks!$B$2:$Y$2=I$3)*ISNUMBER(Marks!$B$17:$Y$17))=0,"",SUMPRODUCT((Marks!$B$2:$Y$2=I$3)*(Marks!$B$17:$Y$17=1))/SUMPRODUCT((Marks!$B$2:$Y$2=I$3)*ISNUMBER(Marks!$B$17:$Y$17)))</f>
        <v/>
      </c>
      <c r="J17" s="6">
        <f>IF(SUMPRODUCT((Marks!$B$2:$Y$2=J$3)*ISNUMBER(Marks!$B$17:$Y$17))=0,"",SUMPRODUCT((Marks!$B$2:$Y$2=J$3)*(Marks!$B$17:$Y$17=1))/SUMPRODUCT((Marks!$B$2:$Y$2=J$3)*ISNUMBER(Marks!$B$17:$Y$17)))</f>
        <v/>
      </c>
      <c r="K17" s="6">
        <f>IF(SUMPRODUCT((Marks!$B$2:$Y$2=K$3)*ISNUMBER(Marks!$B$17:$Y$17))=0,"",SUMPRODUCT((Marks!$B$2:$Y$2=K$3)*(Marks!$B$17:$Y$17=1))/SUMPRODUCT((Marks!$B$2:$Y$2=K$3)*ISNUMBER(Marks!$B$17:$Y$17)))</f>
        <v/>
      </c>
      <c r="L17" s="6">
        <f>IF(SUMPRODUCT((Marks!$B$2:$Y$2=L$3)*ISNUMBER(Marks!$B$17:$Y$17))=0,"",SUMPRODUCT((Marks!$B$2:$Y$2=L$3)*(Marks!$B$17:$Y$17=1))/SUMPRODUCT((Marks!$B$2:$Y$2=L$3)*ISNUMBER(Marks!$B$17:$Y$17)))</f>
        <v/>
      </c>
    </row>
    <row r="18">
      <c r="A18" t="n">
        <v>14</v>
      </c>
      <c r="B18" s="5" t="n"/>
      <c r="C18" s="5" t="n"/>
      <c r="D18" s="5" t="n"/>
      <c r="E18" s="5" t="n"/>
      <c r="F18" s="5" t="n"/>
      <c r="H18" s="6">
        <f>IF(SUMPRODUCT((Marks!$B$2:$Y$2=H$3)*ISNUMBER(Marks!$B$18:$Y$18))=0,"",SUMPRODUCT((Marks!$B$2:$Y$2=H$3)*(Marks!$B$18:$Y$18=1))/SUMPRODUCT((Marks!$B$2:$Y$2=H$3)*ISNUMBER(Marks!$B$18:$Y$18)))</f>
        <v/>
      </c>
      <c r="I18" s="6">
        <f>IF(SUMPRODUCT((Marks!$B$2:$Y$2=I$3)*ISNUMBER(Marks!$B$18:$Y$18))=0,"",SUMPRODUCT((Marks!$B$2:$Y$2=I$3)*(Marks!$B$18:$Y$18=1))/SUMPRODUCT((Marks!$B$2:$Y$2=I$3)*ISNUMBER(Marks!$B$18:$Y$18)))</f>
        <v/>
      </c>
      <c r="J18" s="6">
        <f>IF(SUMPRODUCT((Marks!$B$2:$Y$2=J$3)*ISNUMBER(Marks!$B$18:$Y$18))=0,"",SUMPRODUCT((Marks!$B$2:$Y$2=J$3)*(Marks!$B$18:$Y$18=1))/SUMPRODUCT((Marks!$B$2:$Y$2=J$3)*ISNUMBER(Marks!$B$18:$Y$18)))</f>
        <v/>
      </c>
      <c r="K18" s="6">
        <f>IF(SUMPRODUCT((Marks!$B$2:$Y$2=K$3)*ISNUMBER(Marks!$B$18:$Y$18))=0,"",SUMPRODUCT((Marks!$B$2:$Y$2=K$3)*(Marks!$B$18:$Y$18=1))/SUMPRODUCT((Marks!$B$2:$Y$2=K$3)*ISNUMBER(Marks!$B$18:$Y$18)))</f>
        <v/>
      </c>
      <c r="L18" s="6">
        <f>IF(SUMPRODUCT((Marks!$B$2:$Y$2=L$3)*ISNUMBER(Marks!$B$18:$Y$18))=0,"",SUMPRODUCT((Marks!$B$2:$Y$2=L$3)*(Marks!$B$18:$Y$18=1))/SUMPRODUCT((Marks!$B$2:$Y$2=L$3)*ISNUMBER(Marks!$B$18:$Y$18)))</f>
        <v/>
      </c>
    </row>
    <row r="19">
      <c r="A19" t="n">
        <v>15</v>
      </c>
      <c r="B19" s="5" t="n"/>
      <c r="C19" s="5" t="n"/>
      <c r="D19" s="5" t="n"/>
      <c r="E19" s="5" t="n"/>
      <c r="F19" s="5" t="n"/>
      <c r="H19" s="6">
        <f>IF(SUMPRODUCT((Marks!$B$2:$Y$2=H$3)*ISNUMBER(Marks!$B$19:$Y$19))=0,"",SUMPRODUCT((Marks!$B$2:$Y$2=H$3)*(Marks!$B$19:$Y$19=1))/SUMPRODUCT((Marks!$B$2:$Y$2=H$3)*ISNUMBER(Marks!$B$19:$Y$19)))</f>
        <v/>
      </c>
      <c r="I19" s="6">
        <f>IF(SUMPRODUCT((Marks!$B$2:$Y$2=I$3)*ISNUMBER(Marks!$B$19:$Y$19))=0,"",SUMPRODUCT((Marks!$B$2:$Y$2=I$3)*(Marks!$B$19:$Y$19=1))/SUMPRODUCT((Marks!$B$2:$Y$2=I$3)*ISNUMBER(Marks!$B$19:$Y$19)))</f>
        <v/>
      </c>
      <c r="J19" s="6">
        <f>IF(SUMPRODUCT((Marks!$B$2:$Y$2=J$3)*ISNUMBER(Marks!$B$19:$Y$19))=0,"",SUMPRODUCT((Marks!$B$2:$Y$2=J$3)*(Marks!$B$19:$Y$19=1))/SUMPRODUCT((Marks!$B$2:$Y$2=J$3)*ISNUMBER(Marks!$B$19:$Y$19)))</f>
        <v/>
      </c>
      <c r="K19" s="6">
        <f>IF(SUMPRODUCT((Marks!$B$2:$Y$2=K$3)*ISNUMBER(Marks!$B$19:$Y$19))=0,"",SUMPRODUCT((Marks!$B$2:$Y$2=K$3)*(Marks!$B$19:$Y$19=1))/SUMPRODUCT((Marks!$B$2:$Y$2=K$3)*ISNUMBER(Marks!$B$19:$Y$19)))</f>
        <v/>
      </c>
      <c r="L19" s="6">
        <f>IF(SUMPRODUCT((Marks!$B$2:$Y$2=L$3)*ISNUMBER(Marks!$B$19:$Y$19))=0,"",SUMPRODUCT((Marks!$B$2:$Y$2=L$3)*(Marks!$B$19:$Y$19=1))/SUMPRODUCT((Marks!$B$2:$Y$2=L$3)*ISNUMBER(Marks!$B$19:$Y$19)))</f>
        <v/>
      </c>
    </row>
    <row r="20">
      <c r="A20" t="n">
        <v>16</v>
      </c>
      <c r="B20" s="5" t="n"/>
      <c r="C20" s="5" t="n"/>
      <c r="D20" s="5" t="n"/>
      <c r="E20" s="5" t="n"/>
      <c r="F20" s="5" t="n"/>
      <c r="H20" s="6">
        <f>IF(SUMPRODUCT((Marks!$B$2:$Y$2=H$3)*ISNUMBER(Marks!$B$20:$Y$20))=0,"",SUMPRODUCT((Marks!$B$2:$Y$2=H$3)*(Marks!$B$20:$Y$20=1))/SUMPRODUCT((Marks!$B$2:$Y$2=H$3)*ISNUMBER(Marks!$B$20:$Y$20)))</f>
        <v/>
      </c>
      <c r="I20" s="6">
        <f>IF(SUMPRODUCT((Marks!$B$2:$Y$2=I$3)*ISNUMBER(Marks!$B$20:$Y$20))=0,"",SUMPRODUCT((Marks!$B$2:$Y$2=I$3)*(Marks!$B$20:$Y$20=1))/SUMPRODUCT((Marks!$B$2:$Y$2=I$3)*ISNUMBER(Marks!$B$20:$Y$20)))</f>
        <v/>
      </c>
      <c r="J20" s="6">
        <f>IF(SUMPRODUCT((Marks!$B$2:$Y$2=J$3)*ISNUMBER(Marks!$B$20:$Y$20))=0,"",SUMPRODUCT((Marks!$B$2:$Y$2=J$3)*(Marks!$B$20:$Y$20=1))/SUMPRODUCT((Marks!$B$2:$Y$2=J$3)*ISNUMBER(Marks!$B$20:$Y$20)))</f>
        <v/>
      </c>
      <c r="K20" s="6">
        <f>IF(SUMPRODUCT((Marks!$B$2:$Y$2=K$3)*ISNUMBER(Marks!$B$20:$Y$20))=0,"",SUMPRODUCT((Marks!$B$2:$Y$2=K$3)*(Marks!$B$20:$Y$20=1))/SUMPRODUCT((Marks!$B$2:$Y$2=K$3)*ISNUMBER(Marks!$B$20:$Y$20)))</f>
        <v/>
      </c>
      <c r="L20" s="6">
        <f>IF(SUMPRODUCT((Marks!$B$2:$Y$2=L$3)*ISNUMBER(Marks!$B$20:$Y$20))=0,"",SUMPRODUCT((Marks!$B$2:$Y$2=L$3)*(Marks!$B$20:$Y$20=1))/SUMPRODUCT((Marks!$B$2:$Y$2=L$3)*ISNUMBER(Marks!$B$20:$Y$20)))</f>
        <v/>
      </c>
    </row>
    <row r="21">
      <c r="A21" t="n">
        <v>17</v>
      </c>
      <c r="B21" s="5" t="n"/>
      <c r="C21" s="5" t="n"/>
      <c r="D21" s="5" t="n"/>
      <c r="E21" s="5" t="n"/>
      <c r="F21" s="5" t="n"/>
      <c r="H21" s="6">
        <f>IF(SUMPRODUCT((Marks!$B$2:$Y$2=H$3)*ISNUMBER(Marks!$B$21:$Y$21))=0,"",SUMPRODUCT((Marks!$B$2:$Y$2=H$3)*(Marks!$B$21:$Y$21=1))/SUMPRODUCT((Marks!$B$2:$Y$2=H$3)*ISNUMBER(Marks!$B$21:$Y$21)))</f>
        <v/>
      </c>
      <c r="I21" s="6">
        <f>IF(SUMPRODUCT((Marks!$B$2:$Y$2=I$3)*ISNUMBER(Marks!$B$21:$Y$21))=0,"",SUMPRODUCT((Marks!$B$2:$Y$2=I$3)*(Marks!$B$21:$Y$21=1))/SUMPRODUCT((Marks!$B$2:$Y$2=I$3)*ISNUMBER(Marks!$B$21:$Y$21)))</f>
        <v/>
      </c>
      <c r="J21" s="6">
        <f>IF(SUMPRODUCT((Marks!$B$2:$Y$2=J$3)*ISNUMBER(Marks!$B$21:$Y$21))=0,"",SUMPRODUCT((Marks!$B$2:$Y$2=J$3)*(Marks!$B$21:$Y$21=1))/SUMPRODUCT((Marks!$B$2:$Y$2=J$3)*ISNUMBER(Marks!$B$21:$Y$21)))</f>
        <v/>
      </c>
      <c r="K21" s="6">
        <f>IF(SUMPRODUCT((Marks!$B$2:$Y$2=K$3)*ISNUMBER(Marks!$B$21:$Y$21))=0,"",SUMPRODUCT((Marks!$B$2:$Y$2=K$3)*(Marks!$B$21:$Y$21=1))/SUMPRODUCT((Marks!$B$2:$Y$2=K$3)*ISNUMBER(Marks!$B$21:$Y$21)))</f>
        <v/>
      </c>
      <c r="L21" s="6">
        <f>IF(SUMPRODUCT((Marks!$B$2:$Y$2=L$3)*ISNUMBER(Marks!$B$21:$Y$21))=0,"",SUMPRODUCT((Marks!$B$2:$Y$2=L$3)*(Marks!$B$21:$Y$21=1))/SUMPRODUCT((Marks!$B$2:$Y$2=L$3)*ISNUMBER(Marks!$B$21:$Y$21)))</f>
        <v/>
      </c>
    </row>
    <row r="22">
      <c r="A22" t="n">
        <v>18</v>
      </c>
      <c r="B22" s="5" t="n"/>
      <c r="C22" s="5" t="n"/>
      <c r="D22" s="5" t="n"/>
      <c r="E22" s="5" t="n"/>
      <c r="F22" s="5" t="n"/>
      <c r="H22" s="6">
        <f>IF(SUMPRODUCT((Marks!$B$2:$Y$2=H$3)*ISNUMBER(Marks!$B$22:$Y$22))=0,"",SUMPRODUCT((Marks!$B$2:$Y$2=H$3)*(Marks!$B$22:$Y$22=1))/SUMPRODUCT((Marks!$B$2:$Y$2=H$3)*ISNUMBER(Marks!$B$22:$Y$22)))</f>
        <v/>
      </c>
      <c r="I22" s="6">
        <f>IF(SUMPRODUCT((Marks!$B$2:$Y$2=I$3)*ISNUMBER(Marks!$B$22:$Y$22))=0,"",SUMPRODUCT((Marks!$B$2:$Y$2=I$3)*(Marks!$B$22:$Y$22=1))/SUMPRODUCT((Marks!$B$2:$Y$2=I$3)*ISNUMBER(Marks!$B$22:$Y$22)))</f>
        <v/>
      </c>
      <c r="J22" s="6">
        <f>IF(SUMPRODUCT((Marks!$B$2:$Y$2=J$3)*ISNUMBER(Marks!$B$22:$Y$22))=0,"",SUMPRODUCT((Marks!$B$2:$Y$2=J$3)*(Marks!$B$22:$Y$22=1))/SUMPRODUCT((Marks!$B$2:$Y$2=J$3)*ISNUMBER(Marks!$B$22:$Y$22)))</f>
        <v/>
      </c>
      <c r="K22" s="6">
        <f>IF(SUMPRODUCT((Marks!$B$2:$Y$2=K$3)*ISNUMBER(Marks!$B$22:$Y$22))=0,"",SUMPRODUCT((Marks!$B$2:$Y$2=K$3)*(Marks!$B$22:$Y$22=1))/SUMPRODUCT((Marks!$B$2:$Y$2=K$3)*ISNUMBER(Marks!$B$22:$Y$22)))</f>
        <v/>
      </c>
      <c r="L22" s="6">
        <f>IF(SUMPRODUCT((Marks!$B$2:$Y$2=L$3)*ISNUMBER(Marks!$B$22:$Y$22))=0,"",SUMPRODUCT((Marks!$B$2:$Y$2=L$3)*(Marks!$B$22:$Y$22=1))/SUMPRODUCT((Marks!$B$2:$Y$2=L$3)*ISNUMBER(Marks!$B$22:$Y$22)))</f>
        <v/>
      </c>
    </row>
    <row r="23">
      <c r="A23" t="n">
        <v>19</v>
      </c>
      <c r="B23" s="5" t="n"/>
      <c r="C23" s="5" t="n"/>
      <c r="D23" s="5" t="n"/>
      <c r="E23" s="5" t="n"/>
      <c r="F23" s="5" t="n"/>
      <c r="H23" s="6">
        <f>IF(SUMPRODUCT((Marks!$B$2:$Y$2=H$3)*ISNUMBER(Marks!$B$23:$Y$23))=0,"",SUMPRODUCT((Marks!$B$2:$Y$2=H$3)*(Marks!$B$23:$Y$23=1))/SUMPRODUCT((Marks!$B$2:$Y$2=H$3)*ISNUMBER(Marks!$B$23:$Y$23)))</f>
        <v/>
      </c>
      <c r="I23" s="6">
        <f>IF(SUMPRODUCT((Marks!$B$2:$Y$2=I$3)*ISNUMBER(Marks!$B$23:$Y$23))=0,"",SUMPRODUCT((Marks!$B$2:$Y$2=I$3)*(Marks!$B$23:$Y$23=1))/SUMPRODUCT((Marks!$B$2:$Y$2=I$3)*ISNUMBER(Marks!$B$23:$Y$23)))</f>
        <v/>
      </c>
      <c r="J23" s="6">
        <f>IF(SUMPRODUCT((Marks!$B$2:$Y$2=J$3)*ISNUMBER(Marks!$B$23:$Y$23))=0,"",SUMPRODUCT((Marks!$B$2:$Y$2=J$3)*(Marks!$B$23:$Y$23=1))/SUMPRODUCT((Marks!$B$2:$Y$2=J$3)*ISNUMBER(Marks!$B$23:$Y$23)))</f>
        <v/>
      </c>
      <c r="K23" s="6">
        <f>IF(SUMPRODUCT((Marks!$B$2:$Y$2=K$3)*ISNUMBER(Marks!$B$23:$Y$23))=0,"",SUMPRODUCT((Marks!$B$2:$Y$2=K$3)*(Marks!$B$23:$Y$23=1))/SUMPRODUCT((Marks!$B$2:$Y$2=K$3)*ISNUMBER(Marks!$B$23:$Y$23)))</f>
        <v/>
      </c>
      <c r="L23" s="6">
        <f>IF(SUMPRODUCT((Marks!$B$2:$Y$2=L$3)*ISNUMBER(Marks!$B$23:$Y$23))=0,"",SUMPRODUCT((Marks!$B$2:$Y$2=L$3)*(Marks!$B$23:$Y$23=1))/SUMPRODUCT((Marks!$B$2:$Y$2=L$3)*ISNUMBER(Marks!$B$23:$Y$23)))</f>
        <v/>
      </c>
    </row>
    <row r="24">
      <c r="A24" t="n">
        <v>20</v>
      </c>
      <c r="B24" s="5" t="n"/>
      <c r="C24" s="5" t="n"/>
      <c r="D24" s="5" t="n"/>
      <c r="E24" s="5" t="n"/>
      <c r="F24" s="5" t="n"/>
      <c r="H24" s="6">
        <f>IF(SUMPRODUCT((Marks!$B$2:$Y$2=H$3)*ISNUMBER(Marks!$B$24:$Y$24))=0,"",SUMPRODUCT((Marks!$B$2:$Y$2=H$3)*(Marks!$B$24:$Y$24=1))/SUMPRODUCT((Marks!$B$2:$Y$2=H$3)*ISNUMBER(Marks!$B$24:$Y$24)))</f>
        <v/>
      </c>
      <c r="I24" s="6">
        <f>IF(SUMPRODUCT((Marks!$B$2:$Y$2=I$3)*ISNUMBER(Marks!$B$24:$Y$24))=0,"",SUMPRODUCT((Marks!$B$2:$Y$2=I$3)*(Marks!$B$24:$Y$24=1))/SUMPRODUCT((Marks!$B$2:$Y$2=I$3)*ISNUMBER(Marks!$B$24:$Y$24)))</f>
        <v/>
      </c>
      <c r="J24" s="6">
        <f>IF(SUMPRODUCT((Marks!$B$2:$Y$2=J$3)*ISNUMBER(Marks!$B$24:$Y$24))=0,"",SUMPRODUCT((Marks!$B$2:$Y$2=J$3)*(Marks!$B$24:$Y$24=1))/SUMPRODUCT((Marks!$B$2:$Y$2=J$3)*ISNUMBER(Marks!$B$24:$Y$24)))</f>
        <v/>
      </c>
      <c r="K24" s="6">
        <f>IF(SUMPRODUCT((Marks!$B$2:$Y$2=K$3)*ISNUMBER(Marks!$B$24:$Y$24))=0,"",SUMPRODUCT((Marks!$B$2:$Y$2=K$3)*(Marks!$B$24:$Y$24=1))/SUMPRODUCT((Marks!$B$2:$Y$2=K$3)*ISNUMBER(Marks!$B$24:$Y$24)))</f>
        <v/>
      </c>
      <c r="L24" s="6">
        <f>IF(SUMPRODUCT((Marks!$B$2:$Y$2=L$3)*ISNUMBER(Marks!$B$24:$Y$24))=0,"",SUMPRODUCT((Marks!$B$2:$Y$2=L$3)*(Marks!$B$24:$Y$24=1))/SUMPRODUCT((Marks!$B$2:$Y$2=L$3)*ISNUMBER(Marks!$B$24:$Y$24)))</f>
        <v/>
      </c>
    </row>
    <row r="25">
      <c r="A25" t="n">
        <v>21</v>
      </c>
      <c r="B25" s="5" t="n"/>
      <c r="C25" s="5" t="n"/>
      <c r="D25" s="5" t="n"/>
      <c r="E25" s="5" t="n"/>
      <c r="F25" s="5" t="n"/>
      <c r="H25" s="6">
        <f>IF(SUMPRODUCT((Marks!$B$2:$Y$2=H$3)*ISNUMBER(Marks!$B$25:$Y$25))=0,"",SUMPRODUCT((Marks!$B$2:$Y$2=H$3)*(Marks!$B$25:$Y$25=1))/SUMPRODUCT((Marks!$B$2:$Y$2=H$3)*ISNUMBER(Marks!$B$25:$Y$25)))</f>
        <v/>
      </c>
      <c r="I25" s="6">
        <f>IF(SUMPRODUCT((Marks!$B$2:$Y$2=I$3)*ISNUMBER(Marks!$B$25:$Y$25))=0,"",SUMPRODUCT((Marks!$B$2:$Y$2=I$3)*(Marks!$B$25:$Y$25=1))/SUMPRODUCT((Marks!$B$2:$Y$2=I$3)*ISNUMBER(Marks!$B$25:$Y$25)))</f>
        <v/>
      </c>
      <c r="J25" s="6">
        <f>IF(SUMPRODUCT((Marks!$B$2:$Y$2=J$3)*ISNUMBER(Marks!$B$25:$Y$25))=0,"",SUMPRODUCT((Marks!$B$2:$Y$2=J$3)*(Marks!$B$25:$Y$25=1))/SUMPRODUCT((Marks!$B$2:$Y$2=J$3)*ISNUMBER(Marks!$B$25:$Y$25)))</f>
        <v/>
      </c>
      <c r="K25" s="6">
        <f>IF(SUMPRODUCT((Marks!$B$2:$Y$2=K$3)*ISNUMBER(Marks!$B$25:$Y$25))=0,"",SUMPRODUCT((Marks!$B$2:$Y$2=K$3)*(Marks!$B$25:$Y$25=1))/SUMPRODUCT((Marks!$B$2:$Y$2=K$3)*ISNUMBER(Marks!$B$25:$Y$25)))</f>
        <v/>
      </c>
      <c r="L25" s="6">
        <f>IF(SUMPRODUCT((Marks!$B$2:$Y$2=L$3)*ISNUMBER(Marks!$B$25:$Y$25))=0,"",SUMPRODUCT((Marks!$B$2:$Y$2=L$3)*(Marks!$B$25:$Y$25=1))/SUMPRODUCT((Marks!$B$2:$Y$2=L$3)*ISNUMBER(Marks!$B$25:$Y$25)))</f>
        <v/>
      </c>
    </row>
    <row r="26">
      <c r="A26" t="n">
        <v>22</v>
      </c>
      <c r="B26" s="5" t="n"/>
      <c r="C26" s="5" t="n"/>
      <c r="D26" s="5" t="n"/>
      <c r="E26" s="5" t="n"/>
      <c r="F26" s="5" t="n"/>
      <c r="H26" s="6">
        <f>IF(SUMPRODUCT((Marks!$B$2:$Y$2=H$3)*ISNUMBER(Marks!$B$26:$Y$26))=0,"",SUMPRODUCT((Marks!$B$2:$Y$2=H$3)*(Marks!$B$26:$Y$26=1))/SUMPRODUCT((Marks!$B$2:$Y$2=H$3)*ISNUMBER(Marks!$B$26:$Y$26)))</f>
        <v/>
      </c>
      <c r="I26" s="6">
        <f>IF(SUMPRODUCT((Marks!$B$2:$Y$2=I$3)*ISNUMBER(Marks!$B$26:$Y$26))=0,"",SUMPRODUCT((Marks!$B$2:$Y$2=I$3)*(Marks!$B$26:$Y$26=1))/SUMPRODUCT((Marks!$B$2:$Y$2=I$3)*ISNUMBER(Marks!$B$26:$Y$26)))</f>
        <v/>
      </c>
      <c r="J26" s="6">
        <f>IF(SUMPRODUCT((Marks!$B$2:$Y$2=J$3)*ISNUMBER(Marks!$B$26:$Y$26))=0,"",SUMPRODUCT((Marks!$B$2:$Y$2=J$3)*(Marks!$B$26:$Y$26=1))/SUMPRODUCT((Marks!$B$2:$Y$2=J$3)*ISNUMBER(Marks!$B$26:$Y$26)))</f>
        <v/>
      </c>
      <c r="K26" s="6">
        <f>IF(SUMPRODUCT((Marks!$B$2:$Y$2=K$3)*ISNUMBER(Marks!$B$26:$Y$26))=0,"",SUMPRODUCT((Marks!$B$2:$Y$2=K$3)*(Marks!$B$26:$Y$26=1))/SUMPRODUCT((Marks!$B$2:$Y$2=K$3)*ISNUMBER(Marks!$B$26:$Y$26)))</f>
        <v/>
      </c>
      <c r="L26" s="6">
        <f>IF(SUMPRODUCT((Marks!$B$2:$Y$2=L$3)*ISNUMBER(Marks!$B$26:$Y$26))=0,"",SUMPRODUCT((Marks!$B$2:$Y$2=L$3)*(Marks!$B$26:$Y$26=1))/SUMPRODUCT((Marks!$B$2:$Y$2=L$3)*ISNUMBER(Marks!$B$26:$Y$26)))</f>
        <v/>
      </c>
    </row>
    <row r="27">
      <c r="A27" t="n">
        <v>23</v>
      </c>
      <c r="B27" s="5" t="n"/>
      <c r="C27" s="5" t="n"/>
      <c r="D27" s="5" t="n"/>
      <c r="E27" s="5" t="n"/>
      <c r="F27" s="5" t="n"/>
      <c r="H27" s="6">
        <f>IF(SUMPRODUCT((Marks!$B$2:$Y$2=H$3)*ISNUMBER(Marks!$B$27:$Y$27))=0,"",SUMPRODUCT((Marks!$B$2:$Y$2=H$3)*(Marks!$B$27:$Y$27=1))/SUMPRODUCT((Marks!$B$2:$Y$2=H$3)*ISNUMBER(Marks!$B$27:$Y$27)))</f>
        <v/>
      </c>
      <c r="I27" s="6">
        <f>IF(SUMPRODUCT((Marks!$B$2:$Y$2=I$3)*ISNUMBER(Marks!$B$27:$Y$27))=0,"",SUMPRODUCT((Marks!$B$2:$Y$2=I$3)*(Marks!$B$27:$Y$27=1))/SUMPRODUCT((Marks!$B$2:$Y$2=I$3)*ISNUMBER(Marks!$B$27:$Y$27)))</f>
        <v/>
      </c>
      <c r="J27" s="6">
        <f>IF(SUMPRODUCT((Marks!$B$2:$Y$2=J$3)*ISNUMBER(Marks!$B$27:$Y$27))=0,"",SUMPRODUCT((Marks!$B$2:$Y$2=J$3)*(Marks!$B$27:$Y$27=1))/SUMPRODUCT((Marks!$B$2:$Y$2=J$3)*ISNUMBER(Marks!$B$27:$Y$27)))</f>
        <v/>
      </c>
      <c r="K27" s="6">
        <f>IF(SUMPRODUCT((Marks!$B$2:$Y$2=K$3)*ISNUMBER(Marks!$B$27:$Y$27))=0,"",SUMPRODUCT((Marks!$B$2:$Y$2=K$3)*(Marks!$B$27:$Y$27=1))/SUMPRODUCT((Marks!$B$2:$Y$2=K$3)*ISNUMBER(Marks!$B$27:$Y$27)))</f>
        <v/>
      </c>
      <c r="L27" s="6">
        <f>IF(SUMPRODUCT((Marks!$B$2:$Y$2=L$3)*ISNUMBER(Marks!$B$27:$Y$27))=0,"",SUMPRODUCT((Marks!$B$2:$Y$2=L$3)*(Marks!$B$27:$Y$27=1))/SUMPRODUCT((Marks!$B$2:$Y$2=L$3)*ISNUMBER(Marks!$B$27:$Y$27)))</f>
        <v/>
      </c>
    </row>
    <row r="28">
      <c r="A28" t="n">
        <v>24</v>
      </c>
      <c r="B28" s="5" t="n"/>
      <c r="C28" s="5" t="n"/>
      <c r="D28" s="5" t="n"/>
      <c r="E28" s="5" t="n"/>
      <c r="F28" s="5" t="n"/>
      <c r="H28" s="6">
        <f>IF(SUMPRODUCT((Marks!$B$2:$Y$2=H$3)*ISNUMBER(Marks!$B$28:$Y$28))=0,"",SUMPRODUCT((Marks!$B$2:$Y$2=H$3)*(Marks!$B$28:$Y$28=1))/SUMPRODUCT((Marks!$B$2:$Y$2=H$3)*ISNUMBER(Marks!$B$28:$Y$28)))</f>
        <v/>
      </c>
      <c r="I28" s="6">
        <f>IF(SUMPRODUCT((Marks!$B$2:$Y$2=I$3)*ISNUMBER(Marks!$B$28:$Y$28))=0,"",SUMPRODUCT((Marks!$B$2:$Y$2=I$3)*(Marks!$B$28:$Y$28=1))/SUMPRODUCT((Marks!$B$2:$Y$2=I$3)*ISNUMBER(Marks!$B$28:$Y$28)))</f>
        <v/>
      </c>
      <c r="J28" s="6">
        <f>IF(SUMPRODUCT((Marks!$B$2:$Y$2=J$3)*ISNUMBER(Marks!$B$28:$Y$28))=0,"",SUMPRODUCT((Marks!$B$2:$Y$2=J$3)*(Marks!$B$28:$Y$28=1))/SUMPRODUCT((Marks!$B$2:$Y$2=J$3)*ISNUMBER(Marks!$B$28:$Y$28)))</f>
        <v/>
      </c>
      <c r="K28" s="6">
        <f>IF(SUMPRODUCT((Marks!$B$2:$Y$2=K$3)*ISNUMBER(Marks!$B$28:$Y$28))=0,"",SUMPRODUCT((Marks!$B$2:$Y$2=K$3)*(Marks!$B$28:$Y$28=1))/SUMPRODUCT((Marks!$B$2:$Y$2=K$3)*ISNUMBER(Marks!$B$28:$Y$28)))</f>
        <v/>
      </c>
      <c r="L28" s="6">
        <f>IF(SUMPRODUCT((Marks!$B$2:$Y$2=L$3)*ISNUMBER(Marks!$B$28:$Y$28))=0,"",SUMPRODUCT((Marks!$B$2:$Y$2=L$3)*(Marks!$B$28:$Y$28=1))/SUMPRODUCT((Marks!$B$2:$Y$2=L$3)*ISNUMBER(Marks!$B$28:$Y$28)))</f>
        <v/>
      </c>
    </row>
    <row r="29">
      <c r="A29" t="n">
        <v>25</v>
      </c>
      <c r="B29" s="5" t="n"/>
      <c r="C29" s="5" t="n"/>
      <c r="D29" s="5" t="n"/>
      <c r="E29" s="5" t="n"/>
      <c r="F29" s="5" t="n"/>
      <c r="H29" s="6">
        <f>IF(SUMPRODUCT((Marks!$B$2:$Y$2=H$3)*ISNUMBER(Marks!$B$29:$Y$29))=0,"",SUMPRODUCT((Marks!$B$2:$Y$2=H$3)*(Marks!$B$29:$Y$29=1))/SUMPRODUCT((Marks!$B$2:$Y$2=H$3)*ISNUMBER(Marks!$B$29:$Y$29)))</f>
        <v/>
      </c>
      <c r="I29" s="6">
        <f>IF(SUMPRODUCT((Marks!$B$2:$Y$2=I$3)*ISNUMBER(Marks!$B$29:$Y$29))=0,"",SUMPRODUCT((Marks!$B$2:$Y$2=I$3)*(Marks!$B$29:$Y$29=1))/SUMPRODUCT((Marks!$B$2:$Y$2=I$3)*ISNUMBER(Marks!$B$29:$Y$29)))</f>
        <v/>
      </c>
      <c r="J29" s="6">
        <f>IF(SUMPRODUCT((Marks!$B$2:$Y$2=J$3)*ISNUMBER(Marks!$B$29:$Y$29))=0,"",SUMPRODUCT((Marks!$B$2:$Y$2=J$3)*(Marks!$B$29:$Y$29=1))/SUMPRODUCT((Marks!$B$2:$Y$2=J$3)*ISNUMBER(Marks!$B$29:$Y$29)))</f>
        <v/>
      </c>
      <c r="K29" s="6">
        <f>IF(SUMPRODUCT((Marks!$B$2:$Y$2=K$3)*ISNUMBER(Marks!$B$29:$Y$29))=0,"",SUMPRODUCT((Marks!$B$2:$Y$2=K$3)*(Marks!$B$29:$Y$29=1))/SUMPRODUCT((Marks!$B$2:$Y$2=K$3)*ISNUMBER(Marks!$B$29:$Y$29)))</f>
        <v/>
      </c>
      <c r="L29" s="6">
        <f>IF(SUMPRODUCT((Marks!$B$2:$Y$2=L$3)*ISNUMBER(Marks!$B$29:$Y$29))=0,"",SUMPRODUCT((Marks!$B$2:$Y$2=L$3)*(Marks!$B$29:$Y$29=1))/SUMPRODUCT((Marks!$B$2:$Y$2=L$3)*ISNUMBER(Marks!$B$29:$Y$29)))</f>
        <v/>
      </c>
    </row>
    <row r="30">
      <c r="A30" t="n">
        <v>26</v>
      </c>
      <c r="B30" s="5" t="n"/>
      <c r="C30" s="5" t="n"/>
      <c r="D30" s="5" t="n"/>
      <c r="E30" s="5" t="n"/>
      <c r="F30" s="5" t="n"/>
      <c r="H30" s="6">
        <f>IF(SUMPRODUCT((Marks!$B$2:$Y$2=H$3)*ISNUMBER(Marks!$B$30:$Y$30))=0,"",SUMPRODUCT((Marks!$B$2:$Y$2=H$3)*(Marks!$B$30:$Y$30=1))/SUMPRODUCT((Marks!$B$2:$Y$2=H$3)*ISNUMBER(Marks!$B$30:$Y$30)))</f>
        <v/>
      </c>
      <c r="I30" s="6">
        <f>IF(SUMPRODUCT((Marks!$B$2:$Y$2=I$3)*ISNUMBER(Marks!$B$30:$Y$30))=0,"",SUMPRODUCT((Marks!$B$2:$Y$2=I$3)*(Marks!$B$30:$Y$30=1))/SUMPRODUCT((Marks!$B$2:$Y$2=I$3)*ISNUMBER(Marks!$B$30:$Y$30)))</f>
        <v/>
      </c>
      <c r="J30" s="6">
        <f>IF(SUMPRODUCT((Marks!$B$2:$Y$2=J$3)*ISNUMBER(Marks!$B$30:$Y$30))=0,"",SUMPRODUCT((Marks!$B$2:$Y$2=J$3)*(Marks!$B$30:$Y$30=1))/SUMPRODUCT((Marks!$B$2:$Y$2=J$3)*ISNUMBER(Marks!$B$30:$Y$30)))</f>
        <v/>
      </c>
      <c r="K30" s="6">
        <f>IF(SUMPRODUCT((Marks!$B$2:$Y$2=K$3)*ISNUMBER(Marks!$B$30:$Y$30))=0,"",SUMPRODUCT((Marks!$B$2:$Y$2=K$3)*(Marks!$B$30:$Y$30=1))/SUMPRODUCT((Marks!$B$2:$Y$2=K$3)*ISNUMBER(Marks!$B$30:$Y$30)))</f>
        <v/>
      </c>
      <c r="L30" s="6">
        <f>IF(SUMPRODUCT((Marks!$B$2:$Y$2=L$3)*ISNUMBER(Marks!$B$30:$Y$30))=0,"",SUMPRODUCT((Marks!$B$2:$Y$2=L$3)*(Marks!$B$30:$Y$30=1))/SUMPRODUCT((Marks!$B$2:$Y$2=L$3)*ISNUMBER(Marks!$B$30:$Y$30)))</f>
        <v/>
      </c>
    </row>
    <row r="31">
      <c r="A31" t="n">
        <v>27</v>
      </c>
      <c r="B31" s="5" t="n"/>
      <c r="C31" s="5" t="n"/>
      <c r="D31" s="5" t="n"/>
      <c r="E31" s="5" t="n"/>
      <c r="F31" s="5" t="n"/>
      <c r="H31" s="6">
        <f>IF(SUMPRODUCT((Marks!$B$2:$Y$2=H$3)*ISNUMBER(Marks!$B$31:$Y$31))=0,"",SUMPRODUCT((Marks!$B$2:$Y$2=H$3)*(Marks!$B$31:$Y$31=1))/SUMPRODUCT((Marks!$B$2:$Y$2=H$3)*ISNUMBER(Marks!$B$31:$Y$31)))</f>
        <v/>
      </c>
      <c r="I31" s="6">
        <f>IF(SUMPRODUCT((Marks!$B$2:$Y$2=I$3)*ISNUMBER(Marks!$B$31:$Y$31))=0,"",SUMPRODUCT((Marks!$B$2:$Y$2=I$3)*(Marks!$B$31:$Y$31=1))/SUMPRODUCT((Marks!$B$2:$Y$2=I$3)*ISNUMBER(Marks!$B$31:$Y$31)))</f>
        <v/>
      </c>
      <c r="J31" s="6">
        <f>IF(SUMPRODUCT((Marks!$B$2:$Y$2=J$3)*ISNUMBER(Marks!$B$31:$Y$31))=0,"",SUMPRODUCT((Marks!$B$2:$Y$2=J$3)*(Marks!$B$31:$Y$31=1))/SUMPRODUCT((Marks!$B$2:$Y$2=J$3)*ISNUMBER(Marks!$B$31:$Y$31)))</f>
        <v/>
      </c>
      <c r="K31" s="6">
        <f>IF(SUMPRODUCT((Marks!$B$2:$Y$2=K$3)*ISNUMBER(Marks!$B$31:$Y$31))=0,"",SUMPRODUCT((Marks!$B$2:$Y$2=K$3)*(Marks!$B$31:$Y$31=1))/SUMPRODUCT((Marks!$B$2:$Y$2=K$3)*ISNUMBER(Marks!$B$31:$Y$31)))</f>
        <v/>
      </c>
      <c r="L31" s="6">
        <f>IF(SUMPRODUCT((Marks!$B$2:$Y$2=L$3)*ISNUMBER(Marks!$B$31:$Y$31))=0,"",SUMPRODUCT((Marks!$B$2:$Y$2=L$3)*(Marks!$B$31:$Y$31=1))/SUMPRODUCT((Marks!$B$2:$Y$2=L$3)*ISNUMBER(Marks!$B$31:$Y$31)))</f>
        <v/>
      </c>
    </row>
    <row r="32">
      <c r="A32" t="n">
        <v>28</v>
      </c>
      <c r="B32" s="5" t="n"/>
      <c r="C32" s="5" t="n"/>
      <c r="D32" s="5" t="n"/>
      <c r="E32" s="5" t="n"/>
      <c r="F32" s="5" t="n"/>
      <c r="H32" s="6">
        <f>IF(SUMPRODUCT((Marks!$B$2:$Y$2=H$3)*ISNUMBER(Marks!$B$32:$Y$32))=0,"",SUMPRODUCT((Marks!$B$2:$Y$2=H$3)*(Marks!$B$32:$Y$32=1))/SUMPRODUCT((Marks!$B$2:$Y$2=H$3)*ISNUMBER(Marks!$B$32:$Y$32)))</f>
        <v/>
      </c>
      <c r="I32" s="6">
        <f>IF(SUMPRODUCT((Marks!$B$2:$Y$2=I$3)*ISNUMBER(Marks!$B$32:$Y$32))=0,"",SUMPRODUCT((Marks!$B$2:$Y$2=I$3)*(Marks!$B$32:$Y$32=1))/SUMPRODUCT((Marks!$B$2:$Y$2=I$3)*ISNUMBER(Marks!$B$32:$Y$32)))</f>
        <v/>
      </c>
      <c r="J32" s="6">
        <f>IF(SUMPRODUCT((Marks!$B$2:$Y$2=J$3)*ISNUMBER(Marks!$B$32:$Y$32))=0,"",SUMPRODUCT((Marks!$B$2:$Y$2=J$3)*(Marks!$B$32:$Y$32=1))/SUMPRODUCT((Marks!$B$2:$Y$2=J$3)*ISNUMBER(Marks!$B$32:$Y$32)))</f>
        <v/>
      </c>
      <c r="K32" s="6">
        <f>IF(SUMPRODUCT((Marks!$B$2:$Y$2=K$3)*ISNUMBER(Marks!$B$32:$Y$32))=0,"",SUMPRODUCT((Marks!$B$2:$Y$2=K$3)*(Marks!$B$32:$Y$32=1))/SUMPRODUCT((Marks!$B$2:$Y$2=K$3)*ISNUMBER(Marks!$B$32:$Y$32)))</f>
        <v/>
      </c>
      <c r="L32" s="6">
        <f>IF(SUMPRODUCT((Marks!$B$2:$Y$2=L$3)*ISNUMBER(Marks!$B$32:$Y$32))=0,"",SUMPRODUCT((Marks!$B$2:$Y$2=L$3)*(Marks!$B$32:$Y$32=1))/SUMPRODUCT((Marks!$B$2:$Y$2=L$3)*ISNUMBER(Marks!$B$32:$Y$32)))</f>
        <v/>
      </c>
    </row>
    <row r="33">
      <c r="A33" t="n">
        <v>29</v>
      </c>
      <c r="B33" s="5" t="n"/>
      <c r="C33" s="5" t="n"/>
      <c r="D33" s="5" t="n"/>
      <c r="E33" s="5" t="n"/>
      <c r="F33" s="5" t="n"/>
      <c r="H33" s="6">
        <f>IF(SUMPRODUCT((Marks!$B$2:$Y$2=H$3)*ISNUMBER(Marks!$B$33:$Y$33))=0,"",SUMPRODUCT((Marks!$B$2:$Y$2=H$3)*(Marks!$B$33:$Y$33=1))/SUMPRODUCT((Marks!$B$2:$Y$2=H$3)*ISNUMBER(Marks!$B$33:$Y$33)))</f>
        <v/>
      </c>
      <c r="I33" s="6">
        <f>IF(SUMPRODUCT((Marks!$B$2:$Y$2=I$3)*ISNUMBER(Marks!$B$33:$Y$33))=0,"",SUMPRODUCT((Marks!$B$2:$Y$2=I$3)*(Marks!$B$33:$Y$33=1))/SUMPRODUCT((Marks!$B$2:$Y$2=I$3)*ISNUMBER(Marks!$B$33:$Y$33)))</f>
        <v/>
      </c>
      <c r="J33" s="6">
        <f>IF(SUMPRODUCT((Marks!$B$2:$Y$2=J$3)*ISNUMBER(Marks!$B$33:$Y$33))=0,"",SUMPRODUCT((Marks!$B$2:$Y$2=J$3)*(Marks!$B$33:$Y$33=1))/SUMPRODUCT((Marks!$B$2:$Y$2=J$3)*ISNUMBER(Marks!$B$33:$Y$33)))</f>
        <v/>
      </c>
      <c r="K33" s="6">
        <f>IF(SUMPRODUCT((Marks!$B$2:$Y$2=K$3)*ISNUMBER(Marks!$B$33:$Y$33))=0,"",SUMPRODUCT((Marks!$B$2:$Y$2=K$3)*(Marks!$B$33:$Y$33=1))/SUMPRODUCT((Marks!$B$2:$Y$2=K$3)*ISNUMBER(Marks!$B$33:$Y$33)))</f>
        <v/>
      </c>
      <c r="L33" s="6">
        <f>IF(SUMPRODUCT((Marks!$B$2:$Y$2=L$3)*ISNUMBER(Marks!$B$33:$Y$33))=0,"",SUMPRODUCT((Marks!$B$2:$Y$2=L$3)*(Marks!$B$33:$Y$33=1))/SUMPRODUCT((Marks!$B$2:$Y$2=L$3)*ISNUMBER(Marks!$B$33:$Y$33)))</f>
        <v/>
      </c>
    </row>
    <row r="34">
      <c r="A34" t="n">
        <v>30</v>
      </c>
      <c r="B34" s="5" t="n"/>
      <c r="C34" s="5" t="n"/>
      <c r="D34" s="5" t="n"/>
      <c r="E34" s="5" t="n"/>
      <c r="F34" s="5" t="n"/>
      <c r="H34" s="6">
        <f>IF(SUMPRODUCT((Marks!$B$2:$Y$2=H$3)*ISNUMBER(Marks!$B$34:$Y$34))=0,"",SUMPRODUCT((Marks!$B$2:$Y$2=H$3)*(Marks!$B$34:$Y$34=1))/SUMPRODUCT((Marks!$B$2:$Y$2=H$3)*ISNUMBER(Marks!$B$34:$Y$34)))</f>
        <v/>
      </c>
      <c r="I34" s="6">
        <f>IF(SUMPRODUCT((Marks!$B$2:$Y$2=I$3)*ISNUMBER(Marks!$B$34:$Y$34))=0,"",SUMPRODUCT((Marks!$B$2:$Y$2=I$3)*(Marks!$B$34:$Y$34=1))/SUMPRODUCT((Marks!$B$2:$Y$2=I$3)*ISNUMBER(Marks!$B$34:$Y$34)))</f>
        <v/>
      </c>
      <c r="J34" s="6">
        <f>IF(SUMPRODUCT((Marks!$B$2:$Y$2=J$3)*ISNUMBER(Marks!$B$34:$Y$34))=0,"",SUMPRODUCT((Marks!$B$2:$Y$2=J$3)*(Marks!$B$34:$Y$34=1))/SUMPRODUCT((Marks!$B$2:$Y$2=J$3)*ISNUMBER(Marks!$B$34:$Y$34)))</f>
        <v/>
      </c>
      <c r="K34" s="6">
        <f>IF(SUMPRODUCT((Marks!$B$2:$Y$2=K$3)*ISNUMBER(Marks!$B$34:$Y$34))=0,"",SUMPRODUCT((Marks!$B$2:$Y$2=K$3)*(Marks!$B$34:$Y$34=1))/SUMPRODUCT((Marks!$B$2:$Y$2=K$3)*ISNUMBER(Marks!$B$34:$Y$34)))</f>
        <v/>
      </c>
      <c r="L34" s="6">
        <f>IF(SUMPRODUCT((Marks!$B$2:$Y$2=L$3)*ISNUMBER(Marks!$B$34:$Y$34))=0,"",SUMPRODUCT((Marks!$B$2:$Y$2=L$3)*(Marks!$B$34:$Y$34=1))/SUMPRODUCT((Marks!$B$2:$Y$2=L$3)*ISNUMBER(Marks!$B$34:$Y$34)))</f>
        <v/>
      </c>
    </row>
    <row r="35">
      <c r="A35" t="n">
        <v>31</v>
      </c>
      <c r="B35" s="5" t="n"/>
      <c r="C35" s="5" t="n"/>
      <c r="D35" s="5" t="n"/>
      <c r="E35" s="5" t="n"/>
      <c r="F35" s="5" t="n"/>
      <c r="H35" s="6">
        <f>IF(SUMPRODUCT((Marks!$B$2:$Y$2=H$3)*ISNUMBER(Marks!$B$35:$Y$35))=0,"",SUMPRODUCT((Marks!$B$2:$Y$2=H$3)*(Marks!$B$35:$Y$35=1))/SUMPRODUCT((Marks!$B$2:$Y$2=H$3)*ISNUMBER(Marks!$B$35:$Y$35)))</f>
        <v/>
      </c>
      <c r="I35" s="6">
        <f>IF(SUMPRODUCT((Marks!$B$2:$Y$2=I$3)*ISNUMBER(Marks!$B$35:$Y$35))=0,"",SUMPRODUCT((Marks!$B$2:$Y$2=I$3)*(Marks!$B$35:$Y$35=1))/SUMPRODUCT((Marks!$B$2:$Y$2=I$3)*ISNUMBER(Marks!$B$35:$Y$35)))</f>
        <v/>
      </c>
      <c r="J35" s="6">
        <f>IF(SUMPRODUCT((Marks!$B$2:$Y$2=J$3)*ISNUMBER(Marks!$B$35:$Y$35))=0,"",SUMPRODUCT((Marks!$B$2:$Y$2=J$3)*(Marks!$B$35:$Y$35=1))/SUMPRODUCT((Marks!$B$2:$Y$2=J$3)*ISNUMBER(Marks!$B$35:$Y$35)))</f>
        <v/>
      </c>
      <c r="K35" s="6">
        <f>IF(SUMPRODUCT((Marks!$B$2:$Y$2=K$3)*ISNUMBER(Marks!$B$35:$Y$35))=0,"",SUMPRODUCT((Marks!$B$2:$Y$2=K$3)*(Marks!$B$35:$Y$35=1))/SUMPRODUCT((Marks!$B$2:$Y$2=K$3)*ISNUMBER(Marks!$B$35:$Y$35)))</f>
        <v/>
      </c>
      <c r="L35" s="6">
        <f>IF(SUMPRODUCT((Marks!$B$2:$Y$2=L$3)*ISNUMBER(Marks!$B$35:$Y$35))=0,"",SUMPRODUCT((Marks!$B$2:$Y$2=L$3)*(Marks!$B$35:$Y$35=1))/SUMPRODUCT((Marks!$B$2:$Y$2=L$3)*ISNUMBER(Marks!$B$35:$Y$35)))</f>
        <v/>
      </c>
    </row>
    <row r="36">
      <c r="A36" t="n">
        <v>32</v>
      </c>
      <c r="B36" s="5" t="n"/>
      <c r="C36" s="5" t="n"/>
      <c r="D36" s="5" t="n"/>
      <c r="E36" s="5" t="n"/>
      <c r="F36" s="5" t="n"/>
      <c r="H36" s="6">
        <f>IF(SUMPRODUCT((Marks!$B$2:$Y$2=H$3)*ISNUMBER(Marks!$B$36:$Y$36))=0,"",SUMPRODUCT((Marks!$B$2:$Y$2=H$3)*(Marks!$B$36:$Y$36=1))/SUMPRODUCT((Marks!$B$2:$Y$2=H$3)*ISNUMBER(Marks!$B$36:$Y$36)))</f>
        <v/>
      </c>
      <c r="I36" s="6">
        <f>IF(SUMPRODUCT((Marks!$B$2:$Y$2=I$3)*ISNUMBER(Marks!$B$36:$Y$36))=0,"",SUMPRODUCT((Marks!$B$2:$Y$2=I$3)*(Marks!$B$36:$Y$36=1))/SUMPRODUCT((Marks!$B$2:$Y$2=I$3)*ISNUMBER(Marks!$B$36:$Y$36)))</f>
        <v/>
      </c>
      <c r="J36" s="6">
        <f>IF(SUMPRODUCT((Marks!$B$2:$Y$2=J$3)*ISNUMBER(Marks!$B$36:$Y$36))=0,"",SUMPRODUCT((Marks!$B$2:$Y$2=J$3)*(Marks!$B$36:$Y$36=1))/SUMPRODUCT((Marks!$B$2:$Y$2=J$3)*ISNUMBER(Marks!$B$36:$Y$36)))</f>
        <v/>
      </c>
      <c r="K36" s="6">
        <f>IF(SUMPRODUCT((Marks!$B$2:$Y$2=K$3)*ISNUMBER(Marks!$B$36:$Y$36))=0,"",SUMPRODUCT((Marks!$B$2:$Y$2=K$3)*(Marks!$B$36:$Y$36=1))/SUMPRODUCT((Marks!$B$2:$Y$2=K$3)*ISNUMBER(Marks!$B$36:$Y$36)))</f>
        <v/>
      </c>
      <c r="L36" s="6">
        <f>IF(SUMPRODUCT((Marks!$B$2:$Y$2=L$3)*ISNUMBER(Marks!$B$36:$Y$36))=0,"",SUMPRODUCT((Marks!$B$2:$Y$2=L$3)*(Marks!$B$36:$Y$36=1))/SUMPRODUCT((Marks!$B$2:$Y$2=L$3)*ISNUMBER(Marks!$B$36:$Y$36)))</f>
        <v/>
      </c>
    </row>
    <row r="37">
      <c r="A37" t="n">
        <v>33</v>
      </c>
      <c r="B37" s="5" t="n"/>
      <c r="C37" s="5" t="n"/>
      <c r="D37" s="5" t="n"/>
      <c r="E37" s="5" t="n"/>
      <c r="F37" s="5" t="n"/>
      <c r="H37" s="6">
        <f>IF(SUMPRODUCT((Marks!$B$2:$Y$2=H$3)*ISNUMBER(Marks!$B$37:$Y$37))=0,"",SUMPRODUCT((Marks!$B$2:$Y$2=H$3)*(Marks!$B$37:$Y$37=1))/SUMPRODUCT((Marks!$B$2:$Y$2=H$3)*ISNUMBER(Marks!$B$37:$Y$37)))</f>
        <v/>
      </c>
      <c r="I37" s="6">
        <f>IF(SUMPRODUCT((Marks!$B$2:$Y$2=I$3)*ISNUMBER(Marks!$B$37:$Y$37))=0,"",SUMPRODUCT((Marks!$B$2:$Y$2=I$3)*(Marks!$B$37:$Y$37=1))/SUMPRODUCT((Marks!$B$2:$Y$2=I$3)*ISNUMBER(Marks!$B$37:$Y$37)))</f>
        <v/>
      </c>
      <c r="J37" s="6">
        <f>IF(SUMPRODUCT((Marks!$B$2:$Y$2=J$3)*ISNUMBER(Marks!$B$37:$Y$37))=0,"",SUMPRODUCT((Marks!$B$2:$Y$2=J$3)*(Marks!$B$37:$Y$37=1))/SUMPRODUCT((Marks!$B$2:$Y$2=J$3)*ISNUMBER(Marks!$B$37:$Y$37)))</f>
        <v/>
      </c>
      <c r="K37" s="6">
        <f>IF(SUMPRODUCT((Marks!$B$2:$Y$2=K$3)*ISNUMBER(Marks!$B$37:$Y$37))=0,"",SUMPRODUCT((Marks!$B$2:$Y$2=K$3)*(Marks!$B$37:$Y$37=1))/SUMPRODUCT((Marks!$B$2:$Y$2=K$3)*ISNUMBER(Marks!$B$37:$Y$37)))</f>
        <v/>
      </c>
      <c r="L37" s="6">
        <f>IF(SUMPRODUCT((Marks!$B$2:$Y$2=L$3)*ISNUMBER(Marks!$B$37:$Y$37))=0,"",SUMPRODUCT((Marks!$B$2:$Y$2=L$3)*(Marks!$B$37:$Y$37=1))/SUMPRODUCT((Marks!$B$2:$Y$2=L$3)*ISNUMBER(Marks!$B$37:$Y$37)))</f>
        <v/>
      </c>
    </row>
    <row r="38">
      <c r="A38" t="n">
        <v>34</v>
      </c>
      <c r="B38" s="5" t="n"/>
      <c r="C38" s="5" t="n"/>
      <c r="D38" s="5" t="n"/>
      <c r="E38" s="5" t="n"/>
      <c r="F38" s="5" t="n"/>
      <c r="H38" s="6">
        <f>IF(SUMPRODUCT((Marks!$B$2:$Y$2=H$3)*ISNUMBER(Marks!$B$38:$Y$38))=0,"",SUMPRODUCT((Marks!$B$2:$Y$2=H$3)*(Marks!$B$38:$Y$38=1))/SUMPRODUCT((Marks!$B$2:$Y$2=H$3)*ISNUMBER(Marks!$B$38:$Y$38)))</f>
        <v/>
      </c>
      <c r="I38" s="6">
        <f>IF(SUMPRODUCT((Marks!$B$2:$Y$2=I$3)*ISNUMBER(Marks!$B$38:$Y$38))=0,"",SUMPRODUCT((Marks!$B$2:$Y$2=I$3)*(Marks!$B$38:$Y$38=1))/SUMPRODUCT((Marks!$B$2:$Y$2=I$3)*ISNUMBER(Marks!$B$38:$Y$38)))</f>
        <v/>
      </c>
      <c r="J38" s="6">
        <f>IF(SUMPRODUCT((Marks!$B$2:$Y$2=J$3)*ISNUMBER(Marks!$B$38:$Y$38))=0,"",SUMPRODUCT((Marks!$B$2:$Y$2=J$3)*(Marks!$B$38:$Y$38=1))/SUMPRODUCT((Marks!$B$2:$Y$2=J$3)*ISNUMBER(Marks!$B$38:$Y$38)))</f>
        <v/>
      </c>
      <c r="K38" s="6">
        <f>IF(SUMPRODUCT((Marks!$B$2:$Y$2=K$3)*ISNUMBER(Marks!$B$38:$Y$38))=0,"",SUMPRODUCT((Marks!$B$2:$Y$2=K$3)*(Marks!$B$38:$Y$38=1))/SUMPRODUCT((Marks!$B$2:$Y$2=K$3)*ISNUMBER(Marks!$B$38:$Y$38)))</f>
        <v/>
      </c>
      <c r="L38" s="6">
        <f>IF(SUMPRODUCT((Marks!$B$2:$Y$2=L$3)*ISNUMBER(Marks!$B$38:$Y$38))=0,"",SUMPRODUCT((Marks!$B$2:$Y$2=L$3)*(Marks!$B$38:$Y$38=1))/SUMPRODUCT((Marks!$B$2:$Y$2=L$3)*ISNUMBER(Marks!$B$38:$Y$38)))</f>
        <v/>
      </c>
    </row>
    <row r="39">
      <c r="A39" t="n">
        <v>35</v>
      </c>
      <c r="B39" s="5" t="n"/>
      <c r="C39" s="5" t="n"/>
      <c r="D39" s="5" t="n"/>
      <c r="E39" s="5" t="n"/>
      <c r="F39" s="5" t="n"/>
      <c r="H39" s="6">
        <f>IF(SUMPRODUCT((Marks!$B$2:$Y$2=H$3)*ISNUMBER(Marks!$B$39:$Y$39))=0,"",SUMPRODUCT((Marks!$B$2:$Y$2=H$3)*(Marks!$B$39:$Y$39=1))/SUMPRODUCT((Marks!$B$2:$Y$2=H$3)*ISNUMBER(Marks!$B$39:$Y$39)))</f>
        <v/>
      </c>
      <c r="I39" s="6">
        <f>IF(SUMPRODUCT((Marks!$B$2:$Y$2=I$3)*ISNUMBER(Marks!$B$39:$Y$39))=0,"",SUMPRODUCT((Marks!$B$2:$Y$2=I$3)*(Marks!$B$39:$Y$39=1))/SUMPRODUCT((Marks!$B$2:$Y$2=I$3)*ISNUMBER(Marks!$B$39:$Y$39)))</f>
        <v/>
      </c>
      <c r="J39" s="6">
        <f>IF(SUMPRODUCT((Marks!$B$2:$Y$2=J$3)*ISNUMBER(Marks!$B$39:$Y$39))=0,"",SUMPRODUCT((Marks!$B$2:$Y$2=J$3)*(Marks!$B$39:$Y$39=1))/SUMPRODUCT((Marks!$B$2:$Y$2=J$3)*ISNUMBER(Marks!$B$39:$Y$39)))</f>
        <v/>
      </c>
      <c r="K39" s="6">
        <f>IF(SUMPRODUCT((Marks!$B$2:$Y$2=K$3)*ISNUMBER(Marks!$B$39:$Y$39))=0,"",SUMPRODUCT((Marks!$B$2:$Y$2=K$3)*(Marks!$B$39:$Y$39=1))/SUMPRODUCT((Marks!$B$2:$Y$2=K$3)*ISNUMBER(Marks!$B$39:$Y$39)))</f>
        <v/>
      </c>
      <c r="L39" s="6">
        <f>IF(SUMPRODUCT((Marks!$B$2:$Y$2=L$3)*ISNUMBER(Marks!$B$39:$Y$39))=0,"",SUMPRODUCT((Marks!$B$2:$Y$2=L$3)*(Marks!$B$39:$Y$39=1))/SUMPRODUCT((Marks!$B$2:$Y$2=L$3)*ISNUMBER(Marks!$B$39:$Y$39)))</f>
        <v/>
      </c>
    </row>
    <row r="40">
      <c r="A40" t="n">
        <v>36</v>
      </c>
      <c r="B40" s="5" t="n"/>
      <c r="C40" s="5" t="n"/>
      <c r="D40" s="5" t="n"/>
      <c r="E40" s="5" t="n"/>
      <c r="F40" s="5" t="n"/>
      <c r="H40" s="6">
        <f>IF(SUMPRODUCT((Marks!$B$2:$Y$2=H$3)*ISNUMBER(Marks!$B$40:$Y$40))=0,"",SUMPRODUCT((Marks!$B$2:$Y$2=H$3)*(Marks!$B$40:$Y$40=1))/SUMPRODUCT((Marks!$B$2:$Y$2=H$3)*ISNUMBER(Marks!$B$40:$Y$40)))</f>
        <v/>
      </c>
      <c r="I40" s="6">
        <f>IF(SUMPRODUCT((Marks!$B$2:$Y$2=I$3)*ISNUMBER(Marks!$B$40:$Y$40))=0,"",SUMPRODUCT((Marks!$B$2:$Y$2=I$3)*(Marks!$B$40:$Y$40=1))/SUMPRODUCT((Marks!$B$2:$Y$2=I$3)*ISNUMBER(Marks!$B$40:$Y$40)))</f>
        <v/>
      </c>
      <c r="J40" s="6">
        <f>IF(SUMPRODUCT((Marks!$B$2:$Y$2=J$3)*ISNUMBER(Marks!$B$40:$Y$40))=0,"",SUMPRODUCT((Marks!$B$2:$Y$2=J$3)*(Marks!$B$40:$Y$40=1))/SUMPRODUCT((Marks!$B$2:$Y$2=J$3)*ISNUMBER(Marks!$B$40:$Y$40)))</f>
        <v/>
      </c>
      <c r="K40" s="6">
        <f>IF(SUMPRODUCT((Marks!$B$2:$Y$2=K$3)*ISNUMBER(Marks!$B$40:$Y$40))=0,"",SUMPRODUCT((Marks!$B$2:$Y$2=K$3)*(Marks!$B$40:$Y$40=1))/SUMPRODUCT((Marks!$B$2:$Y$2=K$3)*ISNUMBER(Marks!$B$40:$Y$40)))</f>
        <v/>
      </c>
      <c r="L40" s="6">
        <f>IF(SUMPRODUCT((Marks!$B$2:$Y$2=L$3)*ISNUMBER(Marks!$B$40:$Y$40))=0,"",SUMPRODUCT((Marks!$B$2:$Y$2=L$3)*(Marks!$B$40:$Y$40=1))/SUMPRODUCT((Marks!$B$2:$Y$2=L$3)*ISNUMBER(Marks!$B$40:$Y$40)))</f>
        <v/>
      </c>
    </row>
    <row r="41">
      <c r="A41" t="n">
        <v>37</v>
      </c>
      <c r="B41" s="5" t="n"/>
      <c r="C41" s="5" t="n"/>
      <c r="D41" s="5" t="n"/>
      <c r="E41" s="5" t="n"/>
      <c r="F41" s="5" t="n"/>
      <c r="H41" s="6">
        <f>IF(SUMPRODUCT((Marks!$B$2:$Y$2=H$3)*ISNUMBER(Marks!$B$41:$Y$41))=0,"",SUMPRODUCT((Marks!$B$2:$Y$2=H$3)*(Marks!$B$41:$Y$41=1))/SUMPRODUCT((Marks!$B$2:$Y$2=H$3)*ISNUMBER(Marks!$B$41:$Y$41)))</f>
        <v/>
      </c>
      <c r="I41" s="6">
        <f>IF(SUMPRODUCT((Marks!$B$2:$Y$2=I$3)*ISNUMBER(Marks!$B$41:$Y$41))=0,"",SUMPRODUCT((Marks!$B$2:$Y$2=I$3)*(Marks!$B$41:$Y$41=1))/SUMPRODUCT((Marks!$B$2:$Y$2=I$3)*ISNUMBER(Marks!$B$41:$Y$41)))</f>
        <v/>
      </c>
      <c r="J41" s="6">
        <f>IF(SUMPRODUCT((Marks!$B$2:$Y$2=J$3)*ISNUMBER(Marks!$B$41:$Y$41))=0,"",SUMPRODUCT((Marks!$B$2:$Y$2=J$3)*(Marks!$B$41:$Y$41=1))/SUMPRODUCT((Marks!$B$2:$Y$2=J$3)*ISNUMBER(Marks!$B$41:$Y$41)))</f>
        <v/>
      </c>
      <c r="K41" s="6">
        <f>IF(SUMPRODUCT((Marks!$B$2:$Y$2=K$3)*ISNUMBER(Marks!$B$41:$Y$41))=0,"",SUMPRODUCT((Marks!$B$2:$Y$2=K$3)*(Marks!$B$41:$Y$41=1))/SUMPRODUCT((Marks!$B$2:$Y$2=K$3)*ISNUMBER(Marks!$B$41:$Y$41)))</f>
        <v/>
      </c>
      <c r="L41" s="6">
        <f>IF(SUMPRODUCT((Marks!$B$2:$Y$2=L$3)*ISNUMBER(Marks!$B$41:$Y$41))=0,"",SUMPRODUCT((Marks!$B$2:$Y$2=L$3)*(Marks!$B$41:$Y$41=1))/SUMPRODUCT((Marks!$B$2:$Y$2=L$3)*ISNUMBER(Marks!$B$41:$Y$41)))</f>
        <v/>
      </c>
    </row>
    <row r="42">
      <c r="A42" t="n">
        <v>38</v>
      </c>
      <c r="B42" s="5" t="n"/>
      <c r="C42" s="5" t="n"/>
      <c r="D42" s="5" t="n"/>
      <c r="E42" s="5" t="n"/>
      <c r="F42" s="5" t="n"/>
      <c r="H42" s="6">
        <f>IF(SUMPRODUCT((Marks!$B$2:$Y$2=H$3)*ISNUMBER(Marks!$B$42:$Y$42))=0,"",SUMPRODUCT((Marks!$B$2:$Y$2=H$3)*(Marks!$B$42:$Y$42=1))/SUMPRODUCT((Marks!$B$2:$Y$2=H$3)*ISNUMBER(Marks!$B$42:$Y$42)))</f>
        <v/>
      </c>
      <c r="I42" s="6">
        <f>IF(SUMPRODUCT((Marks!$B$2:$Y$2=I$3)*ISNUMBER(Marks!$B$42:$Y$42))=0,"",SUMPRODUCT((Marks!$B$2:$Y$2=I$3)*(Marks!$B$42:$Y$42=1))/SUMPRODUCT((Marks!$B$2:$Y$2=I$3)*ISNUMBER(Marks!$B$42:$Y$42)))</f>
        <v/>
      </c>
      <c r="J42" s="6">
        <f>IF(SUMPRODUCT((Marks!$B$2:$Y$2=J$3)*ISNUMBER(Marks!$B$42:$Y$42))=0,"",SUMPRODUCT((Marks!$B$2:$Y$2=J$3)*(Marks!$B$42:$Y$42=1))/SUMPRODUCT((Marks!$B$2:$Y$2=J$3)*ISNUMBER(Marks!$B$42:$Y$42)))</f>
        <v/>
      </c>
      <c r="K42" s="6">
        <f>IF(SUMPRODUCT((Marks!$B$2:$Y$2=K$3)*ISNUMBER(Marks!$B$42:$Y$42))=0,"",SUMPRODUCT((Marks!$B$2:$Y$2=K$3)*(Marks!$B$42:$Y$42=1))/SUMPRODUCT((Marks!$B$2:$Y$2=K$3)*ISNUMBER(Marks!$B$42:$Y$42)))</f>
        <v/>
      </c>
      <c r="L42" s="6">
        <f>IF(SUMPRODUCT((Marks!$B$2:$Y$2=L$3)*ISNUMBER(Marks!$B$42:$Y$42))=0,"",SUMPRODUCT((Marks!$B$2:$Y$2=L$3)*(Marks!$B$42:$Y$42=1))/SUMPRODUCT((Marks!$B$2:$Y$2=L$3)*ISNUMBER(Marks!$B$42:$Y$42)))</f>
        <v/>
      </c>
    </row>
    <row r="43">
      <c r="A43" t="n">
        <v>39</v>
      </c>
      <c r="B43" s="5" t="n"/>
      <c r="C43" s="5" t="n"/>
      <c r="D43" s="5" t="n"/>
      <c r="E43" s="5" t="n"/>
      <c r="F43" s="5" t="n"/>
      <c r="H43" s="6">
        <f>IF(SUMPRODUCT((Marks!$B$2:$Y$2=H$3)*ISNUMBER(Marks!$B$43:$Y$43))=0,"",SUMPRODUCT((Marks!$B$2:$Y$2=H$3)*(Marks!$B$43:$Y$43=1))/SUMPRODUCT((Marks!$B$2:$Y$2=H$3)*ISNUMBER(Marks!$B$43:$Y$43)))</f>
        <v/>
      </c>
      <c r="I43" s="6">
        <f>IF(SUMPRODUCT((Marks!$B$2:$Y$2=I$3)*ISNUMBER(Marks!$B$43:$Y$43))=0,"",SUMPRODUCT((Marks!$B$2:$Y$2=I$3)*(Marks!$B$43:$Y$43=1))/SUMPRODUCT((Marks!$B$2:$Y$2=I$3)*ISNUMBER(Marks!$B$43:$Y$43)))</f>
        <v/>
      </c>
      <c r="J43" s="6">
        <f>IF(SUMPRODUCT((Marks!$B$2:$Y$2=J$3)*ISNUMBER(Marks!$B$43:$Y$43))=0,"",SUMPRODUCT((Marks!$B$2:$Y$2=J$3)*(Marks!$B$43:$Y$43=1))/SUMPRODUCT((Marks!$B$2:$Y$2=J$3)*ISNUMBER(Marks!$B$43:$Y$43)))</f>
        <v/>
      </c>
      <c r="K43" s="6">
        <f>IF(SUMPRODUCT((Marks!$B$2:$Y$2=K$3)*ISNUMBER(Marks!$B$43:$Y$43))=0,"",SUMPRODUCT((Marks!$B$2:$Y$2=K$3)*(Marks!$B$43:$Y$43=1))/SUMPRODUCT((Marks!$B$2:$Y$2=K$3)*ISNUMBER(Marks!$B$43:$Y$43)))</f>
        <v/>
      </c>
      <c r="L43" s="6">
        <f>IF(SUMPRODUCT((Marks!$B$2:$Y$2=L$3)*ISNUMBER(Marks!$B$43:$Y$43))=0,"",SUMPRODUCT((Marks!$B$2:$Y$2=L$3)*(Marks!$B$43:$Y$43=1))/SUMPRODUCT((Marks!$B$2:$Y$2=L$3)*ISNUMBER(Marks!$B$43:$Y$43)))</f>
        <v/>
      </c>
    </row>
    <row r="45">
      <c r="A45" s="3" t="inlineStr">
        <is>
          <t>The room</t>
        </is>
      </c>
    </row>
    <row r="46">
      <c r="A46" s="4" t="inlineStr">
        <is>
          <t>Part</t>
        </is>
      </c>
      <c r="B46" s="4" t="inlineStr">
        <is>
          <t>Mean rating</t>
        </is>
      </c>
      <c r="C46" s="4" t="inlineStr">
        <is>
          <t>Right rate</t>
        </is>
      </c>
      <c r="D46" s="4" t="inlineStr">
        <is>
          <t>Rated 3 or 4, under half right</t>
        </is>
      </c>
    </row>
    <row r="47">
      <c r="A47" t="inlineStr">
        <is>
          <t>Part 1. Should the bank build a model, and what must it beat?</t>
        </is>
      </c>
      <c r="B47" s="7">
        <f>IF(COUNT(B5:B43)=0,"",AVERAGE(B5:B43))</f>
        <v/>
      </c>
      <c r="C47" s="6">
        <f>IFERROR(INDEX(Tags!$D$5:$D$12,MATCH(1,Tags!$A$5:$A$12,0)),"")</f>
        <v/>
      </c>
      <c r="D47">
        <f>SUMPRODUCT((B5:B43&gt;=3)*ISNUMBER(H5:H43)*(H5:H43&lt;0.5))</f>
        <v/>
      </c>
    </row>
    <row r="48">
      <c r="A48" t="inlineStr">
        <is>
          <t>Part 2. Which number tells the truth, and where does the line go?</t>
        </is>
      </c>
      <c r="B48" s="7">
        <f>IF(COUNT(C5:C43)=0,"",AVERAGE(C5:C43))</f>
        <v/>
      </c>
      <c r="C48" s="6">
        <f>IFERROR(INDEX(Tags!$D$5:$D$12,MATCH(2,Tags!$A$5:$A$12,0)),"")</f>
        <v/>
      </c>
      <c r="D48">
        <f>SUMPRODUCT((C5:C43&gt;=3)*ISNUMBER(I5:I43)*(I5:I43&lt;0.5))</f>
        <v/>
      </c>
    </row>
    <row r="49">
      <c r="A49" t="inlineStr">
        <is>
          <t>Part 3. What was the model allowed to know?</t>
        </is>
      </c>
      <c r="B49" s="7">
        <f>IF(COUNT(D5:D43)=0,"",AVERAGE(D5:D43))</f>
        <v/>
      </c>
      <c r="C49" s="6">
        <f>IFERROR(INDEX(Tags!$D$5:$D$12,MATCH(3,Tags!$A$5:$A$12,0)),"")</f>
        <v/>
      </c>
      <c r="D49">
        <f>SUMPRODUCT((D5:D43&gt;=3)*ISNUMBER(J5:J43)*(J5:J43&lt;0.5))</f>
        <v/>
      </c>
    </row>
    <row r="50">
      <c r="A50" t="inlineStr">
        <is>
          <t>Part 4. Is the model learning, or memorising?</t>
        </is>
      </c>
      <c r="B50" s="7">
        <f>IF(COUNT(E5:E43)=0,"",AVERAGE(E5:E43))</f>
        <v/>
      </c>
      <c r="C50" s="6">
        <f>IFERROR(INDEX(Tags!$D$5:$D$12,MATCH(4,Tags!$A$5:$A$12,0)),"")</f>
        <v/>
      </c>
      <c r="D50">
        <f>SUMPRODUCT((E5:E43&gt;=3)*ISNUMBER(K5:K43)*(K5:K43&lt;0.5))</f>
        <v/>
      </c>
    </row>
    <row r="51">
      <c r="A51" t="inlineStr">
        <is>
          <t>Part 5. Would the committee sign, and what moves to lending?</t>
        </is>
      </c>
      <c r="B51" s="7">
        <f>IF(COUNT(F5:F43)=0,"",AVERAGE(F5:F43))</f>
        <v/>
      </c>
      <c r="C51" s="6">
        <f>IFERROR(INDEX(Tags!$D$5:$D$12,MATCH(5,Tags!$A$5:$A$12,0)),"")</f>
        <v/>
      </c>
      <c r="D51">
        <f>SUMPRODUCT((F5:F43&gt;=3)*ISNUMBER(L5:L43)*(L5:L43&lt;0.5))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2026-10-28T10:58:38Z</dcterms:created>
  <dcterms:modified xmlns:dcterms="http://purl.org/dc/terms/" xmlns:xsi="http://www.w3.org/2001/XMLSchema-instance" xsi:type="dcterms:W3CDTF">2026-10-28T10:58:38Z</dcterms:modified>
</cp:coreProperties>
</file>