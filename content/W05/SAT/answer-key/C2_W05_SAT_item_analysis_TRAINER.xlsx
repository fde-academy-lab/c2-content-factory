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2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[S]</t>
        </is>
      </c>
      <c r="D3" t="inlineStr">
        <is>
          <t>[D]</t>
        </is>
      </c>
      <c r="E3" t="inlineStr">
        <is>
          <t>[F]</t>
        </is>
      </c>
      <c r="F3" t="inlineStr">
        <is>
          <t>[S]</t>
        </is>
      </c>
      <c r="G3" t="inlineStr">
        <is>
          <t>[S]</t>
        </is>
      </c>
      <c r="H3" t="inlineStr">
        <is>
          <t>[F]</t>
        </is>
      </c>
      <c r="I3" t="inlineStr">
        <is>
          <t>[S]</t>
        </is>
      </c>
      <c r="J3" t="inlineStr">
        <is>
          <t>[S]</t>
        </is>
      </c>
      <c r="K3" t="inlineStr">
        <is>
          <t>[S]</t>
        </is>
      </c>
      <c r="L3" t="inlineStr">
        <is>
          <t>[D]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[F]</t>
        </is>
      </c>
      <c r="R3" t="inlineStr">
        <is>
          <t>[S]</t>
        </is>
      </c>
      <c r="S3" t="inlineStr">
        <is>
          <t>[F]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[D]</t>
        </is>
      </c>
      <c r="X3" t="inlineStr">
        <is>
          <t>[F]</t>
        </is>
      </c>
      <c r="Y3" t="inlineStr">
        <is>
          <t>[D]</t>
        </is>
      </c>
      <c r="Z3" t="inlineStr">
        <is>
          <t>[D]</t>
        </is>
      </c>
      <c r="AA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Total</t>
        </is>
      </c>
      <c r="AC4" s="4" t="inlineStr">
        <is>
          <t>Answered</t>
        </is>
      </c>
      <c r="AD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>
        <f>IF(COUNT(B5:AA5)=0,"",SUM(B5:AA5))</f>
        <v/>
      </c>
      <c r="AC5">
        <f>COUNT(B5:AA5)</f>
        <v/>
      </c>
      <c r="AD5">
        <f>IF(OR(AB5="",COUNT($AB$5:$AB$43)&lt;3),"",IF(RANK(AB5,$AB$5:$AB$43,0)&lt;=ROUND(COUNT($AB$5:$AB$43)/3,0),"top",IF(RANK(AB5,$AB$5:$AB$43,1)&lt;=ROUND(COUNT($AB$5:$AB$43)/3,0),"bottom","middle")))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>
        <f>IF(COUNT(B6:AA6)=0,"",SUM(B6:AA6))</f>
        <v/>
      </c>
      <c r="AC6">
        <f>COUNT(B6:AA6)</f>
        <v/>
      </c>
      <c r="AD6">
        <f>IF(OR(AB6="",COUNT($AB$5:$AB$43)&lt;3),"",IF(RANK(AB6,$AB$5:$AB$43,0)&lt;=ROUND(COUNT($AB$5:$AB$43)/3,0),"top",IF(RANK(AB6,$AB$5:$AB$43,1)&lt;=ROUND(COUNT($AB$5:$AB$43)/3,0),"bottom","middle")))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>
        <f>IF(COUNT(B7:AA7)=0,"",SUM(B7:AA7))</f>
        <v/>
      </c>
      <c r="AC7">
        <f>COUNT(B7:AA7)</f>
        <v/>
      </c>
      <c r="AD7">
        <f>IF(OR(AB7="",COUNT($AB$5:$AB$43)&lt;3),"",IF(RANK(AB7,$AB$5:$AB$43,0)&lt;=ROUND(COUNT($AB$5:$AB$43)/3,0),"top",IF(RANK(AB7,$AB$5:$AB$43,1)&lt;=ROUND(COUNT($AB$5:$AB$43)/3,0),"bottom","middle")))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>
        <f>IF(COUNT(B8:AA8)=0,"",SUM(B8:AA8))</f>
        <v/>
      </c>
      <c r="AC8">
        <f>COUNT(B8:AA8)</f>
        <v/>
      </c>
      <c r="AD8">
        <f>IF(OR(AB8="",COUNT($AB$5:$AB$43)&lt;3),"",IF(RANK(AB8,$AB$5:$AB$43,0)&lt;=ROUND(COUNT($AB$5:$AB$43)/3,0),"top",IF(RANK(AB8,$AB$5:$AB$43,1)&lt;=ROUND(COUNT($AB$5:$AB$43)/3,0),"bottom","middle")))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>
        <f>IF(COUNT(B9:AA9)=0,"",SUM(B9:AA9))</f>
        <v/>
      </c>
      <c r="AC9">
        <f>COUNT(B9:AA9)</f>
        <v/>
      </c>
      <c r="AD9">
        <f>IF(OR(AB9="",COUNT($AB$5:$AB$43)&lt;3),"",IF(RANK(AB9,$AB$5:$AB$43,0)&lt;=ROUND(COUNT($AB$5:$AB$43)/3,0),"top",IF(RANK(AB9,$AB$5:$AB$43,1)&lt;=ROUND(COUNT($AB$5:$AB$43)/3,0),"bottom","middle")))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>
        <f>IF(COUNT(B10:AA10)=0,"",SUM(B10:AA10))</f>
        <v/>
      </c>
      <c r="AC10">
        <f>COUNT(B10:AA10)</f>
        <v/>
      </c>
      <c r="AD10">
        <f>IF(OR(AB10="",COUNT($AB$5:$AB$43)&lt;3),"",IF(RANK(AB10,$AB$5:$AB$43,0)&lt;=ROUND(COUNT($AB$5:$AB$43)/3,0),"top",IF(RANK(AB10,$AB$5:$AB$43,1)&lt;=ROUND(COUNT($AB$5:$AB$43)/3,0),"bottom","middle")))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>
        <f>IF(COUNT(B11:AA11)=0,"",SUM(B11:AA11))</f>
        <v/>
      </c>
      <c r="AC11">
        <f>COUNT(B11:AA11)</f>
        <v/>
      </c>
      <c r="AD11">
        <f>IF(OR(AB11="",COUNT($AB$5:$AB$43)&lt;3),"",IF(RANK(AB11,$AB$5:$AB$43,0)&lt;=ROUND(COUNT($AB$5:$AB$43)/3,0),"top",IF(RANK(AB11,$AB$5:$AB$43,1)&lt;=ROUND(COUNT($AB$5:$AB$43)/3,0),"bottom","middle")))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>
        <f>IF(COUNT(B12:AA12)=0,"",SUM(B12:AA12))</f>
        <v/>
      </c>
      <c r="AC12">
        <f>COUNT(B12:AA12)</f>
        <v/>
      </c>
      <c r="AD12">
        <f>IF(OR(AB12="",COUNT($AB$5:$AB$43)&lt;3),"",IF(RANK(AB12,$AB$5:$AB$43,0)&lt;=ROUND(COUNT($AB$5:$AB$43)/3,0),"top",IF(RANK(AB12,$AB$5:$AB$43,1)&lt;=ROUND(COUNT($AB$5:$AB$43)/3,0),"bottom","middle")))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>
        <f>IF(COUNT(B13:AA13)=0,"",SUM(B13:AA13))</f>
        <v/>
      </c>
      <c r="AC13">
        <f>COUNT(B13:AA13)</f>
        <v/>
      </c>
      <c r="AD13">
        <f>IF(OR(AB13="",COUNT($AB$5:$AB$43)&lt;3),"",IF(RANK(AB13,$AB$5:$AB$43,0)&lt;=ROUND(COUNT($AB$5:$AB$43)/3,0),"top",IF(RANK(AB13,$AB$5:$AB$43,1)&lt;=ROUND(COUNT($AB$5:$AB$43)/3,0),"bottom","middle")))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>
        <f>IF(COUNT(B14:AA14)=0,"",SUM(B14:AA14))</f>
        <v/>
      </c>
      <c r="AC14">
        <f>COUNT(B14:AA14)</f>
        <v/>
      </c>
      <c r="AD14">
        <f>IF(OR(AB14="",COUNT($AB$5:$AB$43)&lt;3),"",IF(RANK(AB14,$AB$5:$AB$43,0)&lt;=ROUND(COUNT($AB$5:$AB$43)/3,0),"top",IF(RANK(AB14,$AB$5:$AB$43,1)&lt;=ROUND(COUNT($AB$5:$AB$43)/3,0),"bottom","middle")))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>
        <f>IF(COUNT(B15:AA15)=0,"",SUM(B15:AA15))</f>
        <v/>
      </c>
      <c r="AC15">
        <f>COUNT(B15:AA15)</f>
        <v/>
      </c>
      <c r="AD15">
        <f>IF(OR(AB15="",COUNT($AB$5:$AB$43)&lt;3),"",IF(RANK(AB15,$AB$5:$AB$43,0)&lt;=ROUND(COUNT($AB$5:$AB$43)/3,0),"top",IF(RANK(AB15,$AB$5:$AB$43,1)&lt;=ROUND(COUNT($AB$5:$AB$43)/3,0),"bottom","middle")))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>
        <f>IF(COUNT(B16:AA16)=0,"",SUM(B16:AA16))</f>
        <v/>
      </c>
      <c r="AC16">
        <f>COUNT(B16:AA16)</f>
        <v/>
      </c>
      <c r="AD16">
        <f>IF(OR(AB16="",COUNT($AB$5:$AB$43)&lt;3),"",IF(RANK(AB16,$AB$5:$AB$43,0)&lt;=ROUND(COUNT($AB$5:$AB$43)/3,0),"top",IF(RANK(AB16,$AB$5:$AB$43,1)&lt;=ROUND(COUNT($AB$5:$AB$43)/3,0),"bottom","middle")))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>
        <f>IF(COUNT(B17:AA17)=0,"",SUM(B17:AA17))</f>
        <v/>
      </c>
      <c r="AC17">
        <f>COUNT(B17:AA17)</f>
        <v/>
      </c>
      <c r="AD17">
        <f>IF(OR(AB17="",COUNT($AB$5:$AB$43)&lt;3),"",IF(RANK(AB17,$AB$5:$AB$43,0)&lt;=ROUND(COUNT($AB$5:$AB$43)/3,0),"top",IF(RANK(AB17,$AB$5:$AB$43,1)&lt;=ROUND(COUNT($AB$5:$AB$43)/3,0),"bottom","middle")))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>
        <f>IF(COUNT(B18:AA18)=0,"",SUM(B18:AA18))</f>
        <v/>
      </c>
      <c r="AC18">
        <f>COUNT(B18:AA18)</f>
        <v/>
      </c>
      <c r="AD18">
        <f>IF(OR(AB18="",COUNT($AB$5:$AB$43)&lt;3),"",IF(RANK(AB18,$AB$5:$AB$43,0)&lt;=ROUND(COUNT($AB$5:$AB$43)/3,0),"top",IF(RANK(AB18,$AB$5:$AB$43,1)&lt;=ROUND(COUNT($AB$5:$AB$43)/3,0),"bottom","middle")))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>
        <f>IF(COUNT(B19:AA19)=0,"",SUM(B19:AA19))</f>
        <v/>
      </c>
      <c r="AC19">
        <f>COUNT(B19:AA19)</f>
        <v/>
      </c>
      <c r="AD19">
        <f>IF(OR(AB19="",COUNT($AB$5:$AB$43)&lt;3),"",IF(RANK(AB19,$AB$5:$AB$43,0)&lt;=ROUND(COUNT($AB$5:$AB$43)/3,0),"top",IF(RANK(AB19,$AB$5:$AB$43,1)&lt;=ROUND(COUNT($AB$5:$AB$43)/3,0),"bottom","middle")))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>
        <f>IF(COUNT(B20:AA20)=0,"",SUM(B20:AA20))</f>
        <v/>
      </c>
      <c r="AC20">
        <f>COUNT(B20:AA20)</f>
        <v/>
      </c>
      <c r="AD20">
        <f>IF(OR(AB20="",COUNT($AB$5:$AB$43)&lt;3),"",IF(RANK(AB20,$AB$5:$AB$43,0)&lt;=ROUND(COUNT($AB$5:$AB$43)/3,0),"top",IF(RANK(AB20,$AB$5:$AB$43,1)&lt;=ROUND(COUNT($AB$5:$AB$43)/3,0),"bottom","middle")))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>
        <f>IF(COUNT(B21:AA21)=0,"",SUM(B21:AA21))</f>
        <v/>
      </c>
      <c r="AC21">
        <f>COUNT(B21:AA21)</f>
        <v/>
      </c>
      <c r="AD21">
        <f>IF(OR(AB21="",COUNT($AB$5:$AB$43)&lt;3),"",IF(RANK(AB21,$AB$5:$AB$43,0)&lt;=ROUND(COUNT($AB$5:$AB$43)/3,0),"top",IF(RANK(AB21,$AB$5:$AB$43,1)&lt;=ROUND(COUNT($AB$5:$AB$43)/3,0),"bottom","middle")))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>
        <f>IF(COUNT(B22:AA22)=0,"",SUM(B22:AA22))</f>
        <v/>
      </c>
      <c r="AC22">
        <f>COUNT(B22:AA22)</f>
        <v/>
      </c>
      <c r="AD22">
        <f>IF(OR(AB22="",COUNT($AB$5:$AB$43)&lt;3),"",IF(RANK(AB22,$AB$5:$AB$43,0)&lt;=ROUND(COUNT($AB$5:$AB$43)/3,0),"top",IF(RANK(AB22,$AB$5:$AB$43,1)&lt;=ROUND(COUNT($AB$5:$AB$43)/3,0),"bottom","middle")))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>
        <f>IF(COUNT(B23:AA23)=0,"",SUM(B23:AA23))</f>
        <v/>
      </c>
      <c r="AC23">
        <f>COUNT(B23:AA23)</f>
        <v/>
      </c>
      <c r="AD23">
        <f>IF(OR(AB23="",COUNT($AB$5:$AB$43)&lt;3),"",IF(RANK(AB23,$AB$5:$AB$43,0)&lt;=ROUND(COUNT($AB$5:$AB$43)/3,0),"top",IF(RANK(AB23,$AB$5:$AB$43,1)&lt;=ROUND(COUNT($AB$5:$AB$43)/3,0),"bottom","middle")))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>
        <f>IF(COUNT(B24:AA24)=0,"",SUM(B24:AA24))</f>
        <v/>
      </c>
      <c r="AC24">
        <f>COUNT(B24:AA24)</f>
        <v/>
      </c>
      <c r="AD24">
        <f>IF(OR(AB24="",COUNT($AB$5:$AB$43)&lt;3),"",IF(RANK(AB24,$AB$5:$AB$43,0)&lt;=ROUND(COUNT($AB$5:$AB$43)/3,0),"top",IF(RANK(AB24,$AB$5:$AB$43,1)&lt;=ROUND(COUNT($AB$5:$AB$43)/3,0),"bottom","middle")))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>
        <f>IF(COUNT(B25:AA25)=0,"",SUM(B25:AA25))</f>
        <v/>
      </c>
      <c r="AC25">
        <f>COUNT(B25:AA25)</f>
        <v/>
      </c>
      <c r="AD25">
        <f>IF(OR(AB25="",COUNT($AB$5:$AB$43)&lt;3),"",IF(RANK(AB25,$AB$5:$AB$43,0)&lt;=ROUND(COUNT($AB$5:$AB$43)/3,0),"top",IF(RANK(AB25,$AB$5:$AB$43,1)&lt;=ROUND(COUNT($AB$5:$AB$43)/3,0),"bottom","middle")))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>
        <f>IF(COUNT(B26:AA26)=0,"",SUM(B26:AA26))</f>
        <v/>
      </c>
      <c r="AC26">
        <f>COUNT(B26:AA26)</f>
        <v/>
      </c>
      <c r="AD26">
        <f>IF(OR(AB26="",COUNT($AB$5:$AB$43)&lt;3),"",IF(RANK(AB26,$AB$5:$AB$43,0)&lt;=ROUND(COUNT($AB$5:$AB$43)/3,0),"top",IF(RANK(AB26,$AB$5:$AB$43,1)&lt;=ROUND(COUNT($AB$5:$AB$43)/3,0),"bottom","middle")))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>
        <f>IF(COUNT(B27:AA27)=0,"",SUM(B27:AA27))</f>
        <v/>
      </c>
      <c r="AC27">
        <f>COUNT(B27:AA27)</f>
        <v/>
      </c>
      <c r="AD27">
        <f>IF(OR(AB27="",COUNT($AB$5:$AB$43)&lt;3),"",IF(RANK(AB27,$AB$5:$AB$43,0)&lt;=ROUND(COUNT($AB$5:$AB$43)/3,0),"top",IF(RANK(AB27,$AB$5:$AB$43,1)&lt;=ROUND(COUNT($AB$5:$AB$43)/3,0),"bottom","middle")))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>
        <f>IF(COUNT(B28:AA28)=0,"",SUM(B28:AA28))</f>
        <v/>
      </c>
      <c r="AC28">
        <f>COUNT(B28:AA28)</f>
        <v/>
      </c>
      <c r="AD28">
        <f>IF(OR(AB28="",COUNT($AB$5:$AB$43)&lt;3),"",IF(RANK(AB28,$AB$5:$AB$43,0)&lt;=ROUND(COUNT($AB$5:$AB$43)/3,0),"top",IF(RANK(AB28,$AB$5:$AB$43,1)&lt;=ROUND(COUNT($AB$5:$AB$43)/3,0),"bottom","middle")))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>
        <f>IF(COUNT(B29:AA29)=0,"",SUM(B29:AA29))</f>
        <v/>
      </c>
      <c r="AC29">
        <f>COUNT(B29:AA29)</f>
        <v/>
      </c>
      <c r="AD29">
        <f>IF(OR(AB29="",COUNT($AB$5:$AB$43)&lt;3),"",IF(RANK(AB29,$AB$5:$AB$43,0)&lt;=ROUND(COUNT($AB$5:$AB$43)/3,0),"top",IF(RANK(AB29,$AB$5:$AB$43,1)&lt;=ROUND(COUNT($AB$5:$AB$43)/3,0),"bottom","middle")))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>
        <f>IF(COUNT(B30:AA30)=0,"",SUM(B30:AA30))</f>
        <v/>
      </c>
      <c r="AC30">
        <f>COUNT(B30:AA30)</f>
        <v/>
      </c>
      <c r="AD30">
        <f>IF(OR(AB30="",COUNT($AB$5:$AB$43)&lt;3),"",IF(RANK(AB30,$AB$5:$AB$43,0)&lt;=ROUND(COUNT($AB$5:$AB$43)/3,0),"top",IF(RANK(AB30,$AB$5:$AB$43,1)&lt;=ROUND(COUNT($AB$5:$AB$43)/3,0),"bottom","middle")))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>
        <f>IF(COUNT(B31:AA31)=0,"",SUM(B31:AA31))</f>
        <v/>
      </c>
      <c r="AC31">
        <f>COUNT(B31:AA31)</f>
        <v/>
      </c>
      <c r="AD31">
        <f>IF(OR(AB31="",COUNT($AB$5:$AB$43)&lt;3),"",IF(RANK(AB31,$AB$5:$AB$43,0)&lt;=ROUND(COUNT($AB$5:$AB$43)/3,0),"top",IF(RANK(AB31,$AB$5:$AB$43,1)&lt;=ROUND(COUNT($AB$5:$AB$43)/3,0),"bottom","middle")))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>
        <f>IF(COUNT(B32:AA32)=0,"",SUM(B32:AA32))</f>
        <v/>
      </c>
      <c r="AC32">
        <f>COUNT(B32:AA32)</f>
        <v/>
      </c>
      <c r="AD32">
        <f>IF(OR(AB32="",COUNT($AB$5:$AB$43)&lt;3),"",IF(RANK(AB32,$AB$5:$AB$43,0)&lt;=ROUND(COUNT($AB$5:$AB$43)/3,0),"top",IF(RANK(AB32,$AB$5:$AB$43,1)&lt;=ROUND(COUNT($AB$5:$AB$43)/3,0),"bottom","middle")))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>
        <f>IF(COUNT(B33:AA33)=0,"",SUM(B33:AA33))</f>
        <v/>
      </c>
      <c r="AC33">
        <f>COUNT(B33:AA33)</f>
        <v/>
      </c>
      <c r="AD33">
        <f>IF(OR(AB33="",COUNT($AB$5:$AB$43)&lt;3),"",IF(RANK(AB33,$AB$5:$AB$43,0)&lt;=ROUND(COUNT($AB$5:$AB$43)/3,0),"top",IF(RANK(AB33,$AB$5:$AB$43,1)&lt;=ROUND(COUNT($AB$5:$AB$43)/3,0),"bottom","middle")))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>
        <f>IF(COUNT(B34:AA34)=0,"",SUM(B34:AA34))</f>
        <v/>
      </c>
      <c r="AC34">
        <f>COUNT(B34:AA34)</f>
        <v/>
      </c>
      <c r="AD34">
        <f>IF(OR(AB34="",COUNT($AB$5:$AB$43)&lt;3),"",IF(RANK(AB34,$AB$5:$AB$43,0)&lt;=ROUND(COUNT($AB$5:$AB$43)/3,0),"top",IF(RANK(AB34,$AB$5:$AB$43,1)&lt;=ROUND(COUNT($AB$5:$AB$43)/3,0),"bottom","middle")))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>
        <f>IF(COUNT(B35:AA35)=0,"",SUM(B35:AA35))</f>
        <v/>
      </c>
      <c r="AC35">
        <f>COUNT(B35:AA35)</f>
        <v/>
      </c>
      <c r="AD35">
        <f>IF(OR(AB35="",COUNT($AB$5:$AB$43)&lt;3),"",IF(RANK(AB35,$AB$5:$AB$43,0)&lt;=ROUND(COUNT($AB$5:$AB$43)/3,0),"top",IF(RANK(AB35,$AB$5:$AB$43,1)&lt;=ROUND(COUNT($AB$5:$AB$43)/3,0),"bottom","middle")))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>
        <f>IF(COUNT(B36:AA36)=0,"",SUM(B36:AA36))</f>
        <v/>
      </c>
      <c r="AC36">
        <f>COUNT(B36:AA36)</f>
        <v/>
      </c>
      <c r="AD36">
        <f>IF(OR(AB36="",COUNT($AB$5:$AB$43)&lt;3),"",IF(RANK(AB36,$AB$5:$AB$43,0)&lt;=ROUND(COUNT($AB$5:$AB$43)/3,0),"top",IF(RANK(AB36,$AB$5:$AB$43,1)&lt;=ROUND(COUNT($AB$5:$AB$43)/3,0),"bottom","middle")))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>
        <f>IF(COUNT(B37:AA37)=0,"",SUM(B37:AA37))</f>
        <v/>
      </c>
      <c r="AC37">
        <f>COUNT(B37:AA37)</f>
        <v/>
      </c>
      <c r="AD37">
        <f>IF(OR(AB37="",COUNT($AB$5:$AB$43)&lt;3),"",IF(RANK(AB37,$AB$5:$AB$43,0)&lt;=ROUND(COUNT($AB$5:$AB$43)/3,0),"top",IF(RANK(AB37,$AB$5:$AB$43,1)&lt;=ROUND(COUNT($AB$5:$AB$43)/3,0),"bottom","middle")))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>
        <f>IF(COUNT(B38:AA38)=0,"",SUM(B38:AA38))</f>
        <v/>
      </c>
      <c r="AC38">
        <f>COUNT(B38:AA38)</f>
        <v/>
      </c>
      <c r="AD38">
        <f>IF(OR(AB38="",COUNT($AB$5:$AB$43)&lt;3),"",IF(RANK(AB38,$AB$5:$AB$43,0)&lt;=ROUND(COUNT($AB$5:$AB$43)/3,0),"top",IF(RANK(AB38,$AB$5:$AB$43,1)&lt;=ROUND(COUNT($AB$5:$AB$43)/3,0),"bottom","middle")))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>
        <f>IF(COUNT(B39:AA39)=0,"",SUM(B39:AA39))</f>
        <v/>
      </c>
      <c r="AC39">
        <f>COUNT(B39:AA39)</f>
        <v/>
      </c>
      <c r="AD39">
        <f>IF(OR(AB39="",COUNT($AB$5:$AB$43)&lt;3),"",IF(RANK(AB39,$AB$5:$AB$43,0)&lt;=ROUND(COUNT($AB$5:$AB$43)/3,0),"top",IF(RANK(AB39,$AB$5:$AB$43,1)&lt;=ROUND(COUNT($AB$5:$AB$43)/3,0),"bottom","middle")))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>
        <f>IF(COUNT(B40:AA40)=0,"",SUM(B40:AA40))</f>
        <v/>
      </c>
      <c r="AC40">
        <f>COUNT(B40:AA40)</f>
        <v/>
      </c>
      <c r="AD40">
        <f>IF(OR(AB40="",COUNT($AB$5:$AB$43)&lt;3),"",IF(RANK(AB40,$AB$5:$AB$43,0)&lt;=ROUND(COUNT($AB$5:$AB$43)/3,0),"top",IF(RANK(AB40,$AB$5:$AB$43,1)&lt;=ROUND(COUNT($AB$5:$AB$43)/3,0),"bottom","middle")))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>
        <f>IF(COUNT(B41:AA41)=0,"",SUM(B41:AA41))</f>
        <v/>
      </c>
      <c r="AC41">
        <f>COUNT(B41:AA41)</f>
        <v/>
      </c>
      <c r="AD41">
        <f>IF(OR(AB41="",COUNT($AB$5:$AB$43)&lt;3),"",IF(RANK(AB41,$AB$5:$AB$43,0)&lt;=ROUND(COUNT($AB$5:$AB$43)/3,0),"top",IF(RANK(AB41,$AB$5:$AB$43,1)&lt;=ROUND(COUNT($AB$5:$AB$43)/3,0),"bottom","middle")))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>
        <f>IF(COUNT(B42:AA42)=0,"",SUM(B42:AA42))</f>
        <v/>
      </c>
      <c r="AC42">
        <f>COUNT(B42:AA42)</f>
        <v/>
      </c>
      <c r="AD42">
        <f>IF(OR(AB42="",COUNT($AB$5:$AB$43)&lt;3),"",IF(RANK(AB42,$AB$5:$AB$43,0)&lt;=ROUND(COUNT($AB$5:$AB$43)/3,0),"top",IF(RANK(AB42,$AB$5:$AB$43,1)&lt;=ROUND(COUNT($AB$5:$AB$43)/3,0),"bottom","middle")))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>
        <f>IF(COUNT(B43:AA43)=0,"",SUM(B43:AA43))</f>
        <v/>
      </c>
      <c r="AC43">
        <f>COUNT(B43:AA43)</f>
        <v/>
      </c>
      <c r="AD43">
        <f>IF(OR(AB43="",COUNT($AB$5:$AB$43)&lt;3),"",IF(RANK(AB43,$AB$5:$AB$43,0)&lt;=ROUND(COUNT($AB$5:$AB$43)/3,0),"top",IF(RANK(AB43,$AB$5:$AB$43,1)&lt;=ROUND(COUNT($AB$5:$AB$43)/3,0),"bottom","middle")))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c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IF(SUMPRODUCT((Marks!$AD$5:$AD$43="top")*ISNUMBER(Marks!B$5:B$43))=0,"",SUMPRODUCT((Marks!$AD$5:$AD$43="top")*(Marks!B$5:B$43=1))/SUMPRODUCT((Marks!$AD$5:$AD$43="top")*ISNUMBER(Marks!B$5:B$43)))</f>
        <v/>
      </c>
      <c r="K5" s="6">
        <f>IF(SUMPRODUCT((Marks!$AD$5:$AD$43="bottom")*ISNUMBER(Marks!B$5:B$43))=0,"",SUMPRODUCT((Marks!$AD$5:$AD$43="bottom")*(Marks!B$5:B$43=1))/SUMPRODUCT((Marks!$AD$5:$AD$43="bottom")*ISNUMBER(Marks!B$5:B$43)))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[S]</t>
        </is>
      </c>
      <c r="F6" t="inlineStr">
        <is>
          <t>b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IF(SUMPRODUCT((Marks!$AD$5:$AD$43="top")*ISNUMBER(Marks!C$5:C$43))=0,"",SUMPRODUCT((Marks!$AD$5:$AD$43="top")*(Marks!C$5:C$43=1))/SUMPRODUCT((Marks!$AD$5:$AD$43="top")*ISNUMBER(Marks!C$5:C$43)))</f>
        <v/>
      </c>
      <c r="K6" s="6">
        <f>IF(SUMPRODUCT((Marks!$AD$5:$AD$43="bottom")*ISNUMBER(Marks!C$5:C$43))=0,"",SUMPRODUCT((Marks!$AD$5:$AD$43="bottom")*(Marks!C$5:C$43=1))/SUMPRODUCT((Marks!$AD$5:$AD$43="bottom")*ISNUMBER(Marks!C$5:C$43)))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Hard</t>
        </is>
      </c>
      <c r="E7" t="inlineStr">
        <is>
          <t>[D]</t>
        </is>
      </c>
      <c r="F7" t="inlineStr">
        <is>
          <t>c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IF(SUMPRODUCT((Marks!$AD$5:$AD$43="top")*ISNUMBER(Marks!D$5:D$43))=0,"",SUMPRODUCT((Marks!$AD$5:$AD$43="top")*(Marks!D$5:D$43=1))/SUMPRODUCT((Marks!$AD$5:$AD$43="top")*ISNUMBER(Marks!D$5:D$43)))</f>
        <v/>
      </c>
      <c r="K7" s="6">
        <f>IF(SUMPRODUCT((Marks!$AD$5:$AD$43="bottom")*ISNUMBER(Marks!D$5:D$43))=0,"",SUMPRODUCT((Marks!$AD$5:$AD$43="bottom")*(Marks!D$5:D$43=1))/SUMPRODUCT((Marks!$AD$5:$AD$43="bottom")*ISNUMBER(Marks!D$5:D$43)))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d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IF(SUMPRODUCT((Marks!$AD$5:$AD$43="top")*ISNUMBER(Marks!E$5:E$43))=0,"",SUMPRODUCT((Marks!$AD$5:$AD$43="top")*(Marks!E$5:E$43=1))/SUMPRODUCT((Marks!$AD$5:$AD$43="top")*ISNUMBER(Marks!E$5:E$43)))</f>
        <v/>
      </c>
      <c r="K8" s="6">
        <f>IF(SUMPRODUCT((Marks!$AD$5:$AD$43="bottom")*ISNUMBER(Marks!E$5:E$43))=0,"",SUMPRODUCT((Marks!$AD$5:$AD$43="bottom")*(Marks!E$5:E$43=1))/SUMPRODUCT((Marks!$AD$5:$AD$43="bottom")*ISNUMBER(Marks!E$5:E$43)))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More than one correct</t>
        </is>
      </c>
      <c r="D9" t="inlineStr">
        <is>
          <t>Medium</t>
        </is>
      </c>
      <c r="E9" t="inlineStr">
        <is>
          <t>[S]</t>
        </is>
      </c>
      <c r="F9" t="inlineStr">
        <is>
          <t>a, d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IF(SUMPRODUCT((Marks!$AD$5:$AD$43="top")*ISNUMBER(Marks!F$5:F$43))=0,"",SUMPRODUCT((Marks!$AD$5:$AD$43="top")*(Marks!F$5:F$43=1))/SUMPRODUCT((Marks!$AD$5:$AD$43="top")*ISNUMBER(Marks!F$5:F$43)))</f>
        <v/>
      </c>
      <c r="K9" s="6">
        <f>IF(SUMPRODUCT((Marks!$AD$5:$AD$43="bottom")*ISNUMBER(Marks!F$5:F$43))=0,"",SUMPRODUCT((Marks!$AD$5:$AD$43="bottom")*(Marks!F$5:F$43=1))/SUMPRODUCT((Marks!$AD$5:$AD$43="bottom")*ISNUMBER(Marks!F$5:F$43)))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Fill in the blank</t>
        </is>
      </c>
      <c r="D10" t="inlineStr">
        <is>
          <t>Easy</t>
        </is>
      </c>
      <c r="E10" t="inlineStr">
        <is>
          <t>[S]</t>
        </is>
      </c>
      <c r="F10" t="inlineStr">
        <is>
          <t>b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IF(SUMPRODUCT((Marks!$AD$5:$AD$43="top")*ISNUMBER(Marks!G$5:G$43))=0,"",SUMPRODUCT((Marks!$AD$5:$AD$43="top")*(Marks!G$5:G$43=1))/SUMPRODUCT((Marks!$AD$5:$AD$43="top")*ISNUMBER(Marks!G$5:G$43)))</f>
        <v/>
      </c>
      <c r="K10" s="6">
        <f>IF(SUMPRODUCT((Marks!$AD$5:$AD$43="bottom")*ISNUMBER(Marks!G$5:G$43))=0,"",SUMPRODUCT((Marks!$AD$5:$AD$43="bottom")*(Marks!G$5:G$43=1))/SUMPRODUCT((Marks!$AD$5:$AD$43="bottom")*ISNUMBER(Marks!G$5:G$43)))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True or false</t>
        </is>
      </c>
      <c r="D11" t="inlineStr">
        <is>
          <t>Medium</t>
        </is>
      </c>
      <c r="E11" t="inlineStr">
        <is>
          <t>[F]</t>
        </is>
      </c>
      <c r="F11" t="inlineStr">
        <is>
          <t>d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IF(SUMPRODUCT((Marks!$AD$5:$AD$43="top")*ISNUMBER(Marks!H$5:H$43))=0,"",SUMPRODUCT((Marks!$AD$5:$AD$43="top")*(Marks!H$5:H$43=1))/SUMPRODUCT((Marks!$AD$5:$AD$43="top")*ISNUMBER(Marks!H$5:H$43)))</f>
        <v/>
      </c>
      <c r="K11" s="6">
        <f>IF(SUMPRODUCT((Marks!$AD$5:$AD$43="bottom")*ISNUMBER(Marks!H$5:H$43))=0,"",SUMPRODUCT((Marks!$AD$5:$AD$43="bottom")*(Marks!H$5:H$43=1))/SUMPRODUCT((Marks!$AD$5:$AD$43="bottom")*ISNUMBER(Marks!H$5:H$43)))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Hard</t>
        </is>
      </c>
      <c r="E12" t="inlineStr">
        <is>
          <t>[S]</t>
        </is>
      </c>
      <c r="F12" t="inlineStr">
        <is>
          <t>Precision 174 / 268 = 0.65; recall 174 / 928 = 0.19; F1 = 2 x 174 / (2 x 174 + 94 + 754) = 348 / 1,196 = 0.29.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IF(SUMPRODUCT((Marks!$AD$5:$AD$43="top")*ISNUMBER(Marks!I$5:I$43))=0,"",SUMPRODUCT((Marks!$AD$5:$AD$43="top")*(Marks!I$5:I$43=1))/SUMPRODUCT((Marks!$AD$5:$AD$43="top")*ISNUMBER(Marks!I$5:I$43)))</f>
        <v/>
      </c>
      <c r="K12" s="6">
        <f>IF(SUMPRODUCT((Marks!$AD$5:$AD$43="bottom")*ISNUMBER(Marks!I$5:I$43))=0,"",SUMPRODUCT((Marks!$AD$5:$AD$43="bottom")*(Marks!I$5:I$43=1))/SUMPRODUCT((Marks!$AD$5:$AD$43="bottom")*ISNUMBER(Marks!I$5:I$43)))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Applied maths</t>
        </is>
      </c>
      <c r="D13" t="inlineStr">
        <is>
          <t>Medium</t>
        </is>
      </c>
      <c r="E13" t="inlineStr">
        <is>
          <t>[S]</t>
        </is>
      </c>
      <c r="F13" t="inlineStr">
        <is>
          <t>Call when p x 1,200 &gt; (1 - p) x 40, so p &gt; 40 / 1,240 = 1 / 31, about 0.032; the line moves down from 0.5 and recall leads.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IF(SUMPRODUCT((Marks!$AD$5:$AD$43="top")*ISNUMBER(Marks!J$5:J$43))=0,"",SUMPRODUCT((Marks!$AD$5:$AD$43="top")*(Marks!J$5:J$43=1))/SUMPRODUCT((Marks!$AD$5:$AD$43="top")*ISNUMBER(Marks!J$5:J$43)))</f>
        <v/>
      </c>
      <c r="K13" s="6">
        <f>IF(SUMPRODUCT((Marks!$AD$5:$AD$43="bottom")*ISNUMBER(Marks!J$5:J$43))=0,"",SUMPRODUCT((Marks!$AD$5:$AD$43="bottom")*(Marks!J$5:J$43=1))/SUMPRODUCT((Marks!$AD$5:$AD$43="bottom")*ISNUMBER(Marks!J$5:J$43)))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[S]</t>
        </is>
      </c>
      <c r="F14" t="inlineStr">
        <is>
          <t>b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IF(SUMPRODUCT((Marks!$AD$5:$AD$43="top")*ISNUMBER(Marks!K$5:K$43))=0,"",SUMPRODUCT((Marks!$AD$5:$AD$43="top")*(Marks!K$5:K$43=1))/SUMPRODUCT((Marks!$AD$5:$AD$43="top")*ISNUMBER(Marks!K$5:K$43)))</f>
        <v/>
      </c>
      <c r="K14" s="6">
        <f>IF(SUMPRODUCT((Marks!$AD$5:$AD$43="bottom")*ISNUMBER(Marks!K$5:K$43))=0,"",SUMPRODUCT((Marks!$AD$5:$AD$43="bottom")*(Marks!K$5:K$43=1))/SUMPRODUCT((Marks!$AD$5:$AD$43="bottom")*ISNUMBER(Marks!K$5:K$43)))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Hard</t>
        </is>
      </c>
      <c r="E15" t="inlineStr">
        <is>
          <t>[D]</t>
        </is>
      </c>
      <c r="F15" t="inlineStr">
        <is>
          <t>c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IF(SUMPRODUCT((Marks!$AD$5:$AD$43="top")*ISNUMBER(Marks!L$5:L$43))=0,"",SUMPRODUCT((Marks!$AD$5:$AD$43="top")*(Marks!L$5:L$43=1))/SUMPRODUCT((Marks!$AD$5:$AD$43="top")*ISNUMBER(Marks!L$5:L$43)))</f>
        <v/>
      </c>
      <c r="K15" s="6">
        <f>IF(SUMPRODUCT((Marks!$AD$5:$AD$43="bottom")*ISNUMBER(Marks!L$5:L$43))=0,"",SUMPRODUCT((Marks!$AD$5:$AD$43="bottom")*(Marks!L$5:L$43=1))/SUMPRODUCT((Marks!$AD$5:$AD$43="bottom")*ISNUMBER(Marks!L$5:L$43)))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Fill in the blank</t>
        </is>
      </c>
      <c r="D16" t="inlineStr">
        <is>
          <t>Easy</t>
        </is>
      </c>
      <c r="E16" t="inlineStr">
        <is>
          <t>[S]</t>
        </is>
      </c>
      <c r="F16" t="inlineStr">
        <is>
          <t>c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IF(SUMPRODUCT((Marks!$AD$5:$AD$43="top")*ISNUMBER(Marks!M$5:M$43))=0,"",SUMPRODUCT((Marks!$AD$5:$AD$43="top")*(Marks!M$5:M$43=1))/SUMPRODUCT((Marks!$AD$5:$AD$43="top")*ISNUMBER(Marks!M$5:M$43)))</f>
        <v/>
      </c>
      <c r="K16" s="6">
        <f>IF(SUMPRODUCT((Marks!$AD$5:$AD$43="bottom")*ISNUMBER(Marks!M$5:M$43))=0,"",SUMPRODUCT((Marks!$AD$5:$AD$43="bottom")*(Marks!M$5:M$43=1))/SUMPRODUCT((Marks!$AD$5:$AD$43="bottom")*ISNUMBER(Marks!M$5:M$43)))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Hard</t>
        </is>
      </c>
      <c r="E17" t="inlineStr">
        <is>
          <t>[S]</t>
        </is>
      </c>
      <c r="F17" t="inlineStr">
        <is>
          <t>c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IF(SUMPRODUCT((Marks!$AD$5:$AD$43="top")*ISNUMBER(Marks!N$5:N$43))=0,"",SUMPRODUCT((Marks!$AD$5:$AD$43="top")*(Marks!N$5:N$43=1))/SUMPRODUCT((Marks!$AD$5:$AD$43="top")*ISNUMBER(Marks!N$5:N$43)))</f>
        <v/>
      </c>
      <c r="K17" s="6">
        <f>IF(SUMPRODUCT((Marks!$AD$5:$AD$43="bottom")*ISNUMBER(Marks!N$5:N$43))=0,"",SUMPRODUCT((Marks!$AD$5:$AD$43="bottom")*(Marks!N$5:N$43=1))/SUMPRODUCT((Marks!$AD$5:$AD$43="bottom")*ISNUMBER(Marks!N$5:N$43)))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More than one correct</t>
        </is>
      </c>
      <c r="D18" t="inlineStr">
        <is>
          <t>Hard</t>
        </is>
      </c>
      <c r="E18" t="inlineStr">
        <is>
          <t>[S]</t>
        </is>
      </c>
      <c r="F18" t="inlineStr">
        <is>
          <t>b, c, d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IF(SUMPRODUCT((Marks!$AD$5:$AD$43="top")*ISNUMBER(Marks!O$5:O$43))=0,"",SUMPRODUCT((Marks!$AD$5:$AD$43="top")*(Marks!O$5:O$43=1))/SUMPRODUCT((Marks!$AD$5:$AD$43="top")*ISNUMBER(Marks!O$5:O$43)))</f>
        <v/>
      </c>
      <c r="K18" s="6">
        <f>IF(SUMPRODUCT((Marks!$AD$5:$AD$43="bottom")*ISNUMBER(Marks!O$5:O$43))=0,"",SUMPRODUCT((Marks!$AD$5:$AD$43="bottom")*(Marks!O$5:O$43=1))/SUMPRODUCT((Marks!$AD$5:$AD$43="bottom")*ISNUMBER(Marks!O$5:O$43)))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True or false</t>
        </is>
      </c>
      <c r="D19" t="inlineStr">
        <is>
          <t>Hard</t>
        </is>
      </c>
      <c r="E19" t="inlineStr">
        <is>
          <t>[F]</t>
        </is>
      </c>
      <c r="F19" t="inlineStr">
        <is>
          <t>a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IF(SUMPRODUCT((Marks!$AD$5:$AD$43="top")*ISNUMBER(Marks!P$5:P$43))=0,"",SUMPRODUCT((Marks!$AD$5:$AD$43="top")*(Marks!P$5:P$43=1))/SUMPRODUCT((Marks!$AD$5:$AD$43="top")*ISNUMBER(Marks!P$5:P$43)))</f>
        <v/>
      </c>
      <c r="K19" s="6">
        <f>IF(SUMPRODUCT((Marks!$AD$5:$AD$43="bottom")*ISNUMBER(Marks!P$5:P$43))=0,"",SUMPRODUCT((Marks!$AD$5:$AD$43="bottom")*(Marks!P$5:P$43=1))/SUMPRODUCT((Marks!$AD$5:$AD$43="bottom")*ISNUMBER(Marks!P$5:P$43)))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d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IF(SUMPRODUCT((Marks!$AD$5:$AD$43="top")*ISNUMBER(Marks!Q$5:Q$43))=0,"",SUMPRODUCT((Marks!$AD$5:$AD$43="top")*(Marks!Q$5:Q$43=1))/SUMPRODUCT((Marks!$AD$5:$AD$43="top")*ISNUMBER(Marks!Q$5:Q$43)))</f>
        <v/>
      </c>
      <c r="K20" s="6">
        <f>IF(SUMPRODUCT((Marks!$AD$5:$AD$43="bottom")*ISNUMBER(Marks!Q$5:Q$43))=0,"",SUMPRODUCT((Marks!$AD$5:$AD$43="bottom")*(Marks!Q$5:Q$43=1))/SUMPRODUCT((Marks!$AD$5:$AD$43="bottom")*ISNUMBER(Marks!Q$5:Q$43)))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Fill in the blank</t>
        </is>
      </c>
      <c r="D21" t="inlineStr">
        <is>
          <t>Easy</t>
        </is>
      </c>
      <c r="E21" t="inlineStr">
        <is>
          <t>[S]</t>
        </is>
      </c>
      <c r="F21" t="inlineStr">
        <is>
          <t>a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IF(SUMPRODUCT((Marks!$AD$5:$AD$43="top")*ISNUMBER(Marks!R$5:R$43))=0,"",SUMPRODUCT((Marks!$AD$5:$AD$43="top")*(Marks!R$5:R$43=1))/SUMPRODUCT((Marks!$AD$5:$AD$43="top")*ISNUMBER(Marks!R$5:R$43)))</f>
        <v/>
      </c>
      <c r="K21" s="6">
        <f>IF(SUMPRODUCT((Marks!$AD$5:$AD$43="bottom")*ISNUMBER(Marks!R$5:R$43))=0,"",SUMPRODUCT((Marks!$AD$5:$AD$43="bottom")*(Marks!R$5:R$43=1))/SUMPRODUCT((Marks!$AD$5:$AD$43="bottom")*ISNUMBER(Marks!R$5:R$43)))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Fill in the blank</t>
        </is>
      </c>
      <c r="D22" t="inlineStr">
        <is>
          <t>Medium</t>
        </is>
      </c>
      <c r="E22" t="inlineStr">
        <is>
          <t>[F]</t>
        </is>
      </c>
      <c r="F22" t="inlineStr">
        <is>
          <t>d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IF(SUMPRODUCT((Marks!$AD$5:$AD$43="top")*ISNUMBER(Marks!S$5:S$43))=0,"",SUMPRODUCT((Marks!$AD$5:$AD$43="top")*(Marks!S$5:S$43=1))/SUMPRODUCT((Marks!$AD$5:$AD$43="top")*ISNUMBER(Marks!S$5:S$43)))</f>
        <v/>
      </c>
      <c r="K22" s="6">
        <f>IF(SUMPRODUCT((Marks!$AD$5:$AD$43="bottom")*ISNUMBER(Marks!S$5:S$43))=0,"",SUMPRODUCT((Marks!$AD$5:$AD$43="bottom")*(Marks!S$5:S$43=1))/SUMPRODUCT((Marks!$AD$5:$AD$43="bottom")*ISNUMBER(Marks!S$5:S$43)))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a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IF(SUMPRODUCT((Marks!$AD$5:$AD$43="top")*ISNUMBER(Marks!T$5:T$43))=0,"",SUMPRODUCT((Marks!$AD$5:$AD$43="top")*(Marks!T$5:T$43=1))/SUMPRODUCT((Marks!$AD$5:$AD$43="top")*ISNUMBER(Marks!T$5:T$43)))</f>
        <v/>
      </c>
      <c r="K23" s="6">
        <f>IF(SUMPRODUCT((Marks!$AD$5:$AD$43="bottom")*ISNUMBER(Marks!T$5:T$43))=0,"",SUMPRODUCT((Marks!$AD$5:$AD$43="bottom")*(Marks!T$5:T$43=1))/SUMPRODUCT((Marks!$AD$5:$AD$43="bottom")*ISNUMBER(Marks!T$5:T$43)))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More than one correct</t>
        </is>
      </c>
      <c r="D24" t="inlineStr">
        <is>
          <t>Medium</t>
        </is>
      </c>
      <c r="E24" t="inlineStr">
        <is>
          <t>[F]</t>
        </is>
      </c>
      <c r="F24" t="inlineStr">
        <is>
          <t>a, b, d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IF(SUMPRODUCT((Marks!$AD$5:$AD$43="top")*ISNUMBER(Marks!U$5:U$43))=0,"",SUMPRODUCT((Marks!$AD$5:$AD$43="top")*(Marks!U$5:U$43=1))/SUMPRODUCT((Marks!$AD$5:$AD$43="top")*ISNUMBER(Marks!U$5:U$43)))</f>
        <v/>
      </c>
      <c r="K24" s="6">
        <f>IF(SUMPRODUCT((Marks!$AD$5:$AD$43="bottom")*ISNUMBER(Marks!U$5:U$43))=0,"",SUMPRODUCT((Marks!$AD$5:$AD$43="bottom")*(Marks!U$5:U$43=1))/SUMPRODUCT((Marks!$AD$5:$AD$43="bottom")*ISNUMBER(Marks!U$5:U$43)))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b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IF(SUMPRODUCT((Marks!$AD$5:$AD$43="top")*ISNUMBER(Marks!V$5:V$43))=0,"",SUMPRODUCT((Marks!$AD$5:$AD$43="top")*(Marks!V$5:V$43=1))/SUMPRODUCT((Marks!$AD$5:$AD$43="top")*ISNUMBER(Marks!V$5:V$43)))</f>
        <v/>
      </c>
      <c r="K25" s="6">
        <f>IF(SUMPRODUCT((Marks!$AD$5:$AD$43="bottom")*ISNUMBER(Marks!V$5:V$43))=0,"",SUMPRODUCT((Marks!$AD$5:$AD$43="bottom")*(Marks!V$5:V$43=1))/SUMPRODUCT((Marks!$AD$5:$AD$43="bottom")*ISNUMBER(Marks!V$5:V$43)))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True or false</t>
        </is>
      </c>
      <c r="D26" t="inlineStr">
        <is>
          <t>Hard</t>
        </is>
      </c>
      <c r="E26" t="inlineStr">
        <is>
          <t>[D]</t>
        </is>
      </c>
      <c r="F26" t="inlineStr">
        <is>
          <t>c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IF(SUMPRODUCT((Marks!$AD$5:$AD$43="top")*ISNUMBER(Marks!W$5:W$43))=0,"",SUMPRODUCT((Marks!$AD$5:$AD$43="top")*(Marks!W$5:W$43=1))/SUMPRODUCT((Marks!$AD$5:$AD$43="top")*ISNUMBER(Marks!W$5:W$43)))</f>
        <v/>
      </c>
      <c r="K26" s="6">
        <f>IF(SUMPRODUCT((Marks!$AD$5:$AD$43="bottom")*ISNUMBER(Marks!W$5:W$43))=0,"",SUMPRODUCT((Marks!$AD$5:$AD$43="bottom")*(Marks!W$5:W$43=1))/SUMPRODUCT((Marks!$AD$5:$AD$43="bottom")*ISNUMBER(Marks!W$5:W$43)))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One correct option</t>
        </is>
      </c>
      <c r="D27" t="inlineStr">
        <is>
          <t>Hard</t>
        </is>
      </c>
      <c r="E27" t="inlineStr">
        <is>
          <t>[F]</t>
        </is>
      </c>
      <c r="F27" t="inlineStr">
        <is>
          <t>a</t>
        </is>
      </c>
      <c r="G27">
        <f>COUNTIF(Marks!X$5:X$43,1)</f>
        <v/>
      </c>
      <c r="H27">
        <f>COUNT(Marks!X$5:X$43)</f>
        <v/>
      </c>
      <c r="I27" s="6">
        <f>IF(H27=0,"",G27/H27)</f>
        <v/>
      </c>
      <c r="J27" s="6">
        <f>IF(SUMPRODUCT((Marks!$AD$5:$AD$43="top")*ISNUMBER(Marks!X$5:X$43))=0,"",SUMPRODUCT((Marks!$AD$5:$AD$43="top")*(Marks!X$5:X$43=1))/SUMPRODUCT((Marks!$AD$5:$AD$43="top")*ISNUMBER(Marks!X$5:X$43)))</f>
        <v/>
      </c>
      <c r="K27" s="6">
        <f>IF(SUMPRODUCT((Marks!$AD$5:$AD$43="bottom")*ISNUMBER(Marks!X$5:X$43))=0,"",SUMPRODUCT((Marks!$AD$5:$AD$43="bottom")*(Marks!X$5:X$43=1))/SUMPRODUCT((Marks!$AD$5:$AD$43="bottom")*ISNUMBER(Marks!X$5:X$43)))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More than one correct</t>
        </is>
      </c>
      <c r="D28" t="inlineStr">
        <is>
          <t>Medium</t>
        </is>
      </c>
      <c r="E28" t="inlineStr">
        <is>
          <t>[D]</t>
        </is>
      </c>
      <c r="F28" t="inlineStr">
        <is>
          <t>b, c</t>
        </is>
      </c>
      <c r="G28">
        <f>COUNTIF(Marks!Y$5:Y$43,1)</f>
        <v/>
      </c>
      <c r="H28">
        <f>COUNT(Marks!Y$5:Y$43)</f>
        <v/>
      </c>
      <c r="I28" s="6">
        <f>IF(H28=0,"",G28/H28)</f>
        <v/>
      </c>
      <c r="J28" s="6">
        <f>IF(SUMPRODUCT((Marks!$AD$5:$AD$43="top")*ISNUMBER(Marks!Y$5:Y$43))=0,"",SUMPRODUCT((Marks!$AD$5:$AD$43="top")*(Marks!Y$5:Y$43=1))/SUMPRODUCT((Marks!$AD$5:$AD$43="top")*ISNUMBER(Marks!Y$5:Y$43)))</f>
        <v/>
      </c>
      <c r="K28" s="6">
        <f>IF(SUMPRODUCT((Marks!$AD$5:$AD$43="bottom")*ISNUMBER(Marks!Y$5:Y$43))=0,"",SUMPRODUCT((Marks!$AD$5:$AD$43="bottom")*(Marks!Y$5:Y$43=1))/SUMPRODUCT((Marks!$AD$5:$AD$43="bottom")*ISNUMBER(Marks!Y$5:Y$43)))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One correct option</t>
        </is>
      </c>
      <c r="D29" t="inlineStr">
        <is>
          <t>Hard</t>
        </is>
      </c>
      <c r="E29" t="inlineStr">
        <is>
          <t>[D]</t>
        </is>
      </c>
      <c r="F29" t="inlineStr">
        <is>
          <t>a</t>
        </is>
      </c>
      <c r="G29">
        <f>COUNTIF(Marks!Z$5:Z$43,1)</f>
        <v/>
      </c>
      <c r="H29">
        <f>COUNT(Marks!Z$5:Z$43)</f>
        <v/>
      </c>
      <c r="I29" s="6">
        <f>IF(H29=0,"",G29/H29)</f>
        <v/>
      </c>
      <c r="J29" s="6">
        <f>IF(SUMPRODUCT((Marks!$AD$5:$AD$43="top")*ISNUMBER(Marks!Z$5:Z$43))=0,"",SUMPRODUCT((Marks!$AD$5:$AD$43="top")*(Marks!Z$5:Z$43=1))/SUMPRODUCT((Marks!$AD$5:$AD$43="top")*ISNUMBER(Marks!Z$5:Z$43)))</f>
        <v/>
      </c>
      <c r="K29" s="6">
        <f>IF(SUMPRODUCT((Marks!$AD$5:$AD$43="bottom")*ISNUMBER(Marks!Z$5:Z$43))=0,"",SUMPRODUCT((Marks!$AD$5:$AD$43="bottom")*(Marks!Z$5:Z$43=1))/SUMPRODUCT((Marks!$AD$5:$AD$43="bottom")*ISNUMBER(Marks!Z$5:Z$43)))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d</t>
        </is>
      </c>
      <c r="G30">
        <f>COUNTIF(Marks!AA$5:AA$43,1)</f>
        <v/>
      </c>
      <c r="H30">
        <f>COUNT(Marks!AA$5:AA$43)</f>
        <v/>
      </c>
      <c r="I30" s="6">
        <f>IF(H30=0,"",G30/H30)</f>
        <v/>
      </c>
      <c r="J30" s="6">
        <f>IF(SUMPRODUCT((Marks!$AD$5:$AD$43="top")*ISNUMBER(Marks!AA$5:AA$43))=0,"",SUMPRODUCT((Marks!$AD$5:$AD$43="top")*(Marks!AA$5:AA$43=1))/SUMPRODUCT((Marks!$AD$5:$AD$43="top")*ISNUMBER(Marks!AA$5:AA$43)))</f>
        <v/>
      </c>
      <c r="K30" s="6">
        <f>IF(SUMPRODUCT((Marks!$AD$5:$AD$43="bottom")*ISNUMBER(Marks!AA$5:AA$43))=0,"",SUMPRODUCT((Marks!$AD$5:$AD$43="bottom")*(Marks!AA$5:AA$43=1))/SUMPRODUCT((Marks!$AD$5:$AD$43="bottom")*ISNUMBER(Marks!AA$5:AA$43)))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IF(SUM(Items!H5:H30)=0,"No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IF(COUNT(Items!$N$5:$N$30)&lt;A5,"",INDEX(Items!$A$5:$A$30,MATCH(SMALL(Items!$N$5:$N$30,A5),Items!$N$5:$N$30,0)))</f>
        <v/>
      </c>
      <c r="C5" s="6">
        <f>IF(B5="","",INDEX(Items!$I$5:$I$30,MATCH(B5,Items!$A$5:$A$30,0)))</f>
        <v/>
      </c>
      <c r="D5">
        <f>IF(B5="","",INDEX(Items!$B$5:$B$30,MATCH(B5,Items!$A$5:$A$30,0)))</f>
        <v/>
      </c>
      <c r="E5">
        <f>IF(B5="","",INDEX(Items!$E$5:$E$30,MATCH(B5,Items!$A$5:$A$30,0)))</f>
        <v/>
      </c>
      <c r="F5">
        <f>IF(B5="","",INDEX(Items!$M$5:$M$30,MATCH(B5,Items!$A$5:$A$30,0)))</f>
        <v/>
      </c>
    </row>
    <row r="6">
      <c r="A6" t="n">
        <v>2</v>
      </c>
      <c r="B6">
        <f>IF(COUNT(Items!$N$5:$N$30)&lt;A6,"",INDEX(Items!$A$5:$A$30,MATCH(SMALL(Items!$N$5:$N$30,A6),Items!$N$5:$N$30,0)))</f>
        <v/>
      </c>
      <c r="C6" s="6">
        <f>IF(B6="","",INDEX(Items!$I$5:$I$30,MATCH(B6,Items!$A$5:$A$30,0)))</f>
        <v/>
      </c>
      <c r="D6">
        <f>IF(B6="","",INDEX(Items!$B$5:$B$30,MATCH(B6,Items!$A$5:$A$30,0)))</f>
        <v/>
      </c>
      <c r="E6">
        <f>IF(B6="","",INDEX(Items!$E$5:$E$30,MATCH(B6,Items!$A$5:$A$30,0)))</f>
        <v/>
      </c>
      <c r="F6">
        <f>IF(B6="","",INDEX(Items!$M$5:$M$30,MATCH(B6,Items!$A$5:$A$30,0)))</f>
        <v/>
      </c>
    </row>
    <row r="7">
      <c r="A7" t="n">
        <v>3</v>
      </c>
      <c r="B7">
        <f>IF(COUNT(Items!$N$5:$N$30)&lt;A7,"",INDEX(Items!$A$5:$A$30,MATCH(SMALL(Items!$N$5:$N$30,A7),Items!$N$5:$N$30,0)))</f>
        <v/>
      </c>
      <c r="C7" s="6">
        <f>IF(B7="","",INDEX(Items!$I$5:$I$30,MATCH(B7,Items!$A$5:$A$30,0)))</f>
        <v/>
      </c>
      <c r="D7">
        <f>IF(B7="","",INDEX(Items!$B$5:$B$30,MATCH(B7,Items!$A$5:$A$30,0)))</f>
        <v/>
      </c>
      <c r="E7">
        <f>IF(B7="","",INDEX(Items!$E$5:$E$30,MATCH(B7,Items!$A$5:$A$30,0)))</f>
        <v/>
      </c>
      <c r="F7">
        <f>IF(B7="","",INDEX(Items!$M$5:$M$30,MATCH(B7,Items!$A$5:$A$30,0)))</f>
        <v/>
      </c>
    </row>
    <row r="8">
      <c r="A8" t="n">
        <v>4</v>
      </c>
      <c r="B8">
        <f>IF(COUNT(Items!$N$5:$N$30)&lt;A8,"",INDEX(Items!$A$5:$A$30,MATCH(SMALL(Items!$N$5:$N$30,A8),Items!$N$5:$N$30,0)))</f>
        <v/>
      </c>
      <c r="C8" s="6">
        <f>IF(B8="","",INDEX(Items!$I$5:$I$30,MATCH(B8,Items!$A$5:$A$30,0)))</f>
        <v/>
      </c>
      <c r="D8">
        <f>IF(B8="","",INDEX(Items!$B$5:$B$30,MATCH(B8,Items!$A$5:$A$30,0)))</f>
        <v/>
      </c>
      <c r="E8">
        <f>IF(B8="","",INDEX(Items!$E$5:$E$30,MATCH(B8,Items!$A$5:$A$30,0)))</f>
        <v/>
      </c>
      <c r="F8">
        <f>IF(B8="","",INDEX(Items!$M$5:$M$30,MATCH(B8,Items!$A$5:$A$30,0)))</f>
        <v/>
      </c>
    </row>
    <row r="9">
      <c r="A9" t="n">
        <v>5</v>
      </c>
      <c r="B9">
        <f>IF(COUNT(Items!$N$5:$N$30)&lt;A9,"",INDEX(Items!$A$5:$A$30,MATCH(SMALL(Items!$N$5:$N$30,A9),Items!$N$5:$N$30,0)))</f>
        <v/>
      </c>
      <c r="C9" s="6">
        <f>IF(B9="","",INDEX(Items!$I$5:$I$30,MATCH(B9,Items!$A$5:$A$30,0)))</f>
        <v/>
      </c>
      <c r="D9">
        <f>IF(B9="","",INDEX(Items!$B$5:$B$30,MATCH(B9,Items!$A$5:$A$30,0)))</f>
        <v/>
      </c>
      <c r="E9">
        <f>IF(B9="","",INDEX(Items!$E$5:$E$30,MATCH(B9,Items!$A$5:$A$30,0)))</f>
        <v/>
      </c>
      <c r="F9">
        <f>IF(B9="","",INDEX(Items!$M$5:$M$30,MATCH(B9,Items!$A$5:$A$30,0)))</f>
        <v/>
      </c>
    </row>
    <row r="10">
      <c r="A10" t="n">
        <v>6</v>
      </c>
      <c r="B10">
        <f>IF(COUNT(Items!$N$5:$N$30)&lt;A10,"",INDEX(Items!$A$5:$A$30,MATCH(SMALL(Items!$N$5:$N$30,A10),Items!$N$5:$N$30,0)))</f>
        <v/>
      </c>
      <c r="C10" s="6">
        <f>IF(B10="","",INDEX(Items!$I$5:$I$30,MATCH(B10,Items!$A$5:$A$30,0)))</f>
        <v/>
      </c>
      <c r="D10">
        <f>IF(B10="","",INDEX(Items!$B$5:$B$30,MATCH(B10,Items!$A$5:$A$30,0)))</f>
        <v/>
      </c>
      <c r="E10">
        <f>IF(B10="","",INDEX(Items!$E$5:$E$30,MATCH(B10,Items!$A$5:$A$30,0)))</f>
        <v/>
      </c>
      <c r="F10">
        <f>IF(B10="","",INDEX(Items!$M$5:$M$30,MATCH(B10,Items!$A$5:$A$30,0)))</f>
        <v/>
      </c>
    </row>
    <row r="11">
      <c r="A11" t="n">
        <v>7</v>
      </c>
      <c r="B11">
        <f>IF(COUNT(Items!$N$5:$N$30)&lt;A11,"",INDEX(Items!$A$5:$A$30,MATCH(SMALL(Items!$N$5:$N$30,A11),Items!$N$5:$N$30,0)))</f>
        <v/>
      </c>
      <c r="C11" s="6">
        <f>IF(B11="","",INDEX(Items!$I$5:$I$30,MATCH(B11,Items!$A$5:$A$30,0)))</f>
        <v/>
      </c>
      <c r="D11">
        <f>IF(B11="","",INDEX(Items!$B$5:$B$30,MATCH(B11,Items!$A$5:$A$30,0)))</f>
        <v/>
      </c>
      <c r="E11">
        <f>IF(B11="","",INDEX(Items!$E$5:$E$30,MATCH(B11,Items!$A$5:$A$30,0)))</f>
        <v/>
      </c>
      <c r="F11">
        <f>IF(B11="","",INDEX(Items!$M$5:$M$30,MATCH(B11,Items!$A$5:$A$30,0)))</f>
        <v/>
      </c>
    </row>
    <row r="12">
      <c r="A12" t="n">
        <v>8</v>
      </c>
      <c r="B12">
        <f>IF(COUNT(Items!$N$5:$N$30)&lt;A12,"",INDEX(Items!$A$5:$A$30,MATCH(SMALL(Items!$N$5:$N$30,A12),Items!$N$5:$N$30,0)))</f>
        <v/>
      </c>
      <c r="C12" s="6">
        <f>IF(B12="","",INDEX(Items!$I$5:$I$30,MATCH(B12,Items!$A$5:$A$30,0)))</f>
        <v/>
      </c>
      <c r="D12">
        <f>IF(B12="","",INDEX(Items!$B$5:$B$30,MATCH(B12,Items!$A$5:$A$30,0)))</f>
        <v/>
      </c>
      <c r="E12">
        <f>IF(B12="","",INDEX(Items!$E$5:$E$30,MATCH(B12,Items!$A$5:$A$30,0)))</f>
        <v/>
      </c>
      <c r="F12">
        <f>IF(B12="","",INDEX(Items!$M$5:$M$30,MATCH(B12,Items!$A$5:$A$30,0)))</f>
        <v/>
      </c>
    </row>
    <row r="13">
      <c r="A13" t="n">
        <v>9</v>
      </c>
      <c r="B13">
        <f>IF(COUNT(Items!$N$5:$N$30)&lt;A13,"",INDEX(Items!$A$5:$A$30,MATCH(SMALL(Items!$N$5:$N$30,A13),Items!$N$5:$N$30,0)))</f>
        <v/>
      </c>
      <c r="C13" s="6">
        <f>IF(B13="","",INDEX(Items!$I$5:$I$30,MATCH(B13,Items!$A$5:$A$30,0)))</f>
        <v/>
      </c>
      <c r="D13">
        <f>IF(B13="","",INDEX(Items!$B$5:$B$30,MATCH(B13,Items!$A$5:$A$30,0)))</f>
        <v/>
      </c>
      <c r="E13">
        <f>IF(B13="","",INDEX(Items!$E$5:$E$30,MATCH(B13,Items!$A$5:$A$30,0)))</f>
        <v/>
      </c>
      <c r="F13">
        <f>IF(B13="","",INDEX(Items!$M$5:$M$30,MATCH(B13,Items!$A$5:$A$30,0)))</f>
        <v/>
      </c>
    </row>
    <row r="14">
      <c r="A14" t="n">
        <v>10</v>
      </c>
      <c r="B14">
        <f>IF(COUNT(Items!$N$5:$N$30)&lt;A14,"",INDEX(Items!$A$5:$A$30,MATCH(SMALL(Items!$N$5:$N$30,A14),Items!$N$5:$N$30,0)))</f>
        <v/>
      </c>
      <c r="C14" s="6">
        <f>IF(B14="","",INDEX(Items!$I$5:$I$30,MATCH(B14,Items!$A$5:$A$30,0)))</f>
        <v/>
      </c>
      <c r="D14">
        <f>IF(B14="","",INDEX(Items!$B$5:$B$30,MATCH(B14,Items!$A$5:$A$30,0)))</f>
        <v/>
      </c>
      <c r="E14">
        <f>IF(B14="","",INDEX(Items!$E$5:$E$30,MATCH(B14,Items!$A$5:$A$30,0)))</f>
        <v/>
      </c>
      <c r="F14">
        <f>IF(B14="","",INDEX(Items!$M$5:$M$30,MATCH(B14,Items!$A$5:$A$30,0)))</f>
        <v/>
      </c>
    </row>
    <row r="15">
      <c r="A15" t="n">
        <v>11</v>
      </c>
      <c r="B15">
        <f>IF(COUNT(Items!$N$5:$N$30)&lt;A15,"",INDEX(Items!$A$5:$A$30,MATCH(SMALL(Items!$N$5:$N$30,A15),Items!$N$5:$N$30,0)))</f>
        <v/>
      </c>
      <c r="C15" s="6">
        <f>IF(B15="","",INDEX(Items!$I$5:$I$30,MATCH(B15,Items!$A$5:$A$30,0)))</f>
        <v/>
      </c>
      <c r="D15">
        <f>IF(B15="","",INDEX(Items!$B$5:$B$30,MATCH(B15,Items!$A$5:$A$30,0)))</f>
        <v/>
      </c>
      <c r="E15">
        <f>IF(B15="","",INDEX(Items!$E$5:$E$30,MATCH(B15,Items!$A$5:$A$30,0)))</f>
        <v/>
      </c>
      <c r="F15">
        <f>IF(B15="","",INDEX(Items!$M$5:$M$30,MATCH(B15,Items!$A$5:$A$30,0)))</f>
        <v/>
      </c>
    </row>
    <row r="16">
      <c r="A16" t="n">
        <v>12</v>
      </c>
      <c r="B16">
        <f>IF(COUNT(Items!$N$5:$N$30)&lt;A16,"",INDEX(Items!$A$5:$A$30,MATCH(SMALL(Items!$N$5:$N$30,A16),Items!$N$5:$N$30,0)))</f>
        <v/>
      </c>
      <c r="C16" s="6">
        <f>IF(B16="","",INDEX(Items!$I$5:$I$30,MATCH(B16,Items!$A$5:$A$30,0)))</f>
        <v/>
      </c>
      <c r="D16">
        <f>IF(B16="","",INDEX(Items!$B$5:$B$30,MATCH(B16,Items!$A$5:$A$30,0)))</f>
        <v/>
      </c>
      <c r="E16">
        <f>IF(B16="","",INDEX(Items!$E$5:$E$30,MATCH(B16,Items!$A$5:$A$30,0)))</f>
        <v/>
      </c>
      <c r="F16">
        <f>IF(B16="","",INDEX(Items!$M$5:$M$30,MATCH(B16,Items!$A$5:$A$30,0)))</f>
        <v/>
      </c>
    </row>
    <row r="17">
      <c r="A17" t="n">
        <v>13</v>
      </c>
      <c r="B17">
        <f>IF(COUNT(Items!$N$5:$N$30)&lt;A17,"",INDEX(Items!$A$5:$A$30,MATCH(SMALL(Items!$N$5:$N$30,A17),Items!$N$5:$N$30,0)))</f>
        <v/>
      </c>
      <c r="C17" s="6">
        <f>IF(B17="","",INDEX(Items!$I$5:$I$30,MATCH(B17,Items!$A$5:$A$30,0)))</f>
        <v/>
      </c>
      <c r="D17">
        <f>IF(B17="","",INDEX(Items!$B$5:$B$30,MATCH(B17,Items!$A$5:$A$30,0)))</f>
        <v/>
      </c>
      <c r="E17">
        <f>IF(B17="","",INDEX(Items!$E$5:$E$30,MATCH(B17,Items!$A$5:$A$30,0)))</f>
        <v/>
      </c>
      <c r="F17">
        <f>IF(B17="","",INDEX(Items!$M$5:$M$30,MATCH(B17,Items!$A$5:$A$30,0)))</f>
        <v/>
      </c>
    </row>
    <row r="18">
      <c r="A18" t="n">
        <v>14</v>
      </c>
      <c r="B18">
        <f>IF(COUNT(Items!$N$5:$N$30)&lt;A18,"",INDEX(Items!$A$5:$A$30,MATCH(SMALL(Items!$N$5:$N$30,A18),Items!$N$5:$N$30,0)))</f>
        <v/>
      </c>
      <c r="C18" s="6">
        <f>IF(B18="","",INDEX(Items!$I$5:$I$30,MATCH(B18,Items!$A$5:$A$30,0)))</f>
        <v/>
      </c>
      <c r="D18">
        <f>IF(B18="","",INDEX(Items!$B$5:$B$30,MATCH(B18,Items!$A$5:$A$30,0)))</f>
        <v/>
      </c>
      <c r="E18">
        <f>IF(B18="","",INDEX(Items!$E$5:$E$30,MATCH(B18,Items!$A$5:$A$30,0)))</f>
        <v/>
      </c>
      <c r="F18">
        <f>IF(B18="","",INDEX(Items!$M$5:$M$30,MATCH(B18,Items!$A$5:$A$30,0)))</f>
        <v/>
      </c>
    </row>
    <row r="19">
      <c r="A19" t="n">
        <v>15</v>
      </c>
      <c r="B19">
        <f>IF(COUNT(Items!$N$5:$N$30)&lt;A19,"",INDEX(Items!$A$5:$A$30,MATCH(SMALL(Items!$N$5:$N$30,A19),Items!$N$5:$N$30,0)))</f>
        <v/>
      </c>
      <c r="C19" s="6">
        <f>IF(B19="","",INDEX(Items!$I$5:$I$30,MATCH(B19,Items!$A$5:$A$30,0)))</f>
        <v/>
      </c>
      <c r="D19">
        <f>IF(B19="","",INDEX(Items!$B$5:$B$30,MATCH(B19,Items!$A$5:$A$30,0)))</f>
        <v/>
      </c>
      <c r="E19">
        <f>IF(B19="","",INDEX(Items!$E$5:$E$30,MATCH(B19,Items!$A$5:$A$30,0)))</f>
        <v/>
      </c>
      <c r="F19">
        <f>IF(B19="","",INDEX(Items!$M$5:$M$30,MATCH(B19,Items!$A$5:$A$30,0)))</f>
        <v/>
      </c>
    </row>
    <row r="20">
      <c r="A20" t="n">
        <v>16</v>
      </c>
      <c r="B20">
        <f>IF(COUNT(Items!$N$5:$N$30)&lt;A20,"",INDEX(Items!$A$5:$A$30,MATCH(SMALL(Items!$N$5:$N$30,A20),Items!$N$5:$N$30,0)))</f>
        <v/>
      </c>
      <c r="C20" s="6">
        <f>IF(B20="","",INDEX(Items!$I$5:$I$30,MATCH(B20,Items!$A$5:$A$30,0)))</f>
        <v/>
      </c>
      <c r="D20">
        <f>IF(B20="","",INDEX(Items!$B$5:$B$30,MATCH(B20,Items!$A$5:$A$30,0)))</f>
        <v/>
      </c>
      <c r="E20">
        <f>IF(B20="","",INDEX(Items!$E$5:$E$30,MATCH(B20,Items!$A$5:$A$30,0)))</f>
        <v/>
      </c>
      <c r="F20">
        <f>IF(B20="","",INDEX(Items!$M$5:$M$30,MATCH(B20,Items!$A$5:$A$30,0)))</f>
        <v/>
      </c>
    </row>
    <row r="21">
      <c r="A21" t="n">
        <v>17</v>
      </c>
      <c r="B21">
        <f>IF(COUNT(Items!$N$5:$N$30)&lt;A21,"",INDEX(Items!$A$5:$A$30,MATCH(SMALL(Items!$N$5:$N$30,A21),Items!$N$5:$N$30,0)))</f>
        <v/>
      </c>
      <c r="C21" s="6">
        <f>IF(B21="","",INDEX(Items!$I$5:$I$30,MATCH(B21,Items!$A$5:$A$30,0)))</f>
        <v/>
      </c>
      <c r="D21">
        <f>IF(B21="","",INDEX(Items!$B$5:$B$30,MATCH(B21,Items!$A$5:$A$30,0)))</f>
        <v/>
      </c>
      <c r="E21">
        <f>IF(B21="","",INDEX(Items!$E$5:$E$30,MATCH(B21,Items!$A$5:$A$30,0)))</f>
        <v/>
      </c>
      <c r="F21">
        <f>IF(B21="","",INDEX(Items!$M$5:$M$30,MATCH(B21,Items!$A$5:$A$30,0)))</f>
        <v/>
      </c>
    </row>
    <row r="22">
      <c r="A22" t="n">
        <v>18</v>
      </c>
      <c r="B22">
        <f>IF(COUNT(Items!$N$5:$N$30)&lt;A22,"",INDEX(Items!$A$5:$A$30,MATCH(SMALL(Items!$N$5:$N$30,A22),Items!$N$5:$N$30,0)))</f>
        <v/>
      </c>
      <c r="C22" s="6">
        <f>IF(B22="","",INDEX(Items!$I$5:$I$30,MATCH(B22,Items!$A$5:$A$30,0)))</f>
        <v/>
      </c>
      <c r="D22">
        <f>IF(B22="","",INDEX(Items!$B$5:$B$30,MATCH(B22,Items!$A$5:$A$30,0)))</f>
        <v/>
      </c>
      <c r="E22">
        <f>IF(B22="","",INDEX(Items!$E$5:$E$30,MATCH(B22,Items!$A$5:$A$30,0)))</f>
        <v/>
      </c>
      <c r="F22">
        <f>IF(B22="","",INDEX(Items!$M$5:$M$30,MATCH(B22,Items!$A$5:$A$30,0)))</f>
        <v/>
      </c>
    </row>
    <row r="23">
      <c r="A23" t="n">
        <v>19</v>
      </c>
      <c r="B23">
        <f>IF(COUNT(Items!$N$5:$N$30)&lt;A23,"",INDEX(Items!$A$5:$A$30,MATCH(SMALL(Items!$N$5:$N$30,A23),Items!$N$5:$N$30,0)))</f>
        <v/>
      </c>
      <c r="C23" s="6">
        <f>IF(B23="","",INDEX(Items!$I$5:$I$30,MATCH(B23,Items!$A$5:$A$30,0)))</f>
        <v/>
      </c>
      <c r="D23">
        <f>IF(B23="","",INDEX(Items!$B$5:$B$30,MATCH(B23,Items!$A$5:$A$30,0)))</f>
        <v/>
      </c>
      <c r="E23">
        <f>IF(B23="","",INDEX(Items!$E$5:$E$30,MATCH(B23,Items!$A$5:$A$30,0)))</f>
        <v/>
      </c>
      <c r="F23">
        <f>IF(B23="","",INDEX(Items!$M$5:$M$30,MATCH(B23,Items!$A$5:$A$30,0)))</f>
        <v/>
      </c>
    </row>
    <row r="24">
      <c r="A24" t="n">
        <v>20</v>
      </c>
      <c r="B24">
        <f>IF(COUNT(Items!$N$5:$N$30)&lt;A24,"",INDEX(Items!$A$5:$A$30,MATCH(SMALL(Items!$N$5:$N$30,A24),Items!$N$5:$N$30,0)))</f>
        <v/>
      </c>
      <c r="C24" s="6">
        <f>IF(B24="","",INDEX(Items!$I$5:$I$30,MATCH(B24,Items!$A$5:$A$30,0)))</f>
        <v/>
      </c>
      <c r="D24">
        <f>IF(B24="","",INDEX(Items!$B$5:$B$30,MATCH(B24,Items!$A$5:$A$30,0)))</f>
        <v/>
      </c>
      <c r="E24">
        <f>IF(B24="","",INDEX(Items!$E$5:$E$30,MATCH(B24,Items!$A$5:$A$30,0)))</f>
        <v/>
      </c>
      <c r="F24">
        <f>IF(B24="","",INDEX(Items!$M$5:$M$30,MATCH(B24,Items!$A$5:$A$30,0)))</f>
        <v/>
      </c>
    </row>
    <row r="25">
      <c r="A25" t="n">
        <v>21</v>
      </c>
      <c r="B25">
        <f>IF(COUNT(Items!$N$5:$N$30)&lt;A25,"",INDEX(Items!$A$5:$A$30,MATCH(SMALL(Items!$N$5:$N$30,A25),Items!$N$5:$N$30,0)))</f>
        <v/>
      </c>
      <c r="C25" s="6">
        <f>IF(B25="","",INDEX(Items!$I$5:$I$30,MATCH(B25,Items!$A$5:$A$30,0)))</f>
        <v/>
      </c>
      <c r="D25">
        <f>IF(B25="","",INDEX(Items!$B$5:$B$30,MATCH(B25,Items!$A$5:$A$30,0)))</f>
        <v/>
      </c>
      <c r="E25">
        <f>IF(B25="","",INDEX(Items!$E$5:$E$30,MATCH(B25,Items!$A$5:$A$30,0)))</f>
        <v/>
      </c>
      <c r="F25">
        <f>IF(B25="","",INDEX(Items!$M$5:$M$30,MATCH(B25,Items!$A$5:$A$30,0)))</f>
        <v/>
      </c>
    </row>
    <row r="26">
      <c r="A26" t="n">
        <v>22</v>
      </c>
      <c r="B26">
        <f>IF(COUNT(Items!$N$5:$N$30)&lt;A26,"",INDEX(Items!$A$5:$A$30,MATCH(SMALL(Items!$N$5:$N$30,A26),Items!$N$5:$N$30,0)))</f>
        <v/>
      </c>
      <c r="C26" s="6">
        <f>IF(B26="","",INDEX(Items!$I$5:$I$30,MATCH(B26,Items!$A$5:$A$30,0)))</f>
        <v/>
      </c>
      <c r="D26">
        <f>IF(B26="","",INDEX(Items!$B$5:$B$30,MATCH(B26,Items!$A$5:$A$30,0)))</f>
        <v/>
      </c>
      <c r="E26">
        <f>IF(B26="","",INDEX(Items!$E$5:$E$30,MATCH(B26,Items!$A$5:$A$30,0)))</f>
        <v/>
      </c>
      <c r="F26">
        <f>IF(B26="","",INDEX(Items!$M$5:$M$30,MATCH(B26,Items!$A$5:$A$30,0)))</f>
        <v/>
      </c>
    </row>
    <row r="27">
      <c r="A27" t="n">
        <v>23</v>
      </c>
      <c r="B27">
        <f>IF(COUNT(Items!$N$5:$N$30)&lt;A27,"",INDEX(Items!$A$5:$A$30,MATCH(SMALL(Items!$N$5:$N$30,A27),Items!$N$5:$N$30,0)))</f>
        <v/>
      </c>
      <c r="C27" s="6">
        <f>IF(B27="","",INDEX(Items!$I$5:$I$30,MATCH(B27,Items!$A$5:$A$30,0)))</f>
        <v/>
      </c>
      <c r="D27">
        <f>IF(B27="","",INDEX(Items!$B$5:$B$30,MATCH(B27,Items!$A$5:$A$30,0)))</f>
        <v/>
      </c>
      <c r="E27">
        <f>IF(B27="","",INDEX(Items!$E$5:$E$30,MATCH(B27,Items!$A$5:$A$30,0)))</f>
        <v/>
      </c>
      <c r="F27">
        <f>IF(B27="","",INDEX(Items!$M$5:$M$30,MATCH(B27,Items!$A$5:$A$30,0)))</f>
        <v/>
      </c>
    </row>
    <row r="28">
      <c r="A28" t="n">
        <v>24</v>
      </c>
      <c r="B28">
        <f>IF(COUNT(Items!$N$5:$N$30)&lt;A28,"",INDEX(Items!$A$5:$A$30,MATCH(SMALL(Items!$N$5:$N$30,A28),Items!$N$5:$N$30,0)))</f>
        <v/>
      </c>
      <c r="C28" s="6">
        <f>IF(B28="","",INDEX(Items!$I$5:$I$30,MATCH(B28,Items!$A$5:$A$30,0)))</f>
        <v/>
      </c>
      <c r="D28">
        <f>IF(B28="","",INDEX(Items!$B$5:$B$30,MATCH(B28,Items!$A$5:$A$30,0)))</f>
        <v/>
      </c>
      <c r="E28">
        <f>IF(B28="","",INDEX(Items!$E$5:$E$30,MATCH(B28,Items!$A$5:$A$30,0)))</f>
        <v/>
      </c>
      <c r="F28">
        <f>IF(B28="","",INDEX(Items!$M$5:$M$30,MATCH(B28,Items!$A$5:$A$30,0)))</f>
        <v/>
      </c>
    </row>
    <row r="29">
      <c r="A29" t="n">
        <v>25</v>
      </c>
      <c r="B29">
        <f>IF(COUNT(Items!$N$5:$N$30)&lt;A29,"",INDEX(Items!$A$5:$A$30,MATCH(SMALL(Items!$N$5:$N$30,A29),Items!$N$5:$N$30,0)))</f>
        <v/>
      </c>
      <c r="C29" s="6">
        <f>IF(B29="","",INDEX(Items!$I$5:$I$30,MATCH(B29,Items!$A$5:$A$30,0)))</f>
        <v/>
      </c>
      <c r="D29">
        <f>IF(B29="","",INDEX(Items!$B$5:$B$30,MATCH(B29,Items!$A$5:$A$30,0)))</f>
        <v/>
      </c>
      <c r="E29">
        <f>IF(B29="","",INDEX(Items!$E$5:$E$30,MATCH(B29,Items!$A$5:$A$30,0)))</f>
        <v/>
      </c>
      <c r="F29">
        <f>IF(B29="","",INDEX(Items!$M$5:$M$30,MATCH(B29,Items!$A$5:$A$30,0)))</f>
        <v/>
      </c>
    </row>
    <row r="30">
      <c r="A30" t="n">
        <v>26</v>
      </c>
      <c r="B30">
        <f>IF(COUNT(Items!$N$5:$N$30)&lt;A30,"",INDEX(Items!$A$5:$A$30,MATCH(SMALL(Items!$N$5:$N$30,A30),Items!$N$5:$N$30,0)))</f>
        <v/>
      </c>
      <c r="C30" s="6">
        <f>IF(B30="","",INDEX(Items!$I$5:$I$30,MATCH(B30,Items!$A$5:$A$30,0)))</f>
        <v/>
      </c>
      <c r="D30">
        <f>IF(B30="","",INDEX(Items!$B$5:$B$30,MATCH(B30,Items!$A$5:$A$30,0)))</f>
        <v/>
      </c>
      <c r="E30">
        <f>IF(B30="","",INDEX(Items!$E$5:$E$30,MATCH(B30,Items!$A$5:$A$30,0)))</f>
        <v/>
      </c>
      <c r="F30">
        <f>IF(B30="","",INDEX(Items!$M$5:$M$30,MATCH(B30,Items!$A$5:$A$30,0)))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COUNTIF(Items!$E$5:$E$30,A5)</f>
        <v/>
      </c>
      <c r="D5" s="6">
        <f>IF(SUMPRODUCT((Items!$E$5:$E$30=A5)*Items!$H$5:$H$30)=0,"",SUMPRODUCT((Items!$E$5:$E$30=A5)*Items!$G$5:$G$30)/SUMPRODUCT((Items!$E$5:$E$30=A5)*Items!$H$5:$H$30))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COUNTIF(Items!$E$5:$E$30,A6)</f>
        <v/>
      </c>
      <c r="D6" s="6">
        <f>IF(SUMPRODUCT((Items!$E$5:$E$30=A6)*Items!$H$5:$H$30)=0,"",SUMPRODUCT((Items!$E$5:$E$30=A6)*Items!$G$5:$G$30)/SUMPRODUCT((Items!$E$5:$E$30=A6)*Items!$H$5:$H$30))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COUNTIF(Items!$E$5:$E$30,A7)</f>
        <v/>
      </c>
      <c r="D7" s="6">
        <f>IF(SUMPRODUCT((Items!$E$5:$E$30=A7)*Items!$H$5:$H$30)=0,"",SUMPRODUCT((Items!$E$5:$E$30=A7)*Items!$G$5:$G$30)/SUMPRODUCT((Items!$E$5:$E$30=A7)*Items!$H$5:$H$30))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COUNTIF(Items!$B$5:$B$30,A8)</f>
        <v/>
      </c>
      <c r="D8" s="6">
        <f>IF(SUMPRODUCT((Items!$B$5:$B$30=A8)*Items!$H$5:$H$30)=0,"",SUMPRODUCT((Items!$B$5:$B$30=A8)*Items!$G$5:$G$30)/SUMPRODUCT((Items!$B$5:$B$30=A8)*Items!$H$5:$H$30))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COUNTIF(Items!$B$5:$B$30,A9)</f>
        <v/>
      </c>
      <c r="D9" s="6">
        <f>IF(SUMPRODUCT((Items!$B$5:$B$30=A9)*Items!$H$5:$H$30)=0,"",SUMPRODUCT((Items!$B$5:$B$30=A9)*Items!$G$5:$G$30)/SUMPRODUCT((Items!$B$5:$B$30=A9)*Items!$H$5:$H$30))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COUNTIF(Items!$B$5:$B$30,A10)</f>
        <v/>
      </c>
      <c r="D10" s="6">
        <f>IF(SUMPRODUCT((Items!$B$5:$B$30=A10)*Items!$H$5:$H$30)=0,"",SUMPRODUCT((Items!$B$5:$B$30=A10)*Items!$G$5:$G$30)/SUMPRODUCT((Items!$B$5:$B$30=A10)*Items!$H$5:$H$30))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COUNTIF(Items!$B$5:$B$30,A11)</f>
        <v/>
      </c>
      <c r="D11" s="6">
        <f>IF(SUMPRODUCT((Items!$B$5:$B$30=A11)*Items!$H$5:$H$30)=0,"",SUMPRODUCT((Items!$B$5:$B$30=A11)*Items!$G$5:$G$30)/SUMPRODUCT((Items!$B$5:$B$30=A11)*Items!$H$5:$H$30))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COUNTIF(Items!$B$5:$B$30,A12)</f>
        <v/>
      </c>
      <c r="D12" s="6">
        <f>IF(SUMPRODUCT((Items!$B$5:$B$30=A12)*Items!$H$5:$H$30)=0,"",SUMPRODUCT((Items!$B$5:$B$30=A12)*Items!$G$5:$G$30)/SUMPRODUCT((Items!$B$5:$B$30=A12)*Items!$H$5:$H$30))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IF(SUMPRODUCT((Marks!$B$3:$AA$3=B$4)*ISNUMBER(Marks!$B$5:$AA$5))=0,"",SUMPRODUCT((Marks!$B$3:$AA$3=B$4)*(Marks!$B$5:$AA$5=1))/SUMPRODUCT((Marks!$B$3:$AA$3=B$4)*ISNUMBER(Marks!$B$5:$AA$5)))</f>
        <v/>
      </c>
      <c r="C5" s="6">
        <f>IF(SUMPRODUCT((Marks!$B$3:$AA$3=C$4)*ISNUMBER(Marks!$B$5:$AA$5))=0,"",SUMPRODUCT((Marks!$B$3:$AA$3=C$4)*(Marks!$B$5:$AA$5=1))/SUMPRODUCT((Marks!$B$3:$AA$3=C$4)*ISNUMBER(Marks!$B$5:$AA$5)))</f>
        <v/>
      </c>
      <c r="D5" s="6">
        <f>IF(SUMPRODUCT((Marks!$B$3:$AA$3=D$4)*ISNUMBER(Marks!$B$5:$AA$5))=0,"",SUMPRODUCT((Marks!$B$3:$AA$3=D$4)*(Marks!$B$5:$AA$5=1))/SUMPRODUCT((Marks!$B$3:$AA$3=D$4)*ISNUMBER(Marks!$B$5:$AA$5)))</f>
        <v/>
      </c>
    </row>
    <row r="6">
      <c r="A6" t="n">
        <v>2</v>
      </c>
      <c r="B6" s="6">
        <f>IF(SUMPRODUCT((Marks!$B$3:$AA$3=B$4)*ISNUMBER(Marks!$B$6:$AA$6))=0,"",SUMPRODUCT((Marks!$B$3:$AA$3=B$4)*(Marks!$B$6:$AA$6=1))/SUMPRODUCT((Marks!$B$3:$AA$3=B$4)*ISNUMBER(Marks!$B$6:$AA$6)))</f>
        <v/>
      </c>
      <c r="C6" s="6">
        <f>IF(SUMPRODUCT((Marks!$B$3:$AA$3=C$4)*ISNUMBER(Marks!$B$6:$AA$6))=0,"",SUMPRODUCT((Marks!$B$3:$AA$3=C$4)*(Marks!$B$6:$AA$6=1))/SUMPRODUCT((Marks!$B$3:$AA$3=C$4)*ISNUMBER(Marks!$B$6:$AA$6)))</f>
        <v/>
      </c>
      <c r="D6" s="6">
        <f>IF(SUMPRODUCT((Marks!$B$3:$AA$3=D$4)*ISNUMBER(Marks!$B$6:$AA$6))=0,"",SUMPRODUCT((Marks!$B$3:$AA$3=D$4)*(Marks!$B$6:$AA$6=1))/SUMPRODUCT((Marks!$B$3:$AA$3=D$4)*ISNUMBER(Marks!$B$6:$AA$6)))</f>
        <v/>
      </c>
    </row>
    <row r="7">
      <c r="A7" t="n">
        <v>3</v>
      </c>
      <c r="B7" s="6">
        <f>IF(SUMPRODUCT((Marks!$B$3:$AA$3=B$4)*ISNUMBER(Marks!$B$7:$AA$7))=0,"",SUMPRODUCT((Marks!$B$3:$AA$3=B$4)*(Marks!$B$7:$AA$7=1))/SUMPRODUCT((Marks!$B$3:$AA$3=B$4)*ISNUMBER(Marks!$B$7:$AA$7)))</f>
        <v/>
      </c>
      <c r="C7" s="6">
        <f>IF(SUMPRODUCT((Marks!$B$3:$AA$3=C$4)*ISNUMBER(Marks!$B$7:$AA$7))=0,"",SUMPRODUCT((Marks!$B$3:$AA$3=C$4)*(Marks!$B$7:$AA$7=1))/SUMPRODUCT((Marks!$B$3:$AA$3=C$4)*ISNUMBER(Marks!$B$7:$AA$7)))</f>
        <v/>
      </c>
      <c r="D7" s="6">
        <f>IF(SUMPRODUCT((Marks!$B$3:$AA$3=D$4)*ISNUMBER(Marks!$B$7:$AA$7))=0,"",SUMPRODUCT((Marks!$B$3:$AA$3=D$4)*(Marks!$B$7:$AA$7=1))/SUMPRODUCT((Marks!$B$3:$AA$3=D$4)*ISNUMBER(Marks!$B$7:$AA$7)))</f>
        <v/>
      </c>
    </row>
    <row r="8">
      <c r="A8" t="n">
        <v>4</v>
      </c>
      <c r="B8" s="6">
        <f>IF(SUMPRODUCT((Marks!$B$3:$AA$3=B$4)*ISNUMBER(Marks!$B$8:$AA$8))=0,"",SUMPRODUCT((Marks!$B$3:$AA$3=B$4)*(Marks!$B$8:$AA$8=1))/SUMPRODUCT((Marks!$B$3:$AA$3=B$4)*ISNUMBER(Marks!$B$8:$AA$8)))</f>
        <v/>
      </c>
      <c r="C8" s="6">
        <f>IF(SUMPRODUCT((Marks!$B$3:$AA$3=C$4)*ISNUMBER(Marks!$B$8:$AA$8))=0,"",SUMPRODUCT((Marks!$B$3:$AA$3=C$4)*(Marks!$B$8:$AA$8=1))/SUMPRODUCT((Marks!$B$3:$AA$3=C$4)*ISNUMBER(Marks!$B$8:$AA$8)))</f>
        <v/>
      </c>
      <c r="D8" s="6">
        <f>IF(SUMPRODUCT((Marks!$B$3:$AA$3=D$4)*ISNUMBER(Marks!$B$8:$AA$8))=0,"",SUMPRODUCT((Marks!$B$3:$AA$3=D$4)*(Marks!$B$8:$AA$8=1))/SUMPRODUCT((Marks!$B$3:$AA$3=D$4)*ISNUMBER(Marks!$B$8:$AA$8)))</f>
        <v/>
      </c>
    </row>
    <row r="9">
      <c r="A9" t="n">
        <v>5</v>
      </c>
      <c r="B9" s="6">
        <f>IF(SUMPRODUCT((Marks!$B$3:$AA$3=B$4)*ISNUMBER(Marks!$B$9:$AA$9))=0,"",SUMPRODUCT((Marks!$B$3:$AA$3=B$4)*(Marks!$B$9:$AA$9=1))/SUMPRODUCT((Marks!$B$3:$AA$3=B$4)*ISNUMBER(Marks!$B$9:$AA$9)))</f>
        <v/>
      </c>
      <c r="C9" s="6">
        <f>IF(SUMPRODUCT((Marks!$B$3:$AA$3=C$4)*ISNUMBER(Marks!$B$9:$AA$9))=0,"",SUMPRODUCT((Marks!$B$3:$AA$3=C$4)*(Marks!$B$9:$AA$9=1))/SUMPRODUCT((Marks!$B$3:$AA$3=C$4)*ISNUMBER(Marks!$B$9:$AA$9)))</f>
        <v/>
      </c>
      <c r="D9" s="6">
        <f>IF(SUMPRODUCT((Marks!$B$3:$AA$3=D$4)*ISNUMBER(Marks!$B$9:$AA$9))=0,"",SUMPRODUCT((Marks!$B$3:$AA$3=D$4)*(Marks!$B$9:$AA$9=1))/SUMPRODUCT((Marks!$B$3:$AA$3=D$4)*ISNUMBER(Marks!$B$9:$AA$9)))</f>
        <v/>
      </c>
    </row>
    <row r="10">
      <c r="A10" t="n">
        <v>6</v>
      </c>
      <c r="B10" s="6">
        <f>IF(SUMPRODUCT((Marks!$B$3:$AA$3=B$4)*ISNUMBER(Marks!$B$10:$AA$10))=0,"",SUMPRODUCT((Marks!$B$3:$AA$3=B$4)*(Marks!$B$10:$AA$10=1))/SUMPRODUCT((Marks!$B$3:$AA$3=B$4)*ISNUMBER(Marks!$B$10:$AA$10)))</f>
        <v/>
      </c>
      <c r="C10" s="6">
        <f>IF(SUMPRODUCT((Marks!$B$3:$AA$3=C$4)*ISNUMBER(Marks!$B$10:$AA$10))=0,"",SUMPRODUCT((Marks!$B$3:$AA$3=C$4)*(Marks!$B$10:$AA$10=1))/SUMPRODUCT((Marks!$B$3:$AA$3=C$4)*ISNUMBER(Marks!$B$10:$AA$10)))</f>
        <v/>
      </c>
      <c r="D10" s="6">
        <f>IF(SUMPRODUCT((Marks!$B$3:$AA$3=D$4)*ISNUMBER(Marks!$B$10:$AA$10))=0,"",SUMPRODUCT((Marks!$B$3:$AA$3=D$4)*(Marks!$B$10:$AA$10=1))/SUMPRODUCT((Marks!$B$3:$AA$3=D$4)*ISNUMBER(Marks!$B$10:$AA$10)))</f>
        <v/>
      </c>
    </row>
    <row r="11">
      <c r="A11" t="n">
        <v>7</v>
      </c>
      <c r="B11" s="6">
        <f>IF(SUMPRODUCT((Marks!$B$3:$AA$3=B$4)*ISNUMBER(Marks!$B$11:$AA$11))=0,"",SUMPRODUCT((Marks!$B$3:$AA$3=B$4)*(Marks!$B$11:$AA$11=1))/SUMPRODUCT((Marks!$B$3:$AA$3=B$4)*ISNUMBER(Marks!$B$11:$AA$11)))</f>
        <v/>
      </c>
      <c r="C11" s="6">
        <f>IF(SUMPRODUCT((Marks!$B$3:$AA$3=C$4)*ISNUMBER(Marks!$B$11:$AA$11))=0,"",SUMPRODUCT((Marks!$B$3:$AA$3=C$4)*(Marks!$B$11:$AA$11=1))/SUMPRODUCT((Marks!$B$3:$AA$3=C$4)*ISNUMBER(Marks!$B$11:$AA$11)))</f>
        <v/>
      </c>
      <c r="D11" s="6">
        <f>IF(SUMPRODUCT((Marks!$B$3:$AA$3=D$4)*ISNUMBER(Marks!$B$11:$AA$11))=0,"",SUMPRODUCT((Marks!$B$3:$AA$3=D$4)*(Marks!$B$11:$AA$11=1))/SUMPRODUCT((Marks!$B$3:$AA$3=D$4)*ISNUMBER(Marks!$B$11:$AA$11)))</f>
        <v/>
      </c>
    </row>
    <row r="12">
      <c r="A12" t="n">
        <v>8</v>
      </c>
      <c r="B12" s="6">
        <f>IF(SUMPRODUCT((Marks!$B$3:$AA$3=B$4)*ISNUMBER(Marks!$B$12:$AA$12))=0,"",SUMPRODUCT((Marks!$B$3:$AA$3=B$4)*(Marks!$B$12:$AA$12=1))/SUMPRODUCT((Marks!$B$3:$AA$3=B$4)*ISNUMBER(Marks!$B$12:$AA$12)))</f>
        <v/>
      </c>
      <c r="C12" s="6">
        <f>IF(SUMPRODUCT((Marks!$B$3:$AA$3=C$4)*ISNUMBER(Marks!$B$12:$AA$12))=0,"",SUMPRODUCT((Marks!$B$3:$AA$3=C$4)*(Marks!$B$12:$AA$12=1))/SUMPRODUCT((Marks!$B$3:$AA$3=C$4)*ISNUMBER(Marks!$B$12:$AA$12)))</f>
        <v/>
      </c>
      <c r="D12" s="6">
        <f>IF(SUMPRODUCT((Marks!$B$3:$AA$3=D$4)*ISNUMBER(Marks!$B$12:$AA$12))=0,"",SUMPRODUCT((Marks!$B$3:$AA$3=D$4)*(Marks!$B$12:$AA$12=1))/SUMPRODUCT((Marks!$B$3:$AA$3=D$4)*ISNUMBER(Marks!$B$12:$AA$12)))</f>
        <v/>
      </c>
    </row>
    <row r="13">
      <c r="A13" t="n">
        <v>9</v>
      </c>
      <c r="B13" s="6">
        <f>IF(SUMPRODUCT((Marks!$B$3:$AA$3=B$4)*ISNUMBER(Marks!$B$13:$AA$13))=0,"",SUMPRODUCT((Marks!$B$3:$AA$3=B$4)*(Marks!$B$13:$AA$13=1))/SUMPRODUCT((Marks!$B$3:$AA$3=B$4)*ISNUMBER(Marks!$B$13:$AA$13)))</f>
        <v/>
      </c>
      <c r="C13" s="6">
        <f>IF(SUMPRODUCT((Marks!$B$3:$AA$3=C$4)*ISNUMBER(Marks!$B$13:$AA$13))=0,"",SUMPRODUCT((Marks!$B$3:$AA$3=C$4)*(Marks!$B$13:$AA$13=1))/SUMPRODUCT((Marks!$B$3:$AA$3=C$4)*ISNUMBER(Marks!$B$13:$AA$13)))</f>
        <v/>
      </c>
      <c r="D13" s="6">
        <f>IF(SUMPRODUCT((Marks!$B$3:$AA$3=D$4)*ISNUMBER(Marks!$B$13:$AA$13))=0,"",SUMPRODUCT((Marks!$B$3:$AA$3=D$4)*(Marks!$B$13:$AA$13=1))/SUMPRODUCT((Marks!$B$3:$AA$3=D$4)*ISNUMBER(Marks!$B$13:$AA$13)))</f>
        <v/>
      </c>
    </row>
    <row r="14">
      <c r="A14" t="n">
        <v>10</v>
      </c>
      <c r="B14" s="6">
        <f>IF(SUMPRODUCT((Marks!$B$3:$AA$3=B$4)*ISNUMBER(Marks!$B$14:$AA$14))=0,"",SUMPRODUCT((Marks!$B$3:$AA$3=B$4)*(Marks!$B$14:$AA$14=1))/SUMPRODUCT((Marks!$B$3:$AA$3=B$4)*ISNUMBER(Marks!$B$14:$AA$14)))</f>
        <v/>
      </c>
      <c r="C14" s="6">
        <f>IF(SUMPRODUCT((Marks!$B$3:$AA$3=C$4)*ISNUMBER(Marks!$B$14:$AA$14))=0,"",SUMPRODUCT((Marks!$B$3:$AA$3=C$4)*(Marks!$B$14:$AA$14=1))/SUMPRODUCT((Marks!$B$3:$AA$3=C$4)*ISNUMBER(Marks!$B$14:$AA$14)))</f>
        <v/>
      </c>
      <c r="D14" s="6">
        <f>IF(SUMPRODUCT((Marks!$B$3:$AA$3=D$4)*ISNUMBER(Marks!$B$14:$AA$14))=0,"",SUMPRODUCT((Marks!$B$3:$AA$3=D$4)*(Marks!$B$14:$AA$14=1))/SUMPRODUCT((Marks!$B$3:$AA$3=D$4)*ISNUMBER(Marks!$B$14:$AA$14)))</f>
        <v/>
      </c>
    </row>
    <row r="15">
      <c r="A15" t="n">
        <v>11</v>
      </c>
      <c r="B15" s="6">
        <f>IF(SUMPRODUCT((Marks!$B$3:$AA$3=B$4)*ISNUMBER(Marks!$B$15:$AA$15))=0,"",SUMPRODUCT((Marks!$B$3:$AA$3=B$4)*(Marks!$B$15:$AA$15=1))/SUMPRODUCT((Marks!$B$3:$AA$3=B$4)*ISNUMBER(Marks!$B$15:$AA$15)))</f>
        <v/>
      </c>
      <c r="C15" s="6">
        <f>IF(SUMPRODUCT((Marks!$B$3:$AA$3=C$4)*ISNUMBER(Marks!$B$15:$AA$15))=0,"",SUMPRODUCT((Marks!$B$3:$AA$3=C$4)*(Marks!$B$15:$AA$15=1))/SUMPRODUCT((Marks!$B$3:$AA$3=C$4)*ISNUMBER(Marks!$B$15:$AA$15)))</f>
        <v/>
      </c>
      <c r="D15" s="6">
        <f>IF(SUMPRODUCT((Marks!$B$3:$AA$3=D$4)*ISNUMBER(Marks!$B$15:$AA$15))=0,"",SUMPRODUCT((Marks!$B$3:$AA$3=D$4)*(Marks!$B$15:$AA$15=1))/SUMPRODUCT((Marks!$B$3:$AA$3=D$4)*ISNUMBER(Marks!$B$15:$AA$15)))</f>
        <v/>
      </c>
    </row>
    <row r="16">
      <c r="A16" t="n">
        <v>12</v>
      </c>
      <c r="B16" s="6">
        <f>IF(SUMPRODUCT((Marks!$B$3:$AA$3=B$4)*ISNUMBER(Marks!$B$16:$AA$16))=0,"",SUMPRODUCT((Marks!$B$3:$AA$3=B$4)*(Marks!$B$16:$AA$16=1))/SUMPRODUCT((Marks!$B$3:$AA$3=B$4)*ISNUMBER(Marks!$B$16:$AA$16)))</f>
        <v/>
      </c>
      <c r="C16" s="6">
        <f>IF(SUMPRODUCT((Marks!$B$3:$AA$3=C$4)*ISNUMBER(Marks!$B$16:$AA$16))=0,"",SUMPRODUCT((Marks!$B$3:$AA$3=C$4)*(Marks!$B$16:$AA$16=1))/SUMPRODUCT((Marks!$B$3:$AA$3=C$4)*ISNUMBER(Marks!$B$16:$AA$16)))</f>
        <v/>
      </c>
      <c r="D16" s="6">
        <f>IF(SUMPRODUCT((Marks!$B$3:$AA$3=D$4)*ISNUMBER(Marks!$B$16:$AA$16))=0,"",SUMPRODUCT((Marks!$B$3:$AA$3=D$4)*(Marks!$B$16:$AA$16=1))/SUMPRODUCT((Marks!$B$3:$AA$3=D$4)*ISNUMBER(Marks!$B$16:$AA$16)))</f>
        <v/>
      </c>
    </row>
    <row r="17">
      <c r="A17" t="n">
        <v>13</v>
      </c>
      <c r="B17" s="6">
        <f>IF(SUMPRODUCT((Marks!$B$3:$AA$3=B$4)*ISNUMBER(Marks!$B$17:$AA$17))=0,"",SUMPRODUCT((Marks!$B$3:$AA$3=B$4)*(Marks!$B$17:$AA$17=1))/SUMPRODUCT((Marks!$B$3:$AA$3=B$4)*ISNUMBER(Marks!$B$17:$AA$17)))</f>
        <v/>
      </c>
      <c r="C17" s="6">
        <f>IF(SUMPRODUCT((Marks!$B$3:$AA$3=C$4)*ISNUMBER(Marks!$B$17:$AA$17))=0,"",SUMPRODUCT((Marks!$B$3:$AA$3=C$4)*(Marks!$B$17:$AA$17=1))/SUMPRODUCT((Marks!$B$3:$AA$3=C$4)*ISNUMBER(Marks!$B$17:$AA$17)))</f>
        <v/>
      </c>
      <c r="D17" s="6">
        <f>IF(SUMPRODUCT((Marks!$B$3:$AA$3=D$4)*ISNUMBER(Marks!$B$17:$AA$17))=0,"",SUMPRODUCT((Marks!$B$3:$AA$3=D$4)*(Marks!$B$17:$AA$17=1))/SUMPRODUCT((Marks!$B$3:$AA$3=D$4)*ISNUMBER(Marks!$B$17:$AA$17)))</f>
        <v/>
      </c>
    </row>
    <row r="18">
      <c r="A18" t="n">
        <v>14</v>
      </c>
      <c r="B18" s="6">
        <f>IF(SUMPRODUCT((Marks!$B$3:$AA$3=B$4)*ISNUMBER(Marks!$B$18:$AA$18))=0,"",SUMPRODUCT((Marks!$B$3:$AA$3=B$4)*(Marks!$B$18:$AA$18=1))/SUMPRODUCT((Marks!$B$3:$AA$3=B$4)*ISNUMBER(Marks!$B$18:$AA$18)))</f>
        <v/>
      </c>
      <c r="C18" s="6">
        <f>IF(SUMPRODUCT((Marks!$B$3:$AA$3=C$4)*ISNUMBER(Marks!$B$18:$AA$18))=0,"",SUMPRODUCT((Marks!$B$3:$AA$3=C$4)*(Marks!$B$18:$AA$18=1))/SUMPRODUCT((Marks!$B$3:$AA$3=C$4)*ISNUMBER(Marks!$B$18:$AA$18)))</f>
        <v/>
      </c>
      <c r="D18" s="6">
        <f>IF(SUMPRODUCT((Marks!$B$3:$AA$3=D$4)*ISNUMBER(Marks!$B$18:$AA$18))=0,"",SUMPRODUCT((Marks!$B$3:$AA$3=D$4)*(Marks!$B$18:$AA$18=1))/SUMPRODUCT((Marks!$B$3:$AA$3=D$4)*ISNUMBER(Marks!$B$18:$AA$18)))</f>
        <v/>
      </c>
    </row>
    <row r="19">
      <c r="A19" t="n">
        <v>15</v>
      </c>
      <c r="B19" s="6">
        <f>IF(SUMPRODUCT((Marks!$B$3:$AA$3=B$4)*ISNUMBER(Marks!$B$19:$AA$19))=0,"",SUMPRODUCT((Marks!$B$3:$AA$3=B$4)*(Marks!$B$19:$AA$19=1))/SUMPRODUCT((Marks!$B$3:$AA$3=B$4)*ISNUMBER(Marks!$B$19:$AA$19)))</f>
        <v/>
      </c>
      <c r="C19" s="6">
        <f>IF(SUMPRODUCT((Marks!$B$3:$AA$3=C$4)*ISNUMBER(Marks!$B$19:$AA$19))=0,"",SUMPRODUCT((Marks!$B$3:$AA$3=C$4)*(Marks!$B$19:$AA$19=1))/SUMPRODUCT((Marks!$B$3:$AA$3=C$4)*ISNUMBER(Marks!$B$19:$AA$19)))</f>
        <v/>
      </c>
      <c r="D19" s="6">
        <f>IF(SUMPRODUCT((Marks!$B$3:$AA$3=D$4)*ISNUMBER(Marks!$B$19:$AA$19))=0,"",SUMPRODUCT((Marks!$B$3:$AA$3=D$4)*(Marks!$B$19:$AA$19=1))/SUMPRODUCT((Marks!$B$3:$AA$3=D$4)*ISNUMBER(Marks!$B$19:$AA$19)))</f>
        <v/>
      </c>
    </row>
    <row r="20">
      <c r="A20" t="n">
        <v>16</v>
      </c>
      <c r="B20" s="6">
        <f>IF(SUMPRODUCT((Marks!$B$3:$AA$3=B$4)*ISNUMBER(Marks!$B$20:$AA$20))=0,"",SUMPRODUCT((Marks!$B$3:$AA$3=B$4)*(Marks!$B$20:$AA$20=1))/SUMPRODUCT((Marks!$B$3:$AA$3=B$4)*ISNUMBER(Marks!$B$20:$AA$20)))</f>
        <v/>
      </c>
      <c r="C20" s="6">
        <f>IF(SUMPRODUCT((Marks!$B$3:$AA$3=C$4)*ISNUMBER(Marks!$B$20:$AA$20))=0,"",SUMPRODUCT((Marks!$B$3:$AA$3=C$4)*(Marks!$B$20:$AA$20=1))/SUMPRODUCT((Marks!$B$3:$AA$3=C$4)*ISNUMBER(Marks!$B$20:$AA$20)))</f>
        <v/>
      </c>
      <c r="D20" s="6">
        <f>IF(SUMPRODUCT((Marks!$B$3:$AA$3=D$4)*ISNUMBER(Marks!$B$20:$AA$20))=0,"",SUMPRODUCT((Marks!$B$3:$AA$3=D$4)*(Marks!$B$20:$AA$20=1))/SUMPRODUCT((Marks!$B$3:$AA$3=D$4)*ISNUMBER(Marks!$B$20:$AA$20)))</f>
        <v/>
      </c>
    </row>
    <row r="21">
      <c r="A21" t="n">
        <v>17</v>
      </c>
      <c r="B21" s="6">
        <f>IF(SUMPRODUCT((Marks!$B$3:$AA$3=B$4)*ISNUMBER(Marks!$B$21:$AA$21))=0,"",SUMPRODUCT((Marks!$B$3:$AA$3=B$4)*(Marks!$B$21:$AA$21=1))/SUMPRODUCT((Marks!$B$3:$AA$3=B$4)*ISNUMBER(Marks!$B$21:$AA$21)))</f>
        <v/>
      </c>
      <c r="C21" s="6">
        <f>IF(SUMPRODUCT((Marks!$B$3:$AA$3=C$4)*ISNUMBER(Marks!$B$21:$AA$21))=0,"",SUMPRODUCT((Marks!$B$3:$AA$3=C$4)*(Marks!$B$21:$AA$21=1))/SUMPRODUCT((Marks!$B$3:$AA$3=C$4)*ISNUMBER(Marks!$B$21:$AA$21)))</f>
        <v/>
      </c>
      <c r="D21" s="6">
        <f>IF(SUMPRODUCT((Marks!$B$3:$AA$3=D$4)*ISNUMBER(Marks!$B$21:$AA$21))=0,"",SUMPRODUCT((Marks!$B$3:$AA$3=D$4)*(Marks!$B$21:$AA$21=1))/SUMPRODUCT((Marks!$B$3:$AA$3=D$4)*ISNUMBER(Marks!$B$21:$AA$21)))</f>
        <v/>
      </c>
    </row>
    <row r="22">
      <c r="A22" t="n">
        <v>18</v>
      </c>
      <c r="B22" s="6">
        <f>IF(SUMPRODUCT((Marks!$B$3:$AA$3=B$4)*ISNUMBER(Marks!$B$22:$AA$22))=0,"",SUMPRODUCT((Marks!$B$3:$AA$3=B$4)*(Marks!$B$22:$AA$22=1))/SUMPRODUCT((Marks!$B$3:$AA$3=B$4)*ISNUMBER(Marks!$B$22:$AA$22)))</f>
        <v/>
      </c>
      <c r="C22" s="6">
        <f>IF(SUMPRODUCT((Marks!$B$3:$AA$3=C$4)*ISNUMBER(Marks!$B$22:$AA$22))=0,"",SUMPRODUCT((Marks!$B$3:$AA$3=C$4)*(Marks!$B$22:$AA$22=1))/SUMPRODUCT((Marks!$B$3:$AA$3=C$4)*ISNUMBER(Marks!$B$22:$AA$22)))</f>
        <v/>
      </c>
      <c r="D22" s="6">
        <f>IF(SUMPRODUCT((Marks!$B$3:$AA$3=D$4)*ISNUMBER(Marks!$B$22:$AA$22))=0,"",SUMPRODUCT((Marks!$B$3:$AA$3=D$4)*(Marks!$B$22:$AA$22=1))/SUMPRODUCT((Marks!$B$3:$AA$3=D$4)*ISNUMBER(Marks!$B$22:$AA$22)))</f>
        <v/>
      </c>
    </row>
    <row r="23">
      <c r="A23" t="n">
        <v>19</v>
      </c>
      <c r="B23" s="6">
        <f>IF(SUMPRODUCT((Marks!$B$3:$AA$3=B$4)*ISNUMBER(Marks!$B$23:$AA$23))=0,"",SUMPRODUCT((Marks!$B$3:$AA$3=B$4)*(Marks!$B$23:$AA$23=1))/SUMPRODUCT((Marks!$B$3:$AA$3=B$4)*ISNUMBER(Marks!$B$23:$AA$23)))</f>
        <v/>
      </c>
      <c r="C23" s="6">
        <f>IF(SUMPRODUCT((Marks!$B$3:$AA$3=C$4)*ISNUMBER(Marks!$B$23:$AA$23))=0,"",SUMPRODUCT((Marks!$B$3:$AA$3=C$4)*(Marks!$B$23:$AA$23=1))/SUMPRODUCT((Marks!$B$3:$AA$3=C$4)*ISNUMBER(Marks!$B$23:$AA$23)))</f>
        <v/>
      </c>
      <c r="D23" s="6">
        <f>IF(SUMPRODUCT((Marks!$B$3:$AA$3=D$4)*ISNUMBER(Marks!$B$23:$AA$23))=0,"",SUMPRODUCT((Marks!$B$3:$AA$3=D$4)*(Marks!$B$23:$AA$23=1))/SUMPRODUCT((Marks!$B$3:$AA$3=D$4)*ISNUMBER(Marks!$B$23:$AA$23)))</f>
        <v/>
      </c>
    </row>
    <row r="24">
      <c r="A24" t="n">
        <v>20</v>
      </c>
      <c r="B24" s="6">
        <f>IF(SUMPRODUCT((Marks!$B$3:$AA$3=B$4)*ISNUMBER(Marks!$B$24:$AA$24))=0,"",SUMPRODUCT((Marks!$B$3:$AA$3=B$4)*(Marks!$B$24:$AA$24=1))/SUMPRODUCT((Marks!$B$3:$AA$3=B$4)*ISNUMBER(Marks!$B$24:$AA$24)))</f>
        <v/>
      </c>
      <c r="C24" s="6">
        <f>IF(SUMPRODUCT((Marks!$B$3:$AA$3=C$4)*ISNUMBER(Marks!$B$24:$AA$24))=0,"",SUMPRODUCT((Marks!$B$3:$AA$3=C$4)*(Marks!$B$24:$AA$24=1))/SUMPRODUCT((Marks!$B$3:$AA$3=C$4)*ISNUMBER(Marks!$B$24:$AA$24)))</f>
        <v/>
      </c>
      <c r="D24" s="6">
        <f>IF(SUMPRODUCT((Marks!$B$3:$AA$3=D$4)*ISNUMBER(Marks!$B$24:$AA$24))=0,"",SUMPRODUCT((Marks!$B$3:$AA$3=D$4)*(Marks!$B$24:$AA$24=1))/SUMPRODUCT((Marks!$B$3:$AA$3=D$4)*ISNUMBER(Marks!$B$24:$AA$24)))</f>
        <v/>
      </c>
    </row>
    <row r="25">
      <c r="A25" t="n">
        <v>21</v>
      </c>
      <c r="B25" s="6">
        <f>IF(SUMPRODUCT((Marks!$B$3:$AA$3=B$4)*ISNUMBER(Marks!$B$25:$AA$25))=0,"",SUMPRODUCT((Marks!$B$3:$AA$3=B$4)*(Marks!$B$25:$AA$25=1))/SUMPRODUCT((Marks!$B$3:$AA$3=B$4)*ISNUMBER(Marks!$B$25:$AA$25)))</f>
        <v/>
      </c>
      <c r="C25" s="6">
        <f>IF(SUMPRODUCT((Marks!$B$3:$AA$3=C$4)*ISNUMBER(Marks!$B$25:$AA$25))=0,"",SUMPRODUCT((Marks!$B$3:$AA$3=C$4)*(Marks!$B$25:$AA$25=1))/SUMPRODUCT((Marks!$B$3:$AA$3=C$4)*ISNUMBER(Marks!$B$25:$AA$25)))</f>
        <v/>
      </c>
      <c r="D25" s="6">
        <f>IF(SUMPRODUCT((Marks!$B$3:$AA$3=D$4)*ISNUMBER(Marks!$B$25:$AA$25))=0,"",SUMPRODUCT((Marks!$B$3:$AA$3=D$4)*(Marks!$B$25:$AA$25=1))/SUMPRODUCT((Marks!$B$3:$AA$3=D$4)*ISNUMBER(Marks!$B$25:$AA$25)))</f>
        <v/>
      </c>
    </row>
    <row r="26">
      <c r="A26" t="n">
        <v>22</v>
      </c>
      <c r="B26" s="6">
        <f>IF(SUMPRODUCT((Marks!$B$3:$AA$3=B$4)*ISNUMBER(Marks!$B$26:$AA$26))=0,"",SUMPRODUCT((Marks!$B$3:$AA$3=B$4)*(Marks!$B$26:$AA$26=1))/SUMPRODUCT((Marks!$B$3:$AA$3=B$4)*ISNUMBER(Marks!$B$26:$AA$26)))</f>
        <v/>
      </c>
      <c r="C26" s="6">
        <f>IF(SUMPRODUCT((Marks!$B$3:$AA$3=C$4)*ISNUMBER(Marks!$B$26:$AA$26))=0,"",SUMPRODUCT((Marks!$B$3:$AA$3=C$4)*(Marks!$B$26:$AA$26=1))/SUMPRODUCT((Marks!$B$3:$AA$3=C$4)*ISNUMBER(Marks!$B$26:$AA$26)))</f>
        <v/>
      </c>
      <c r="D26" s="6">
        <f>IF(SUMPRODUCT((Marks!$B$3:$AA$3=D$4)*ISNUMBER(Marks!$B$26:$AA$26))=0,"",SUMPRODUCT((Marks!$B$3:$AA$3=D$4)*(Marks!$B$26:$AA$26=1))/SUMPRODUCT((Marks!$B$3:$AA$3=D$4)*ISNUMBER(Marks!$B$26:$AA$26)))</f>
        <v/>
      </c>
    </row>
    <row r="27">
      <c r="A27" t="n">
        <v>23</v>
      </c>
      <c r="B27" s="6">
        <f>IF(SUMPRODUCT((Marks!$B$3:$AA$3=B$4)*ISNUMBER(Marks!$B$27:$AA$27))=0,"",SUMPRODUCT((Marks!$B$3:$AA$3=B$4)*(Marks!$B$27:$AA$27=1))/SUMPRODUCT((Marks!$B$3:$AA$3=B$4)*ISNUMBER(Marks!$B$27:$AA$27)))</f>
        <v/>
      </c>
      <c r="C27" s="6">
        <f>IF(SUMPRODUCT((Marks!$B$3:$AA$3=C$4)*ISNUMBER(Marks!$B$27:$AA$27))=0,"",SUMPRODUCT((Marks!$B$3:$AA$3=C$4)*(Marks!$B$27:$AA$27=1))/SUMPRODUCT((Marks!$B$3:$AA$3=C$4)*ISNUMBER(Marks!$B$27:$AA$27)))</f>
        <v/>
      </c>
      <c r="D27" s="6">
        <f>IF(SUMPRODUCT((Marks!$B$3:$AA$3=D$4)*ISNUMBER(Marks!$B$27:$AA$27))=0,"",SUMPRODUCT((Marks!$B$3:$AA$3=D$4)*(Marks!$B$27:$AA$27=1))/SUMPRODUCT((Marks!$B$3:$AA$3=D$4)*ISNUMBER(Marks!$B$27:$AA$27)))</f>
        <v/>
      </c>
    </row>
    <row r="28">
      <c r="A28" t="n">
        <v>24</v>
      </c>
      <c r="B28" s="6">
        <f>IF(SUMPRODUCT((Marks!$B$3:$AA$3=B$4)*ISNUMBER(Marks!$B$28:$AA$28))=0,"",SUMPRODUCT((Marks!$B$3:$AA$3=B$4)*(Marks!$B$28:$AA$28=1))/SUMPRODUCT((Marks!$B$3:$AA$3=B$4)*ISNUMBER(Marks!$B$28:$AA$28)))</f>
        <v/>
      </c>
      <c r="C28" s="6">
        <f>IF(SUMPRODUCT((Marks!$B$3:$AA$3=C$4)*ISNUMBER(Marks!$B$28:$AA$28))=0,"",SUMPRODUCT((Marks!$B$3:$AA$3=C$4)*(Marks!$B$28:$AA$28=1))/SUMPRODUCT((Marks!$B$3:$AA$3=C$4)*ISNUMBER(Marks!$B$28:$AA$28)))</f>
        <v/>
      </c>
      <c r="D28" s="6">
        <f>IF(SUMPRODUCT((Marks!$B$3:$AA$3=D$4)*ISNUMBER(Marks!$B$28:$AA$28))=0,"",SUMPRODUCT((Marks!$B$3:$AA$3=D$4)*(Marks!$B$28:$AA$28=1))/SUMPRODUCT((Marks!$B$3:$AA$3=D$4)*ISNUMBER(Marks!$B$28:$AA$28)))</f>
        <v/>
      </c>
    </row>
    <row r="29">
      <c r="A29" t="n">
        <v>25</v>
      </c>
      <c r="B29" s="6">
        <f>IF(SUMPRODUCT((Marks!$B$3:$AA$3=B$4)*ISNUMBER(Marks!$B$29:$AA$29))=0,"",SUMPRODUCT((Marks!$B$3:$AA$3=B$4)*(Marks!$B$29:$AA$29=1))/SUMPRODUCT((Marks!$B$3:$AA$3=B$4)*ISNUMBER(Marks!$B$29:$AA$29)))</f>
        <v/>
      </c>
      <c r="C29" s="6">
        <f>IF(SUMPRODUCT((Marks!$B$3:$AA$3=C$4)*ISNUMBER(Marks!$B$29:$AA$29))=0,"",SUMPRODUCT((Marks!$B$3:$AA$3=C$4)*(Marks!$B$29:$AA$29=1))/SUMPRODUCT((Marks!$B$3:$AA$3=C$4)*ISNUMBER(Marks!$B$29:$AA$29)))</f>
        <v/>
      </c>
      <c r="D29" s="6">
        <f>IF(SUMPRODUCT((Marks!$B$3:$AA$3=D$4)*ISNUMBER(Marks!$B$29:$AA$29))=0,"",SUMPRODUCT((Marks!$B$3:$AA$3=D$4)*(Marks!$B$29:$AA$29=1))/SUMPRODUCT((Marks!$B$3:$AA$3=D$4)*ISNUMBER(Marks!$B$29:$AA$29)))</f>
        <v/>
      </c>
    </row>
    <row r="30">
      <c r="A30" t="n">
        <v>26</v>
      </c>
      <c r="B30" s="6">
        <f>IF(SUMPRODUCT((Marks!$B$3:$AA$3=B$4)*ISNUMBER(Marks!$B$30:$AA$30))=0,"",SUMPRODUCT((Marks!$B$3:$AA$3=B$4)*(Marks!$B$30:$AA$30=1))/SUMPRODUCT((Marks!$B$3:$AA$3=B$4)*ISNUMBER(Marks!$B$30:$AA$30)))</f>
        <v/>
      </c>
      <c r="C30" s="6">
        <f>IF(SUMPRODUCT((Marks!$B$3:$AA$3=C$4)*ISNUMBER(Marks!$B$30:$AA$30))=0,"",SUMPRODUCT((Marks!$B$3:$AA$3=C$4)*(Marks!$B$30:$AA$30=1))/SUMPRODUCT((Marks!$B$3:$AA$3=C$4)*ISNUMBER(Marks!$B$30:$AA$30)))</f>
        <v/>
      </c>
      <c r="D30" s="6">
        <f>IF(SUMPRODUCT((Marks!$B$3:$AA$3=D$4)*ISNUMBER(Marks!$B$30:$AA$30))=0,"",SUMPRODUCT((Marks!$B$3:$AA$3=D$4)*(Marks!$B$30:$AA$30=1))/SUMPRODUCT((Marks!$B$3:$AA$3=D$4)*ISNUMBER(Marks!$B$30:$AA$30)))</f>
        <v/>
      </c>
    </row>
    <row r="31">
      <c r="A31" t="n">
        <v>27</v>
      </c>
      <c r="B31" s="6">
        <f>IF(SUMPRODUCT((Marks!$B$3:$AA$3=B$4)*ISNUMBER(Marks!$B$31:$AA$31))=0,"",SUMPRODUCT((Marks!$B$3:$AA$3=B$4)*(Marks!$B$31:$AA$31=1))/SUMPRODUCT((Marks!$B$3:$AA$3=B$4)*ISNUMBER(Marks!$B$31:$AA$31)))</f>
        <v/>
      </c>
      <c r="C31" s="6">
        <f>IF(SUMPRODUCT((Marks!$B$3:$AA$3=C$4)*ISNUMBER(Marks!$B$31:$AA$31))=0,"",SUMPRODUCT((Marks!$B$3:$AA$3=C$4)*(Marks!$B$31:$AA$31=1))/SUMPRODUCT((Marks!$B$3:$AA$3=C$4)*ISNUMBER(Marks!$B$31:$AA$31)))</f>
        <v/>
      </c>
      <c r="D31" s="6">
        <f>IF(SUMPRODUCT((Marks!$B$3:$AA$3=D$4)*ISNUMBER(Marks!$B$31:$AA$31))=0,"",SUMPRODUCT((Marks!$B$3:$AA$3=D$4)*(Marks!$B$31:$AA$31=1))/SUMPRODUCT((Marks!$B$3:$AA$3=D$4)*ISNUMBER(Marks!$B$31:$AA$31)))</f>
        <v/>
      </c>
    </row>
    <row r="32">
      <c r="A32" t="n">
        <v>28</v>
      </c>
      <c r="B32" s="6">
        <f>IF(SUMPRODUCT((Marks!$B$3:$AA$3=B$4)*ISNUMBER(Marks!$B$32:$AA$32))=0,"",SUMPRODUCT((Marks!$B$3:$AA$3=B$4)*(Marks!$B$32:$AA$32=1))/SUMPRODUCT((Marks!$B$3:$AA$3=B$4)*ISNUMBER(Marks!$B$32:$AA$32)))</f>
        <v/>
      </c>
      <c r="C32" s="6">
        <f>IF(SUMPRODUCT((Marks!$B$3:$AA$3=C$4)*ISNUMBER(Marks!$B$32:$AA$32))=0,"",SUMPRODUCT((Marks!$B$3:$AA$3=C$4)*(Marks!$B$32:$AA$32=1))/SUMPRODUCT((Marks!$B$3:$AA$3=C$4)*ISNUMBER(Marks!$B$32:$AA$32)))</f>
        <v/>
      </c>
      <c r="D32" s="6">
        <f>IF(SUMPRODUCT((Marks!$B$3:$AA$3=D$4)*ISNUMBER(Marks!$B$32:$AA$32))=0,"",SUMPRODUCT((Marks!$B$3:$AA$3=D$4)*(Marks!$B$32:$AA$32=1))/SUMPRODUCT((Marks!$B$3:$AA$3=D$4)*ISNUMBER(Marks!$B$32:$AA$32)))</f>
        <v/>
      </c>
    </row>
    <row r="33">
      <c r="A33" t="n">
        <v>29</v>
      </c>
      <c r="B33" s="6">
        <f>IF(SUMPRODUCT((Marks!$B$3:$AA$3=B$4)*ISNUMBER(Marks!$B$33:$AA$33))=0,"",SUMPRODUCT((Marks!$B$3:$AA$3=B$4)*(Marks!$B$33:$AA$33=1))/SUMPRODUCT((Marks!$B$3:$AA$3=B$4)*ISNUMBER(Marks!$B$33:$AA$33)))</f>
        <v/>
      </c>
      <c r="C33" s="6">
        <f>IF(SUMPRODUCT((Marks!$B$3:$AA$3=C$4)*ISNUMBER(Marks!$B$33:$AA$33))=0,"",SUMPRODUCT((Marks!$B$3:$AA$3=C$4)*(Marks!$B$33:$AA$33=1))/SUMPRODUCT((Marks!$B$3:$AA$3=C$4)*ISNUMBER(Marks!$B$33:$AA$33)))</f>
        <v/>
      </c>
      <c r="D33" s="6">
        <f>IF(SUMPRODUCT((Marks!$B$3:$AA$3=D$4)*ISNUMBER(Marks!$B$33:$AA$33))=0,"",SUMPRODUCT((Marks!$B$3:$AA$3=D$4)*(Marks!$B$33:$AA$33=1))/SUMPRODUCT((Marks!$B$3:$AA$3=D$4)*ISNUMBER(Marks!$B$33:$AA$33)))</f>
        <v/>
      </c>
    </row>
    <row r="34">
      <c r="A34" t="n">
        <v>30</v>
      </c>
      <c r="B34" s="6">
        <f>IF(SUMPRODUCT((Marks!$B$3:$AA$3=B$4)*ISNUMBER(Marks!$B$34:$AA$34))=0,"",SUMPRODUCT((Marks!$B$3:$AA$3=B$4)*(Marks!$B$34:$AA$34=1))/SUMPRODUCT((Marks!$B$3:$AA$3=B$4)*ISNUMBER(Marks!$B$34:$AA$34)))</f>
        <v/>
      </c>
      <c r="C34" s="6">
        <f>IF(SUMPRODUCT((Marks!$B$3:$AA$3=C$4)*ISNUMBER(Marks!$B$34:$AA$34))=0,"",SUMPRODUCT((Marks!$B$3:$AA$3=C$4)*(Marks!$B$34:$AA$34=1))/SUMPRODUCT((Marks!$B$3:$AA$3=C$4)*ISNUMBER(Marks!$B$34:$AA$34)))</f>
        <v/>
      </c>
      <c r="D34" s="6">
        <f>IF(SUMPRODUCT((Marks!$B$3:$AA$3=D$4)*ISNUMBER(Marks!$B$34:$AA$34))=0,"",SUMPRODUCT((Marks!$B$3:$AA$3=D$4)*(Marks!$B$34:$AA$34=1))/SUMPRODUCT((Marks!$B$3:$AA$3=D$4)*ISNUMBER(Marks!$B$34:$AA$34)))</f>
        <v/>
      </c>
    </row>
    <row r="35">
      <c r="A35" t="n">
        <v>31</v>
      </c>
      <c r="B35" s="6">
        <f>IF(SUMPRODUCT((Marks!$B$3:$AA$3=B$4)*ISNUMBER(Marks!$B$35:$AA$35))=0,"",SUMPRODUCT((Marks!$B$3:$AA$3=B$4)*(Marks!$B$35:$AA$35=1))/SUMPRODUCT((Marks!$B$3:$AA$3=B$4)*ISNUMBER(Marks!$B$35:$AA$35)))</f>
        <v/>
      </c>
      <c r="C35" s="6">
        <f>IF(SUMPRODUCT((Marks!$B$3:$AA$3=C$4)*ISNUMBER(Marks!$B$35:$AA$35))=0,"",SUMPRODUCT((Marks!$B$3:$AA$3=C$4)*(Marks!$B$35:$AA$35=1))/SUMPRODUCT((Marks!$B$3:$AA$3=C$4)*ISNUMBER(Marks!$B$35:$AA$35)))</f>
        <v/>
      </c>
      <c r="D35" s="6">
        <f>IF(SUMPRODUCT((Marks!$B$3:$AA$3=D$4)*ISNUMBER(Marks!$B$35:$AA$35))=0,"",SUMPRODUCT((Marks!$B$3:$AA$3=D$4)*(Marks!$B$35:$AA$35=1))/SUMPRODUCT((Marks!$B$3:$AA$3=D$4)*ISNUMBER(Marks!$B$35:$AA$35)))</f>
        <v/>
      </c>
    </row>
    <row r="36">
      <c r="A36" t="n">
        <v>32</v>
      </c>
      <c r="B36" s="6">
        <f>IF(SUMPRODUCT((Marks!$B$3:$AA$3=B$4)*ISNUMBER(Marks!$B$36:$AA$36))=0,"",SUMPRODUCT((Marks!$B$3:$AA$3=B$4)*(Marks!$B$36:$AA$36=1))/SUMPRODUCT((Marks!$B$3:$AA$3=B$4)*ISNUMBER(Marks!$B$36:$AA$36)))</f>
        <v/>
      </c>
      <c r="C36" s="6">
        <f>IF(SUMPRODUCT((Marks!$B$3:$AA$3=C$4)*ISNUMBER(Marks!$B$36:$AA$36))=0,"",SUMPRODUCT((Marks!$B$3:$AA$3=C$4)*(Marks!$B$36:$AA$36=1))/SUMPRODUCT((Marks!$B$3:$AA$3=C$4)*ISNUMBER(Marks!$B$36:$AA$36)))</f>
        <v/>
      </c>
      <c r="D36" s="6">
        <f>IF(SUMPRODUCT((Marks!$B$3:$AA$3=D$4)*ISNUMBER(Marks!$B$36:$AA$36))=0,"",SUMPRODUCT((Marks!$B$3:$AA$3=D$4)*(Marks!$B$36:$AA$36=1))/SUMPRODUCT((Marks!$B$3:$AA$3=D$4)*ISNUMBER(Marks!$B$36:$AA$36)))</f>
        <v/>
      </c>
    </row>
    <row r="37">
      <c r="A37" t="n">
        <v>33</v>
      </c>
      <c r="B37" s="6">
        <f>IF(SUMPRODUCT((Marks!$B$3:$AA$3=B$4)*ISNUMBER(Marks!$B$37:$AA$37))=0,"",SUMPRODUCT((Marks!$B$3:$AA$3=B$4)*(Marks!$B$37:$AA$37=1))/SUMPRODUCT((Marks!$B$3:$AA$3=B$4)*ISNUMBER(Marks!$B$37:$AA$37)))</f>
        <v/>
      </c>
      <c r="C37" s="6">
        <f>IF(SUMPRODUCT((Marks!$B$3:$AA$3=C$4)*ISNUMBER(Marks!$B$37:$AA$37))=0,"",SUMPRODUCT((Marks!$B$3:$AA$3=C$4)*(Marks!$B$37:$AA$37=1))/SUMPRODUCT((Marks!$B$3:$AA$3=C$4)*ISNUMBER(Marks!$B$37:$AA$37)))</f>
        <v/>
      </c>
      <c r="D37" s="6">
        <f>IF(SUMPRODUCT((Marks!$B$3:$AA$3=D$4)*ISNUMBER(Marks!$B$37:$AA$37))=0,"",SUMPRODUCT((Marks!$B$3:$AA$3=D$4)*(Marks!$B$37:$AA$37=1))/SUMPRODUCT((Marks!$B$3:$AA$3=D$4)*ISNUMBER(Marks!$B$37:$AA$37)))</f>
        <v/>
      </c>
    </row>
    <row r="38">
      <c r="A38" t="n">
        <v>34</v>
      </c>
      <c r="B38" s="6">
        <f>IF(SUMPRODUCT((Marks!$B$3:$AA$3=B$4)*ISNUMBER(Marks!$B$38:$AA$38))=0,"",SUMPRODUCT((Marks!$B$3:$AA$3=B$4)*(Marks!$B$38:$AA$38=1))/SUMPRODUCT((Marks!$B$3:$AA$3=B$4)*ISNUMBER(Marks!$B$38:$AA$38)))</f>
        <v/>
      </c>
      <c r="C38" s="6">
        <f>IF(SUMPRODUCT((Marks!$B$3:$AA$3=C$4)*ISNUMBER(Marks!$B$38:$AA$38))=0,"",SUMPRODUCT((Marks!$B$3:$AA$3=C$4)*(Marks!$B$38:$AA$38=1))/SUMPRODUCT((Marks!$B$3:$AA$3=C$4)*ISNUMBER(Marks!$B$38:$AA$38)))</f>
        <v/>
      </c>
      <c r="D38" s="6">
        <f>IF(SUMPRODUCT((Marks!$B$3:$AA$3=D$4)*ISNUMBER(Marks!$B$38:$AA$38))=0,"",SUMPRODUCT((Marks!$B$3:$AA$3=D$4)*(Marks!$B$38:$AA$38=1))/SUMPRODUCT((Marks!$B$3:$AA$3=D$4)*ISNUMBER(Marks!$B$38:$AA$38)))</f>
        <v/>
      </c>
    </row>
    <row r="39">
      <c r="A39" t="n">
        <v>35</v>
      </c>
      <c r="B39" s="6">
        <f>IF(SUMPRODUCT((Marks!$B$3:$AA$3=B$4)*ISNUMBER(Marks!$B$39:$AA$39))=0,"",SUMPRODUCT((Marks!$B$3:$AA$3=B$4)*(Marks!$B$39:$AA$39=1))/SUMPRODUCT((Marks!$B$3:$AA$3=B$4)*ISNUMBER(Marks!$B$39:$AA$39)))</f>
        <v/>
      </c>
      <c r="C39" s="6">
        <f>IF(SUMPRODUCT((Marks!$B$3:$AA$3=C$4)*ISNUMBER(Marks!$B$39:$AA$39))=0,"",SUMPRODUCT((Marks!$B$3:$AA$3=C$4)*(Marks!$B$39:$AA$39=1))/SUMPRODUCT((Marks!$B$3:$AA$3=C$4)*ISNUMBER(Marks!$B$39:$AA$39)))</f>
        <v/>
      </c>
      <c r="D39" s="6">
        <f>IF(SUMPRODUCT((Marks!$B$3:$AA$3=D$4)*ISNUMBER(Marks!$B$39:$AA$39))=0,"",SUMPRODUCT((Marks!$B$3:$AA$3=D$4)*(Marks!$B$39:$AA$39=1))/SUMPRODUCT((Marks!$B$3:$AA$3=D$4)*ISNUMBER(Marks!$B$39:$AA$39)))</f>
        <v/>
      </c>
    </row>
    <row r="40">
      <c r="A40" t="n">
        <v>36</v>
      </c>
      <c r="B40" s="6">
        <f>IF(SUMPRODUCT((Marks!$B$3:$AA$3=B$4)*ISNUMBER(Marks!$B$40:$AA$40))=0,"",SUMPRODUCT((Marks!$B$3:$AA$3=B$4)*(Marks!$B$40:$AA$40=1))/SUMPRODUCT((Marks!$B$3:$AA$3=B$4)*ISNUMBER(Marks!$B$40:$AA$40)))</f>
        <v/>
      </c>
      <c r="C40" s="6">
        <f>IF(SUMPRODUCT((Marks!$B$3:$AA$3=C$4)*ISNUMBER(Marks!$B$40:$AA$40))=0,"",SUMPRODUCT((Marks!$B$3:$AA$3=C$4)*(Marks!$B$40:$AA$40=1))/SUMPRODUCT((Marks!$B$3:$AA$3=C$4)*ISNUMBER(Marks!$B$40:$AA$40)))</f>
        <v/>
      </c>
      <c r="D40" s="6">
        <f>IF(SUMPRODUCT((Marks!$B$3:$AA$3=D$4)*ISNUMBER(Marks!$B$40:$AA$40))=0,"",SUMPRODUCT((Marks!$B$3:$AA$3=D$4)*(Marks!$B$40:$AA$40=1))/SUMPRODUCT((Marks!$B$3:$AA$3=D$4)*ISNUMBER(Marks!$B$40:$AA$40)))</f>
        <v/>
      </c>
    </row>
    <row r="41">
      <c r="A41" t="n">
        <v>37</v>
      </c>
      <c r="B41" s="6">
        <f>IF(SUMPRODUCT((Marks!$B$3:$AA$3=B$4)*ISNUMBER(Marks!$B$41:$AA$41))=0,"",SUMPRODUCT((Marks!$B$3:$AA$3=B$4)*(Marks!$B$41:$AA$41=1))/SUMPRODUCT((Marks!$B$3:$AA$3=B$4)*ISNUMBER(Marks!$B$41:$AA$41)))</f>
        <v/>
      </c>
      <c r="C41" s="6">
        <f>IF(SUMPRODUCT((Marks!$B$3:$AA$3=C$4)*ISNUMBER(Marks!$B$41:$AA$41))=0,"",SUMPRODUCT((Marks!$B$3:$AA$3=C$4)*(Marks!$B$41:$AA$41=1))/SUMPRODUCT((Marks!$B$3:$AA$3=C$4)*ISNUMBER(Marks!$B$41:$AA$41)))</f>
        <v/>
      </c>
      <c r="D41" s="6">
        <f>IF(SUMPRODUCT((Marks!$B$3:$AA$3=D$4)*ISNUMBER(Marks!$B$41:$AA$41))=0,"",SUMPRODUCT((Marks!$B$3:$AA$3=D$4)*(Marks!$B$41:$AA$41=1))/SUMPRODUCT((Marks!$B$3:$AA$3=D$4)*ISNUMBER(Marks!$B$41:$AA$41)))</f>
        <v/>
      </c>
    </row>
    <row r="42">
      <c r="A42" t="n">
        <v>38</v>
      </c>
      <c r="B42" s="6">
        <f>IF(SUMPRODUCT((Marks!$B$3:$AA$3=B$4)*ISNUMBER(Marks!$B$42:$AA$42))=0,"",SUMPRODUCT((Marks!$B$3:$AA$3=B$4)*(Marks!$B$42:$AA$42=1))/SUMPRODUCT((Marks!$B$3:$AA$3=B$4)*ISNUMBER(Marks!$B$42:$AA$42)))</f>
        <v/>
      </c>
      <c r="C42" s="6">
        <f>IF(SUMPRODUCT((Marks!$B$3:$AA$3=C$4)*ISNUMBER(Marks!$B$42:$AA$42))=0,"",SUMPRODUCT((Marks!$B$3:$AA$3=C$4)*(Marks!$B$42:$AA$42=1))/SUMPRODUCT((Marks!$B$3:$AA$3=C$4)*ISNUMBER(Marks!$B$42:$AA$42)))</f>
        <v/>
      </c>
      <c r="D42" s="6">
        <f>IF(SUMPRODUCT((Marks!$B$3:$AA$3=D$4)*ISNUMBER(Marks!$B$42:$AA$42))=0,"",SUMPRODUCT((Marks!$B$3:$AA$3=D$4)*(Marks!$B$42:$AA$42=1))/SUMPRODUCT((Marks!$B$3:$AA$3=D$4)*ISNUMBER(Marks!$B$42:$AA$42)))</f>
        <v/>
      </c>
    </row>
    <row r="43">
      <c r="A43" t="n">
        <v>39</v>
      </c>
      <c r="B43" s="6">
        <f>IF(SUMPRODUCT((Marks!$B$3:$AA$3=B$4)*ISNUMBER(Marks!$B$43:$AA$43))=0,"",SUMPRODUCT((Marks!$B$3:$AA$3=B$4)*(Marks!$B$43:$AA$43=1))/SUMPRODUCT((Marks!$B$3:$AA$3=B$4)*ISNUMBER(Marks!$B$43:$AA$43)))</f>
        <v/>
      </c>
      <c r="C43" s="6">
        <f>IF(SUMPRODUCT((Marks!$B$3:$AA$3=C$4)*ISNUMBER(Marks!$B$43:$AA$43))=0,"",SUMPRODUCT((Marks!$B$3:$AA$3=C$4)*(Marks!$B$43:$AA$43=1))/SUMPRODUCT((Marks!$B$3:$AA$3=C$4)*ISNUMBER(Marks!$B$43:$AA$43)))</f>
        <v/>
      </c>
      <c r="D43" s="6">
        <f>IF(SUMPRODUCT((Marks!$B$3:$AA$3=D$4)*ISNUMBER(Marks!$B$43:$AA$43))=0,"",SUMPRODUCT((Marks!$B$3:$AA$3=D$4)*(Marks!$B$43:$AA$43=1))/SUMPRODUCT((Marks!$B$3:$AA$3=D$4)*ISNUMBER(Marks!$B$43:$AA$43)))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IF(SUMPRODUCT((Marks!$B$2:$AA$2=H$3)*ISNUMBER(Marks!$B$5:$AA$5))=0,"",SUMPRODUCT((Marks!$B$2:$AA$2=H$3)*(Marks!$B$5:$AA$5=1))/SUMPRODUCT((Marks!$B$2:$AA$2=H$3)*ISNUMBER(Marks!$B$5:$AA$5)))</f>
        <v/>
      </c>
      <c r="I5" s="6">
        <f>IF(SUMPRODUCT((Marks!$B$2:$AA$2=I$3)*ISNUMBER(Marks!$B$5:$AA$5))=0,"",SUMPRODUCT((Marks!$B$2:$AA$2=I$3)*(Marks!$B$5:$AA$5=1))/SUMPRODUCT((Marks!$B$2:$AA$2=I$3)*ISNUMBER(Marks!$B$5:$AA$5)))</f>
        <v/>
      </c>
      <c r="J5" s="6">
        <f>IF(SUMPRODUCT((Marks!$B$2:$AA$2=J$3)*ISNUMBER(Marks!$B$5:$AA$5))=0,"",SUMPRODUCT((Marks!$B$2:$AA$2=J$3)*(Marks!$B$5:$AA$5=1))/SUMPRODUCT((Marks!$B$2:$AA$2=J$3)*ISNUMBER(Marks!$B$5:$AA$5)))</f>
        <v/>
      </c>
      <c r="K5" s="6">
        <f>IF(SUMPRODUCT((Marks!$B$2:$AA$2=K$3)*ISNUMBER(Marks!$B$5:$AA$5))=0,"",SUMPRODUCT((Marks!$B$2:$AA$2=K$3)*(Marks!$B$5:$AA$5=1))/SUMPRODUCT((Marks!$B$2:$AA$2=K$3)*ISNUMBER(Marks!$B$5:$AA$5)))</f>
        <v/>
      </c>
      <c r="L5" s="6">
        <f>IF(SUMPRODUCT((Marks!$B$2:$AA$2=L$3)*ISNUMBER(Marks!$B$5:$AA$5))=0,"",SUMPRODUCT((Marks!$B$2:$AA$2=L$3)*(Marks!$B$5:$AA$5=1))/SUMPRODUCT((Marks!$B$2:$AA$2=L$3)*ISNUMBER(Marks!$B$5:$AA$5)))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IF(SUMPRODUCT((Marks!$B$2:$AA$2=H$3)*ISNUMBER(Marks!$B$6:$AA$6))=0,"",SUMPRODUCT((Marks!$B$2:$AA$2=H$3)*(Marks!$B$6:$AA$6=1))/SUMPRODUCT((Marks!$B$2:$AA$2=H$3)*ISNUMBER(Marks!$B$6:$AA$6)))</f>
        <v/>
      </c>
      <c r="I6" s="6">
        <f>IF(SUMPRODUCT((Marks!$B$2:$AA$2=I$3)*ISNUMBER(Marks!$B$6:$AA$6))=0,"",SUMPRODUCT((Marks!$B$2:$AA$2=I$3)*(Marks!$B$6:$AA$6=1))/SUMPRODUCT((Marks!$B$2:$AA$2=I$3)*ISNUMBER(Marks!$B$6:$AA$6)))</f>
        <v/>
      </c>
      <c r="J6" s="6">
        <f>IF(SUMPRODUCT((Marks!$B$2:$AA$2=J$3)*ISNUMBER(Marks!$B$6:$AA$6))=0,"",SUMPRODUCT((Marks!$B$2:$AA$2=J$3)*(Marks!$B$6:$AA$6=1))/SUMPRODUCT((Marks!$B$2:$AA$2=J$3)*ISNUMBER(Marks!$B$6:$AA$6)))</f>
        <v/>
      </c>
      <c r="K6" s="6">
        <f>IF(SUMPRODUCT((Marks!$B$2:$AA$2=K$3)*ISNUMBER(Marks!$B$6:$AA$6))=0,"",SUMPRODUCT((Marks!$B$2:$AA$2=K$3)*(Marks!$B$6:$AA$6=1))/SUMPRODUCT((Marks!$B$2:$AA$2=K$3)*ISNUMBER(Marks!$B$6:$AA$6)))</f>
        <v/>
      </c>
      <c r="L6" s="6">
        <f>IF(SUMPRODUCT((Marks!$B$2:$AA$2=L$3)*ISNUMBER(Marks!$B$6:$AA$6))=0,"",SUMPRODUCT((Marks!$B$2:$AA$2=L$3)*(Marks!$B$6:$AA$6=1))/SUMPRODUCT((Marks!$B$2:$AA$2=L$3)*ISNUMBER(Marks!$B$6:$AA$6)))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IF(SUMPRODUCT((Marks!$B$2:$AA$2=H$3)*ISNUMBER(Marks!$B$7:$AA$7))=0,"",SUMPRODUCT((Marks!$B$2:$AA$2=H$3)*(Marks!$B$7:$AA$7=1))/SUMPRODUCT((Marks!$B$2:$AA$2=H$3)*ISNUMBER(Marks!$B$7:$AA$7)))</f>
        <v/>
      </c>
      <c r="I7" s="6">
        <f>IF(SUMPRODUCT((Marks!$B$2:$AA$2=I$3)*ISNUMBER(Marks!$B$7:$AA$7))=0,"",SUMPRODUCT((Marks!$B$2:$AA$2=I$3)*(Marks!$B$7:$AA$7=1))/SUMPRODUCT((Marks!$B$2:$AA$2=I$3)*ISNUMBER(Marks!$B$7:$AA$7)))</f>
        <v/>
      </c>
      <c r="J7" s="6">
        <f>IF(SUMPRODUCT((Marks!$B$2:$AA$2=J$3)*ISNUMBER(Marks!$B$7:$AA$7))=0,"",SUMPRODUCT((Marks!$B$2:$AA$2=J$3)*(Marks!$B$7:$AA$7=1))/SUMPRODUCT((Marks!$B$2:$AA$2=J$3)*ISNUMBER(Marks!$B$7:$AA$7)))</f>
        <v/>
      </c>
      <c r="K7" s="6">
        <f>IF(SUMPRODUCT((Marks!$B$2:$AA$2=K$3)*ISNUMBER(Marks!$B$7:$AA$7))=0,"",SUMPRODUCT((Marks!$B$2:$AA$2=K$3)*(Marks!$B$7:$AA$7=1))/SUMPRODUCT((Marks!$B$2:$AA$2=K$3)*ISNUMBER(Marks!$B$7:$AA$7)))</f>
        <v/>
      </c>
      <c r="L7" s="6">
        <f>IF(SUMPRODUCT((Marks!$B$2:$AA$2=L$3)*ISNUMBER(Marks!$B$7:$AA$7))=0,"",SUMPRODUCT((Marks!$B$2:$AA$2=L$3)*(Marks!$B$7:$AA$7=1))/SUMPRODUCT((Marks!$B$2:$AA$2=L$3)*ISNUMBER(Marks!$B$7:$AA$7)))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IF(SUMPRODUCT((Marks!$B$2:$AA$2=H$3)*ISNUMBER(Marks!$B$8:$AA$8))=0,"",SUMPRODUCT((Marks!$B$2:$AA$2=H$3)*(Marks!$B$8:$AA$8=1))/SUMPRODUCT((Marks!$B$2:$AA$2=H$3)*ISNUMBER(Marks!$B$8:$AA$8)))</f>
        <v/>
      </c>
      <c r="I8" s="6">
        <f>IF(SUMPRODUCT((Marks!$B$2:$AA$2=I$3)*ISNUMBER(Marks!$B$8:$AA$8))=0,"",SUMPRODUCT((Marks!$B$2:$AA$2=I$3)*(Marks!$B$8:$AA$8=1))/SUMPRODUCT((Marks!$B$2:$AA$2=I$3)*ISNUMBER(Marks!$B$8:$AA$8)))</f>
        <v/>
      </c>
      <c r="J8" s="6">
        <f>IF(SUMPRODUCT((Marks!$B$2:$AA$2=J$3)*ISNUMBER(Marks!$B$8:$AA$8))=0,"",SUMPRODUCT((Marks!$B$2:$AA$2=J$3)*(Marks!$B$8:$AA$8=1))/SUMPRODUCT((Marks!$B$2:$AA$2=J$3)*ISNUMBER(Marks!$B$8:$AA$8)))</f>
        <v/>
      </c>
      <c r="K8" s="6">
        <f>IF(SUMPRODUCT((Marks!$B$2:$AA$2=K$3)*ISNUMBER(Marks!$B$8:$AA$8))=0,"",SUMPRODUCT((Marks!$B$2:$AA$2=K$3)*(Marks!$B$8:$AA$8=1))/SUMPRODUCT((Marks!$B$2:$AA$2=K$3)*ISNUMBER(Marks!$B$8:$AA$8)))</f>
        <v/>
      </c>
      <c r="L8" s="6">
        <f>IF(SUMPRODUCT((Marks!$B$2:$AA$2=L$3)*ISNUMBER(Marks!$B$8:$AA$8))=0,"",SUMPRODUCT((Marks!$B$2:$AA$2=L$3)*(Marks!$B$8:$AA$8=1))/SUMPRODUCT((Marks!$B$2:$AA$2=L$3)*ISNUMBER(Marks!$B$8:$AA$8)))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IF(SUMPRODUCT((Marks!$B$2:$AA$2=H$3)*ISNUMBER(Marks!$B$9:$AA$9))=0,"",SUMPRODUCT((Marks!$B$2:$AA$2=H$3)*(Marks!$B$9:$AA$9=1))/SUMPRODUCT((Marks!$B$2:$AA$2=H$3)*ISNUMBER(Marks!$B$9:$AA$9)))</f>
        <v/>
      </c>
      <c r="I9" s="6">
        <f>IF(SUMPRODUCT((Marks!$B$2:$AA$2=I$3)*ISNUMBER(Marks!$B$9:$AA$9))=0,"",SUMPRODUCT((Marks!$B$2:$AA$2=I$3)*(Marks!$B$9:$AA$9=1))/SUMPRODUCT((Marks!$B$2:$AA$2=I$3)*ISNUMBER(Marks!$B$9:$AA$9)))</f>
        <v/>
      </c>
      <c r="J9" s="6">
        <f>IF(SUMPRODUCT((Marks!$B$2:$AA$2=J$3)*ISNUMBER(Marks!$B$9:$AA$9))=0,"",SUMPRODUCT((Marks!$B$2:$AA$2=J$3)*(Marks!$B$9:$AA$9=1))/SUMPRODUCT((Marks!$B$2:$AA$2=J$3)*ISNUMBER(Marks!$B$9:$AA$9)))</f>
        <v/>
      </c>
      <c r="K9" s="6">
        <f>IF(SUMPRODUCT((Marks!$B$2:$AA$2=K$3)*ISNUMBER(Marks!$B$9:$AA$9))=0,"",SUMPRODUCT((Marks!$B$2:$AA$2=K$3)*(Marks!$B$9:$AA$9=1))/SUMPRODUCT((Marks!$B$2:$AA$2=K$3)*ISNUMBER(Marks!$B$9:$AA$9)))</f>
        <v/>
      </c>
      <c r="L9" s="6">
        <f>IF(SUMPRODUCT((Marks!$B$2:$AA$2=L$3)*ISNUMBER(Marks!$B$9:$AA$9))=0,"",SUMPRODUCT((Marks!$B$2:$AA$2=L$3)*(Marks!$B$9:$AA$9=1))/SUMPRODUCT((Marks!$B$2:$AA$2=L$3)*ISNUMBER(Marks!$B$9:$AA$9)))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IF(SUMPRODUCT((Marks!$B$2:$AA$2=H$3)*ISNUMBER(Marks!$B$10:$AA$10))=0,"",SUMPRODUCT((Marks!$B$2:$AA$2=H$3)*(Marks!$B$10:$AA$10=1))/SUMPRODUCT((Marks!$B$2:$AA$2=H$3)*ISNUMBER(Marks!$B$10:$AA$10)))</f>
        <v/>
      </c>
      <c r="I10" s="6">
        <f>IF(SUMPRODUCT((Marks!$B$2:$AA$2=I$3)*ISNUMBER(Marks!$B$10:$AA$10))=0,"",SUMPRODUCT((Marks!$B$2:$AA$2=I$3)*(Marks!$B$10:$AA$10=1))/SUMPRODUCT((Marks!$B$2:$AA$2=I$3)*ISNUMBER(Marks!$B$10:$AA$10)))</f>
        <v/>
      </c>
      <c r="J10" s="6">
        <f>IF(SUMPRODUCT((Marks!$B$2:$AA$2=J$3)*ISNUMBER(Marks!$B$10:$AA$10))=0,"",SUMPRODUCT((Marks!$B$2:$AA$2=J$3)*(Marks!$B$10:$AA$10=1))/SUMPRODUCT((Marks!$B$2:$AA$2=J$3)*ISNUMBER(Marks!$B$10:$AA$10)))</f>
        <v/>
      </c>
      <c r="K10" s="6">
        <f>IF(SUMPRODUCT((Marks!$B$2:$AA$2=K$3)*ISNUMBER(Marks!$B$10:$AA$10))=0,"",SUMPRODUCT((Marks!$B$2:$AA$2=K$3)*(Marks!$B$10:$AA$10=1))/SUMPRODUCT((Marks!$B$2:$AA$2=K$3)*ISNUMBER(Marks!$B$10:$AA$10)))</f>
        <v/>
      </c>
      <c r="L10" s="6">
        <f>IF(SUMPRODUCT((Marks!$B$2:$AA$2=L$3)*ISNUMBER(Marks!$B$10:$AA$10))=0,"",SUMPRODUCT((Marks!$B$2:$AA$2=L$3)*(Marks!$B$10:$AA$10=1))/SUMPRODUCT((Marks!$B$2:$AA$2=L$3)*ISNUMBER(Marks!$B$10:$AA$10)))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IF(SUMPRODUCT((Marks!$B$2:$AA$2=H$3)*ISNUMBER(Marks!$B$11:$AA$11))=0,"",SUMPRODUCT((Marks!$B$2:$AA$2=H$3)*(Marks!$B$11:$AA$11=1))/SUMPRODUCT((Marks!$B$2:$AA$2=H$3)*ISNUMBER(Marks!$B$11:$AA$11)))</f>
        <v/>
      </c>
      <c r="I11" s="6">
        <f>IF(SUMPRODUCT((Marks!$B$2:$AA$2=I$3)*ISNUMBER(Marks!$B$11:$AA$11))=0,"",SUMPRODUCT((Marks!$B$2:$AA$2=I$3)*(Marks!$B$11:$AA$11=1))/SUMPRODUCT((Marks!$B$2:$AA$2=I$3)*ISNUMBER(Marks!$B$11:$AA$11)))</f>
        <v/>
      </c>
      <c r="J11" s="6">
        <f>IF(SUMPRODUCT((Marks!$B$2:$AA$2=J$3)*ISNUMBER(Marks!$B$11:$AA$11))=0,"",SUMPRODUCT((Marks!$B$2:$AA$2=J$3)*(Marks!$B$11:$AA$11=1))/SUMPRODUCT((Marks!$B$2:$AA$2=J$3)*ISNUMBER(Marks!$B$11:$AA$11)))</f>
        <v/>
      </c>
      <c r="K11" s="6">
        <f>IF(SUMPRODUCT((Marks!$B$2:$AA$2=K$3)*ISNUMBER(Marks!$B$11:$AA$11))=0,"",SUMPRODUCT((Marks!$B$2:$AA$2=K$3)*(Marks!$B$11:$AA$11=1))/SUMPRODUCT((Marks!$B$2:$AA$2=K$3)*ISNUMBER(Marks!$B$11:$AA$11)))</f>
        <v/>
      </c>
      <c r="L11" s="6">
        <f>IF(SUMPRODUCT((Marks!$B$2:$AA$2=L$3)*ISNUMBER(Marks!$B$11:$AA$11))=0,"",SUMPRODUCT((Marks!$B$2:$AA$2=L$3)*(Marks!$B$11:$AA$11=1))/SUMPRODUCT((Marks!$B$2:$AA$2=L$3)*ISNUMBER(Marks!$B$11:$AA$11)))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IF(SUMPRODUCT((Marks!$B$2:$AA$2=H$3)*ISNUMBER(Marks!$B$12:$AA$12))=0,"",SUMPRODUCT((Marks!$B$2:$AA$2=H$3)*(Marks!$B$12:$AA$12=1))/SUMPRODUCT((Marks!$B$2:$AA$2=H$3)*ISNUMBER(Marks!$B$12:$AA$12)))</f>
        <v/>
      </c>
      <c r="I12" s="6">
        <f>IF(SUMPRODUCT((Marks!$B$2:$AA$2=I$3)*ISNUMBER(Marks!$B$12:$AA$12))=0,"",SUMPRODUCT((Marks!$B$2:$AA$2=I$3)*(Marks!$B$12:$AA$12=1))/SUMPRODUCT((Marks!$B$2:$AA$2=I$3)*ISNUMBER(Marks!$B$12:$AA$12)))</f>
        <v/>
      </c>
      <c r="J12" s="6">
        <f>IF(SUMPRODUCT((Marks!$B$2:$AA$2=J$3)*ISNUMBER(Marks!$B$12:$AA$12))=0,"",SUMPRODUCT((Marks!$B$2:$AA$2=J$3)*(Marks!$B$12:$AA$12=1))/SUMPRODUCT((Marks!$B$2:$AA$2=J$3)*ISNUMBER(Marks!$B$12:$AA$12)))</f>
        <v/>
      </c>
      <c r="K12" s="6">
        <f>IF(SUMPRODUCT((Marks!$B$2:$AA$2=K$3)*ISNUMBER(Marks!$B$12:$AA$12))=0,"",SUMPRODUCT((Marks!$B$2:$AA$2=K$3)*(Marks!$B$12:$AA$12=1))/SUMPRODUCT((Marks!$B$2:$AA$2=K$3)*ISNUMBER(Marks!$B$12:$AA$12)))</f>
        <v/>
      </c>
      <c r="L12" s="6">
        <f>IF(SUMPRODUCT((Marks!$B$2:$AA$2=L$3)*ISNUMBER(Marks!$B$12:$AA$12))=0,"",SUMPRODUCT((Marks!$B$2:$AA$2=L$3)*(Marks!$B$12:$AA$12=1))/SUMPRODUCT((Marks!$B$2:$AA$2=L$3)*ISNUMBER(Marks!$B$12:$AA$12)))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IF(SUMPRODUCT((Marks!$B$2:$AA$2=H$3)*ISNUMBER(Marks!$B$13:$AA$13))=0,"",SUMPRODUCT((Marks!$B$2:$AA$2=H$3)*(Marks!$B$13:$AA$13=1))/SUMPRODUCT((Marks!$B$2:$AA$2=H$3)*ISNUMBER(Marks!$B$13:$AA$13)))</f>
        <v/>
      </c>
      <c r="I13" s="6">
        <f>IF(SUMPRODUCT((Marks!$B$2:$AA$2=I$3)*ISNUMBER(Marks!$B$13:$AA$13))=0,"",SUMPRODUCT((Marks!$B$2:$AA$2=I$3)*(Marks!$B$13:$AA$13=1))/SUMPRODUCT((Marks!$B$2:$AA$2=I$3)*ISNUMBER(Marks!$B$13:$AA$13)))</f>
        <v/>
      </c>
      <c r="J13" s="6">
        <f>IF(SUMPRODUCT((Marks!$B$2:$AA$2=J$3)*ISNUMBER(Marks!$B$13:$AA$13))=0,"",SUMPRODUCT((Marks!$B$2:$AA$2=J$3)*(Marks!$B$13:$AA$13=1))/SUMPRODUCT((Marks!$B$2:$AA$2=J$3)*ISNUMBER(Marks!$B$13:$AA$13)))</f>
        <v/>
      </c>
      <c r="K13" s="6">
        <f>IF(SUMPRODUCT((Marks!$B$2:$AA$2=K$3)*ISNUMBER(Marks!$B$13:$AA$13))=0,"",SUMPRODUCT((Marks!$B$2:$AA$2=K$3)*(Marks!$B$13:$AA$13=1))/SUMPRODUCT((Marks!$B$2:$AA$2=K$3)*ISNUMBER(Marks!$B$13:$AA$13)))</f>
        <v/>
      </c>
      <c r="L13" s="6">
        <f>IF(SUMPRODUCT((Marks!$B$2:$AA$2=L$3)*ISNUMBER(Marks!$B$13:$AA$13))=0,"",SUMPRODUCT((Marks!$B$2:$AA$2=L$3)*(Marks!$B$13:$AA$13=1))/SUMPRODUCT((Marks!$B$2:$AA$2=L$3)*ISNUMBER(Marks!$B$13:$AA$13)))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IF(SUMPRODUCT((Marks!$B$2:$AA$2=H$3)*ISNUMBER(Marks!$B$14:$AA$14))=0,"",SUMPRODUCT((Marks!$B$2:$AA$2=H$3)*(Marks!$B$14:$AA$14=1))/SUMPRODUCT((Marks!$B$2:$AA$2=H$3)*ISNUMBER(Marks!$B$14:$AA$14)))</f>
        <v/>
      </c>
      <c r="I14" s="6">
        <f>IF(SUMPRODUCT((Marks!$B$2:$AA$2=I$3)*ISNUMBER(Marks!$B$14:$AA$14))=0,"",SUMPRODUCT((Marks!$B$2:$AA$2=I$3)*(Marks!$B$14:$AA$14=1))/SUMPRODUCT((Marks!$B$2:$AA$2=I$3)*ISNUMBER(Marks!$B$14:$AA$14)))</f>
        <v/>
      </c>
      <c r="J14" s="6">
        <f>IF(SUMPRODUCT((Marks!$B$2:$AA$2=J$3)*ISNUMBER(Marks!$B$14:$AA$14))=0,"",SUMPRODUCT((Marks!$B$2:$AA$2=J$3)*(Marks!$B$14:$AA$14=1))/SUMPRODUCT((Marks!$B$2:$AA$2=J$3)*ISNUMBER(Marks!$B$14:$AA$14)))</f>
        <v/>
      </c>
      <c r="K14" s="6">
        <f>IF(SUMPRODUCT((Marks!$B$2:$AA$2=K$3)*ISNUMBER(Marks!$B$14:$AA$14))=0,"",SUMPRODUCT((Marks!$B$2:$AA$2=K$3)*(Marks!$B$14:$AA$14=1))/SUMPRODUCT((Marks!$B$2:$AA$2=K$3)*ISNUMBER(Marks!$B$14:$AA$14)))</f>
        <v/>
      </c>
      <c r="L14" s="6">
        <f>IF(SUMPRODUCT((Marks!$B$2:$AA$2=L$3)*ISNUMBER(Marks!$B$14:$AA$14))=0,"",SUMPRODUCT((Marks!$B$2:$AA$2=L$3)*(Marks!$B$14:$AA$14=1))/SUMPRODUCT((Marks!$B$2:$AA$2=L$3)*ISNUMBER(Marks!$B$14:$AA$14)))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IF(SUMPRODUCT((Marks!$B$2:$AA$2=H$3)*ISNUMBER(Marks!$B$15:$AA$15))=0,"",SUMPRODUCT((Marks!$B$2:$AA$2=H$3)*(Marks!$B$15:$AA$15=1))/SUMPRODUCT((Marks!$B$2:$AA$2=H$3)*ISNUMBER(Marks!$B$15:$AA$15)))</f>
        <v/>
      </c>
      <c r="I15" s="6">
        <f>IF(SUMPRODUCT((Marks!$B$2:$AA$2=I$3)*ISNUMBER(Marks!$B$15:$AA$15))=0,"",SUMPRODUCT((Marks!$B$2:$AA$2=I$3)*(Marks!$B$15:$AA$15=1))/SUMPRODUCT((Marks!$B$2:$AA$2=I$3)*ISNUMBER(Marks!$B$15:$AA$15)))</f>
        <v/>
      </c>
      <c r="J15" s="6">
        <f>IF(SUMPRODUCT((Marks!$B$2:$AA$2=J$3)*ISNUMBER(Marks!$B$15:$AA$15))=0,"",SUMPRODUCT((Marks!$B$2:$AA$2=J$3)*(Marks!$B$15:$AA$15=1))/SUMPRODUCT((Marks!$B$2:$AA$2=J$3)*ISNUMBER(Marks!$B$15:$AA$15)))</f>
        <v/>
      </c>
      <c r="K15" s="6">
        <f>IF(SUMPRODUCT((Marks!$B$2:$AA$2=K$3)*ISNUMBER(Marks!$B$15:$AA$15))=0,"",SUMPRODUCT((Marks!$B$2:$AA$2=K$3)*(Marks!$B$15:$AA$15=1))/SUMPRODUCT((Marks!$B$2:$AA$2=K$3)*ISNUMBER(Marks!$B$15:$AA$15)))</f>
        <v/>
      </c>
      <c r="L15" s="6">
        <f>IF(SUMPRODUCT((Marks!$B$2:$AA$2=L$3)*ISNUMBER(Marks!$B$15:$AA$15))=0,"",SUMPRODUCT((Marks!$B$2:$AA$2=L$3)*(Marks!$B$15:$AA$15=1))/SUMPRODUCT((Marks!$B$2:$AA$2=L$3)*ISNUMBER(Marks!$B$15:$AA$15)))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IF(SUMPRODUCT((Marks!$B$2:$AA$2=H$3)*ISNUMBER(Marks!$B$16:$AA$16))=0,"",SUMPRODUCT((Marks!$B$2:$AA$2=H$3)*(Marks!$B$16:$AA$16=1))/SUMPRODUCT((Marks!$B$2:$AA$2=H$3)*ISNUMBER(Marks!$B$16:$AA$16)))</f>
        <v/>
      </c>
      <c r="I16" s="6">
        <f>IF(SUMPRODUCT((Marks!$B$2:$AA$2=I$3)*ISNUMBER(Marks!$B$16:$AA$16))=0,"",SUMPRODUCT((Marks!$B$2:$AA$2=I$3)*(Marks!$B$16:$AA$16=1))/SUMPRODUCT((Marks!$B$2:$AA$2=I$3)*ISNUMBER(Marks!$B$16:$AA$16)))</f>
        <v/>
      </c>
      <c r="J16" s="6">
        <f>IF(SUMPRODUCT((Marks!$B$2:$AA$2=J$3)*ISNUMBER(Marks!$B$16:$AA$16))=0,"",SUMPRODUCT((Marks!$B$2:$AA$2=J$3)*(Marks!$B$16:$AA$16=1))/SUMPRODUCT((Marks!$B$2:$AA$2=J$3)*ISNUMBER(Marks!$B$16:$AA$16)))</f>
        <v/>
      </c>
      <c r="K16" s="6">
        <f>IF(SUMPRODUCT((Marks!$B$2:$AA$2=K$3)*ISNUMBER(Marks!$B$16:$AA$16))=0,"",SUMPRODUCT((Marks!$B$2:$AA$2=K$3)*(Marks!$B$16:$AA$16=1))/SUMPRODUCT((Marks!$B$2:$AA$2=K$3)*ISNUMBER(Marks!$B$16:$AA$16)))</f>
        <v/>
      </c>
      <c r="L16" s="6">
        <f>IF(SUMPRODUCT((Marks!$B$2:$AA$2=L$3)*ISNUMBER(Marks!$B$16:$AA$16))=0,"",SUMPRODUCT((Marks!$B$2:$AA$2=L$3)*(Marks!$B$16:$AA$16=1))/SUMPRODUCT((Marks!$B$2:$AA$2=L$3)*ISNUMBER(Marks!$B$16:$AA$16)))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IF(SUMPRODUCT((Marks!$B$2:$AA$2=H$3)*ISNUMBER(Marks!$B$17:$AA$17))=0,"",SUMPRODUCT((Marks!$B$2:$AA$2=H$3)*(Marks!$B$17:$AA$17=1))/SUMPRODUCT((Marks!$B$2:$AA$2=H$3)*ISNUMBER(Marks!$B$17:$AA$17)))</f>
        <v/>
      </c>
      <c r="I17" s="6">
        <f>IF(SUMPRODUCT((Marks!$B$2:$AA$2=I$3)*ISNUMBER(Marks!$B$17:$AA$17))=0,"",SUMPRODUCT((Marks!$B$2:$AA$2=I$3)*(Marks!$B$17:$AA$17=1))/SUMPRODUCT((Marks!$B$2:$AA$2=I$3)*ISNUMBER(Marks!$B$17:$AA$17)))</f>
        <v/>
      </c>
      <c r="J17" s="6">
        <f>IF(SUMPRODUCT((Marks!$B$2:$AA$2=J$3)*ISNUMBER(Marks!$B$17:$AA$17))=0,"",SUMPRODUCT((Marks!$B$2:$AA$2=J$3)*(Marks!$B$17:$AA$17=1))/SUMPRODUCT((Marks!$B$2:$AA$2=J$3)*ISNUMBER(Marks!$B$17:$AA$17)))</f>
        <v/>
      </c>
      <c r="K17" s="6">
        <f>IF(SUMPRODUCT((Marks!$B$2:$AA$2=K$3)*ISNUMBER(Marks!$B$17:$AA$17))=0,"",SUMPRODUCT((Marks!$B$2:$AA$2=K$3)*(Marks!$B$17:$AA$17=1))/SUMPRODUCT((Marks!$B$2:$AA$2=K$3)*ISNUMBER(Marks!$B$17:$AA$17)))</f>
        <v/>
      </c>
      <c r="L17" s="6">
        <f>IF(SUMPRODUCT((Marks!$B$2:$AA$2=L$3)*ISNUMBER(Marks!$B$17:$AA$17))=0,"",SUMPRODUCT((Marks!$B$2:$AA$2=L$3)*(Marks!$B$17:$AA$17=1))/SUMPRODUCT((Marks!$B$2:$AA$2=L$3)*ISNUMBER(Marks!$B$17:$AA$17)))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IF(SUMPRODUCT((Marks!$B$2:$AA$2=H$3)*ISNUMBER(Marks!$B$18:$AA$18))=0,"",SUMPRODUCT((Marks!$B$2:$AA$2=H$3)*(Marks!$B$18:$AA$18=1))/SUMPRODUCT((Marks!$B$2:$AA$2=H$3)*ISNUMBER(Marks!$B$18:$AA$18)))</f>
        <v/>
      </c>
      <c r="I18" s="6">
        <f>IF(SUMPRODUCT((Marks!$B$2:$AA$2=I$3)*ISNUMBER(Marks!$B$18:$AA$18))=0,"",SUMPRODUCT((Marks!$B$2:$AA$2=I$3)*(Marks!$B$18:$AA$18=1))/SUMPRODUCT((Marks!$B$2:$AA$2=I$3)*ISNUMBER(Marks!$B$18:$AA$18)))</f>
        <v/>
      </c>
      <c r="J18" s="6">
        <f>IF(SUMPRODUCT((Marks!$B$2:$AA$2=J$3)*ISNUMBER(Marks!$B$18:$AA$18))=0,"",SUMPRODUCT((Marks!$B$2:$AA$2=J$3)*(Marks!$B$18:$AA$18=1))/SUMPRODUCT((Marks!$B$2:$AA$2=J$3)*ISNUMBER(Marks!$B$18:$AA$18)))</f>
        <v/>
      </c>
      <c r="K18" s="6">
        <f>IF(SUMPRODUCT((Marks!$B$2:$AA$2=K$3)*ISNUMBER(Marks!$B$18:$AA$18))=0,"",SUMPRODUCT((Marks!$B$2:$AA$2=K$3)*(Marks!$B$18:$AA$18=1))/SUMPRODUCT((Marks!$B$2:$AA$2=K$3)*ISNUMBER(Marks!$B$18:$AA$18)))</f>
        <v/>
      </c>
      <c r="L18" s="6">
        <f>IF(SUMPRODUCT((Marks!$B$2:$AA$2=L$3)*ISNUMBER(Marks!$B$18:$AA$18))=0,"",SUMPRODUCT((Marks!$B$2:$AA$2=L$3)*(Marks!$B$18:$AA$18=1))/SUMPRODUCT((Marks!$B$2:$AA$2=L$3)*ISNUMBER(Marks!$B$18:$AA$18)))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IF(SUMPRODUCT((Marks!$B$2:$AA$2=H$3)*ISNUMBER(Marks!$B$19:$AA$19))=0,"",SUMPRODUCT((Marks!$B$2:$AA$2=H$3)*(Marks!$B$19:$AA$19=1))/SUMPRODUCT((Marks!$B$2:$AA$2=H$3)*ISNUMBER(Marks!$B$19:$AA$19)))</f>
        <v/>
      </c>
      <c r="I19" s="6">
        <f>IF(SUMPRODUCT((Marks!$B$2:$AA$2=I$3)*ISNUMBER(Marks!$B$19:$AA$19))=0,"",SUMPRODUCT((Marks!$B$2:$AA$2=I$3)*(Marks!$B$19:$AA$19=1))/SUMPRODUCT((Marks!$B$2:$AA$2=I$3)*ISNUMBER(Marks!$B$19:$AA$19)))</f>
        <v/>
      </c>
      <c r="J19" s="6">
        <f>IF(SUMPRODUCT((Marks!$B$2:$AA$2=J$3)*ISNUMBER(Marks!$B$19:$AA$19))=0,"",SUMPRODUCT((Marks!$B$2:$AA$2=J$3)*(Marks!$B$19:$AA$19=1))/SUMPRODUCT((Marks!$B$2:$AA$2=J$3)*ISNUMBER(Marks!$B$19:$AA$19)))</f>
        <v/>
      </c>
      <c r="K19" s="6">
        <f>IF(SUMPRODUCT((Marks!$B$2:$AA$2=K$3)*ISNUMBER(Marks!$B$19:$AA$19))=0,"",SUMPRODUCT((Marks!$B$2:$AA$2=K$3)*(Marks!$B$19:$AA$19=1))/SUMPRODUCT((Marks!$B$2:$AA$2=K$3)*ISNUMBER(Marks!$B$19:$AA$19)))</f>
        <v/>
      </c>
      <c r="L19" s="6">
        <f>IF(SUMPRODUCT((Marks!$B$2:$AA$2=L$3)*ISNUMBER(Marks!$B$19:$AA$19))=0,"",SUMPRODUCT((Marks!$B$2:$AA$2=L$3)*(Marks!$B$19:$AA$19=1))/SUMPRODUCT((Marks!$B$2:$AA$2=L$3)*ISNUMBER(Marks!$B$19:$AA$19)))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IF(SUMPRODUCT((Marks!$B$2:$AA$2=H$3)*ISNUMBER(Marks!$B$20:$AA$20))=0,"",SUMPRODUCT((Marks!$B$2:$AA$2=H$3)*(Marks!$B$20:$AA$20=1))/SUMPRODUCT((Marks!$B$2:$AA$2=H$3)*ISNUMBER(Marks!$B$20:$AA$20)))</f>
        <v/>
      </c>
      <c r="I20" s="6">
        <f>IF(SUMPRODUCT((Marks!$B$2:$AA$2=I$3)*ISNUMBER(Marks!$B$20:$AA$20))=0,"",SUMPRODUCT((Marks!$B$2:$AA$2=I$3)*(Marks!$B$20:$AA$20=1))/SUMPRODUCT((Marks!$B$2:$AA$2=I$3)*ISNUMBER(Marks!$B$20:$AA$20)))</f>
        <v/>
      </c>
      <c r="J20" s="6">
        <f>IF(SUMPRODUCT((Marks!$B$2:$AA$2=J$3)*ISNUMBER(Marks!$B$20:$AA$20))=0,"",SUMPRODUCT((Marks!$B$2:$AA$2=J$3)*(Marks!$B$20:$AA$20=1))/SUMPRODUCT((Marks!$B$2:$AA$2=J$3)*ISNUMBER(Marks!$B$20:$AA$20)))</f>
        <v/>
      </c>
      <c r="K20" s="6">
        <f>IF(SUMPRODUCT((Marks!$B$2:$AA$2=K$3)*ISNUMBER(Marks!$B$20:$AA$20))=0,"",SUMPRODUCT((Marks!$B$2:$AA$2=K$3)*(Marks!$B$20:$AA$20=1))/SUMPRODUCT((Marks!$B$2:$AA$2=K$3)*ISNUMBER(Marks!$B$20:$AA$20)))</f>
        <v/>
      </c>
      <c r="L20" s="6">
        <f>IF(SUMPRODUCT((Marks!$B$2:$AA$2=L$3)*ISNUMBER(Marks!$B$20:$AA$20))=0,"",SUMPRODUCT((Marks!$B$2:$AA$2=L$3)*(Marks!$B$20:$AA$20=1))/SUMPRODUCT((Marks!$B$2:$AA$2=L$3)*ISNUMBER(Marks!$B$20:$AA$20)))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IF(SUMPRODUCT((Marks!$B$2:$AA$2=H$3)*ISNUMBER(Marks!$B$21:$AA$21))=0,"",SUMPRODUCT((Marks!$B$2:$AA$2=H$3)*(Marks!$B$21:$AA$21=1))/SUMPRODUCT((Marks!$B$2:$AA$2=H$3)*ISNUMBER(Marks!$B$21:$AA$21)))</f>
        <v/>
      </c>
      <c r="I21" s="6">
        <f>IF(SUMPRODUCT((Marks!$B$2:$AA$2=I$3)*ISNUMBER(Marks!$B$21:$AA$21))=0,"",SUMPRODUCT((Marks!$B$2:$AA$2=I$3)*(Marks!$B$21:$AA$21=1))/SUMPRODUCT((Marks!$B$2:$AA$2=I$3)*ISNUMBER(Marks!$B$21:$AA$21)))</f>
        <v/>
      </c>
      <c r="J21" s="6">
        <f>IF(SUMPRODUCT((Marks!$B$2:$AA$2=J$3)*ISNUMBER(Marks!$B$21:$AA$21))=0,"",SUMPRODUCT((Marks!$B$2:$AA$2=J$3)*(Marks!$B$21:$AA$21=1))/SUMPRODUCT((Marks!$B$2:$AA$2=J$3)*ISNUMBER(Marks!$B$21:$AA$21)))</f>
        <v/>
      </c>
      <c r="K21" s="6">
        <f>IF(SUMPRODUCT((Marks!$B$2:$AA$2=K$3)*ISNUMBER(Marks!$B$21:$AA$21))=0,"",SUMPRODUCT((Marks!$B$2:$AA$2=K$3)*(Marks!$B$21:$AA$21=1))/SUMPRODUCT((Marks!$B$2:$AA$2=K$3)*ISNUMBER(Marks!$B$21:$AA$21)))</f>
        <v/>
      </c>
      <c r="L21" s="6">
        <f>IF(SUMPRODUCT((Marks!$B$2:$AA$2=L$3)*ISNUMBER(Marks!$B$21:$AA$21))=0,"",SUMPRODUCT((Marks!$B$2:$AA$2=L$3)*(Marks!$B$21:$AA$21=1))/SUMPRODUCT((Marks!$B$2:$AA$2=L$3)*ISNUMBER(Marks!$B$21:$AA$21)))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IF(SUMPRODUCT((Marks!$B$2:$AA$2=H$3)*ISNUMBER(Marks!$B$22:$AA$22))=0,"",SUMPRODUCT((Marks!$B$2:$AA$2=H$3)*(Marks!$B$22:$AA$22=1))/SUMPRODUCT((Marks!$B$2:$AA$2=H$3)*ISNUMBER(Marks!$B$22:$AA$22)))</f>
        <v/>
      </c>
      <c r="I22" s="6">
        <f>IF(SUMPRODUCT((Marks!$B$2:$AA$2=I$3)*ISNUMBER(Marks!$B$22:$AA$22))=0,"",SUMPRODUCT((Marks!$B$2:$AA$2=I$3)*(Marks!$B$22:$AA$22=1))/SUMPRODUCT((Marks!$B$2:$AA$2=I$3)*ISNUMBER(Marks!$B$22:$AA$22)))</f>
        <v/>
      </c>
      <c r="J22" s="6">
        <f>IF(SUMPRODUCT((Marks!$B$2:$AA$2=J$3)*ISNUMBER(Marks!$B$22:$AA$22))=0,"",SUMPRODUCT((Marks!$B$2:$AA$2=J$3)*(Marks!$B$22:$AA$22=1))/SUMPRODUCT((Marks!$B$2:$AA$2=J$3)*ISNUMBER(Marks!$B$22:$AA$22)))</f>
        <v/>
      </c>
      <c r="K22" s="6">
        <f>IF(SUMPRODUCT((Marks!$B$2:$AA$2=K$3)*ISNUMBER(Marks!$B$22:$AA$22))=0,"",SUMPRODUCT((Marks!$B$2:$AA$2=K$3)*(Marks!$B$22:$AA$22=1))/SUMPRODUCT((Marks!$B$2:$AA$2=K$3)*ISNUMBER(Marks!$B$22:$AA$22)))</f>
        <v/>
      </c>
      <c r="L22" s="6">
        <f>IF(SUMPRODUCT((Marks!$B$2:$AA$2=L$3)*ISNUMBER(Marks!$B$22:$AA$22))=0,"",SUMPRODUCT((Marks!$B$2:$AA$2=L$3)*(Marks!$B$22:$AA$22=1))/SUMPRODUCT((Marks!$B$2:$AA$2=L$3)*ISNUMBER(Marks!$B$22:$AA$22)))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IF(SUMPRODUCT((Marks!$B$2:$AA$2=H$3)*ISNUMBER(Marks!$B$23:$AA$23))=0,"",SUMPRODUCT((Marks!$B$2:$AA$2=H$3)*(Marks!$B$23:$AA$23=1))/SUMPRODUCT((Marks!$B$2:$AA$2=H$3)*ISNUMBER(Marks!$B$23:$AA$23)))</f>
        <v/>
      </c>
      <c r="I23" s="6">
        <f>IF(SUMPRODUCT((Marks!$B$2:$AA$2=I$3)*ISNUMBER(Marks!$B$23:$AA$23))=0,"",SUMPRODUCT((Marks!$B$2:$AA$2=I$3)*(Marks!$B$23:$AA$23=1))/SUMPRODUCT((Marks!$B$2:$AA$2=I$3)*ISNUMBER(Marks!$B$23:$AA$23)))</f>
        <v/>
      </c>
      <c r="J23" s="6">
        <f>IF(SUMPRODUCT((Marks!$B$2:$AA$2=J$3)*ISNUMBER(Marks!$B$23:$AA$23))=0,"",SUMPRODUCT((Marks!$B$2:$AA$2=J$3)*(Marks!$B$23:$AA$23=1))/SUMPRODUCT((Marks!$B$2:$AA$2=J$3)*ISNUMBER(Marks!$B$23:$AA$23)))</f>
        <v/>
      </c>
      <c r="K23" s="6">
        <f>IF(SUMPRODUCT((Marks!$B$2:$AA$2=K$3)*ISNUMBER(Marks!$B$23:$AA$23))=0,"",SUMPRODUCT((Marks!$B$2:$AA$2=K$3)*(Marks!$B$23:$AA$23=1))/SUMPRODUCT((Marks!$B$2:$AA$2=K$3)*ISNUMBER(Marks!$B$23:$AA$23)))</f>
        <v/>
      </c>
      <c r="L23" s="6">
        <f>IF(SUMPRODUCT((Marks!$B$2:$AA$2=L$3)*ISNUMBER(Marks!$B$23:$AA$23))=0,"",SUMPRODUCT((Marks!$B$2:$AA$2=L$3)*(Marks!$B$23:$AA$23=1))/SUMPRODUCT((Marks!$B$2:$AA$2=L$3)*ISNUMBER(Marks!$B$23:$AA$23)))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IF(SUMPRODUCT((Marks!$B$2:$AA$2=H$3)*ISNUMBER(Marks!$B$24:$AA$24))=0,"",SUMPRODUCT((Marks!$B$2:$AA$2=H$3)*(Marks!$B$24:$AA$24=1))/SUMPRODUCT((Marks!$B$2:$AA$2=H$3)*ISNUMBER(Marks!$B$24:$AA$24)))</f>
        <v/>
      </c>
      <c r="I24" s="6">
        <f>IF(SUMPRODUCT((Marks!$B$2:$AA$2=I$3)*ISNUMBER(Marks!$B$24:$AA$24))=0,"",SUMPRODUCT((Marks!$B$2:$AA$2=I$3)*(Marks!$B$24:$AA$24=1))/SUMPRODUCT((Marks!$B$2:$AA$2=I$3)*ISNUMBER(Marks!$B$24:$AA$24)))</f>
        <v/>
      </c>
      <c r="J24" s="6">
        <f>IF(SUMPRODUCT((Marks!$B$2:$AA$2=J$3)*ISNUMBER(Marks!$B$24:$AA$24))=0,"",SUMPRODUCT((Marks!$B$2:$AA$2=J$3)*(Marks!$B$24:$AA$24=1))/SUMPRODUCT((Marks!$B$2:$AA$2=J$3)*ISNUMBER(Marks!$B$24:$AA$24)))</f>
        <v/>
      </c>
      <c r="K24" s="6">
        <f>IF(SUMPRODUCT((Marks!$B$2:$AA$2=K$3)*ISNUMBER(Marks!$B$24:$AA$24))=0,"",SUMPRODUCT((Marks!$B$2:$AA$2=K$3)*(Marks!$B$24:$AA$24=1))/SUMPRODUCT((Marks!$B$2:$AA$2=K$3)*ISNUMBER(Marks!$B$24:$AA$24)))</f>
        <v/>
      </c>
      <c r="L24" s="6">
        <f>IF(SUMPRODUCT((Marks!$B$2:$AA$2=L$3)*ISNUMBER(Marks!$B$24:$AA$24))=0,"",SUMPRODUCT((Marks!$B$2:$AA$2=L$3)*(Marks!$B$24:$AA$24=1))/SUMPRODUCT((Marks!$B$2:$AA$2=L$3)*ISNUMBER(Marks!$B$24:$AA$24)))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IF(SUMPRODUCT((Marks!$B$2:$AA$2=H$3)*ISNUMBER(Marks!$B$25:$AA$25))=0,"",SUMPRODUCT((Marks!$B$2:$AA$2=H$3)*(Marks!$B$25:$AA$25=1))/SUMPRODUCT((Marks!$B$2:$AA$2=H$3)*ISNUMBER(Marks!$B$25:$AA$25)))</f>
        <v/>
      </c>
      <c r="I25" s="6">
        <f>IF(SUMPRODUCT((Marks!$B$2:$AA$2=I$3)*ISNUMBER(Marks!$B$25:$AA$25))=0,"",SUMPRODUCT((Marks!$B$2:$AA$2=I$3)*(Marks!$B$25:$AA$25=1))/SUMPRODUCT((Marks!$B$2:$AA$2=I$3)*ISNUMBER(Marks!$B$25:$AA$25)))</f>
        <v/>
      </c>
      <c r="J25" s="6">
        <f>IF(SUMPRODUCT((Marks!$B$2:$AA$2=J$3)*ISNUMBER(Marks!$B$25:$AA$25))=0,"",SUMPRODUCT((Marks!$B$2:$AA$2=J$3)*(Marks!$B$25:$AA$25=1))/SUMPRODUCT((Marks!$B$2:$AA$2=J$3)*ISNUMBER(Marks!$B$25:$AA$25)))</f>
        <v/>
      </c>
      <c r="K25" s="6">
        <f>IF(SUMPRODUCT((Marks!$B$2:$AA$2=K$3)*ISNUMBER(Marks!$B$25:$AA$25))=0,"",SUMPRODUCT((Marks!$B$2:$AA$2=K$3)*(Marks!$B$25:$AA$25=1))/SUMPRODUCT((Marks!$B$2:$AA$2=K$3)*ISNUMBER(Marks!$B$25:$AA$25)))</f>
        <v/>
      </c>
      <c r="L25" s="6">
        <f>IF(SUMPRODUCT((Marks!$B$2:$AA$2=L$3)*ISNUMBER(Marks!$B$25:$AA$25))=0,"",SUMPRODUCT((Marks!$B$2:$AA$2=L$3)*(Marks!$B$25:$AA$25=1))/SUMPRODUCT((Marks!$B$2:$AA$2=L$3)*ISNUMBER(Marks!$B$25:$AA$25)))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IF(SUMPRODUCT((Marks!$B$2:$AA$2=H$3)*ISNUMBER(Marks!$B$26:$AA$26))=0,"",SUMPRODUCT((Marks!$B$2:$AA$2=H$3)*(Marks!$B$26:$AA$26=1))/SUMPRODUCT((Marks!$B$2:$AA$2=H$3)*ISNUMBER(Marks!$B$26:$AA$26)))</f>
        <v/>
      </c>
      <c r="I26" s="6">
        <f>IF(SUMPRODUCT((Marks!$B$2:$AA$2=I$3)*ISNUMBER(Marks!$B$26:$AA$26))=0,"",SUMPRODUCT((Marks!$B$2:$AA$2=I$3)*(Marks!$B$26:$AA$26=1))/SUMPRODUCT((Marks!$B$2:$AA$2=I$3)*ISNUMBER(Marks!$B$26:$AA$26)))</f>
        <v/>
      </c>
      <c r="J26" s="6">
        <f>IF(SUMPRODUCT((Marks!$B$2:$AA$2=J$3)*ISNUMBER(Marks!$B$26:$AA$26))=0,"",SUMPRODUCT((Marks!$B$2:$AA$2=J$3)*(Marks!$B$26:$AA$26=1))/SUMPRODUCT((Marks!$B$2:$AA$2=J$3)*ISNUMBER(Marks!$B$26:$AA$26)))</f>
        <v/>
      </c>
      <c r="K26" s="6">
        <f>IF(SUMPRODUCT((Marks!$B$2:$AA$2=K$3)*ISNUMBER(Marks!$B$26:$AA$26))=0,"",SUMPRODUCT((Marks!$B$2:$AA$2=K$3)*(Marks!$B$26:$AA$26=1))/SUMPRODUCT((Marks!$B$2:$AA$2=K$3)*ISNUMBER(Marks!$B$26:$AA$26)))</f>
        <v/>
      </c>
      <c r="L26" s="6">
        <f>IF(SUMPRODUCT((Marks!$B$2:$AA$2=L$3)*ISNUMBER(Marks!$B$26:$AA$26))=0,"",SUMPRODUCT((Marks!$B$2:$AA$2=L$3)*(Marks!$B$26:$AA$26=1))/SUMPRODUCT((Marks!$B$2:$AA$2=L$3)*ISNUMBER(Marks!$B$26:$AA$26)))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IF(SUMPRODUCT((Marks!$B$2:$AA$2=H$3)*ISNUMBER(Marks!$B$27:$AA$27))=0,"",SUMPRODUCT((Marks!$B$2:$AA$2=H$3)*(Marks!$B$27:$AA$27=1))/SUMPRODUCT((Marks!$B$2:$AA$2=H$3)*ISNUMBER(Marks!$B$27:$AA$27)))</f>
        <v/>
      </c>
      <c r="I27" s="6">
        <f>IF(SUMPRODUCT((Marks!$B$2:$AA$2=I$3)*ISNUMBER(Marks!$B$27:$AA$27))=0,"",SUMPRODUCT((Marks!$B$2:$AA$2=I$3)*(Marks!$B$27:$AA$27=1))/SUMPRODUCT((Marks!$B$2:$AA$2=I$3)*ISNUMBER(Marks!$B$27:$AA$27)))</f>
        <v/>
      </c>
      <c r="J27" s="6">
        <f>IF(SUMPRODUCT((Marks!$B$2:$AA$2=J$3)*ISNUMBER(Marks!$B$27:$AA$27))=0,"",SUMPRODUCT((Marks!$B$2:$AA$2=J$3)*(Marks!$B$27:$AA$27=1))/SUMPRODUCT((Marks!$B$2:$AA$2=J$3)*ISNUMBER(Marks!$B$27:$AA$27)))</f>
        <v/>
      </c>
      <c r="K27" s="6">
        <f>IF(SUMPRODUCT((Marks!$B$2:$AA$2=K$3)*ISNUMBER(Marks!$B$27:$AA$27))=0,"",SUMPRODUCT((Marks!$B$2:$AA$2=K$3)*(Marks!$B$27:$AA$27=1))/SUMPRODUCT((Marks!$B$2:$AA$2=K$3)*ISNUMBER(Marks!$B$27:$AA$27)))</f>
        <v/>
      </c>
      <c r="L27" s="6">
        <f>IF(SUMPRODUCT((Marks!$B$2:$AA$2=L$3)*ISNUMBER(Marks!$B$27:$AA$27))=0,"",SUMPRODUCT((Marks!$B$2:$AA$2=L$3)*(Marks!$B$27:$AA$27=1))/SUMPRODUCT((Marks!$B$2:$AA$2=L$3)*ISNUMBER(Marks!$B$27:$AA$27)))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IF(SUMPRODUCT((Marks!$B$2:$AA$2=H$3)*ISNUMBER(Marks!$B$28:$AA$28))=0,"",SUMPRODUCT((Marks!$B$2:$AA$2=H$3)*(Marks!$B$28:$AA$28=1))/SUMPRODUCT((Marks!$B$2:$AA$2=H$3)*ISNUMBER(Marks!$B$28:$AA$28)))</f>
        <v/>
      </c>
      <c r="I28" s="6">
        <f>IF(SUMPRODUCT((Marks!$B$2:$AA$2=I$3)*ISNUMBER(Marks!$B$28:$AA$28))=0,"",SUMPRODUCT((Marks!$B$2:$AA$2=I$3)*(Marks!$B$28:$AA$28=1))/SUMPRODUCT((Marks!$B$2:$AA$2=I$3)*ISNUMBER(Marks!$B$28:$AA$28)))</f>
        <v/>
      </c>
      <c r="J28" s="6">
        <f>IF(SUMPRODUCT((Marks!$B$2:$AA$2=J$3)*ISNUMBER(Marks!$B$28:$AA$28))=0,"",SUMPRODUCT((Marks!$B$2:$AA$2=J$3)*(Marks!$B$28:$AA$28=1))/SUMPRODUCT((Marks!$B$2:$AA$2=J$3)*ISNUMBER(Marks!$B$28:$AA$28)))</f>
        <v/>
      </c>
      <c r="K28" s="6">
        <f>IF(SUMPRODUCT((Marks!$B$2:$AA$2=K$3)*ISNUMBER(Marks!$B$28:$AA$28))=0,"",SUMPRODUCT((Marks!$B$2:$AA$2=K$3)*(Marks!$B$28:$AA$28=1))/SUMPRODUCT((Marks!$B$2:$AA$2=K$3)*ISNUMBER(Marks!$B$28:$AA$28)))</f>
        <v/>
      </c>
      <c r="L28" s="6">
        <f>IF(SUMPRODUCT((Marks!$B$2:$AA$2=L$3)*ISNUMBER(Marks!$B$28:$AA$28))=0,"",SUMPRODUCT((Marks!$B$2:$AA$2=L$3)*(Marks!$B$28:$AA$28=1))/SUMPRODUCT((Marks!$B$2:$AA$2=L$3)*ISNUMBER(Marks!$B$28:$AA$28)))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IF(SUMPRODUCT((Marks!$B$2:$AA$2=H$3)*ISNUMBER(Marks!$B$29:$AA$29))=0,"",SUMPRODUCT((Marks!$B$2:$AA$2=H$3)*(Marks!$B$29:$AA$29=1))/SUMPRODUCT((Marks!$B$2:$AA$2=H$3)*ISNUMBER(Marks!$B$29:$AA$29)))</f>
        <v/>
      </c>
      <c r="I29" s="6">
        <f>IF(SUMPRODUCT((Marks!$B$2:$AA$2=I$3)*ISNUMBER(Marks!$B$29:$AA$29))=0,"",SUMPRODUCT((Marks!$B$2:$AA$2=I$3)*(Marks!$B$29:$AA$29=1))/SUMPRODUCT((Marks!$B$2:$AA$2=I$3)*ISNUMBER(Marks!$B$29:$AA$29)))</f>
        <v/>
      </c>
      <c r="J29" s="6">
        <f>IF(SUMPRODUCT((Marks!$B$2:$AA$2=J$3)*ISNUMBER(Marks!$B$29:$AA$29))=0,"",SUMPRODUCT((Marks!$B$2:$AA$2=J$3)*(Marks!$B$29:$AA$29=1))/SUMPRODUCT((Marks!$B$2:$AA$2=J$3)*ISNUMBER(Marks!$B$29:$AA$29)))</f>
        <v/>
      </c>
      <c r="K29" s="6">
        <f>IF(SUMPRODUCT((Marks!$B$2:$AA$2=K$3)*ISNUMBER(Marks!$B$29:$AA$29))=0,"",SUMPRODUCT((Marks!$B$2:$AA$2=K$3)*(Marks!$B$29:$AA$29=1))/SUMPRODUCT((Marks!$B$2:$AA$2=K$3)*ISNUMBER(Marks!$B$29:$AA$29)))</f>
        <v/>
      </c>
      <c r="L29" s="6">
        <f>IF(SUMPRODUCT((Marks!$B$2:$AA$2=L$3)*ISNUMBER(Marks!$B$29:$AA$29))=0,"",SUMPRODUCT((Marks!$B$2:$AA$2=L$3)*(Marks!$B$29:$AA$29=1))/SUMPRODUCT((Marks!$B$2:$AA$2=L$3)*ISNUMBER(Marks!$B$29:$AA$29)))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IF(SUMPRODUCT((Marks!$B$2:$AA$2=H$3)*ISNUMBER(Marks!$B$30:$AA$30))=0,"",SUMPRODUCT((Marks!$B$2:$AA$2=H$3)*(Marks!$B$30:$AA$30=1))/SUMPRODUCT((Marks!$B$2:$AA$2=H$3)*ISNUMBER(Marks!$B$30:$AA$30)))</f>
        <v/>
      </c>
      <c r="I30" s="6">
        <f>IF(SUMPRODUCT((Marks!$B$2:$AA$2=I$3)*ISNUMBER(Marks!$B$30:$AA$30))=0,"",SUMPRODUCT((Marks!$B$2:$AA$2=I$3)*(Marks!$B$30:$AA$30=1))/SUMPRODUCT((Marks!$B$2:$AA$2=I$3)*ISNUMBER(Marks!$B$30:$AA$30)))</f>
        <v/>
      </c>
      <c r="J30" s="6">
        <f>IF(SUMPRODUCT((Marks!$B$2:$AA$2=J$3)*ISNUMBER(Marks!$B$30:$AA$30))=0,"",SUMPRODUCT((Marks!$B$2:$AA$2=J$3)*(Marks!$B$30:$AA$30=1))/SUMPRODUCT((Marks!$B$2:$AA$2=J$3)*ISNUMBER(Marks!$B$30:$AA$30)))</f>
        <v/>
      </c>
      <c r="K30" s="6">
        <f>IF(SUMPRODUCT((Marks!$B$2:$AA$2=K$3)*ISNUMBER(Marks!$B$30:$AA$30))=0,"",SUMPRODUCT((Marks!$B$2:$AA$2=K$3)*(Marks!$B$30:$AA$30=1))/SUMPRODUCT((Marks!$B$2:$AA$2=K$3)*ISNUMBER(Marks!$B$30:$AA$30)))</f>
        <v/>
      </c>
      <c r="L30" s="6">
        <f>IF(SUMPRODUCT((Marks!$B$2:$AA$2=L$3)*ISNUMBER(Marks!$B$30:$AA$30))=0,"",SUMPRODUCT((Marks!$B$2:$AA$2=L$3)*(Marks!$B$30:$AA$30=1))/SUMPRODUCT((Marks!$B$2:$AA$2=L$3)*ISNUMBER(Marks!$B$30:$AA$30)))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IF(SUMPRODUCT((Marks!$B$2:$AA$2=H$3)*ISNUMBER(Marks!$B$31:$AA$31))=0,"",SUMPRODUCT((Marks!$B$2:$AA$2=H$3)*(Marks!$B$31:$AA$31=1))/SUMPRODUCT((Marks!$B$2:$AA$2=H$3)*ISNUMBER(Marks!$B$31:$AA$31)))</f>
        <v/>
      </c>
      <c r="I31" s="6">
        <f>IF(SUMPRODUCT((Marks!$B$2:$AA$2=I$3)*ISNUMBER(Marks!$B$31:$AA$31))=0,"",SUMPRODUCT((Marks!$B$2:$AA$2=I$3)*(Marks!$B$31:$AA$31=1))/SUMPRODUCT((Marks!$B$2:$AA$2=I$3)*ISNUMBER(Marks!$B$31:$AA$31)))</f>
        <v/>
      </c>
      <c r="J31" s="6">
        <f>IF(SUMPRODUCT((Marks!$B$2:$AA$2=J$3)*ISNUMBER(Marks!$B$31:$AA$31))=0,"",SUMPRODUCT((Marks!$B$2:$AA$2=J$3)*(Marks!$B$31:$AA$31=1))/SUMPRODUCT((Marks!$B$2:$AA$2=J$3)*ISNUMBER(Marks!$B$31:$AA$31)))</f>
        <v/>
      </c>
      <c r="K31" s="6">
        <f>IF(SUMPRODUCT((Marks!$B$2:$AA$2=K$3)*ISNUMBER(Marks!$B$31:$AA$31))=0,"",SUMPRODUCT((Marks!$B$2:$AA$2=K$3)*(Marks!$B$31:$AA$31=1))/SUMPRODUCT((Marks!$B$2:$AA$2=K$3)*ISNUMBER(Marks!$B$31:$AA$31)))</f>
        <v/>
      </c>
      <c r="L31" s="6">
        <f>IF(SUMPRODUCT((Marks!$B$2:$AA$2=L$3)*ISNUMBER(Marks!$B$31:$AA$31))=0,"",SUMPRODUCT((Marks!$B$2:$AA$2=L$3)*(Marks!$B$31:$AA$31=1))/SUMPRODUCT((Marks!$B$2:$AA$2=L$3)*ISNUMBER(Marks!$B$31:$AA$31)))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IF(SUMPRODUCT((Marks!$B$2:$AA$2=H$3)*ISNUMBER(Marks!$B$32:$AA$32))=0,"",SUMPRODUCT((Marks!$B$2:$AA$2=H$3)*(Marks!$B$32:$AA$32=1))/SUMPRODUCT((Marks!$B$2:$AA$2=H$3)*ISNUMBER(Marks!$B$32:$AA$32)))</f>
        <v/>
      </c>
      <c r="I32" s="6">
        <f>IF(SUMPRODUCT((Marks!$B$2:$AA$2=I$3)*ISNUMBER(Marks!$B$32:$AA$32))=0,"",SUMPRODUCT((Marks!$B$2:$AA$2=I$3)*(Marks!$B$32:$AA$32=1))/SUMPRODUCT((Marks!$B$2:$AA$2=I$3)*ISNUMBER(Marks!$B$32:$AA$32)))</f>
        <v/>
      </c>
      <c r="J32" s="6">
        <f>IF(SUMPRODUCT((Marks!$B$2:$AA$2=J$3)*ISNUMBER(Marks!$B$32:$AA$32))=0,"",SUMPRODUCT((Marks!$B$2:$AA$2=J$3)*(Marks!$B$32:$AA$32=1))/SUMPRODUCT((Marks!$B$2:$AA$2=J$3)*ISNUMBER(Marks!$B$32:$AA$32)))</f>
        <v/>
      </c>
      <c r="K32" s="6">
        <f>IF(SUMPRODUCT((Marks!$B$2:$AA$2=K$3)*ISNUMBER(Marks!$B$32:$AA$32))=0,"",SUMPRODUCT((Marks!$B$2:$AA$2=K$3)*(Marks!$B$32:$AA$32=1))/SUMPRODUCT((Marks!$B$2:$AA$2=K$3)*ISNUMBER(Marks!$B$32:$AA$32)))</f>
        <v/>
      </c>
      <c r="L32" s="6">
        <f>IF(SUMPRODUCT((Marks!$B$2:$AA$2=L$3)*ISNUMBER(Marks!$B$32:$AA$32))=0,"",SUMPRODUCT((Marks!$B$2:$AA$2=L$3)*(Marks!$B$32:$AA$32=1))/SUMPRODUCT((Marks!$B$2:$AA$2=L$3)*ISNUMBER(Marks!$B$32:$AA$32)))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IF(SUMPRODUCT((Marks!$B$2:$AA$2=H$3)*ISNUMBER(Marks!$B$33:$AA$33))=0,"",SUMPRODUCT((Marks!$B$2:$AA$2=H$3)*(Marks!$B$33:$AA$33=1))/SUMPRODUCT((Marks!$B$2:$AA$2=H$3)*ISNUMBER(Marks!$B$33:$AA$33)))</f>
        <v/>
      </c>
      <c r="I33" s="6">
        <f>IF(SUMPRODUCT((Marks!$B$2:$AA$2=I$3)*ISNUMBER(Marks!$B$33:$AA$33))=0,"",SUMPRODUCT((Marks!$B$2:$AA$2=I$3)*(Marks!$B$33:$AA$33=1))/SUMPRODUCT((Marks!$B$2:$AA$2=I$3)*ISNUMBER(Marks!$B$33:$AA$33)))</f>
        <v/>
      </c>
      <c r="J33" s="6">
        <f>IF(SUMPRODUCT((Marks!$B$2:$AA$2=J$3)*ISNUMBER(Marks!$B$33:$AA$33))=0,"",SUMPRODUCT((Marks!$B$2:$AA$2=J$3)*(Marks!$B$33:$AA$33=1))/SUMPRODUCT((Marks!$B$2:$AA$2=J$3)*ISNUMBER(Marks!$B$33:$AA$33)))</f>
        <v/>
      </c>
      <c r="K33" s="6">
        <f>IF(SUMPRODUCT((Marks!$B$2:$AA$2=K$3)*ISNUMBER(Marks!$B$33:$AA$33))=0,"",SUMPRODUCT((Marks!$B$2:$AA$2=K$3)*(Marks!$B$33:$AA$33=1))/SUMPRODUCT((Marks!$B$2:$AA$2=K$3)*ISNUMBER(Marks!$B$33:$AA$33)))</f>
        <v/>
      </c>
      <c r="L33" s="6">
        <f>IF(SUMPRODUCT((Marks!$B$2:$AA$2=L$3)*ISNUMBER(Marks!$B$33:$AA$33))=0,"",SUMPRODUCT((Marks!$B$2:$AA$2=L$3)*(Marks!$B$33:$AA$33=1))/SUMPRODUCT((Marks!$B$2:$AA$2=L$3)*ISNUMBER(Marks!$B$33:$AA$33)))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IF(SUMPRODUCT((Marks!$B$2:$AA$2=H$3)*ISNUMBER(Marks!$B$34:$AA$34))=0,"",SUMPRODUCT((Marks!$B$2:$AA$2=H$3)*(Marks!$B$34:$AA$34=1))/SUMPRODUCT((Marks!$B$2:$AA$2=H$3)*ISNUMBER(Marks!$B$34:$AA$34)))</f>
        <v/>
      </c>
      <c r="I34" s="6">
        <f>IF(SUMPRODUCT((Marks!$B$2:$AA$2=I$3)*ISNUMBER(Marks!$B$34:$AA$34))=0,"",SUMPRODUCT((Marks!$B$2:$AA$2=I$3)*(Marks!$B$34:$AA$34=1))/SUMPRODUCT((Marks!$B$2:$AA$2=I$3)*ISNUMBER(Marks!$B$34:$AA$34)))</f>
        <v/>
      </c>
      <c r="J34" s="6">
        <f>IF(SUMPRODUCT((Marks!$B$2:$AA$2=J$3)*ISNUMBER(Marks!$B$34:$AA$34))=0,"",SUMPRODUCT((Marks!$B$2:$AA$2=J$3)*(Marks!$B$34:$AA$34=1))/SUMPRODUCT((Marks!$B$2:$AA$2=J$3)*ISNUMBER(Marks!$B$34:$AA$34)))</f>
        <v/>
      </c>
      <c r="K34" s="6">
        <f>IF(SUMPRODUCT((Marks!$B$2:$AA$2=K$3)*ISNUMBER(Marks!$B$34:$AA$34))=0,"",SUMPRODUCT((Marks!$B$2:$AA$2=K$3)*(Marks!$B$34:$AA$34=1))/SUMPRODUCT((Marks!$B$2:$AA$2=K$3)*ISNUMBER(Marks!$B$34:$AA$34)))</f>
        <v/>
      </c>
      <c r="L34" s="6">
        <f>IF(SUMPRODUCT((Marks!$B$2:$AA$2=L$3)*ISNUMBER(Marks!$B$34:$AA$34))=0,"",SUMPRODUCT((Marks!$B$2:$AA$2=L$3)*(Marks!$B$34:$AA$34=1))/SUMPRODUCT((Marks!$B$2:$AA$2=L$3)*ISNUMBER(Marks!$B$34:$AA$34)))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IF(SUMPRODUCT((Marks!$B$2:$AA$2=H$3)*ISNUMBER(Marks!$B$35:$AA$35))=0,"",SUMPRODUCT((Marks!$B$2:$AA$2=H$3)*(Marks!$B$35:$AA$35=1))/SUMPRODUCT((Marks!$B$2:$AA$2=H$3)*ISNUMBER(Marks!$B$35:$AA$35)))</f>
        <v/>
      </c>
      <c r="I35" s="6">
        <f>IF(SUMPRODUCT((Marks!$B$2:$AA$2=I$3)*ISNUMBER(Marks!$B$35:$AA$35))=0,"",SUMPRODUCT((Marks!$B$2:$AA$2=I$3)*(Marks!$B$35:$AA$35=1))/SUMPRODUCT((Marks!$B$2:$AA$2=I$3)*ISNUMBER(Marks!$B$35:$AA$35)))</f>
        <v/>
      </c>
      <c r="J35" s="6">
        <f>IF(SUMPRODUCT((Marks!$B$2:$AA$2=J$3)*ISNUMBER(Marks!$B$35:$AA$35))=0,"",SUMPRODUCT((Marks!$B$2:$AA$2=J$3)*(Marks!$B$35:$AA$35=1))/SUMPRODUCT((Marks!$B$2:$AA$2=J$3)*ISNUMBER(Marks!$B$35:$AA$35)))</f>
        <v/>
      </c>
      <c r="K35" s="6">
        <f>IF(SUMPRODUCT((Marks!$B$2:$AA$2=K$3)*ISNUMBER(Marks!$B$35:$AA$35))=0,"",SUMPRODUCT((Marks!$B$2:$AA$2=K$3)*(Marks!$B$35:$AA$35=1))/SUMPRODUCT((Marks!$B$2:$AA$2=K$3)*ISNUMBER(Marks!$B$35:$AA$35)))</f>
        <v/>
      </c>
      <c r="L35" s="6">
        <f>IF(SUMPRODUCT((Marks!$B$2:$AA$2=L$3)*ISNUMBER(Marks!$B$35:$AA$35))=0,"",SUMPRODUCT((Marks!$B$2:$AA$2=L$3)*(Marks!$B$35:$AA$35=1))/SUMPRODUCT((Marks!$B$2:$AA$2=L$3)*ISNUMBER(Marks!$B$35:$AA$35)))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IF(SUMPRODUCT((Marks!$B$2:$AA$2=H$3)*ISNUMBER(Marks!$B$36:$AA$36))=0,"",SUMPRODUCT((Marks!$B$2:$AA$2=H$3)*(Marks!$B$36:$AA$36=1))/SUMPRODUCT((Marks!$B$2:$AA$2=H$3)*ISNUMBER(Marks!$B$36:$AA$36)))</f>
        <v/>
      </c>
      <c r="I36" s="6">
        <f>IF(SUMPRODUCT((Marks!$B$2:$AA$2=I$3)*ISNUMBER(Marks!$B$36:$AA$36))=0,"",SUMPRODUCT((Marks!$B$2:$AA$2=I$3)*(Marks!$B$36:$AA$36=1))/SUMPRODUCT((Marks!$B$2:$AA$2=I$3)*ISNUMBER(Marks!$B$36:$AA$36)))</f>
        <v/>
      </c>
      <c r="J36" s="6">
        <f>IF(SUMPRODUCT((Marks!$B$2:$AA$2=J$3)*ISNUMBER(Marks!$B$36:$AA$36))=0,"",SUMPRODUCT((Marks!$B$2:$AA$2=J$3)*(Marks!$B$36:$AA$36=1))/SUMPRODUCT((Marks!$B$2:$AA$2=J$3)*ISNUMBER(Marks!$B$36:$AA$36)))</f>
        <v/>
      </c>
      <c r="K36" s="6">
        <f>IF(SUMPRODUCT((Marks!$B$2:$AA$2=K$3)*ISNUMBER(Marks!$B$36:$AA$36))=0,"",SUMPRODUCT((Marks!$B$2:$AA$2=K$3)*(Marks!$B$36:$AA$36=1))/SUMPRODUCT((Marks!$B$2:$AA$2=K$3)*ISNUMBER(Marks!$B$36:$AA$36)))</f>
        <v/>
      </c>
      <c r="L36" s="6">
        <f>IF(SUMPRODUCT((Marks!$B$2:$AA$2=L$3)*ISNUMBER(Marks!$B$36:$AA$36))=0,"",SUMPRODUCT((Marks!$B$2:$AA$2=L$3)*(Marks!$B$36:$AA$36=1))/SUMPRODUCT((Marks!$B$2:$AA$2=L$3)*ISNUMBER(Marks!$B$36:$AA$36)))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IF(SUMPRODUCT((Marks!$B$2:$AA$2=H$3)*ISNUMBER(Marks!$B$37:$AA$37))=0,"",SUMPRODUCT((Marks!$B$2:$AA$2=H$3)*(Marks!$B$37:$AA$37=1))/SUMPRODUCT((Marks!$B$2:$AA$2=H$3)*ISNUMBER(Marks!$B$37:$AA$37)))</f>
        <v/>
      </c>
      <c r="I37" s="6">
        <f>IF(SUMPRODUCT((Marks!$B$2:$AA$2=I$3)*ISNUMBER(Marks!$B$37:$AA$37))=0,"",SUMPRODUCT((Marks!$B$2:$AA$2=I$3)*(Marks!$B$37:$AA$37=1))/SUMPRODUCT((Marks!$B$2:$AA$2=I$3)*ISNUMBER(Marks!$B$37:$AA$37)))</f>
        <v/>
      </c>
      <c r="J37" s="6">
        <f>IF(SUMPRODUCT((Marks!$B$2:$AA$2=J$3)*ISNUMBER(Marks!$B$37:$AA$37))=0,"",SUMPRODUCT((Marks!$B$2:$AA$2=J$3)*(Marks!$B$37:$AA$37=1))/SUMPRODUCT((Marks!$B$2:$AA$2=J$3)*ISNUMBER(Marks!$B$37:$AA$37)))</f>
        <v/>
      </c>
      <c r="K37" s="6">
        <f>IF(SUMPRODUCT((Marks!$B$2:$AA$2=K$3)*ISNUMBER(Marks!$B$37:$AA$37))=0,"",SUMPRODUCT((Marks!$B$2:$AA$2=K$3)*(Marks!$B$37:$AA$37=1))/SUMPRODUCT((Marks!$B$2:$AA$2=K$3)*ISNUMBER(Marks!$B$37:$AA$37)))</f>
        <v/>
      </c>
      <c r="L37" s="6">
        <f>IF(SUMPRODUCT((Marks!$B$2:$AA$2=L$3)*ISNUMBER(Marks!$B$37:$AA$37))=0,"",SUMPRODUCT((Marks!$B$2:$AA$2=L$3)*(Marks!$B$37:$AA$37=1))/SUMPRODUCT((Marks!$B$2:$AA$2=L$3)*ISNUMBER(Marks!$B$37:$AA$37)))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IF(SUMPRODUCT((Marks!$B$2:$AA$2=H$3)*ISNUMBER(Marks!$B$38:$AA$38))=0,"",SUMPRODUCT((Marks!$B$2:$AA$2=H$3)*(Marks!$B$38:$AA$38=1))/SUMPRODUCT((Marks!$B$2:$AA$2=H$3)*ISNUMBER(Marks!$B$38:$AA$38)))</f>
        <v/>
      </c>
      <c r="I38" s="6">
        <f>IF(SUMPRODUCT((Marks!$B$2:$AA$2=I$3)*ISNUMBER(Marks!$B$38:$AA$38))=0,"",SUMPRODUCT((Marks!$B$2:$AA$2=I$3)*(Marks!$B$38:$AA$38=1))/SUMPRODUCT((Marks!$B$2:$AA$2=I$3)*ISNUMBER(Marks!$B$38:$AA$38)))</f>
        <v/>
      </c>
      <c r="J38" s="6">
        <f>IF(SUMPRODUCT((Marks!$B$2:$AA$2=J$3)*ISNUMBER(Marks!$B$38:$AA$38))=0,"",SUMPRODUCT((Marks!$B$2:$AA$2=J$3)*(Marks!$B$38:$AA$38=1))/SUMPRODUCT((Marks!$B$2:$AA$2=J$3)*ISNUMBER(Marks!$B$38:$AA$38)))</f>
        <v/>
      </c>
      <c r="K38" s="6">
        <f>IF(SUMPRODUCT((Marks!$B$2:$AA$2=K$3)*ISNUMBER(Marks!$B$38:$AA$38))=0,"",SUMPRODUCT((Marks!$B$2:$AA$2=K$3)*(Marks!$B$38:$AA$38=1))/SUMPRODUCT((Marks!$B$2:$AA$2=K$3)*ISNUMBER(Marks!$B$38:$AA$38)))</f>
        <v/>
      </c>
      <c r="L38" s="6">
        <f>IF(SUMPRODUCT((Marks!$B$2:$AA$2=L$3)*ISNUMBER(Marks!$B$38:$AA$38))=0,"",SUMPRODUCT((Marks!$B$2:$AA$2=L$3)*(Marks!$B$38:$AA$38=1))/SUMPRODUCT((Marks!$B$2:$AA$2=L$3)*ISNUMBER(Marks!$B$38:$AA$38)))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IF(SUMPRODUCT((Marks!$B$2:$AA$2=H$3)*ISNUMBER(Marks!$B$39:$AA$39))=0,"",SUMPRODUCT((Marks!$B$2:$AA$2=H$3)*(Marks!$B$39:$AA$39=1))/SUMPRODUCT((Marks!$B$2:$AA$2=H$3)*ISNUMBER(Marks!$B$39:$AA$39)))</f>
        <v/>
      </c>
      <c r="I39" s="6">
        <f>IF(SUMPRODUCT((Marks!$B$2:$AA$2=I$3)*ISNUMBER(Marks!$B$39:$AA$39))=0,"",SUMPRODUCT((Marks!$B$2:$AA$2=I$3)*(Marks!$B$39:$AA$39=1))/SUMPRODUCT((Marks!$B$2:$AA$2=I$3)*ISNUMBER(Marks!$B$39:$AA$39)))</f>
        <v/>
      </c>
      <c r="J39" s="6">
        <f>IF(SUMPRODUCT((Marks!$B$2:$AA$2=J$3)*ISNUMBER(Marks!$B$39:$AA$39))=0,"",SUMPRODUCT((Marks!$B$2:$AA$2=J$3)*(Marks!$B$39:$AA$39=1))/SUMPRODUCT((Marks!$B$2:$AA$2=J$3)*ISNUMBER(Marks!$B$39:$AA$39)))</f>
        <v/>
      </c>
      <c r="K39" s="6">
        <f>IF(SUMPRODUCT((Marks!$B$2:$AA$2=K$3)*ISNUMBER(Marks!$B$39:$AA$39))=0,"",SUMPRODUCT((Marks!$B$2:$AA$2=K$3)*(Marks!$B$39:$AA$39=1))/SUMPRODUCT((Marks!$B$2:$AA$2=K$3)*ISNUMBER(Marks!$B$39:$AA$39)))</f>
        <v/>
      </c>
      <c r="L39" s="6">
        <f>IF(SUMPRODUCT((Marks!$B$2:$AA$2=L$3)*ISNUMBER(Marks!$B$39:$AA$39))=0,"",SUMPRODUCT((Marks!$B$2:$AA$2=L$3)*(Marks!$B$39:$AA$39=1))/SUMPRODUCT((Marks!$B$2:$AA$2=L$3)*ISNUMBER(Marks!$B$39:$AA$39)))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IF(SUMPRODUCT((Marks!$B$2:$AA$2=H$3)*ISNUMBER(Marks!$B$40:$AA$40))=0,"",SUMPRODUCT((Marks!$B$2:$AA$2=H$3)*(Marks!$B$40:$AA$40=1))/SUMPRODUCT((Marks!$B$2:$AA$2=H$3)*ISNUMBER(Marks!$B$40:$AA$40)))</f>
        <v/>
      </c>
      <c r="I40" s="6">
        <f>IF(SUMPRODUCT((Marks!$B$2:$AA$2=I$3)*ISNUMBER(Marks!$B$40:$AA$40))=0,"",SUMPRODUCT((Marks!$B$2:$AA$2=I$3)*(Marks!$B$40:$AA$40=1))/SUMPRODUCT((Marks!$B$2:$AA$2=I$3)*ISNUMBER(Marks!$B$40:$AA$40)))</f>
        <v/>
      </c>
      <c r="J40" s="6">
        <f>IF(SUMPRODUCT((Marks!$B$2:$AA$2=J$3)*ISNUMBER(Marks!$B$40:$AA$40))=0,"",SUMPRODUCT((Marks!$B$2:$AA$2=J$3)*(Marks!$B$40:$AA$40=1))/SUMPRODUCT((Marks!$B$2:$AA$2=J$3)*ISNUMBER(Marks!$B$40:$AA$40)))</f>
        <v/>
      </c>
      <c r="K40" s="6">
        <f>IF(SUMPRODUCT((Marks!$B$2:$AA$2=K$3)*ISNUMBER(Marks!$B$40:$AA$40))=0,"",SUMPRODUCT((Marks!$B$2:$AA$2=K$3)*(Marks!$B$40:$AA$40=1))/SUMPRODUCT((Marks!$B$2:$AA$2=K$3)*ISNUMBER(Marks!$B$40:$AA$40)))</f>
        <v/>
      </c>
      <c r="L40" s="6">
        <f>IF(SUMPRODUCT((Marks!$B$2:$AA$2=L$3)*ISNUMBER(Marks!$B$40:$AA$40))=0,"",SUMPRODUCT((Marks!$B$2:$AA$2=L$3)*(Marks!$B$40:$AA$40=1))/SUMPRODUCT((Marks!$B$2:$AA$2=L$3)*ISNUMBER(Marks!$B$40:$AA$40)))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IF(SUMPRODUCT((Marks!$B$2:$AA$2=H$3)*ISNUMBER(Marks!$B$41:$AA$41))=0,"",SUMPRODUCT((Marks!$B$2:$AA$2=H$3)*(Marks!$B$41:$AA$41=1))/SUMPRODUCT((Marks!$B$2:$AA$2=H$3)*ISNUMBER(Marks!$B$41:$AA$41)))</f>
        <v/>
      </c>
      <c r="I41" s="6">
        <f>IF(SUMPRODUCT((Marks!$B$2:$AA$2=I$3)*ISNUMBER(Marks!$B$41:$AA$41))=0,"",SUMPRODUCT((Marks!$B$2:$AA$2=I$3)*(Marks!$B$41:$AA$41=1))/SUMPRODUCT((Marks!$B$2:$AA$2=I$3)*ISNUMBER(Marks!$B$41:$AA$41)))</f>
        <v/>
      </c>
      <c r="J41" s="6">
        <f>IF(SUMPRODUCT((Marks!$B$2:$AA$2=J$3)*ISNUMBER(Marks!$B$41:$AA$41))=0,"",SUMPRODUCT((Marks!$B$2:$AA$2=J$3)*(Marks!$B$41:$AA$41=1))/SUMPRODUCT((Marks!$B$2:$AA$2=J$3)*ISNUMBER(Marks!$B$41:$AA$41)))</f>
        <v/>
      </c>
      <c r="K41" s="6">
        <f>IF(SUMPRODUCT((Marks!$B$2:$AA$2=K$3)*ISNUMBER(Marks!$B$41:$AA$41))=0,"",SUMPRODUCT((Marks!$B$2:$AA$2=K$3)*(Marks!$B$41:$AA$41=1))/SUMPRODUCT((Marks!$B$2:$AA$2=K$3)*ISNUMBER(Marks!$B$41:$AA$41)))</f>
        <v/>
      </c>
      <c r="L41" s="6">
        <f>IF(SUMPRODUCT((Marks!$B$2:$AA$2=L$3)*ISNUMBER(Marks!$B$41:$AA$41))=0,"",SUMPRODUCT((Marks!$B$2:$AA$2=L$3)*(Marks!$B$41:$AA$41=1))/SUMPRODUCT((Marks!$B$2:$AA$2=L$3)*ISNUMBER(Marks!$B$41:$AA$41)))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IF(SUMPRODUCT((Marks!$B$2:$AA$2=H$3)*ISNUMBER(Marks!$B$42:$AA$42))=0,"",SUMPRODUCT((Marks!$B$2:$AA$2=H$3)*(Marks!$B$42:$AA$42=1))/SUMPRODUCT((Marks!$B$2:$AA$2=H$3)*ISNUMBER(Marks!$B$42:$AA$42)))</f>
        <v/>
      </c>
      <c r="I42" s="6">
        <f>IF(SUMPRODUCT((Marks!$B$2:$AA$2=I$3)*ISNUMBER(Marks!$B$42:$AA$42))=0,"",SUMPRODUCT((Marks!$B$2:$AA$2=I$3)*(Marks!$B$42:$AA$42=1))/SUMPRODUCT((Marks!$B$2:$AA$2=I$3)*ISNUMBER(Marks!$B$42:$AA$42)))</f>
        <v/>
      </c>
      <c r="J42" s="6">
        <f>IF(SUMPRODUCT((Marks!$B$2:$AA$2=J$3)*ISNUMBER(Marks!$B$42:$AA$42))=0,"",SUMPRODUCT((Marks!$B$2:$AA$2=J$3)*(Marks!$B$42:$AA$42=1))/SUMPRODUCT((Marks!$B$2:$AA$2=J$3)*ISNUMBER(Marks!$B$42:$AA$42)))</f>
        <v/>
      </c>
      <c r="K42" s="6">
        <f>IF(SUMPRODUCT((Marks!$B$2:$AA$2=K$3)*ISNUMBER(Marks!$B$42:$AA$42))=0,"",SUMPRODUCT((Marks!$B$2:$AA$2=K$3)*(Marks!$B$42:$AA$42=1))/SUMPRODUCT((Marks!$B$2:$AA$2=K$3)*ISNUMBER(Marks!$B$42:$AA$42)))</f>
        <v/>
      </c>
      <c r="L42" s="6">
        <f>IF(SUMPRODUCT((Marks!$B$2:$AA$2=L$3)*ISNUMBER(Marks!$B$42:$AA$42))=0,"",SUMPRODUCT((Marks!$B$2:$AA$2=L$3)*(Marks!$B$42:$AA$42=1))/SUMPRODUCT((Marks!$B$2:$AA$2=L$3)*ISNUMBER(Marks!$B$42:$AA$42)))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IF(SUMPRODUCT((Marks!$B$2:$AA$2=H$3)*ISNUMBER(Marks!$B$43:$AA$43))=0,"",SUMPRODUCT((Marks!$B$2:$AA$2=H$3)*(Marks!$B$43:$AA$43=1))/SUMPRODUCT((Marks!$B$2:$AA$2=H$3)*ISNUMBER(Marks!$B$43:$AA$43)))</f>
        <v/>
      </c>
      <c r="I43" s="6">
        <f>IF(SUMPRODUCT((Marks!$B$2:$AA$2=I$3)*ISNUMBER(Marks!$B$43:$AA$43))=0,"",SUMPRODUCT((Marks!$B$2:$AA$2=I$3)*(Marks!$B$43:$AA$43=1))/SUMPRODUCT((Marks!$B$2:$AA$2=I$3)*ISNUMBER(Marks!$B$43:$AA$43)))</f>
        <v/>
      </c>
      <c r="J43" s="6">
        <f>IF(SUMPRODUCT((Marks!$B$2:$AA$2=J$3)*ISNUMBER(Marks!$B$43:$AA$43))=0,"",SUMPRODUCT((Marks!$B$2:$AA$2=J$3)*(Marks!$B$43:$AA$43=1))/SUMPRODUCT((Marks!$B$2:$AA$2=J$3)*ISNUMBER(Marks!$B$43:$AA$43)))</f>
        <v/>
      </c>
      <c r="K43" s="6">
        <f>IF(SUMPRODUCT((Marks!$B$2:$AA$2=K$3)*ISNUMBER(Marks!$B$43:$AA$43))=0,"",SUMPRODUCT((Marks!$B$2:$AA$2=K$3)*(Marks!$B$43:$AA$43=1))/SUMPRODUCT((Marks!$B$2:$AA$2=K$3)*ISNUMBER(Marks!$B$43:$AA$43)))</f>
        <v/>
      </c>
      <c r="L43" s="6">
        <f>IF(SUMPRODUCT((Marks!$B$2:$AA$2=L$3)*ISNUMBER(Marks!$B$43:$AA$43))=0,"",SUMPRODUCT((Marks!$B$2:$AA$2=L$3)*(Marks!$B$43:$AA$43=1))/SUMPRODUCT((Marks!$B$2:$AA$2=L$3)*ISNUMBER(Marks!$B$43:$AA$43)))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2026-10-28T10:43:36Z</dcterms:created>
  <dcterms:modified xmlns:dcterms="http://purl.org/dc/terms/" xmlns:xsi="http://www.w3.org/2001/XMLSchema-instance" xsi:type="dcterms:W3CDTF">2026-10-28T10:43:36Z</dcterms:modified>
</cp:coreProperties>
</file>