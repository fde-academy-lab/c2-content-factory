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nce" sheetId="1" state="visible" r:id="rId1"/>
    <sheet xmlns:r="http://schemas.openxmlformats.org/officeDocument/2006/relationships" name="Ownership" sheetId="2" state="visible" r:id="rId2"/>
    <sheet xmlns:r="http://schemas.openxmlformats.org/officeDocument/2006/relationships" name="Format" sheetId="3" state="visible" r:id="rId3"/>
    <sheet xmlns:r="http://schemas.openxmlformats.org/officeDocument/2006/relationships" name="Ex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2B4A7D"/>
      <sz val="14"/>
    </font>
    <font>
      <name val="Calibri"/>
      <color rgb="FF1C1C1A"/>
      <sz val="11"/>
    </font>
    <font>
      <name val="Calibri"/>
      <b val="1"/>
      <color rgb="FF2B4A7D"/>
      <sz val="11"/>
    </font>
    <font>
      <name val="Calibri"/>
      <b val="1"/>
      <color rgb="FF1C1C1A"/>
      <sz val="11"/>
    </font>
    <font>
      <name val="Calibri"/>
      <i val="1"/>
      <color rgb="FF5F6360"/>
      <sz val="10"/>
    </font>
  </fonts>
  <fills count="4">
    <fill>
      <patternFill/>
    </fill>
    <fill>
      <patternFill patternType="gray125"/>
    </fill>
    <fill>
      <patternFill patternType="solid">
        <fgColor rgb="FFFFF3C4"/>
      </patternFill>
    </fill>
    <fill>
      <patternFill patternType="solid">
        <fgColor rgb="FFE4ECF7"/>
      </patternFill>
    </fill>
  </fills>
  <borders count="2">
    <border>
      <left/>
      <right/>
      <top/>
      <bottom/>
      <diagonal/>
    </border>
    <border>
      <left style="thin">
        <color rgb="FFC9C9C2"/>
      </left>
      <right style="thin">
        <color rgb="FFC9C9C2"/>
      </right>
      <top style="thin">
        <color rgb="FFC9C9C2"/>
      </top>
      <bottom style="thin">
        <color rgb="FFC9C9C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1. A value will not convert. What does that mean for the run?</t>
        </is>
      </c>
    </row>
    <row r="2" ht="30" customHeight="1">
      <c r="A2" s="2" t="inlineStr">
        <is>
          <t>Two of the thirty Kalpa Retail amounts refuse to become numbers. The stance you take decides whether the number you report is one anybody can defend.</t>
        </is>
      </c>
    </row>
    <row r="4">
      <c r="A4" s="3" t="inlineStr">
        <is>
          <t>What you decided</t>
        </is>
      </c>
    </row>
    <row r="5">
      <c r="A5" s="2" t="inlineStr">
        <is>
          <t>How do you handle the failure?</t>
        </is>
      </c>
      <c r="B5" s="4" t="inlineStr">
        <is>
          <t>except: pass</t>
        </is>
      </c>
      <c r="D5" s="2" t="inlineStr">
        <is>
          <t>This is the planted defect on this tab. A bare except is the only one of the three that produces a number and a false sentence at the same time.</t>
        </is>
      </c>
    </row>
    <row r="6">
      <c r="A6" s="2" t="inlineStr">
        <is>
          <t>Rows your message claims it processed</t>
        </is>
      </c>
      <c r="B6" s="4" t="n">
        <v>30</v>
      </c>
    </row>
    <row r="7">
      <c r="A7" s="2" t="inlineStr">
        <is>
          <t>Rows that actually converted</t>
        </is>
      </c>
      <c r="B7" s="4" t="n">
        <v>28</v>
      </c>
    </row>
    <row r="8">
      <c r="A8" s="2" t="inlineStr">
        <is>
          <t>Does each rejection carry a reason?</t>
        </is>
      </c>
      <c r="B8" s="4" t="inlineStr">
        <is>
          <t>no</t>
        </is>
      </c>
    </row>
    <row r="10">
      <c r="A10" s="3" t="inlineStr">
        <is>
          <t>What that gives you</t>
        </is>
      </c>
    </row>
    <row r="11">
      <c r="A11" s="2" t="inlineStr">
        <is>
          <t>Rows invisible to the reader</t>
        </is>
      </c>
      <c r="B11" s="5">
        <f>B6-B7</f>
        <v/>
      </c>
    </row>
    <row r="12">
      <c r="A12" s="2" t="inlineStr">
        <is>
          <t>Share of the claim you cannot support</t>
        </is>
      </c>
      <c r="B12" s="5">
        <f>IF(B6=0,"none",TEXT((B6-B7)/B6,"0.0%"))</f>
        <v/>
      </c>
    </row>
    <row r="13">
      <c r="A13" s="3" t="inlineStr">
        <is>
          <t>The verdict</t>
        </is>
      </c>
    </row>
    <row r="14">
      <c r="A14" s="2" t="inlineStr">
        <is>
          <t>Verdict</t>
        </is>
      </c>
      <c r="B14" s="5">
        <f>IF(B5="no handler at all","stop: the run ends on the first bad row and reports nothing",IF(B5="except: pass","stop: the total is right and the sentence beside it is false",IF(B8="no","stop: a rejection with no reason cannot be fixed by anyone","ship it: caught by name, counted, and every rejection carries its reason")))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dataValidations count="2">
    <dataValidation sqref="B5" showDropDown="0" showInputMessage="0" showErrorMessage="0" allowBlank="0" type="list">
      <formula1>"no handler at all,except: pass,except ValueError, counted"</formula1>
    </dataValidation>
    <dataValidation sqref="B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2. Who decides what a failure means?</t>
        </is>
      </c>
    </row>
    <row r="2" ht="30" customHeight="1">
      <c r="A2" s="2" t="inlineStr">
        <is>
          <t>normalise_amount converts or refuses. It cannot know whether this run is a nightly batch that skips a row or a submission that refuses one.</t>
        </is>
      </c>
    </row>
    <row r="4">
      <c r="A4" s="3" t="inlineStr">
        <is>
          <t>What you decided</t>
        </is>
      </c>
    </row>
    <row r="5">
      <c r="A5" s="2" t="inlineStr">
        <is>
          <t>Where is the decision taken?</t>
        </is>
      </c>
      <c r="B5" s="4" t="inlineStr">
        <is>
          <t>inside the function</t>
        </is>
      </c>
      <c r="D5" s="2" t="inlineStr">
        <is>
          <t>This is the planted defect on this tab.</t>
        </is>
      </c>
    </row>
    <row r="6">
      <c r="A6" s="2" t="inlineStr">
        <is>
          <t>How many different callers use this function?</t>
        </is>
      </c>
      <c r="B6" s="4" t="n">
        <v>2</v>
      </c>
    </row>
    <row r="7">
      <c r="A7" s="2" t="inlineStr">
        <is>
          <t>Do the callers need different behaviour?</t>
        </is>
      </c>
      <c r="B7" s="4" t="inlineStr">
        <is>
          <t>yes</t>
        </is>
      </c>
    </row>
    <row r="9">
      <c r="A9" s="3" t="inlineStr">
        <is>
          <t>What that gives you</t>
        </is>
      </c>
    </row>
    <row r="10">
      <c r="A10" s="2" t="inlineStr">
        <is>
          <t>Callers getting behaviour they did not choose</t>
        </is>
      </c>
      <c r="B10" s="5">
        <f>IF(B5="in the caller",0,IF(B7="yes",B6-1,0))</f>
        <v/>
      </c>
    </row>
    <row r="11">
      <c r="A11" s="3" t="inlineStr">
        <is>
          <t>The verdict</t>
        </is>
      </c>
    </row>
    <row r="12">
      <c r="A12" s="2" t="inlineStr">
        <is>
          <t>Verdict</t>
        </is>
      </c>
      <c r="B12" s="5">
        <f>IF(AND(B5="inside the function",B7="yes"),"stop: one function cannot be right for callers that need different things",IF(B5="inside the function","hold: it works today and breaks on the second caller","ship it: the function converts or refuses and the caller decides"))</f>
        <v/>
      </c>
    </row>
    <row r="14">
      <c r="A14" s="6" t="inlineStr">
        <is>
          <t>Yellow cells are yours to change. Everything else is computed.</t>
        </is>
      </c>
    </row>
  </sheetData>
  <mergeCells count="2">
    <mergeCell ref="A14:D14"/>
    <mergeCell ref="A2:D2"/>
  </mergeCells>
  <dataValidations count="2">
    <dataValidation sqref="B5" showDropDown="0" showInputMessage="0" showErrorMessage="0" allowBlank="0" type="list">
      <formula1>"inside the function,in the caller"</formula1>
    </dataValidation>
    <dataValidation sqref="B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3. Which agreement do you write the file under?</t>
        </is>
      </c>
    </row>
    <row r="2" ht="30" customHeight="1">
      <c r="A2" s="2" t="inlineStr">
        <is>
          <t>A CSV agrees about columns and turns everything into text. JSON agrees about types and nesting and fails wholly. Neither is right in the abstract.</t>
        </is>
      </c>
    </row>
    <row r="4">
      <c r="A4" s="3" t="inlineStr">
        <is>
          <t>What you decided</t>
        </is>
      </c>
    </row>
    <row r="5">
      <c r="A5" s="2" t="inlineStr">
        <is>
          <t>The format you are writing</t>
        </is>
      </c>
      <c r="B5" s="4" t="inlineStr">
        <is>
          <t>CSV</t>
        </is>
      </c>
    </row>
    <row r="6">
      <c r="A6" s="2" t="inlineStr">
        <is>
          <t>Does the record have nested parts?</t>
        </is>
      </c>
      <c r="B6" s="4" t="inlineStr">
        <is>
          <t>yes</t>
        </is>
      </c>
      <c r="D6" s="2" t="inlineStr">
        <is>
          <t>The Kalpa feed nests a customer block and a source block inside each order.</t>
        </is>
      </c>
    </row>
    <row r="7">
      <c r="A7" s="2" t="inlineStr">
        <is>
          <t>Does the reader need the types kept?</t>
        </is>
      </c>
      <c r="B7" s="4" t="inlineStr">
        <is>
          <t>yes</t>
        </is>
      </c>
    </row>
    <row r="8">
      <c r="A8" s="2" t="inlineStr">
        <is>
          <t>Must a partial file still be usable?</t>
        </is>
      </c>
      <c r="B8" s="4" t="inlineStr">
        <is>
          <t>yes</t>
        </is>
      </c>
      <c r="D8" s="2" t="inlineStr">
        <is>
          <t>This is the planted defect on this tab. Answering yes here rules JSON out, and the row above rules CSV out, which is the tension the day is about.</t>
        </is>
      </c>
    </row>
    <row r="10">
      <c r="A10" s="3" t="inlineStr">
        <is>
          <t>What that gives you</t>
        </is>
      </c>
    </row>
    <row r="11">
      <c r="A11" s="2" t="inlineStr">
        <is>
          <t>Cost of this choice</t>
        </is>
      </c>
      <c r="B11" s="5">
        <f>IF(B5="CSV",IF(B6="yes","flattening, and one column per nested field","none"),IF(B8="yes","a truncated file yields nothing at all","none"))</f>
        <v/>
      </c>
    </row>
    <row r="12">
      <c r="A12" s="3" t="inlineStr">
        <is>
          <t>The verdict</t>
        </is>
      </c>
    </row>
    <row r="13">
      <c r="A13" s="2" t="inlineStr">
        <is>
          <t>Verdict</t>
        </is>
      </c>
      <c r="B13" s="5">
        <f>IF(AND(B5="CSV",B7="yes"),"stop: a CSV gives every value back as text",IF(AND(B5="JSON",B8="yes"),"stop: a truncated JSON file yields no records at all",IF(AND(B5="CSV",B6="yes"),"hold: flatten the nested parts and name the cost","ship it: the agreement matches what the reader needs")))</f>
        <v/>
      </c>
    </row>
    <row r="15">
      <c r="A15" s="6" t="inlineStr">
        <is>
          <t>Yellow cells are yours to change. Everything else is computed.</t>
        </is>
      </c>
    </row>
  </sheetData>
  <mergeCells count="2">
    <mergeCell ref="A15:D15"/>
    <mergeCell ref="A2:D2"/>
  </mergeCells>
  <dataValidations count="4">
    <dataValidation sqref="B5" showDropDown="0" showInputMessage="0" showErrorMessage="0" allowBlank="0" type="list">
      <formula1>"CSV,JSON"</formula1>
    </dataValidation>
    <dataValidation sqref="B6" showDropDown="0" showInputMessage="0" showErrorMessage="0" allowBlank="0" type="list">
      <formula1>"yes,no"</formula1>
    </dataValidation>
    <dataValidation sqref="B7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0" customWidth="1" min="2" max="2"/>
    <col width="3" customWidth="1" min="3" max="3"/>
    <col width="62" customWidth="1" min="4" max="4"/>
  </cols>
  <sheetData>
    <row r="1">
      <c r="A1" s="1" t="inlineStr">
        <is>
          <t>The brief, assembled by formula</t>
        </is>
      </c>
    </row>
    <row r="2" ht="30" customHeight="1">
      <c r="A2" s="2" t="inlineStr">
        <is>
          <t>Nothing here is typed. Every line reads from the three decision tabs.</t>
        </is>
      </c>
    </row>
    <row r="5">
      <c r="A5" s="2" t="inlineStr">
        <is>
          <t>Stance</t>
        </is>
      </c>
      <c r="B5" s="5">
        <f>Stance!B14</f>
        <v/>
      </c>
    </row>
    <row r="6">
      <c r="A6" s="2" t="inlineStr">
        <is>
          <t>Ownership</t>
        </is>
      </c>
      <c r="B6" s="5">
        <f>Ownership!B12</f>
        <v/>
      </c>
    </row>
    <row r="7">
      <c r="A7" s="2" t="inlineStr">
        <is>
          <t>Format</t>
        </is>
      </c>
      <c r="B7" s="5">
        <f>Format!B13</f>
        <v/>
      </c>
    </row>
    <row r="9">
      <c r="A9" s="3" t="inlineStr">
        <is>
          <t>The release</t>
        </is>
      </c>
    </row>
    <row r="10">
      <c r="A10" s="2" t="inlineStr">
        <is>
          <t>Decisions still blocking</t>
        </is>
      </c>
      <c r="B10" s="5">
        <f>COUNTIF(B5:B7,"stop:*")+COUNTIF(B5:B7,"hold:*")</f>
        <v/>
      </c>
    </row>
    <row r="11">
      <c r="A11" s="2" t="inlineStr">
        <is>
          <t>Release verdict</t>
        </is>
      </c>
      <c r="B11" s="5">
        <f>IF(B10=0,"release: all three decisions are defensible","hold: "&amp;B10&amp;" of 3 decisions are still blocking")</f>
        <v/>
      </c>
    </row>
    <row r="13">
      <c r="A13" s="3" t="inlineStr">
        <is>
          <t>The paragraph to paste</t>
        </is>
      </c>
    </row>
    <row r="14">
      <c r="A14" s="2" t="inlineStr">
        <is>
          <t>Brief</t>
        </is>
      </c>
      <c r="B14" s="5">
        <f>CONCATENATE("Kalpa Retail, Week 1 Day 2. The cleaning pass read ",TEXT(Stance!B6,"0")," rows and converted ",TEXT(Stance!B7,"0"),", leaving ",TEXT(Stance!B11,"0")," it could not use. Stance: ",Stance!B14,". Ownership: ",Ownership!B12,". Format: ",Format!B13,".")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2026-09-10T01:46:27Z</dcterms:created>
  <dcterms:modified xmlns:dcterms="http://purl.org/dc/terms/" xmlns:xsi="http://www.w3.org/2001/XMLSchema-instance" xsi:type="dcterms:W3CDTF">2026-09-10T01:46:27Z</dcterms:modified>
</cp:coreProperties>
</file>