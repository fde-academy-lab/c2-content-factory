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Window" sheetId="2" state="visible" r:id="rId2"/>
    <sheet xmlns:r="http://schemas.openxmlformats.org/officeDocument/2006/relationships" name="Tree" sheetId="3" state="visible" r:id="rId3"/>
    <sheet xmlns:r="http://schemas.openxmlformats.org/officeDocument/2006/relationships" name="Discount" sheetId="4" state="visible" r:id="rId4"/>
    <sheet xmlns:r="http://schemas.openxmlformats.org/officeDocument/2006/relationships" name="Rollup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Ex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Georgia"/>
      <color rgb="001A0F5C"/>
      <sz val="16"/>
    </font>
    <font>
      <i val="1"/>
      <color rgb="006B6690"/>
    </font>
    <font>
      <b val="1"/>
      <color rgb="00FFFFFF"/>
    </font>
    <font>
      <b val="1"/>
      <color rgb="001A0F5C"/>
    </font>
    <font>
      <b val="1"/>
      <color rgb="001A0F5C"/>
      <sz val="12"/>
    </font>
  </fonts>
  <fills count="5">
    <fill>
      <patternFill/>
    </fill>
    <fill>
      <patternFill patternType="gray125"/>
    </fill>
    <fill>
      <patternFill patternType="solid">
        <fgColor rgb="001A0F5C"/>
      </patternFill>
    </fill>
    <fill>
      <patternFill patternType="solid">
        <fgColor rgb="00FFF4C2"/>
      </patternFill>
    </fill>
    <fill>
      <patternFill patternType="solid">
        <fgColor rgb="00EEEAFB"/>
      </patternFill>
    </fill>
  </fills>
  <borders count="2">
    <border>
      <left/>
      <right/>
      <top/>
      <bottom/>
      <diagonal/>
    </border>
    <border>
      <left style="thin">
        <color rgb="00CFC9EE"/>
      </left>
      <right style="thin">
        <color rgb="00CFC9EE"/>
      </right>
      <top style="thin">
        <color rgb="00CFC9EE"/>
      </top>
      <bottom style="thin">
        <color rgb="00CFC9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4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Which branch moved from Q1 to Q2, one decision at a time?</t>
        </is>
      </c>
    </row>
    <row r="3">
      <c r="A3" s="2" t="inlineStr">
        <is>
          <t>Kalpa Retail, Week 1, Tuesday. Five decisions the day taught, one tab each, and an Export tab that assembles the brief for Meera.</t>
        </is>
      </c>
    </row>
    <row r="4">
      <c r="A4" s="2" t="inlineStr">
        <is>
          <t>Yellow cells are inputs; every other number and sentence is a live formula.</t>
        </is>
      </c>
    </row>
    <row r="5">
      <c r="A5" s="2" t="inlineStr">
        <is>
          <t>Each tab hides one defect in one formula. Read the tab's check line first, find the cell, fix it, and watch the verdict change.</t>
        </is>
      </c>
    </row>
    <row r="6">
      <c r="A6" s="2" t="inlineStr">
        <is>
          <t>The Export tab releases the paste-ready brief only when all five tabs pass their checks, so fixing one tab does not clear it.</t>
        </is>
      </c>
    </row>
    <row r="7">
      <c r="A7" s="2" t="inlineStr">
        <is>
          <t>Window: is the drop real on matched windows. Tree: which branch moved. Discount: what an absent field means. Rollup: weighted or averaged. Segments: groups in against groups out.</t>
        </is>
      </c>
    </row>
    <row r="8">
      <c r="A8" s="2" t="inlineStr">
        <is>
          <t>The quarter and segment totals come from the day's order file as exported. The Discount tab starts on invented counts; put in the counts you take from the file.</t>
        </is>
      </c>
    </row>
    <row r="9">
      <c r="A9" s="2" t="inlineStr">
        <is>
          <t>To use the tool on your own work, replace the yellow cells with your own totals and choices.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60" customWidth="1" min="4" max="4"/>
  </cols>
  <sheetData>
    <row r="1">
      <c r="A1" s="1" t="inlineStr">
        <is>
          <t>Is the drop real on matched windows?</t>
        </is>
      </c>
    </row>
    <row r="2">
      <c r="A2" s="3" t="inlineStr">
        <is>
          <t>Two quarters are compared only when they cover the same weeks, or as a rate per week.</t>
        </is>
      </c>
    </row>
    <row r="4">
      <c r="A4" s="4" t="inlineStr">
        <is>
          <t>Window</t>
        </is>
      </c>
      <c r="B4" s="4" t="inlineStr">
        <is>
          <t>Revenue (Rs)</t>
        </is>
      </c>
      <c r="C4" s="4" t="inlineStr">
        <is>
          <t>Weeks covered</t>
        </is>
      </c>
    </row>
    <row r="5">
      <c r="A5" t="inlineStr">
        <is>
          <t>Q1, closed quarter</t>
        </is>
      </c>
      <c r="B5" s="5" t="n">
        <v>21000000</v>
      </c>
      <c r="C5" s="5" t="n">
        <v>13</v>
      </c>
    </row>
    <row r="6">
      <c r="A6" t="inlineStr">
        <is>
          <t>Q2 dashboard tile, cut at 15 September</t>
        </is>
      </c>
      <c r="B6" s="5" t="n">
        <v>15559950</v>
      </c>
      <c r="C6" s="5" t="n">
        <v>11</v>
      </c>
    </row>
    <row r="7">
      <c r="A7" t="inlineStr">
        <is>
          <t>Q2, closed quarter</t>
        </is>
      </c>
      <c r="B7" s="5" t="n">
        <v>18700000</v>
      </c>
      <c r="C7" s="5" t="n">
        <v>13</v>
      </c>
    </row>
    <row r="9">
      <c r="A9" t="inlineStr">
        <is>
          <t>Q1 revenue a week</t>
        </is>
      </c>
      <c r="B9">
        <f>B5/C5</f>
        <v/>
      </c>
    </row>
    <row r="10">
      <c r="A10" t="inlineStr">
        <is>
          <t>Q2 tile revenue a week</t>
        </is>
      </c>
      <c r="B10">
        <f>B6/C5</f>
        <v/>
      </c>
    </row>
    <row r="11">
      <c r="A11" s="6" t="inlineStr">
        <is>
          <t>The check</t>
        </is>
      </c>
      <c r="B11" s="2">
        <f>IF(ABS(B10*C6-B6)&lt;1,"The tile's weekly rate multiplies back to the tile's total.","The tile's weekly rate does not multiply back to its total: it divides by the wrong weeks. Fix it first.")</f>
        <v/>
      </c>
    </row>
    <row r="13">
      <c r="A13" s="6" t="inlineStr">
        <is>
          <t>Your comparison</t>
        </is>
      </c>
      <c r="B13" s="5" t="inlineStr">
        <is>
          <t>tile against Q1 as totals</t>
        </is>
      </c>
    </row>
    <row r="14">
      <c r="A14" t="inlineStr">
        <is>
          <t>Closed quarters, percent change</t>
        </is>
      </c>
      <c r="B14">
        <f>100*(B7/B5-1)</f>
        <v/>
      </c>
    </row>
    <row r="15">
      <c r="A15" t="inlineStr">
        <is>
          <t>Tile against Q1, percent change</t>
        </is>
      </c>
      <c r="B15">
        <f>100*(B6/B5-1)</f>
        <v/>
      </c>
    </row>
    <row r="16">
      <c r="A16" t="inlineStr">
        <is>
          <t>Per week, percent change</t>
        </is>
      </c>
      <c r="B16">
        <f>100*(B10/B9-1)</f>
        <v/>
      </c>
    </row>
    <row r="18">
      <c r="A18" s="7" t="inlineStr">
        <is>
          <t>Verdict</t>
        </is>
      </c>
      <c r="B18" s="8">
        <f>IF(ABS(B10*C6-B6)&gt;=1,"Fix the weekly rate that divides by the wrong weeks before comparing anything.",IF(B13="closed quarters",IF(C7=C5,"Revenue "&amp;IF(B14&lt;0,"fell ","rose ")&amp;TEXT(ABS(B14),"0.0")&amp;" percent"&amp;" between closed quarters of "&amp;C5&amp;" weeks each.","The closed quarters cover different weeks: compare a rate per week."),IF(B13="rate per week","Per week, revenue "&amp;IF(B16&lt;0,"fell ","rose ")&amp;TEXT(ABS(B16),"0.0")&amp;" percent"&amp;" on the cut window; the rate fixes the length, so send the same weeks of both beside it.",IF(C6&lt;&gt;C5,"Refuse the comparison: "&amp;C6&amp;" weeks against "&amp;C5&amp;" reads as "&amp;TEXT(ABS(B15),"0.0")&amp;" percent; compare the same weeks of both, with a rate per week beside them.","Revenue "&amp;IF(B15&lt;0,"fell ","rose ")&amp;TEXT(ABS(B15),"0.0")&amp;" percent"&amp;" on matched weeks."))))</f>
        <v/>
      </c>
    </row>
    <row r="19">
      <c r="A19" s="3" t="inlineStr">
        <is>
          <t>Fixed, for the Export tab</t>
        </is>
      </c>
      <c r="B19">
        <f>IF(ABS(B10*C6-B6)&lt;1,1,0)</f>
        <v/>
      </c>
    </row>
  </sheetData>
  <dataValidations count="1">
    <dataValidation sqref="B13" showDropDown="0" showInputMessage="0" showErrorMessage="0" allowBlank="0" type="list">
      <formula1>"closed quarters,tile against Q1 as totals,rate per week"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60" customWidth="1" min="4" max="4"/>
  </cols>
  <sheetData>
    <row r="1">
      <c r="A1" s="1" t="inlineStr">
        <is>
          <t>Which branch of the tree moved?</t>
        </is>
      </c>
    </row>
    <row r="2">
      <c r="A2" s="3" t="inlineStr">
        <is>
          <t>Revenue is customers times orders per customer times revenue per order; the three ratios multiply back to the revenue ratio.</t>
        </is>
      </c>
    </row>
    <row r="4">
      <c r="A4" s="4" t="inlineStr">
        <is>
          <t>Measure</t>
        </is>
      </c>
      <c r="B4" s="4" t="inlineStr">
        <is>
          <t>Q1</t>
        </is>
      </c>
      <c r="C4" s="4" t="inlineStr">
        <is>
          <t>Q2</t>
        </is>
      </c>
      <c r="D4" s="4" t="inlineStr">
        <is>
          <t>Ratio, Q2 over Q1</t>
        </is>
      </c>
    </row>
    <row r="5">
      <c r="A5" t="inlineStr">
        <is>
          <t>Customers</t>
        </is>
      </c>
      <c r="B5" s="5" t="n">
        <v>69</v>
      </c>
      <c r="C5" s="5" t="n">
        <v>69</v>
      </c>
      <c r="D5">
        <f>C5/B5</f>
        <v/>
      </c>
    </row>
    <row r="6">
      <c r="A6" t="inlineStr">
        <is>
          <t>Orders</t>
        </is>
      </c>
      <c r="B6" s="5" t="n">
        <v>114</v>
      </c>
      <c r="C6" s="5" t="n">
        <v>86</v>
      </c>
    </row>
    <row r="7">
      <c r="A7" t="inlineStr">
        <is>
          <t>Revenue (Rs)</t>
        </is>
      </c>
      <c r="B7" s="5" t="n">
        <v>21000000</v>
      </c>
      <c r="C7" s="5" t="n">
        <v>18700000</v>
      </c>
      <c r="D7">
        <f>C7/B7</f>
        <v/>
      </c>
    </row>
    <row r="9">
      <c r="A9" t="inlineStr">
        <is>
          <t>Orders per customer</t>
        </is>
      </c>
      <c r="B9">
        <f>B6/B5</f>
        <v/>
      </c>
      <c r="C9">
        <f>C6/C5</f>
        <v/>
      </c>
      <c r="D9">
        <f>C9/B9</f>
        <v/>
      </c>
    </row>
    <row r="10">
      <c r="A10" t="inlineStr">
        <is>
          <t>Revenue per order (Rs)</t>
        </is>
      </c>
      <c r="B10">
        <f>B7/B6</f>
        <v/>
      </c>
      <c r="C10">
        <f>C7/C5</f>
        <v/>
      </c>
      <c r="D10">
        <f>C10/B10</f>
        <v/>
      </c>
    </row>
    <row r="12">
      <c r="A12" t="inlineStr">
        <is>
          <t>The three ratios multiplied</t>
        </is>
      </c>
      <c r="D12">
        <f>D5*D9*D10</f>
        <v/>
      </c>
    </row>
    <row r="13">
      <c r="A13" s="6" t="inlineStr">
        <is>
          <t>The check</t>
        </is>
      </c>
      <c r="B13" s="2">
        <f>IF(ABS(D12-D7)&lt;0.0005,"The three ratios multiply back to the revenue ratio, "&amp;TEXT(D7,"0.000")&amp;".","The ratios multiply to "&amp;TEXT(D12,"0.000")&amp;" against a revenue ratio of "&amp;TEXT(D7,"0.000")&amp;": one rate carries the wrong denominator. Fix it first.")</f>
        <v/>
      </c>
    </row>
    <row r="15">
      <c r="A15" s="7" t="inlineStr">
        <is>
          <t>Verdict</t>
        </is>
      </c>
      <c r="B15" s="8">
        <f>IF(ABS(D12-D7)&gt;=0.0005,"Fix the rate with the wrong denominator before naming a branch.",IF(ABS(D5-1)&lt;0.01,"Customers held at "&amp;C5&amp;", so acquisition is not the branch that moved; orders per customer went from "&amp;TEXT(B9,"0.00")&amp;" to "&amp;TEXT(C9,"0.00")&amp;" and "&amp;IF(100*(D9-1)&lt;0,"fell ","rose ")&amp;TEXT(ABS(100*(D9-1)),"0.0")&amp;" percent"&amp;".","Customers "&amp;IF(100*(D5-1)&lt;0,"fell ","rose ")&amp;TEXT(ABS(100*(D5-1)),"0.0")&amp;" percent"&amp;", so the customer branch moved; count lost against new before crediting acquisition."))</f>
        <v/>
      </c>
    </row>
    <row r="16">
      <c r="A16" s="3" t="inlineStr">
        <is>
          <t>Fixed, for the Export tab</t>
        </is>
      </c>
      <c r="B16">
        <f>IF(ABS(D12-D7)&lt;0.0005,1,0)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60" customWidth="1" min="4" max="4"/>
  </cols>
  <sheetData>
    <row r="1">
      <c r="A1" s="1" t="inlineStr">
        <is>
          <t>What does an absent discount mean?</t>
        </is>
      </c>
    </row>
    <row r="2">
      <c r="A2" s="3" t="inlineStr">
        <is>
          <t>Invented starting counts: replace them with the counts you take from the file. An absent field is unknown until a default is chosen and written down.</t>
        </is>
      </c>
    </row>
    <row r="4">
      <c r="A4" s="4" t="inlineStr">
        <is>
          <t>Input</t>
        </is>
      </c>
      <c r="B4" s="4" t="inlineStr">
        <is>
          <t>Q1</t>
        </is>
      </c>
      <c r="C4" s="4" t="inlineStr">
        <is>
          <t>Q2</t>
        </is>
      </c>
    </row>
    <row r="5">
      <c r="A5" t="inlineStr">
        <is>
          <t>Orders in the quarter</t>
        </is>
      </c>
      <c r="B5" s="5" t="n">
        <v>50</v>
      </c>
      <c r="C5" s="5" t="n">
        <v>45</v>
      </c>
    </row>
    <row r="6">
      <c r="A6" t="inlineStr">
        <is>
          <t>Orders that record the field</t>
        </is>
      </c>
      <c r="B6" s="5" t="n">
        <v>40</v>
      </c>
      <c r="C6" s="5" t="n">
        <v>30</v>
      </c>
    </row>
    <row r="7">
      <c r="A7" t="inlineStr">
        <is>
          <t>Orders with a discount above Rs 0</t>
        </is>
      </c>
      <c r="B7" s="5" t="n">
        <v>24</v>
      </c>
      <c r="C7" s="5" t="n">
        <v>20</v>
      </c>
    </row>
    <row r="8">
      <c r="A8" t="inlineStr">
        <is>
          <t>Largest recorded discount (Rs)</t>
        </is>
      </c>
      <c r="B8" s="5" t="n">
        <v>150</v>
      </c>
    </row>
    <row r="9">
      <c r="A9" t="inlineStr">
        <is>
          <t>The revenue fall to explain (Rs)</t>
        </is>
      </c>
      <c r="B9" s="5" t="n">
        <v>2300000</v>
      </c>
    </row>
    <row r="11">
      <c r="A11" t="inlineStr">
        <is>
          <t>Share with a discount, absent read as zero</t>
        </is>
      </c>
      <c r="B11" s="9">
        <f>B7/B5</f>
        <v/>
      </c>
      <c r="C11" s="9">
        <f>C7/C5</f>
        <v/>
      </c>
    </row>
    <row r="12">
      <c r="A12" t="inlineStr">
        <is>
          <t>Share with a discount, where recorded</t>
        </is>
      </c>
      <c r="B12" s="9">
        <f>B7/B6</f>
        <v/>
      </c>
      <c r="C12" s="9">
        <f>C7/C5</f>
        <v/>
      </c>
    </row>
    <row r="13">
      <c r="A13" t="inlineStr">
        <is>
          <t>Share at most, every blank discounted</t>
        </is>
      </c>
      <c r="B13" s="9">
        <f>(B7+B5-B6)/B5</f>
        <v/>
      </c>
      <c r="C13" s="9">
        <f>(C7+C5-C6)/C5</f>
        <v/>
      </c>
    </row>
    <row r="14">
      <c r="A14" t="inlineStr">
        <is>
          <t>The most the branch could move (Rs)</t>
        </is>
      </c>
      <c r="C14">
        <f>B8*C5</f>
        <v/>
      </c>
    </row>
    <row r="15">
      <c r="A15" s="6" t="inlineStr">
        <is>
          <t>The check</t>
        </is>
      </c>
      <c r="B15" s="2">
        <f>IF(AND(ABS(B12*B6-B7)&lt;0.5,ABS(C12*C6-C7)&lt;0.5),"The where-recorded shares multiply back to the orders with a discount.","A where-recorded share does not multiply back to its orders with a discount: it divides by every order. Fix it first.")</f>
        <v/>
      </c>
    </row>
    <row r="16">
      <c r="A16" s="6" t="inlineStr">
        <is>
          <t>Your default</t>
        </is>
      </c>
      <c r="B16" s="5" t="inlineStr">
        <is>
          <t>read absent as zero</t>
        </is>
      </c>
    </row>
    <row r="18">
      <c r="A18" s="7" t="inlineStr">
        <is>
          <t>Verdict</t>
        </is>
      </c>
      <c r="B18" s="8">
        <f>IF(OR(ABS(B12*B6-B7)&gt;=0.5,ABS(C12*C6-C7)&gt;=0.5),"Fix the where-recorded share before choosing a default.",IF(B16="read absent as zero","Refuse the zero default: an absent discount is unknown, so the share is a floor; choose a default and write down why.",IF(B16="report where recorded","Report the share where recorded, "&amp;TEXT(B12,"0.0%")&amp;" to "&amp;TEXT(C12,"0.0%")&amp;" of orders, with the orders that lack the field reported separately.","The discount branch is at most "&amp;IF(C14&lt;0,"-","")&amp;"Rs "&amp;IF(ROUND(ABS(C14),0)&gt;=10000000,INT(ROUND(ABS(C14),0)/10000000)&amp;","&amp;TEXT(INT(MOD(ROUND(ABS(C14),0),10000000)/100000),"00")&amp;","&amp;TEXT(INT(MOD(ROUND(ABS(C14),0),100000)/1000),"00")&amp;","&amp;TEXT(MOD(ROUND(ABS(C14),0),1000),"000"),IF(ROUND(ABS(C14),0)&gt;=100000,INT(ROUND(ABS(C14),0)/100000)&amp;","&amp;TEXT(INT(MOD(ROUND(ABS(C14),0),100000)/1000),"00")&amp;","&amp;TEXT(MOD(ROUND(ABS(C14),0),1000),"000"),IF(ROUND(ABS(C14),0)&gt;=1000,INT(ROUND(ABS(C14),0)/1000)&amp;","&amp;TEXT(MOD(ROUND(ABS(C14),0),1000),"000"),ROUND(ABS(C14),0)&amp;"")))&amp;", "&amp;TEXT(100*C14/B9,"0.00")&amp;" percent of the fall, so it did not move revenue.")))</f>
        <v/>
      </c>
    </row>
    <row r="19">
      <c r="A19" s="3" t="inlineStr">
        <is>
          <t>Fixed, for the Export tab</t>
        </is>
      </c>
      <c r="B19">
        <f>IF(AND(ABS(B12*B6-B7)&lt;0.5,ABS(C12*C6-C7)&lt;0.5),1,0)</f>
        <v/>
      </c>
    </row>
  </sheetData>
  <dataValidations count="1">
    <dataValidation sqref="B16" showDropDown="0" showInputMessage="0" showErrorMessage="0" allowBlank="0" type="list">
      <formula1>"read absent as zero,report where recorded,bound with the largest value"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Should the segments be weighted or averaged?</t>
        </is>
      </c>
    </row>
    <row r="2">
      <c r="A2" s="3" t="inlineStr">
        <is>
          <t>A company rate is rolled up with its weights: total orders over total customers, never the average of the segment rates.</t>
        </is>
      </c>
    </row>
    <row r="4">
      <c r="A4" s="4" t="inlineStr">
        <is>
          <t>Segment</t>
        </is>
      </c>
      <c r="B4" s="4" t="inlineStr">
        <is>
          <t>Customers Q1</t>
        </is>
      </c>
      <c r="C4" s="4" t="inlineStr">
        <is>
          <t>Customers Q2</t>
        </is>
      </c>
      <c r="D4" s="4" t="inlineStr">
        <is>
          <t>Orders Q1</t>
        </is>
      </c>
      <c r="E4" s="4" t="inlineStr">
        <is>
          <t>Orders Q2</t>
        </is>
      </c>
      <c r="F4" s="4" t="inlineStr">
        <is>
          <t>Orders per customer, Q1 then Q2</t>
        </is>
      </c>
    </row>
    <row r="5">
      <c r="A5" t="inlineStr">
        <is>
          <t>Retail-Core</t>
        </is>
      </c>
      <c r="B5" s="5" t="n">
        <v>34</v>
      </c>
      <c r="C5" s="5" t="n">
        <v>34</v>
      </c>
      <c r="D5" s="5" t="n">
        <v>38</v>
      </c>
      <c r="E5" s="5" t="n">
        <v>36</v>
      </c>
      <c r="F5">
        <f>TEXT(D5/B5,"0.00")&amp;" then "&amp;TEXT(E5/C5,"0.00")</f>
        <v/>
      </c>
    </row>
    <row r="6">
      <c r="A6" t="inlineStr">
        <is>
          <t>Retail-Plus</t>
        </is>
      </c>
      <c r="B6" s="5" t="n">
        <v>22</v>
      </c>
      <c r="C6" s="5" t="n">
        <v>22</v>
      </c>
      <c r="D6" s="5" t="n">
        <v>51</v>
      </c>
      <c r="E6" s="5" t="n">
        <v>26</v>
      </c>
      <c r="F6">
        <f>TEXT(D6/B6,"0.00")&amp;" then "&amp;TEXT(E6/C6,"0.00")</f>
        <v/>
      </c>
    </row>
    <row r="7">
      <c r="A7" t="inlineStr">
        <is>
          <t>Business</t>
        </is>
      </c>
      <c r="B7" s="5" t="n">
        <v>11</v>
      </c>
      <c r="C7" s="5" t="n">
        <v>11</v>
      </c>
      <c r="D7" s="5" t="n">
        <v>20</v>
      </c>
      <c r="E7" s="5" t="n">
        <v>17</v>
      </c>
      <c r="F7">
        <f>TEXT(D7/B7,"0.00")&amp;" then "&amp;TEXT(E7/C7,"0.00")</f>
        <v/>
      </c>
    </row>
    <row r="8">
      <c r="A8" t="inlineStr">
        <is>
          <t>Student</t>
        </is>
      </c>
      <c r="B8" s="5" t="n">
        <v>2</v>
      </c>
      <c r="C8" s="5" t="n">
        <v>2</v>
      </c>
      <c r="D8" s="5" t="n">
        <v>5</v>
      </c>
      <c r="E8" s="5" t="n">
        <v>7</v>
      </c>
      <c r="F8">
        <f>TEXT(D8/B8,"0.00")&amp;" then "&amp;TEXT(E8/C8,"0.00")</f>
        <v/>
      </c>
    </row>
    <row r="10">
      <c r="A10" t="inlineStr">
        <is>
          <t>Company, Q1</t>
        </is>
      </c>
      <c r="B10">
        <f>(D5/B5+D6/B6+D7/B7+D8/B8)/4</f>
        <v/>
      </c>
    </row>
    <row r="11">
      <c r="A11" t="inlineStr">
        <is>
          <t>Company, Q2</t>
        </is>
      </c>
      <c r="B11">
        <f>SUM(E5:E8)/SUM(C5:C8)</f>
        <v/>
      </c>
    </row>
    <row r="12">
      <c r="A12" t="inlineStr">
        <is>
          <t>Percent change</t>
        </is>
      </c>
      <c r="B12">
        <f>100*(B11/B10-1)</f>
        <v/>
      </c>
    </row>
    <row r="13">
      <c r="A13" s="6" t="inlineStr">
        <is>
          <t>The check</t>
        </is>
      </c>
      <c r="B13" s="2">
        <f>IF(AND(ABS(B10*SUM(B5:B8)-SUM(D5:D8))&lt;0.5,ABS(B11*SUM(C5:C8)-SUM(E5:E8))&lt;0.5),"Both company figures multiply back to the total orders.","A company figure does not multiply back to the total orders: it averages the segment averages. Fix it first.")</f>
        <v/>
      </c>
    </row>
    <row r="15">
      <c r="A15" s="7" t="inlineStr">
        <is>
          <t>Verdict</t>
        </is>
      </c>
      <c r="B15" s="8">
        <f>IF(OR(ABS(B10*SUM(B5:B8)-SUM(D5:D8))&gt;=0.5,ABS(B11*SUM(C5:C8)-SUM(E5:E8))&gt;=0.5),"Fix the roll-up that averages the averages before reading frequency.",IF(B12&lt;=-15,"Frequency carries the fall: orders per customer "&amp;TEXT(B10,"0.00")&amp;" to "&amp;TEXT(B11,"0.00")&amp;", which "&amp;IF(B12&lt;0,"fell ","rose ")&amp;TEXT(ABS(B12),"0.0")&amp;" percent"&amp;".","Frequency "&amp;IF(B12&lt;0,"fell ","rose ")&amp;TEXT(ABS(B12),"0.0")&amp;" percent"&amp;", "&amp;TEXT(B10,"0.00")&amp;" to "&amp;TEXT(B11,"0.00")&amp;", too little to carry the fall on its own."))</f>
        <v/>
      </c>
    </row>
    <row r="16">
      <c r="A16" s="3" t="inlineStr">
        <is>
          <t>Fixed, for the Export tab</t>
        </is>
      </c>
      <c r="B16">
        <f>IF(AND(ABS(B10*SUM(B5:B8)-SUM(D5:D8))&lt;0.5,ABS(B11*SUM(C5:C8)-SUM(E5:E8))&lt;0.5),1,0)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22" customWidth="1" min="5" max="5"/>
    <col width="60" customWidth="1" min="6" max="6"/>
  </cols>
  <sheetData>
    <row r="1">
      <c r="A1" s="1" t="inlineStr">
        <is>
          <t>Does every group that goes in come back out?</t>
        </is>
      </c>
    </row>
    <row r="2">
      <c r="A2" s="3" t="inlineStr">
        <is>
          <t>The change in orders per customer for every segment, with big moves flagged in their own column and every segment kept.</t>
        </is>
      </c>
    </row>
    <row r="4">
      <c r="A4" s="4" t="inlineStr">
        <is>
          <t>Segment</t>
        </is>
      </c>
      <c r="B4" s="4" t="inlineStr">
        <is>
          <t>Q1 orders per customer</t>
        </is>
      </c>
      <c r="C4" s="4" t="inlineStr">
        <is>
          <t>Q2 orders per customer</t>
        </is>
      </c>
      <c r="D4" s="4" t="inlineStr">
        <is>
          <t>Change, percent</t>
        </is>
      </c>
      <c r="E4" s="4" t="inlineStr">
        <is>
          <t>Flag</t>
        </is>
      </c>
    </row>
    <row r="5">
      <c r="A5">
        <f>Rollup!A5</f>
        <v/>
      </c>
      <c r="B5">
        <f>Rollup!D5/Rollup!B5</f>
        <v/>
      </c>
      <c r="C5">
        <f>Rollup!E5/Rollup!C5</f>
        <v/>
      </c>
      <c r="D5">
        <f>IF(ABS(100*(C5/B5-1))&gt;30,"",ROUND(100*(C5/B5-1),1))</f>
        <v/>
      </c>
      <c r="E5">
        <f>IF(ABS(100*(C5/B5-1))&gt;30,"check by hand","")</f>
        <v/>
      </c>
    </row>
    <row r="6">
      <c r="A6">
        <f>Rollup!A6</f>
        <v/>
      </c>
      <c r="B6">
        <f>Rollup!D6/Rollup!B6</f>
        <v/>
      </c>
      <c r="C6">
        <f>Rollup!E6/Rollup!C6</f>
        <v/>
      </c>
      <c r="D6">
        <f>IF(ABS(100*(C6/B6-1))&gt;30,"",ROUND(100*(C6/B6-1),1))</f>
        <v/>
      </c>
      <c r="E6">
        <f>IF(ABS(100*(C6/B6-1))&gt;30,"check by hand","")</f>
        <v/>
      </c>
    </row>
    <row r="7">
      <c r="A7">
        <f>Rollup!A7</f>
        <v/>
      </c>
      <c r="B7">
        <f>Rollup!D7/Rollup!B7</f>
        <v/>
      </c>
      <c r="C7">
        <f>Rollup!E7/Rollup!C7</f>
        <v/>
      </c>
      <c r="D7">
        <f>IF(ABS(100*(C7/B7-1))&gt;30,"",ROUND(100*(C7/B7-1),1))</f>
        <v/>
      </c>
      <c r="E7">
        <f>IF(ABS(100*(C7/B7-1))&gt;30,"check by hand","")</f>
        <v/>
      </c>
    </row>
    <row r="8">
      <c r="A8">
        <f>Rollup!A8</f>
        <v/>
      </c>
      <c r="B8">
        <f>Rollup!D8/Rollup!B8</f>
        <v/>
      </c>
      <c r="C8">
        <f>Rollup!E8/Rollup!C8</f>
        <v/>
      </c>
      <c r="D8">
        <f>IF(ABS(100*(C8/B8-1))&gt;30,"",ROUND(100*(C8/B8-1),1))</f>
        <v/>
      </c>
      <c r="E8">
        <f>IF(ABS(100*(C8/B8-1))&gt;30,"check by hand","")</f>
        <v/>
      </c>
    </row>
    <row r="10">
      <c r="A10" t="inlineStr">
        <is>
          <t>Groups in</t>
        </is>
      </c>
      <c r="B10">
        <f>COUNTA(A5:A8)</f>
        <v/>
      </c>
    </row>
    <row r="11">
      <c r="A11" t="inlineStr">
        <is>
          <t>Rows out</t>
        </is>
      </c>
      <c r="B11">
        <f>COUNT(D5:D8)</f>
        <v/>
      </c>
    </row>
    <row r="12">
      <c r="A12" s="6" t="inlineStr">
        <is>
          <t>The check</t>
        </is>
      </c>
      <c r="B12" s="2">
        <f>IF(B10=B11,"Every segment that went in came out with a number.",B10-B11&amp;" of "&amp;B10&amp;" segments went in and came out empty: the change formula drops the big moves. Fix it first.")</f>
        <v/>
      </c>
    </row>
    <row r="13">
      <c r="A13" t="inlineStr">
        <is>
          <t>The largest fall</t>
        </is>
      </c>
      <c r="B13">
        <f>MIN(D5:D8)</f>
        <v/>
      </c>
    </row>
    <row r="14">
      <c r="A14" t="inlineStr">
        <is>
          <t>Its segment</t>
        </is>
      </c>
      <c r="B14">
        <f>INDEX(A5:A8,MATCH(B13,D5:D8,0))</f>
        <v/>
      </c>
    </row>
    <row r="16">
      <c r="A16" s="7" t="inlineStr">
        <is>
          <t>Verdict</t>
        </is>
      </c>
      <c r="B16" s="8">
        <f>IF(B10&lt;&gt;B11,"Fix the change formula that drops the big moves before naming a segment.","The largest fall in orders per customer is "&amp;B14&amp;", "&amp;TEXT(B13,"0.0")&amp;" percent: its head hears first that his tier is the one slipping.")</f>
        <v/>
      </c>
    </row>
    <row r="17">
      <c r="A17" s="3" t="inlineStr">
        <is>
          <t>Fixed, for the Export tab</t>
        </is>
      </c>
      <c r="B17">
        <f>IF(B10=B11,1,0)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Is the brief ready to go to Meera?</t>
        </is>
      </c>
    </row>
    <row r="2">
      <c r="A2" s="3" t="inlineStr">
        <is>
          <t>Released only when every tab's check passes. Paste the brief into the note to Meera.</t>
        </is>
      </c>
    </row>
    <row r="4">
      <c r="A4" s="6" t="inlineStr">
        <is>
          <t>Tabs fixed</t>
        </is>
      </c>
      <c r="B4">
        <f>Window!B19+Tree!B16+Discount!B19+Rollup!B16+Segments!B17</f>
        <v/>
      </c>
    </row>
    <row r="5">
      <c r="A5" s="7" t="inlineStr">
        <is>
          <t>Release</t>
        </is>
      </c>
      <c r="B5" s="8">
        <f>IF(B4=5,"Ready to paste into the note to Meera.","Not ready: "&amp;(5-B4)&amp;" of the five tabs still carry a defect to fix first.")</f>
        <v/>
      </c>
    </row>
    <row r="7" ht="120" customHeight="1">
      <c r="A7" s="6" t="inlineStr">
        <is>
          <t>Paste-ready brief</t>
        </is>
      </c>
      <c r="B7" s="2">
        <f>IF(B4=5,"Window: "&amp;Window!B18&amp;CHAR(10)&amp;"Tree: "&amp;Tree!B15&amp;CHAR(10)&amp;"Discount: "&amp;Discount!B18&amp;CHAR(10)&amp;"Rollup: "&amp;Rollup!B15&amp;CHAR(10)&amp;"Segments: "&amp;Segments!B16,"The brief assembles once every tab passes its check.")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2026-09-30T21:33:24Z</dcterms:created>
  <dcterms:modified xmlns:dcterms="http://purl.org/dc/terms/" xmlns:xsi="http://www.w3.org/2001/XMLSchema-instance" xsi:type="dcterms:W3CDTF">2026-09-30T21:33:24Z</dcterms:modified>
</cp:coreProperties>
</file>