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Share" sheetId="2" state="visible" r:id="rId2"/>
    <sheet xmlns:r="http://schemas.openxmlformats.org/officeDocument/2006/relationships" name="Size" sheetId="3" state="visible" r:id="rId3"/>
    <sheet xmlns:r="http://schemas.openxmlformats.org/officeDocument/2006/relationships" name="Count" sheetId="4" state="visible" r:id="rId4"/>
    <sheet xmlns:r="http://schemas.openxmlformats.org/officeDocument/2006/relationships" name="Mix" sheetId="5" state="visible" r:id="rId5"/>
    <sheet xmlns:r="http://schemas.openxmlformats.org/officeDocument/2006/relationships" name="Ex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color rgb="001A0F5C"/>
      <sz val="16"/>
    </font>
    <font>
      <b val="1"/>
      <color rgb="001A0F5C"/>
    </font>
    <font>
      <i val="1"/>
      <color rgb="006B6690"/>
    </font>
    <font>
      <b val="1"/>
      <color rgb="00FFFFFF"/>
    </font>
    <font>
      <b val="1"/>
      <color rgb="001A0F5C"/>
      <sz val="12"/>
    </font>
  </fonts>
  <fills count="5">
    <fill>
      <patternFill/>
    </fill>
    <fill>
      <patternFill patternType="gray125"/>
    </fill>
    <fill>
      <patternFill patternType="solid">
        <fgColor rgb="001A0F5C"/>
      </patternFill>
    </fill>
    <fill>
      <patternFill patternType="solid">
        <fgColor rgb="00FFF4C2"/>
      </patternFill>
    </fill>
    <fill>
      <patternFill patternType="solid">
        <fgColor rgb="00EEEAFB"/>
      </patternFill>
    </fill>
  </fills>
  <borders count="2">
    <border>
      <left/>
      <right/>
      <top/>
      <bottom/>
      <diagonal/>
    </border>
    <border>
      <left style="thin">
        <color rgb="00CFC9EE"/>
      </left>
      <right style="thin">
        <color rgb="00CFC9EE"/>
      </right>
      <top style="thin">
        <color rgb="00CFC9EE"/>
      </top>
      <bottom style="thin">
        <color rgb="00CFC9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1" pivotButton="0" quotePrefix="0" xfId="0"/>
    <xf numFmtId="0" fontId="5" fillId="0" borderId="0" pivotButton="0" quotePrefix="0" xfId="0"/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Which four decisions stand between Meera's three questions and her note?</t>
        </is>
      </c>
    </row>
    <row r="3">
      <c r="A3" s="2" t="inlineStr">
        <is>
          <t>Kalpa Retail, Week 1, Thursday. Meera Raghavan, the CEO, asks three things before Monday's growth review: is the fall in Retail-Plus, Kalpa's paid membership tier, real or the usual wobble; should budget follow a segment that is up 40 percent; and did the monsoon discount work? Four decisions answer her, one tab each, and an Export tab assembles the note.</t>
        </is>
      </c>
    </row>
    <row r="4">
      <c r="A4" s="2" t="inlineStr">
        <is>
          <t>Yellow cells are inputs, and every other number and sentence is a live formula. Every number here is invented, so change it and watch the verdict move.</t>
        </is>
      </c>
    </row>
    <row r="5">
      <c r="A5" s="2" t="inlineStr">
        <is>
          <t>Each tab carries one planted defect in one formula. Read the tab's check line first, find the cell, fix it, and watch the verdict change.</t>
        </is>
      </c>
    </row>
    <row r="6">
      <c r="A6" s="2" t="inlineStr">
        <is>
          <t>The Export tab releases the paste-ready note only when all four tabs pass their checks, so fixing one tab does not clear it.</t>
        </is>
      </c>
    </row>
    <row r="8">
      <c r="A8" s="3" t="inlineStr">
        <is>
          <t>Which question does each tab answer?</t>
        </is>
      </c>
    </row>
    <row r="9">
      <c r="A9" s="2" t="inlineStr">
        <is>
          <t>Share: how often does chance alone make a fall this large, and which sentence says so honestly?</t>
        </is>
      </c>
    </row>
    <row r="10">
      <c r="A10" s="2" t="inlineStr">
        <is>
          <t>Size: is a fall that beats chance worth more than the fix costs?</t>
        </is>
      </c>
    </row>
    <row r="11">
      <c r="A11" s="2" t="inlineStr">
        <is>
          <t>Count: is a rate that rose a lead, or worth testing, once you count its customers?</t>
        </is>
      </c>
    </row>
    <row r="12">
      <c r="A12" s="2" t="inlineStr">
        <is>
          <t>Mix: did the campaign raise spend inside each group, or only in the blend?</t>
        </is>
      </c>
    </row>
    <row r="13">
      <c r="A13" s="2" t="inlineStr">
        <is>
          <t>Export: is every tab fixed, and what does the note to Meera say?</t>
        </is>
      </c>
    </row>
    <row r="15">
      <c r="A15" s="2" t="inlineStr">
        <is>
          <t>The note to Meera runs claim, evidence, caveat, action, and each verdict is written to sit inside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60" customWidth="1" min="4" max="4"/>
  </cols>
  <sheetData>
    <row r="1">
      <c r="A1" s="1" t="inlineStr">
        <is>
          <t>How often does chance alone make a fall this large, and which sentence says so honestly?</t>
        </is>
      </c>
    </row>
    <row r="2">
      <c r="A2" s="4" t="inlineStr">
        <is>
          <t>Flip each member's pair many times (or shuffle the labels, for different customers) and count how often chance alone makes a gap this large, one way and either way. The numbers are invented; change them.</t>
        </is>
      </c>
    </row>
    <row r="4">
      <c r="A4" s="5" t="inlineStr">
        <is>
          <t>Input</t>
        </is>
      </c>
      <c r="B4" s="5" t="inlineStr">
        <is>
          <t>Value</t>
        </is>
      </c>
    </row>
    <row r="5">
      <c r="A5" t="inlineStr">
        <is>
          <t>Flips run</t>
        </is>
      </c>
      <c r="B5" s="6" t="n">
        <v>5000</v>
      </c>
    </row>
    <row r="6">
      <c r="A6" t="inlineStr">
        <is>
          <t>Flips with a fall at least as large as the real one</t>
        </is>
      </c>
      <c r="B6" s="6" t="n">
        <v>210</v>
      </c>
    </row>
    <row r="7">
      <c r="A7" t="inlineStr">
        <is>
          <t>Flips with a move that large in either direction</t>
        </is>
      </c>
      <c r="B7" s="6" t="n">
        <v>400</v>
      </c>
    </row>
    <row r="8">
      <c r="A8" t="inlineStr">
        <is>
          <t>The direction the team decided before the test</t>
        </is>
      </c>
      <c r="B8" s="6" t="inlineStr">
        <is>
          <t>not decided before the test</t>
        </is>
      </c>
    </row>
    <row r="9">
      <c r="A9" t="inlineStr">
        <is>
          <t>Agreed before the test: a share below this reads as rare</t>
        </is>
      </c>
      <c r="B9" s="6" t="n">
        <v>0.01</v>
      </c>
    </row>
    <row r="10">
      <c r="A10" t="inlineStr">
        <is>
          <t>Agreed before the test: a share above this reads as the usual wobble</t>
        </is>
      </c>
      <c r="B10" s="6" t="n">
        <v>0.1</v>
      </c>
    </row>
    <row r="12">
      <c r="A12" s="3" t="inlineStr">
        <is>
          <t>The share, falls only</t>
        </is>
      </c>
      <c r="B12">
        <f>B6/1000</f>
        <v/>
      </c>
    </row>
    <row r="13">
      <c r="A13" s="3" t="inlineStr">
        <is>
          <t>The share, either way</t>
        </is>
      </c>
      <c r="B13">
        <f>B7/B5</f>
        <v/>
      </c>
    </row>
    <row r="14">
      <c r="A14" t="inlineStr">
        <is>
          <t>The share the verdict reads</t>
        </is>
      </c>
      <c r="B14">
        <f>IF(B8="falls only",B12,B13)</f>
        <v/>
      </c>
    </row>
    <row r="15">
      <c r="A15" s="3" t="inlineStr">
        <is>
          <t>The check</t>
        </is>
      </c>
      <c r="B15" s="2">
        <f>IF(AND(B12&gt;=0,B12&lt;=1,ABS(B12-B6/B5)&lt;0.0000001),"The share is the count at least as large, over the flips run.","The share is outside 0 to 1 or differs from the count over the flips: it divides by the wrong cell. Fix it first.")</f>
        <v/>
      </c>
    </row>
    <row r="17">
      <c r="A17" s="3" t="inlineStr">
        <is>
          <t>The sentence you would write</t>
        </is>
      </c>
      <c r="B17" s="6" t="inlineStr">
        <is>
          <t>a X percent chance we are wrong</t>
        </is>
      </c>
    </row>
    <row r="18">
      <c r="A18" t="inlineStr">
        <is>
          <t>Is it defensible?</t>
        </is>
      </c>
      <c r="B18" s="2">
        <f>IF(B17="X of every 100 chance-only worlds","Defensible: the share counts chance-only worlds, which is all a p-value measures.","Indefensible: a p-value is a share of chance-only worlds, and it cannot be the chance the finding is wrong. Choose the chance-only worlds sentence.")</f>
        <v/>
      </c>
    </row>
    <row r="20">
      <c r="A20" s="7" t="inlineStr">
        <is>
          <t>Verdict</t>
        </is>
      </c>
      <c r="B20" s="8">
        <f>IF(ABS(B12-B6/B5)&gt;=0.0000001,"Fix the share formula before reading the verdict.",IF(B8="falls only","Counting falls only, as decided before the test, chance makes a fall this large in about "&amp;TEXT(B12*100,"0.0")&amp;" of every 100 flips, and a move that large either way in about "&amp;TEXT(B13*100,"0.0")&amp;". ",IF(B8="either way","Counting either way, as decided before the test, chance makes a move this large in about "&amp;TEXT(B13*100,"0.0")&amp;" of every 100 flips, and a fall this large in about "&amp;TEXT(B12*100,"0.0")&amp;". ","No direction was decided before the test, so both go in the note: a fall this large turns up in about "&amp;TEXT(B12*100,"0.0")&amp;" of every 100 flips, and a move that large either way in about "&amp;TEXT(B13*100,"0.0")&amp;". "))&amp;IF(B14&lt;B9,"By the reading agreed before the test, that is rare as pure wobble, so size it next.",IF(B14&lt;=B10,"By the reading agreed before the test, that is borderline: size it, and watch it before acting on it alone.","By the reading agreed before the test, that is inside the usual wobble, so not yet.")))</f>
        <v/>
      </c>
    </row>
    <row r="21">
      <c r="A21" s="4" t="inlineStr">
        <is>
          <t>Fixed, for the Export tab</t>
        </is>
      </c>
      <c r="B21">
        <f>IF(ABS(B12-B6/B5)&lt;0.0000001,1,0)</f>
        <v/>
      </c>
    </row>
  </sheetData>
  <dataValidations count="2">
    <dataValidation sqref="B8" showDropDown="0" showInputMessage="0" showErrorMessage="0" allowBlank="0" type="list">
      <formula1>"falls only,either way,not decided before the test"</formula1>
    </dataValidation>
    <dataValidation sqref="B17" showDropDown="0" showInputMessage="0" showErrorMessage="0" allowBlank="0" type="list">
      <formula1>"a X percent chance we are wrong,X of every 100 chance-only worlds,X percent certain"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60" customWidth="1" min="4" max="4"/>
  </cols>
  <sheetData>
    <row r="1">
      <c r="A1" s="1" t="inlineStr">
        <is>
          <t>Is a fall that beats chance worth more than the fix costs?</t>
        </is>
      </c>
    </row>
    <row r="2">
      <c r="A2" s="4" t="inlineStr">
        <is>
          <t>Real and worth acting on are two separate calls. Size the fall in rupees against the cost of the fix. The numbers are invented; change them.</t>
        </is>
      </c>
    </row>
    <row r="4">
      <c r="A4" s="5" t="inlineStr">
        <is>
          <t>Input</t>
        </is>
      </c>
      <c r="B4" s="5" t="inlineStr">
        <is>
          <t>Value</t>
        </is>
      </c>
    </row>
    <row r="5">
      <c r="A5" t="inlineStr">
        <is>
          <t>Gap per member in the quarter (Rs)</t>
        </is>
      </c>
      <c r="B5" s="6" t="n">
        <v>160</v>
      </c>
    </row>
    <row r="6">
      <c r="A6" t="inlineStr">
        <is>
          <t>Members in the segment</t>
        </is>
      </c>
      <c r="B6" s="6" t="n">
        <v>7000</v>
      </c>
    </row>
    <row r="7">
      <c r="A7" t="inlineStr">
        <is>
          <t>Company revenue in the quarter (Rs)</t>
        </is>
      </c>
      <c r="B7" s="6" t="n">
        <v>95000000</v>
      </c>
    </row>
    <row r="8">
      <c r="A8" t="inlineStr">
        <is>
          <t>Cost of acting per quarter (Rs)</t>
        </is>
      </c>
      <c r="B8" s="6" t="n">
        <v>250000</v>
      </c>
    </row>
    <row r="9">
      <c r="A9" t="inlineStr">
        <is>
          <t>Share of the fall the fix wins back, percent</t>
        </is>
      </c>
      <c r="B9" s="6" t="n">
        <v>30</v>
      </c>
    </row>
    <row r="11">
      <c r="A11" s="3" t="inlineStr">
        <is>
          <t>Segment fall in the quarter (Rs)</t>
        </is>
      </c>
      <c r="B11">
        <f>B5/B6</f>
        <v/>
      </c>
    </row>
    <row r="12">
      <c r="A12" t="inlineStr">
        <is>
          <t>Share of company revenue, percent</t>
        </is>
      </c>
      <c r="B12">
        <f>100*B11/B7</f>
        <v/>
      </c>
    </row>
    <row r="13">
      <c r="A13" t="inlineStr">
        <is>
          <t>Net after the fix (Rs)</t>
        </is>
      </c>
      <c r="B13">
        <f>B11*B9/100-B8</f>
        <v/>
      </c>
    </row>
    <row r="14">
      <c r="A14" t="inlineStr">
        <is>
          <t>Break-even win-back, percent</t>
        </is>
      </c>
      <c r="B14">
        <f>100*B8/B11</f>
        <v/>
      </c>
    </row>
    <row r="15">
      <c r="A15" s="3" t="inlineStr">
        <is>
          <t>The check</t>
        </is>
      </c>
      <c r="B15" s="2">
        <f>IF(ABS(B11/B6-B5)&lt;0.005,"The fall spread over the members gives back the gap per member.","The fall spread over the members does not give back the gap per member: the fall formula divides where it should multiply. Fix it first.")</f>
        <v/>
      </c>
    </row>
    <row r="17">
      <c r="A17" s="7" t="inlineStr">
        <is>
          <t>Verdict</t>
        </is>
      </c>
      <c r="B17" s="8">
        <f>IF(ABS(B11/B6-B5)&gt;=0.005,"Fix the segment fall formula before sizing the fix.","The fall is "&amp;"Rs "&amp;IF(ROUND(B11,0)&gt;=100000,INT(ROUND(B11,0)/100000)&amp;","&amp;TEXT(INT(MOD(ROUND(B11,0),100000)/1000),"00")&amp;","&amp;TEXT(MOD(ROUND(B11,0),1000),"000"),IF(ROUND(B11,0)&gt;=1000,INT(ROUND(B11,0)/1000)&amp;","&amp;TEXT(MOD(ROUND(B11,0),1000),"000"),ROUND(B11,0)&amp;""))&amp;" a quarter, "&amp;TEXT(B12,"0.0")&amp;" percent of company revenue, and the fix breaks even when it wins back "&amp;TEXT(B14,"0.0")&amp;" percent of it. "&amp;IF(B13&gt;=0,"At "&amp;B9&amp;" percent it pays, netting "&amp;"Rs "&amp;IF(ROUND(B13,0)&gt;=100000,INT(ROUND(B13,0)/100000)&amp;","&amp;TEXT(INT(MOD(ROUND(B13,0),100000)/1000),"00")&amp;","&amp;TEXT(MOD(ROUND(B13,0),1000),"000"),IF(ROUND(B13,0)&gt;=1000,INT(ROUND(B13,0)/1000)&amp;","&amp;TEXT(MOD(ROUND(B13,0),1000),"000"),ROUND(B13,0)&amp;""))&amp;" a quarter.","At "&amp;B9&amp;" percent it loses "&amp;"Rs "&amp;IF(ROUND(ABS(B13),0)&gt;=100000,INT(ROUND(ABS(B13),0)/100000)&amp;","&amp;TEXT(INT(MOD(ROUND(ABS(B13),0),100000)/1000),"00")&amp;","&amp;TEXT(MOD(ROUND(ABS(B13),0),1000),"000"),IF(ROUND(ABS(B13),0)&gt;=1000,INT(ROUND(ABS(B13),0)/1000)&amp;","&amp;TEXT(MOD(ROUND(ABS(B13),0),1000),"000"),ROUND(ABS(B13),0)&amp;""))&amp;" a quarter, so it waits for a cheaper fix."))</f>
        <v/>
      </c>
    </row>
    <row r="18">
      <c r="A18" s="4" t="inlineStr">
        <is>
          <t>Fixed, for the Export tab</t>
        </is>
      </c>
      <c r="B18">
        <f>IF(ABS(B11/B6-B5)&lt;0.005,1,0)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60" customWidth="1" min="4" max="4"/>
  </cols>
  <sheetData>
    <row r="1">
      <c r="A1" s="1" t="inlineStr">
        <is>
          <t>Is a rate that rose a lead, or worth testing, once you count its customers?</t>
        </is>
      </c>
    </row>
    <row r="2">
      <c r="A2" s="4" t="inlineStr">
        <is>
          <t>A rate that jumps by 40 percent can stand on a handful of orders from a handful of customers. Count both first; the rule of thumb counts customers, since more orders from the same few customers add no new evidence. The numbers are invented; change them.</t>
        </is>
      </c>
    </row>
    <row r="4">
      <c r="A4" s="5" t="inlineStr">
        <is>
          <t>Input</t>
        </is>
      </c>
      <c r="B4" s="5" t="inlineStr">
        <is>
          <t>Value</t>
        </is>
      </c>
    </row>
    <row r="5">
      <c r="A5" t="inlineStr">
        <is>
          <t>Orders in the earlier quarter</t>
        </is>
      </c>
      <c r="B5" s="6" t="n">
        <v>8</v>
      </c>
    </row>
    <row r="6">
      <c r="A6" t="inlineStr">
        <is>
          <t>Orders in the later quarter</t>
        </is>
      </c>
      <c r="B6" s="6" t="n">
        <v>14</v>
      </c>
    </row>
    <row r="7">
      <c r="A7" t="inlineStr">
        <is>
          <t>Customers who placed those orders</t>
        </is>
      </c>
      <c r="B7" s="6" t="n">
        <v>5</v>
      </c>
    </row>
    <row r="9">
      <c r="A9" s="3" t="inlineStr">
        <is>
          <t>Rate change, percent</t>
        </is>
      </c>
      <c r="B9">
        <f>100*(B6-B5)/B5</f>
        <v/>
      </c>
    </row>
    <row r="10">
      <c r="A10" t="inlineStr">
        <is>
          <t>Orders the rate stands on</t>
        </is>
      </c>
      <c r="B10">
        <f>B5+B6</f>
        <v/>
      </c>
    </row>
    <row r="11">
      <c r="A11" t="inlineStr">
        <is>
          <t>One-order swing, points</t>
        </is>
      </c>
      <c r="B11">
        <f>100/B10</f>
        <v/>
      </c>
    </row>
    <row r="12">
      <c r="A12" t="inlineStr">
        <is>
          <t>The call</t>
        </is>
      </c>
      <c r="B12">
        <f>IF(B9&lt;30,"lead","worth testing")</f>
        <v/>
      </c>
    </row>
    <row r="13">
      <c r="A13" s="3" t="inlineStr">
        <is>
          <t>The check</t>
        </is>
      </c>
      <c r="B13" s="2">
        <f>IF(B12=IF(B7&lt;30,"lead","worth testing"),"The call reads the customers behind the rate against thirty.","The call and the count disagree: the threshold test reads the rate where it should read the customers. Fix it first.")</f>
        <v/>
      </c>
    </row>
    <row r="15">
      <c r="A15" s="7" t="inlineStr">
        <is>
          <t>Verdict</t>
        </is>
      </c>
      <c r="B15" s="8">
        <f>IF(B12&lt;&gt;IF(B7&lt;30,"lead","worth testing"),"Fix the threshold test before calling the rate.",IF(B7&lt;30,"A rise of "&amp;TEXT(B9,"0.0")&amp;" percent on "&amp;B10&amp;" orders from "&amp;B7&amp;" customers is a lead: watch it until more customers buy, thirty or more, since more orders from the same few customers add no new evidence. One order moves it by about "&amp;TEXT(B11,"0.0")&amp;" points.","A rise of "&amp;TEXT(B9,"0.0")&amp;" percent on "&amp;B10&amp;" orders from "&amp;B7&amp;" customers is worth testing on its count."))</f>
        <v/>
      </c>
    </row>
    <row r="16">
      <c r="A16" s="4" t="inlineStr">
        <is>
          <t>Fixed, for the Export tab</t>
        </is>
      </c>
      <c r="B16">
        <f>IF(B12=IF(B7&lt;30,"lead","worth testing"),1,0)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60" customWidth="1" min="4" max="4"/>
  </cols>
  <sheetData>
    <row r="1">
      <c r="A1" s="1" t="inlineStr">
        <is>
          <t>Did the campaign raise spend inside each group, or only in the blend?</t>
        </is>
      </c>
    </row>
    <row r="2">
      <c r="A2" s="4" t="inlineStr">
        <is>
          <t>The blend is one average over both groups mixed together, so a campaign that reached more big spenders can raise it while every group spends less. Split by group before crediting the campaign. The spend per customer in the quarter is invented; change it.</t>
        </is>
      </c>
    </row>
    <row r="4">
      <c r="A4" s="5" t="inlineStr">
        <is>
          <t>Segment</t>
        </is>
      </c>
      <c r="B4" s="5" t="inlineStr">
        <is>
          <t>Not exposed (Rs)</t>
        </is>
      </c>
      <c r="C4" s="5" t="inlineStr">
        <is>
          <t>Exposed (Rs)</t>
        </is>
      </c>
      <c r="D4" s="5" t="inlineStr">
        <is>
          <t>Change (Rs)</t>
        </is>
      </c>
    </row>
    <row r="5">
      <c r="A5" t="inlineStr">
        <is>
          <t>big spenders</t>
        </is>
      </c>
      <c r="B5" s="6" t="n">
        <v>5000</v>
      </c>
      <c r="C5" s="6" t="n">
        <v>4700</v>
      </c>
      <c r="D5">
        <f>C5-B5</f>
        <v/>
      </c>
    </row>
    <row r="6">
      <c r="A6" t="inlineStr">
        <is>
          <t>small spenders</t>
        </is>
      </c>
      <c r="B6" s="6" t="n">
        <v>900</v>
      </c>
      <c r="C6" s="6" t="n">
        <v>850</v>
      </c>
      <c r="D6">
        <f>C6-B6</f>
        <v/>
      </c>
    </row>
    <row r="8">
      <c r="A8" t="inlineStr">
        <is>
          <t>Big spenders in the not-exposed group, percent</t>
        </is>
      </c>
      <c r="B8" s="6" t="n">
        <v>25</v>
      </c>
    </row>
    <row r="9">
      <c r="A9" t="inlineStr">
        <is>
          <t>Big spenders in the exposed group, percent</t>
        </is>
      </c>
      <c r="B9" s="6" t="n">
        <v>50</v>
      </c>
    </row>
    <row r="11">
      <c r="A11" s="3" t="inlineStr">
        <is>
          <t>Blended, not exposed (Rs)</t>
        </is>
      </c>
      <c r="B11">
        <f>B8/100*B5+(1-B8/100)*B6</f>
        <v/>
      </c>
    </row>
    <row r="12">
      <c r="A12" s="3" t="inlineStr">
        <is>
          <t>Blended, exposed (Rs)</t>
        </is>
      </c>
      <c r="B12">
        <f>B9/100*C5+(1-B9/100)*C6</f>
        <v/>
      </c>
    </row>
    <row r="13">
      <c r="A13" t="inlineStr">
        <is>
          <t>Blended change (Rs)</t>
        </is>
      </c>
      <c r="B13">
        <f>B12-B11</f>
        <v/>
      </c>
    </row>
    <row r="14">
      <c r="A14" t="inlineStr">
        <is>
          <t>Same-mix blend, exposed at the not-exposed mix (Rs)</t>
        </is>
      </c>
      <c r="B14">
        <f>B9/100*C5+(1-B9/100)*C6</f>
        <v/>
      </c>
    </row>
    <row r="15">
      <c r="A15" t="inlineStr">
        <is>
          <t>Same-mix change (Rs)</t>
        </is>
      </c>
      <c r="B15">
        <f>B14-B11</f>
        <v/>
      </c>
    </row>
    <row r="16">
      <c r="A16" s="3" t="inlineStr">
        <is>
          <t>The check</t>
        </is>
      </c>
      <c r="B16" s="2">
        <f>IF(OR(AND(D5&lt;0,D6&lt;0,B15&gt;=0),AND(D5&gt;0,D6&gt;0,B15&lt;=0)),"The same-mix change has a different sign from every segment's change: the same-mix blend uses the wrong group's mix. Fix it first.","The same-mix change moves with the segments, as a like-for-like comparison must.")</f>
        <v/>
      </c>
    </row>
    <row r="18">
      <c r="A18" s="7" t="inlineStr">
        <is>
          <t>Verdict</t>
        </is>
      </c>
      <c r="B18" s="8">
        <f>IF(OR(AND(D5&lt;0,D6&lt;0,B15&gt;=0),AND(D5&gt;0,D6&gt;0,B15&lt;=0)),"Fix the same-mix blend before crediting the campaign.",IF(AND(D5&lt;0,D6&lt;0,B13&gt;0),"Every group spent less with the campaign; the blend rose only because the exposed group held more big spenders. Do not repeat it as designed; test it against a held-back group.",IF(AND(D5&gt;0,D6&gt;0),"Every group spent more with the campaign, "&amp;"Rs "&amp;IF(ROUND(B15,0)&gt;=100000,INT(ROUND(B15,0)/100000)&amp;","&amp;TEXT(INT(MOD(ROUND(B15,0),100000)/1000),"00")&amp;","&amp;TEXT(MOD(ROUND(B15,0),1000),"000"),IF(ROUND(B15,0)&gt;=1000,INT(ROUND(B15,0)/1000)&amp;","&amp;TEXT(MOD(ROUND(B15,0),1000),"000"),ROUND(B15,0)&amp;""))&amp;" a customer at the same mix: credit it and size it next.","The groups moved apart, so report the same-mix change of "&amp;IF(B15&lt;0,"minus ","")&amp;"Rs "&amp;IF(ROUND(ABS(B15),0)&gt;=100000,INT(ROUND(ABS(B15),0)/100000)&amp;","&amp;TEXT(INT(MOD(ROUND(ABS(B15),0),100000)/1000),"00")&amp;","&amp;TEXT(MOD(ROUND(ABS(B15),0),1000),"000"),IF(ROUND(ABS(B15),0)&gt;=1000,INT(ROUND(ABS(B15),0)/1000)&amp;","&amp;TEXT(MOD(ROUND(ABS(B15),0),1000),"000"),ROUND(ABS(B15),0)&amp;""))&amp;" a customer with the split beside it.")))</f>
        <v/>
      </c>
    </row>
    <row r="19">
      <c r="A19" s="4" t="inlineStr">
        <is>
          <t>Fixed, for the Export tab</t>
        </is>
      </c>
      <c r="B19">
        <f>IF(ABS(B14-(B8/100*C5+(1-B8/100)*C6))&lt;0.005,1,0)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  <col width="16" customWidth="1" min="3" max="3"/>
    <col width="60" customWidth="1" min="4" max="4"/>
  </cols>
  <sheetData>
    <row r="1">
      <c r="A1" s="1" t="inlineStr">
        <is>
          <t>Is every tab fixed, and what does the note to Meera say?</t>
        </is>
      </c>
    </row>
    <row r="2">
      <c r="A2" s="4" t="inlineStr">
        <is>
          <t>The note is released only when every tab's check passes. Paste its lines into the note to Meera as claim, evidence, caveat and action.</t>
        </is>
      </c>
    </row>
    <row r="4">
      <c r="A4" s="3" t="inlineStr">
        <is>
          <t>Tabs fixed</t>
        </is>
      </c>
      <c r="B4">
        <f>Share!B21+Size!B18+Count!B16+Mix!B19</f>
        <v/>
      </c>
    </row>
    <row r="5">
      <c r="A5" s="7" t="inlineStr">
        <is>
          <t>Release</t>
        </is>
      </c>
      <c r="B5" s="8">
        <f>IF(B4=4,"Ready to paste into the note to Meera.","Not ready: "&amp;(4-B4)&amp;" of the four tabs still carry a defect to fix first.")</f>
        <v/>
      </c>
    </row>
    <row r="7" ht="120" customHeight="1">
      <c r="A7" s="3" t="inlineStr">
        <is>
          <t>Paste-ready note</t>
        </is>
      </c>
      <c r="B7" s="2">
        <f>IF(B4=4,"Share: "&amp;Share!B20&amp;CHAR(10)&amp;"Size: "&amp;Size!B17&amp;CHAR(10)&amp;"Count: "&amp;Count!B15&amp;CHAR(10)&amp;"Mix: "&amp;Mix!B18,"The note assembles once every tab passes its check.")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2026-09-30T20:55:33Z</dcterms:created>
  <dcterms:modified xmlns:dcterms="http://purl.org/dc/terms/" xmlns:xsi="http://www.w3.org/2001/XMLSchema-instance" xsi:type="dcterms:W3CDTF">2026-09-30T20:55:33Z</dcterms:modified>
</cp:coreProperties>
</file>