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ypical" sheetId="1" state="visible" r:id="rId1"/>
    <sheet xmlns:r="http://schemas.openxmlformats.org/officeDocument/2006/relationships" name="Denominator" sheetId="2" state="visible" r:id="rId2"/>
    <sheet xmlns:r="http://schemas.openxmlformats.org/officeDocument/2006/relationships" name="Sentence" sheetId="3" state="visible" r:id="rId3"/>
    <sheet xmlns:r="http://schemas.openxmlformats.org/officeDocument/2006/relationships" name="Ex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2B4A7D"/>
      <sz val="14"/>
    </font>
    <font>
      <name val="Calibri"/>
      <color rgb="FF1C1C1A"/>
      <sz val="11"/>
    </font>
    <font>
      <name val="Calibri"/>
      <b val="1"/>
      <color rgb="FF2B4A7D"/>
      <sz val="11"/>
    </font>
    <font>
      <name val="Calibri"/>
      <b val="1"/>
      <color rgb="FF1C1C1A"/>
      <sz val="11"/>
    </font>
    <font>
      <name val="Calibri"/>
      <i val="1"/>
      <color rgb="FF5F6360"/>
      <sz val="10"/>
    </font>
  </fonts>
  <fills count="4">
    <fill>
      <patternFill/>
    </fill>
    <fill>
      <patternFill patternType="gray125"/>
    </fill>
    <fill>
      <patternFill patternType="solid">
        <fgColor rgb="FFFFF3C4"/>
      </patternFill>
    </fill>
    <fill>
      <patternFill patternType="solid">
        <fgColor rgb="FFE4ECF7"/>
      </patternFill>
    </fill>
  </fills>
  <borders count="2">
    <border>
      <left/>
      <right/>
      <top/>
      <bottom/>
      <diagonal/>
    </border>
    <border>
      <left style="thin">
        <color rgb="FFC9C9C2"/>
      </left>
      <right style="thin">
        <color rgb="FFC9C9C2"/>
      </right>
      <top style="thin">
        <color rgb="FFC9C9C2"/>
      </top>
      <bottom style="thin">
        <color rgb="FFC9C9C2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1. Which number do you hand over as typical?</t>
        </is>
      </c>
    </row>
    <row r="2" ht="30" customHeight="1">
      <c r="A2" s="2" t="inlineStr">
        <is>
          <t>The shape of the column decides, and the shape is readable from three numbers you already have.</t>
        </is>
      </c>
    </row>
    <row r="4">
      <c r="A4" s="3" t="inlineStr">
        <is>
          <t>What you decided</t>
        </is>
      </c>
    </row>
    <row r="5">
      <c r="A5" s="2" t="inlineStr">
        <is>
          <t>The statistic you would report</t>
        </is>
      </c>
      <c r="B5" s="4" t="inlineStr">
        <is>
          <t>the mean</t>
        </is>
      </c>
      <c r="D5" s="2" t="inlineStr">
        <is>
          <t>This is the planted defect on this tab.</t>
        </is>
      </c>
    </row>
    <row r="6">
      <c r="A6" s="2" t="inlineStr">
        <is>
          <t>The column's mean, in Rs</t>
        </is>
      </c>
      <c r="B6" s="4" t="n">
        <v>12753</v>
      </c>
    </row>
    <row r="7">
      <c r="A7" s="2" t="inlineStr">
        <is>
          <t>The column's median, in Rs</t>
        </is>
      </c>
      <c r="B7" s="4" t="n">
        <v>1910</v>
      </c>
    </row>
    <row r="8">
      <c r="A8" s="2" t="inlineStr">
        <is>
          <t>How many records sit at or above the mean</t>
        </is>
      </c>
      <c r="B8" s="4" t="n">
        <v>1</v>
      </c>
    </row>
    <row r="9">
      <c r="A9" s="2" t="inlineStr">
        <is>
          <t>Records in the column</t>
        </is>
      </c>
      <c r="B9" s="4" t="n">
        <v>44</v>
      </c>
    </row>
    <row r="11">
      <c r="A11" s="3" t="inlineStr">
        <is>
          <t>What that gives you</t>
        </is>
      </c>
    </row>
    <row r="12">
      <c r="A12" s="2" t="inlineStr">
        <is>
          <t>How many times the mean exceeds the median</t>
        </is>
      </c>
      <c r="B12" s="5">
        <f>ROUND(B6/B7,1)</f>
        <v/>
      </c>
    </row>
    <row r="13">
      <c r="A13" s="2" t="inlineStr">
        <is>
          <t>Share of records the mean describes</t>
        </is>
      </c>
      <c r="B13" s="5">
        <f>TEXT(B8/B9,"0%")</f>
        <v/>
      </c>
    </row>
    <row r="14">
      <c r="A14" s="2" t="inlineStr">
        <is>
          <t>The shape this reads as</t>
        </is>
      </c>
      <c r="B14" s="5">
        <f>IF(B6&gt;B7*1.5,"a long right tail",IF(B7&gt;B6*1.5,"a long left tail","roughly symmetric"))</f>
        <v/>
      </c>
    </row>
    <row r="15">
      <c r="A15" s="3" t="inlineStr">
        <is>
          <t>The verdict</t>
        </is>
      </c>
    </row>
    <row r="16">
      <c r="A16" s="2" t="inlineStr">
        <is>
          <t>Verdict</t>
        </is>
      </c>
      <c r="B16" s="5">
        <f>IF(AND(B5="the mean",B6&gt;B7*1.5),"stop: the mean describes "&amp;TEXT(B8/B9,"0%")&amp;" of the column",IF(B5="the mode","stop: the mode repeats almost nothing on a money field",IF(AND(B5="the median",B6&gt;B7*1.5),"ship it: the median, with the mean and its owner named","ship it: the shape is symmetric, so say which one you used")))</f>
        <v/>
      </c>
    </row>
    <row r="18">
      <c r="A18" s="6" t="inlineStr">
        <is>
          <t>Yellow cells are yours to change. Everything else is computed.</t>
        </is>
      </c>
    </row>
  </sheetData>
  <mergeCells count="2">
    <mergeCell ref="A18:D18"/>
    <mergeCell ref="A2:D2"/>
  </mergeCells>
  <dataValidations count="1">
    <dataValidation sqref="B5" showDropDown="0" showInputMessage="0" showErrorMessage="0" allowBlank="0" type="list">
      <formula1>"the mean,the median,the mode"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2. Is this rate worth quoting?</t>
        </is>
      </c>
    </row>
    <row r="2" ht="30" customHeight="1">
      <c r="A2" s="2" t="inlineStr">
        <is>
          <t>A rate is only as trustworthy as the count underneath it. This tab prices one more event at whatever size you are working on.</t>
        </is>
      </c>
    </row>
    <row r="4">
      <c r="A4" s="3" t="inlineStr">
        <is>
          <t>What you decided</t>
        </is>
      </c>
    </row>
    <row r="5">
      <c r="A5" s="2" t="inlineStr">
        <is>
          <t>Records the rate rests on</t>
        </is>
      </c>
      <c r="B5" s="4" t="n">
        <v>9</v>
      </c>
    </row>
    <row r="6">
      <c r="A6" s="2" t="inlineStr">
        <is>
          <t>Events counted</t>
        </is>
      </c>
      <c r="B6" s="4" t="n">
        <v>1</v>
      </c>
    </row>
    <row r="7">
      <c r="A7" s="2" t="inlineStr">
        <is>
          <t>Your trust floor, in records</t>
        </is>
      </c>
      <c r="B7" s="4" t="n">
        <v>30</v>
      </c>
      <c r="D7" s="2" t="inlineStr">
        <is>
          <t>A threshold you should be prepared to defend, not a law of nature.</t>
        </is>
      </c>
    </row>
    <row r="8">
      <c r="A8" s="2" t="inlineStr">
        <is>
          <t>Are you ranking segments against each other?</t>
        </is>
      </c>
      <c r="B8" s="4" t="inlineStr">
        <is>
          <t>yes</t>
        </is>
      </c>
      <c r="D8" s="2" t="inlineStr">
        <is>
          <t>This is the planted defect on this tab, since ranking on nine records is what the day is about.</t>
        </is>
      </c>
    </row>
    <row r="10">
      <c r="A10" s="3" t="inlineStr">
        <is>
          <t>What that gives you</t>
        </is>
      </c>
    </row>
    <row r="11">
      <c r="A11" s="2" t="inlineStr">
        <is>
          <t>The rate</t>
        </is>
      </c>
      <c r="B11" s="5">
        <f>TEXT(B6/B5,"0.0%")</f>
        <v/>
      </c>
    </row>
    <row r="12">
      <c r="A12" s="2" t="inlineStr">
        <is>
          <t>The rate after one more event</t>
        </is>
      </c>
      <c r="B12" s="5">
        <f>TEXT((B6+1)/B5,"0.0%")</f>
        <v/>
      </c>
    </row>
    <row r="13">
      <c r="A13" s="2" t="inlineStr">
        <is>
          <t>Points one event is worth</t>
        </is>
      </c>
      <c r="B13" s="5">
        <f>ROUND(100/B5,1)</f>
        <v/>
      </c>
    </row>
    <row r="14">
      <c r="A14" s="3" t="inlineStr">
        <is>
          <t>The verdict</t>
        </is>
      </c>
    </row>
    <row r="15">
      <c r="A15" s="2" t="inlineStr">
        <is>
          <t>Verdict</t>
        </is>
      </c>
      <c r="B15" s="5">
        <f>IF(AND(B8="yes",B5&lt;B7),"stop: you cannot rank on "&amp;B5&amp;" records when one event is worth "&amp;ROUND(100/B5,1)&amp;" points",IF(B5&lt;B7,"hold: quote it with the count and say the base is small","ship it: the base carries the rate"))</f>
        <v/>
      </c>
    </row>
    <row r="17">
      <c r="A17" s="6" t="inlineStr">
        <is>
          <t>Yellow cells are yours to change. Everything else is computed.</t>
        </is>
      </c>
    </row>
  </sheetData>
  <mergeCells count="2">
    <mergeCell ref="A17:D17"/>
    <mergeCell ref="A2:D2"/>
  </mergeCells>
  <dataValidations count="1">
    <dataValidation sqref="B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3. What actually leaves your desk?</t>
        </is>
      </c>
    </row>
    <row r="2" ht="30" customHeight="1">
      <c r="A2" s="2" t="inlineStr">
        <is>
          <t>The deliverable is not the table. It is the sentence somebody repeats in a meeting without you in the room.</t>
        </is>
      </c>
    </row>
    <row r="4">
      <c r="A4" s="3" t="inlineStr">
        <is>
          <t>What you decided</t>
        </is>
      </c>
    </row>
    <row r="5">
      <c r="A5" s="2" t="inlineStr">
        <is>
          <t>Does the sentence name the group?</t>
        </is>
      </c>
      <c r="B5" s="4" t="inlineStr">
        <is>
          <t>no</t>
        </is>
      </c>
      <c r="D5" s="2" t="inlineStr">
        <is>
          <t>This is the planted defect on this tab.</t>
        </is>
      </c>
    </row>
    <row r="6">
      <c r="A6" s="2" t="inlineStr">
        <is>
          <t>Does it carry the count?</t>
        </is>
      </c>
      <c r="B6" s="4" t="inlineStr">
        <is>
          <t>no</t>
        </is>
      </c>
    </row>
    <row r="7">
      <c r="A7" s="2" t="inlineStr">
        <is>
          <t>Does it say which statistic it used?</t>
        </is>
      </c>
      <c r="B7" s="4" t="inlineStr">
        <is>
          <t>yes</t>
        </is>
      </c>
    </row>
    <row r="8">
      <c r="A8" s="2" t="inlineStr">
        <is>
          <t>Does it flag anything that owns the number?</t>
        </is>
      </c>
      <c r="B8" s="4" t="inlineStr">
        <is>
          <t>no</t>
        </is>
      </c>
    </row>
    <row r="10">
      <c r="A10" s="3" t="inlineStr">
        <is>
          <t>What that gives you</t>
        </is>
      </c>
    </row>
    <row r="11">
      <c r="A11" s="2" t="inlineStr">
        <is>
          <t>Parts present</t>
        </is>
      </c>
      <c r="B11" s="5">
        <f>COUNTIF(B5:B8,"yes")</f>
        <v/>
      </c>
    </row>
    <row r="12">
      <c r="A12" s="2" t="inlineStr">
        <is>
          <t>What a reader has to supply themselves</t>
        </is>
      </c>
      <c r="B12" s="5">
        <f>IF(B5="no","the group, ","")&amp;IF(B6="no","the count, ","")&amp;IF(B7="no","the statistic, ","")&amp;IF(B8="no","what owns the number","")</f>
        <v/>
      </c>
    </row>
    <row r="13">
      <c r="A13" s="3" t="inlineStr">
        <is>
          <t>The verdict</t>
        </is>
      </c>
    </row>
    <row r="14">
      <c r="A14" s="2" t="inlineStr">
        <is>
          <t>Verdict</t>
        </is>
      </c>
      <c r="B14" s="5">
        <f>IF(B11=4,"ship it: nothing is left for the reader to guess","stop: "&amp;(4-B11)&amp;" of the four parts are missing")</f>
        <v/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dataValidations count="4">
    <dataValidation sqref="B5" showDropDown="0" showInputMessage="0" showErrorMessage="0" allowBlank="0" type="list">
      <formula1>"yes,no"</formula1>
    </dataValidation>
    <dataValidation sqref="B6" showDropDown="0" showInputMessage="0" showErrorMessage="0" allowBlank="0" type="list">
      <formula1>"yes,no"</formula1>
    </dataValidation>
    <dataValidation sqref="B7" showDropDown="0" showInputMessage="0" showErrorMessage="0" allowBlank="0" type="list">
      <formula1>"yes,no"</formula1>
    </dataValidation>
    <dataValidation sqref="B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0" customWidth="1" min="2" max="2"/>
    <col width="3" customWidth="1" min="3" max="3"/>
    <col width="62" customWidth="1" min="4" max="4"/>
  </cols>
  <sheetData>
    <row r="1">
      <c r="A1" s="1" t="inlineStr">
        <is>
          <t>The stakeholder note, assembled by formula</t>
        </is>
      </c>
    </row>
    <row r="2" ht="30" customHeight="1">
      <c r="A2" s="2" t="inlineStr">
        <is>
          <t>Nothing here is typed. Every line reads from the three decision tabs.</t>
        </is>
      </c>
    </row>
    <row r="5">
      <c r="A5" s="2" t="inlineStr">
        <is>
          <t>Typical</t>
        </is>
      </c>
      <c r="B5" s="5">
        <f>Typical!B16</f>
        <v/>
      </c>
    </row>
    <row r="6">
      <c r="A6" s="2" t="inlineStr">
        <is>
          <t>Denominator</t>
        </is>
      </c>
      <c r="B6" s="5">
        <f>Denominator!B15</f>
        <v/>
      </c>
    </row>
    <row r="7">
      <c r="A7" s="2" t="inlineStr">
        <is>
          <t>Sentence</t>
        </is>
      </c>
      <c r="B7" s="5">
        <f>Sentence!B14</f>
        <v/>
      </c>
    </row>
    <row r="9">
      <c r="A9" s="3" t="inlineStr">
        <is>
          <t>The release</t>
        </is>
      </c>
    </row>
    <row r="10">
      <c r="A10" s="2" t="inlineStr">
        <is>
          <t>Decisions still blocking</t>
        </is>
      </c>
      <c r="B10" s="5">
        <f>COUNTIF(B5:B7,"stop:*")+COUNTIF(B5:B7,"hold:*")</f>
        <v/>
      </c>
    </row>
    <row r="11">
      <c r="A11" s="2" t="inlineStr">
        <is>
          <t>Release verdict</t>
        </is>
      </c>
      <c r="B11" s="5">
        <f>IF(B10=0,"release: the number and its sentence are both defensible","hold: "&amp;B10&amp;" of 3 decisions are still blocking")</f>
        <v/>
      </c>
    </row>
    <row r="13">
      <c r="A13" s="3" t="inlineStr">
        <is>
          <t>The paragraph to paste</t>
        </is>
      </c>
    </row>
    <row r="14">
      <c r="A14" s="2" t="inlineStr">
        <is>
          <t>Note</t>
        </is>
      </c>
      <c r="B14" s="5">
        <f>CONCATENATE("Kalpa Retail, Week 1 Day 4. Across ",TEXT(Typical!B9,"0")," profiled orders the median order is Rs ",TEXT(Typical!B7,"#,##0")," and the mean is Rs ",TEXT(Typical!B6,"#,##0"),", which ",TEXT(Typical!B8,"0")," order reaches. The best segment returned ",TEXT(Denominator!B6,"0")," of ",TEXT(Denominator!B5,"0"),", which is ",Denominator!B11,", and one more return would read ",Denominator!B12,".")</f>
        <v/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2026-09-10T02:15:11Z</dcterms:created>
  <dcterms:modified xmlns:dcterms="http://purl.org/dc/terms/" xmlns:xsi="http://www.w3.org/2001/XMLSchema-instance" xsi:type="dcterms:W3CDTF">2026-09-10T02:15:11Z</dcterms:modified>
</cp:coreProperties>
</file>