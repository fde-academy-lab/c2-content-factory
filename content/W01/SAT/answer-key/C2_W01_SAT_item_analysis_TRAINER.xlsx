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2</v>
      </c>
      <c r="S2" t="n">
        <v>2</v>
      </c>
      <c r="T2" t="n">
        <v>2</v>
      </c>
      <c r="U2" t="n">
        <v>2</v>
      </c>
      <c r="V2" t="n">
        <v>2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3</v>
      </c>
      <c r="AD2" t="n">
        <v>3</v>
      </c>
      <c r="AE2" t="n">
        <v>3</v>
      </c>
      <c r="AF2" t="n">
        <v>3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4</v>
      </c>
      <c r="AP2" t="n">
        <v>4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6</v>
      </c>
      <c r="AY2" t="n">
        <v>6</v>
      </c>
      <c r="AZ2" t="n">
        <v>6</v>
      </c>
      <c r="BA2" t="n">
        <v>6</v>
      </c>
      <c r="BB2" t="n">
        <v>6</v>
      </c>
      <c r="BC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[F]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[D]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[F]</t>
        </is>
      </c>
      <c r="Y3" t="inlineStr">
        <is>
          <t>[F]</t>
        </is>
      </c>
      <c r="Z3" t="inlineStr">
        <is>
          <t>[S]</t>
        </is>
      </c>
      <c r="AA3" t="inlineStr">
        <is>
          <t>[S]</t>
        </is>
      </c>
      <c r="AB3" t="inlineStr">
        <is>
          <t>[F]</t>
        </is>
      </c>
      <c r="AC3" t="inlineStr">
        <is>
          <t>[F]</t>
        </is>
      </c>
      <c r="AD3" t="inlineStr">
        <is>
          <t>[F]</t>
        </is>
      </c>
      <c r="AE3" t="inlineStr">
        <is>
          <t>[S]</t>
        </is>
      </c>
      <c r="AF3" t="inlineStr">
        <is>
          <t>[F]</t>
        </is>
      </c>
      <c r="AG3" t="inlineStr">
        <is>
          <t>[SV]</t>
        </is>
      </c>
      <c r="AH3" t="inlineStr">
        <is>
          <t>[F]</t>
        </is>
      </c>
      <c r="AI3" t="inlineStr">
        <is>
          <t>[D]</t>
        </is>
      </c>
      <c r="AJ3" t="inlineStr">
        <is>
          <t>[S]</t>
        </is>
      </c>
      <c r="AK3" t="inlineStr">
        <is>
          <t>[S]</t>
        </is>
      </c>
      <c r="AL3" t="inlineStr">
        <is>
          <t>[D]</t>
        </is>
      </c>
      <c r="AM3" t="inlineStr">
        <is>
          <t>[S]</t>
        </is>
      </c>
      <c r="AN3" t="inlineStr">
        <is>
          <t>[F]</t>
        </is>
      </c>
      <c r="AO3" t="inlineStr">
        <is>
          <t>[F]</t>
        </is>
      </c>
      <c r="AP3" t="inlineStr">
        <is>
          <t>[F]</t>
        </is>
      </c>
      <c r="AQ3" t="inlineStr">
        <is>
          <t>[S]</t>
        </is>
      </c>
      <c r="AR3" t="inlineStr">
        <is>
          <t>[F]</t>
        </is>
      </c>
      <c r="AS3" t="inlineStr">
        <is>
          <t>[F]</t>
        </is>
      </c>
      <c r="AT3" t="inlineStr">
        <is>
          <t>[S]</t>
        </is>
      </c>
      <c r="AU3" t="inlineStr">
        <is>
          <t>[D]</t>
        </is>
      </c>
      <c r="AV3" t="inlineStr">
        <is>
          <t>[F]</t>
        </is>
      </c>
      <c r="AW3" t="inlineStr">
        <is>
          <t>[D]</t>
        </is>
      </c>
      <c r="AX3" t="inlineStr">
        <is>
          <t>[S]</t>
        </is>
      </c>
      <c r="AY3" t="inlineStr">
        <is>
          <t>[F]</t>
        </is>
      </c>
      <c r="AZ3" t="inlineStr">
        <is>
          <t>[S]</t>
        </is>
      </c>
      <c r="BA3" t="inlineStr">
        <is>
          <t>[S]</t>
        </is>
      </c>
      <c r="BB3" t="inlineStr">
        <is>
          <t>[S]</t>
        </is>
      </c>
      <c r="BC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Total</t>
        </is>
      </c>
      <c r="BE4" s="4" t="inlineStr">
        <is>
          <t>Answered</t>
        </is>
      </c>
      <c r="BF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>
        <f>IF(COUNT(B5:BC5)=0,"",SUM(B5:BC5))</f>
        <v/>
      </c>
      <c r="BE5">
        <f>COUNT(B5:BC5)</f>
        <v/>
      </c>
      <c r="BF5">
        <f>IF(OR(BD5="",COUNT($BD$5:$BD$39)&lt;3),"",IF(RANK(BD5,$BD$5:$BD$39,0)&lt;=ROUND(COUNT($BD$5:$BD$39)/3,0),"top",IF(RANK(BD5,$BD$5:$BD$39,1)&lt;=ROUND(COUNT($BD$5:$BD$39)/3,0),"bottom","middle")))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>
        <f>IF(COUNT(B6:BC6)=0,"",SUM(B6:BC6))</f>
        <v/>
      </c>
      <c r="BE6">
        <f>COUNT(B6:BC6)</f>
        <v/>
      </c>
      <c r="BF6">
        <f>IF(OR(BD6="",COUNT($BD$5:$BD$39)&lt;3),"",IF(RANK(BD6,$BD$5:$BD$39,0)&lt;=ROUND(COUNT($BD$5:$BD$39)/3,0),"top",IF(RANK(BD6,$BD$5:$BD$39,1)&lt;=ROUND(COUNT($BD$5:$BD$39)/3,0),"bottom","middle")))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>
        <f>IF(COUNT(B7:BC7)=0,"",SUM(B7:BC7))</f>
        <v/>
      </c>
      <c r="BE7">
        <f>COUNT(B7:BC7)</f>
        <v/>
      </c>
      <c r="BF7">
        <f>IF(OR(BD7="",COUNT($BD$5:$BD$39)&lt;3),"",IF(RANK(BD7,$BD$5:$BD$39,0)&lt;=ROUND(COUNT($BD$5:$BD$39)/3,0),"top",IF(RANK(BD7,$BD$5:$BD$39,1)&lt;=ROUND(COUNT($BD$5:$BD$39)/3,0),"bottom","middle")))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>
        <f>IF(COUNT(B8:BC8)=0,"",SUM(B8:BC8))</f>
        <v/>
      </c>
      <c r="BE8">
        <f>COUNT(B8:BC8)</f>
        <v/>
      </c>
      <c r="BF8">
        <f>IF(OR(BD8="",COUNT($BD$5:$BD$39)&lt;3),"",IF(RANK(BD8,$BD$5:$BD$39,0)&lt;=ROUND(COUNT($BD$5:$BD$39)/3,0),"top",IF(RANK(BD8,$BD$5:$BD$39,1)&lt;=ROUND(COUNT($BD$5:$BD$39)/3,0),"bottom","middle")))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>
        <f>IF(COUNT(B9:BC9)=0,"",SUM(B9:BC9))</f>
        <v/>
      </c>
      <c r="BE9">
        <f>COUNT(B9:BC9)</f>
        <v/>
      </c>
      <c r="BF9">
        <f>IF(OR(BD9="",COUNT($BD$5:$BD$39)&lt;3),"",IF(RANK(BD9,$BD$5:$BD$39,0)&lt;=ROUND(COUNT($BD$5:$BD$39)/3,0),"top",IF(RANK(BD9,$BD$5:$BD$39,1)&lt;=ROUND(COUNT($BD$5:$BD$39)/3,0),"bottom","middle")))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>
        <f>IF(COUNT(B10:BC10)=0,"",SUM(B10:BC10))</f>
        <v/>
      </c>
      <c r="BE10">
        <f>COUNT(B10:BC10)</f>
        <v/>
      </c>
      <c r="BF10">
        <f>IF(OR(BD10="",COUNT($BD$5:$BD$39)&lt;3),"",IF(RANK(BD10,$BD$5:$BD$39,0)&lt;=ROUND(COUNT($BD$5:$BD$39)/3,0),"top",IF(RANK(BD10,$BD$5:$BD$39,1)&lt;=ROUND(COUNT($BD$5:$BD$39)/3,0),"bottom","middle")))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>
        <f>IF(COUNT(B11:BC11)=0,"",SUM(B11:BC11))</f>
        <v/>
      </c>
      <c r="BE11">
        <f>COUNT(B11:BC11)</f>
        <v/>
      </c>
      <c r="BF11">
        <f>IF(OR(BD11="",COUNT($BD$5:$BD$39)&lt;3),"",IF(RANK(BD11,$BD$5:$BD$39,0)&lt;=ROUND(COUNT($BD$5:$BD$39)/3,0),"top",IF(RANK(BD11,$BD$5:$BD$39,1)&lt;=ROUND(COUNT($BD$5:$BD$39)/3,0),"bottom","middle")))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>
        <f>IF(COUNT(B12:BC12)=0,"",SUM(B12:BC12))</f>
        <v/>
      </c>
      <c r="BE12">
        <f>COUNT(B12:BC12)</f>
        <v/>
      </c>
      <c r="BF12">
        <f>IF(OR(BD12="",COUNT($BD$5:$BD$39)&lt;3),"",IF(RANK(BD12,$BD$5:$BD$39,0)&lt;=ROUND(COUNT($BD$5:$BD$39)/3,0),"top",IF(RANK(BD12,$BD$5:$BD$39,1)&lt;=ROUND(COUNT($BD$5:$BD$39)/3,0),"bottom","middle")))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>
        <f>IF(COUNT(B13:BC13)=0,"",SUM(B13:BC13))</f>
        <v/>
      </c>
      <c r="BE13">
        <f>COUNT(B13:BC13)</f>
        <v/>
      </c>
      <c r="BF13">
        <f>IF(OR(BD13="",COUNT($BD$5:$BD$39)&lt;3),"",IF(RANK(BD13,$BD$5:$BD$39,0)&lt;=ROUND(COUNT($BD$5:$BD$39)/3,0),"top",IF(RANK(BD13,$BD$5:$BD$39,1)&lt;=ROUND(COUNT($BD$5:$BD$39)/3,0),"bottom","middle")))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>
        <f>IF(COUNT(B14:BC14)=0,"",SUM(B14:BC14))</f>
        <v/>
      </c>
      <c r="BE14">
        <f>COUNT(B14:BC14)</f>
        <v/>
      </c>
      <c r="BF14">
        <f>IF(OR(BD14="",COUNT($BD$5:$BD$39)&lt;3),"",IF(RANK(BD14,$BD$5:$BD$39,0)&lt;=ROUND(COUNT($BD$5:$BD$39)/3,0),"top",IF(RANK(BD14,$BD$5:$BD$39,1)&lt;=ROUND(COUNT($BD$5:$BD$39)/3,0),"bottom","middle")))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>
        <f>IF(COUNT(B15:BC15)=0,"",SUM(B15:BC15))</f>
        <v/>
      </c>
      <c r="BE15">
        <f>COUNT(B15:BC15)</f>
        <v/>
      </c>
      <c r="BF15">
        <f>IF(OR(BD15="",COUNT($BD$5:$BD$39)&lt;3),"",IF(RANK(BD15,$BD$5:$BD$39,0)&lt;=ROUND(COUNT($BD$5:$BD$39)/3,0),"top",IF(RANK(BD15,$BD$5:$BD$39,1)&lt;=ROUND(COUNT($BD$5:$BD$39)/3,0),"bottom","middle")))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>
        <f>IF(COUNT(B16:BC16)=0,"",SUM(B16:BC16))</f>
        <v/>
      </c>
      <c r="BE16">
        <f>COUNT(B16:BC16)</f>
        <v/>
      </c>
      <c r="BF16">
        <f>IF(OR(BD16="",COUNT($BD$5:$BD$39)&lt;3),"",IF(RANK(BD16,$BD$5:$BD$39,0)&lt;=ROUND(COUNT($BD$5:$BD$39)/3,0),"top",IF(RANK(BD16,$BD$5:$BD$39,1)&lt;=ROUND(COUNT($BD$5:$BD$39)/3,0),"bottom","middle")))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>
        <f>IF(COUNT(B17:BC17)=0,"",SUM(B17:BC17))</f>
        <v/>
      </c>
      <c r="BE17">
        <f>COUNT(B17:BC17)</f>
        <v/>
      </c>
      <c r="BF17">
        <f>IF(OR(BD17="",COUNT($BD$5:$BD$39)&lt;3),"",IF(RANK(BD17,$BD$5:$BD$39,0)&lt;=ROUND(COUNT($BD$5:$BD$39)/3,0),"top",IF(RANK(BD17,$BD$5:$BD$39,1)&lt;=ROUND(COUNT($BD$5:$BD$39)/3,0),"bottom","middle")))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>
        <f>IF(COUNT(B18:BC18)=0,"",SUM(B18:BC18))</f>
        <v/>
      </c>
      <c r="BE18">
        <f>COUNT(B18:BC18)</f>
        <v/>
      </c>
      <c r="BF18">
        <f>IF(OR(BD18="",COUNT($BD$5:$BD$39)&lt;3),"",IF(RANK(BD18,$BD$5:$BD$39,0)&lt;=ROUND(COUNT($BD$5:$BD$39)/3,0),"top",IF(RANK(BD18,$BD$5:$BD$39,1)&lt;=ROUND(COUNT($BD$5:$BD$39)/3,0),"bottom","middle")))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>
        <f>IF(COUNT(B19:BC19)=0,"",SUM(B19:BC19))</f>
        <v/>
      </c>
      <c r="BE19">
        <f>COUNT(B19:BC19)</f>
        <v/>
      </c>
      <c r="BF19">
        <f>IF(OR(BD19="",COUNT($BD$5:$BD$39)&lt;3),"",IF(RANK(BD19,$BD$5:$BD$39,0)&lt;=ROUND(COUNT($BD$5:$BD$39)/3,0),"top",IF(RANK(BD19,$BD$5:$BD$39,1)&lt;=ROUND(COUNT($BD$5:$BD$39)/3,0),"bottom","middle")))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>
        <f>IF(COUNT(B20:BC20)=0,"",SUM(B20:BC20))</f>
        <v/>
      </c>
      <c r="BE20">
        <f>COUNT(B20:BC20)</f>
        <v/>
      </c>
      <c r="BF20">
        <f>IF(OR(BD20="",COUNT($BD$5:$BD$39)&lt;3),"",IF(RANK(BD20,$BD$5:$BD$39,0)&lt;=ROUND(COUNT($BD$5:$BD$39)/3,0),"top",IF(RANK(BD20,$BD$5:$BD$39,1)&lt;=ROUND(COUNT($BD$5:$BD$39)/3,0),"bottom","middle")))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>
        <f>IF(COUNT(B21:BC21)=0,"",SUM(B21:BC21))</f>
        <v/>
      </c>
      <c r="BE21">
        <f>COUNT(B21:BC21)</f>
        <v/>
      </c>
      <c r="BF21">
        <f>IF(OR(BD21="",COUNT($BD$5:$BD$39)&lt;3),"",IF(RANK(BD21,$BD$5:$BD$39,0)&lt;=ROUND(COUNT($BD$5:$BD$39)/3,0),"top",IF(RANK(BD21,$BD$5:$BD$39,1)&lt;=ROUND(COUNT($BD$5:$BD$39)/3,0),"bottom","middle")))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>
        <f>IF(COUNT(B22:BC22)=0,"",SUM(B22:BC22))</f>
        <v/>
      </c>
      <c r="BE22">
        <f>COUNT(B22:BC22)</f>
        <v/>
      </c>
      <c r="BF22">
        <f>IF(OR(BD22="",COUNT($BD$5:$BD$39)&lt;3),"",IF(RANK(BD22,$BD$5:$BD$39,0)&lt;=ROUND(COUNT($BD$5:$BD$39)/3,0),"top",IF(RANK(BD22,$BD$5:$BD$39,1)&lt;=ROUND(COUNT($BD$5:$BD$39)/3,0),"bottom","middle")))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>
        <f>IF(COUNT(B23:BC23)=0,"",SUM(B23:BC23))</f>
        <v/>
      </c>
      <c r="BE23">
        <f>COUNT(B23:BC23)</f>
        <v/>
      </c>
      <c r="BF23">
        <f>IF(OR(BD23="",COUNT($BD$5:$BD$39)&lt;3),"",IF(RANK(BD23,$BD$5:$BD$39,0)&lt;=ROUND(COUNT($BD$5:$BD$39)/3,0),"top",IF(RANK(BD23,$BD$5:$BD$39,1)&lt;=ROUND(COUNT($BD$5:$BD$39)/3,0),"bottom","middle")))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>
        <f>IF(COUNT(B24:BC24)=0,"",SUM(B24:BC24))</f>
        <v/>
      </c>
      <c r="BE24">
        <f>COUNT(B24:BC24)</f>
        <v/>
      </c>
      <c r="BF24">
        <f>IF(OR(BD24="",COUNT($BD$5:$BD$39)&lt;3),"",IF(RANK(BD24,$BD$5:$BD$39,0)&lt;=ROUND(COUNT($BD$5:$BD$39)/3,0),"top",IF(RANK(BD24,$BD$5:$BD$39,1)&lt;=ROUND(COUNT($BD$5:$BD$39)/3,0),"bottom","middle")))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>
        <f>IF(COUNT(B25:BC25)=0,"",SUM(B25:BC25))</f>
        <v/>
      </c>
      <c r="BE25">
        <f>COUNT(B25:BC25)</f>
        <v/>
      </c>
      <c r="BF25">
        <f>IF(OR(BD25="",COUNT($BD$5:$BD$39)&lt;3),"",IF(RANK(BD25,$BD$5:$BD$39,0)&lt;=ROUND(COUNT($BD$5:$BD$39)/3,0),"top",IF(RANK(BD25,$BD$5:$BD$39,1)&lt;=ROUND(COUNT($BD$5:$BD$39)/3,0),"bottom","middle")))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>
        <f>IF(COUNT(B26:BC26)=0,"",SUM(B26:BC26))</f>
        <v/>
      </c>
      <c r="BE26">
        <f>COUNT(B26:BC26)</f>
        <v/>
      </c>
      <c r="BF26">
        <f>IF(OR(BD26="",COUNT($BD$5:$BD$39)&lt;3),"",IF(RANK(BD26,$BD$5:$BD$39,0)&lt;=ROUND(COUNT($BD$5:$BD$39)/3,0),"top",IF(RANK(BD26,$BD$5:$BD$39,1)&lt;=ROUND(COUNT($BD$5:$BD$39)/3,0),"bottom","middle")))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>
        <f>IF(COUNT(B27:BC27)=0,"",SUM(B27:BC27))</f>
        <v/>
      </c>
      <c r="BE27">
        <f>COUNT(B27:BC27)</f>
        <v/>
      </c>
      <c r="BF27">
        <f>IF(OR(BD27="",COUNT($BD$5:$BD$39)&lt;3),"",IF(RANK(BD27,$BD$5:$BD$39,0)&lt;=ROUND(COUNT($BD$5:$BD$39)/3,0),"top",IF(RANK(BD27,$BD$5:$BD$39,1)&lt;=ROUND(COUNT($BD$5:$BD$39)/3,0),"bottom","middle")))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>
        <f>IF(COUNT(B28:BC28)=0,"",SUM(B28:BC28))</f>
        <v/>
      </c>
      <c r="BE28">
        <f>COUNT(B28:BC28)</f>
        <v/>
      </c>
      <c r="BF28">
        <f>IF(OR(BD28="",COUNT($BD$5:$BD$39)&lt;3),"",IF(RANK(BD28,$BD$5:$BD$39,0)&lt;=ROUND(COUNT($BD$5:$BD$39)/3,0),"top",IF(RANK(BD28,$BD$5:$BD$39,1)&lt;=ROUND(COUNT($BD$5:$BD$39)/3,0),"bottom","middle")))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>
        <f>IF(COUNT(B29:BC29)=0,"",SUM(B29:BC29))</f>
        <v/>
      </c>
      <c r="BE29">
        <f>COUNT(B29:BC29)</f>
        <v/>
      </c>
      <c r="BF29">
        <f>IF(OR(BD29="",COUNT($BD$5:$BD$39)&lt;3),"",IF(RANK(BD29,$BD$5:$BD$39,0)&lt;=ROUND(COUNT($BD$5:$BD$39)/3,0),"top",IF(RANK(BD29,$BD$5:$BD$39,1)&lt;=ROUND(COUNT($BD$5:$BD$39)/3,0),"bottom","middle")))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>
        <f>IF(COUNT(B30:BC30)=0,"",SUM(B30:BC30))</f>
        <v/>
      </c>
      <c r="BE30">
        <f>COUNT(B30:BC30)</f>
        <v/>
      </c>
      <c r="BF30">
        <f>IF(OR(BD30="",COUNT($BD$5:$BD$39)&lt;3),"",IF(RANK(BD30,$BD$5:$BD$39,0)&lt;=ROUND(COUNT($BD$5:$BD$39)/3,0),"top",IF(RANK(BD30,$BD$5:$BD$39,1)&lt;=ROUND(COUNT($BD$5:$BD$39)/3,0),"bottom","middle")))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>
        <f>IF(COUNT(B31:BC31)=0,"",SUM(B31:BC31))</f>
        <v/>
      </c>
      <c r="BE31">
        <f>COUNT(B31:BC31)</f>
        <v/>
      </c>
      <c r="BF31">
        <f>IF(OR(BD31="",COUNT($BD$5:$BD$39)&lt;3),"",IF(RANK(BD31,$BD$5:$BD$39,0)&lt;=ROUND(COUNT($BD$5:$BD$39)/3,0),"top",IF(RANK(BD31,$BD$5:$BD$39,1)&lt;=ROUND(COUNT($BD$5:$BD$39)/3,0),"bottom","middle")))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>
        <f>IF(COUNT(B32:BC32)=0,"",SUM(B32:BC32))</f>
        <v/>
      </c>
      <c r="BE32">
        <f>COUNT(B32:BC32)</f>
        <v/>
      </c>
      <c r="BF32">
        <f>IF(OR(BD32="",COUNT($BD$5:$BD$39)&lt;3),"",IF(RANK(BD32,$BD$5:$BD$39,0)&lt;=ROUND(COUNT($BD$5:$BD$39)/3,0),"top",IF(RANK(BD32,$BD$5:$BD$39,1)&lt;=ROUND(COUNT($BD$5:$BD$39)/3,0),"bottom","middle")))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>
        <f>IF(COUNT(B33:BC33)=0,"",SUM(B33:BC33))</f>
        <v/>
      </c>
      <c r="BE33">
        <f>COUNT(B33:BC33)</f>
        <v/>
      </c>
      <c r="BF33">
        <f>IF(OR(BD33="",COUNT($BD$5:$BD$39)&lt;3),"",IF(RANK(BD33,$BD$5:$BD$39,0)&lt;=ROUND(COUNT($BD$5:$BD$39)/3,0),"top",IF(RANK(BD33,$BD$5:$BD$39,1)&lt;=ROUND(COUNT($BD$5:$BD$39)/3,0),"bottom","middle")))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>
        <f>IF(COUNT(B34:BC34)=0,"",SUM(B34:BC34))</f>
        <v/>
      </c>
      <c r="BE34">
        <f>COUNT(B34:BC34)</f>
        <v/>
      </c>
      <c r="BF34">
        <f>IF(OR(BD34="",COUNT($BD$5:$BD$39)&lt;3),"",IF(RANK(BD34,$BD$5:$BD$39,0)&lt;=ROUND(COUNT($BD$5:$BD$39)/3,0),"top",IF(RANK(BD34,$BD$5:$BD$39,1)&lt;=ROUND(COUNT($BD$5:$BD$39)/3,0),"bottom","middle")))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>
        <f>IF(COUNT(B35:BC35)=0,"",SUM(B35:BC35))</f>
        <v/>
      </c>
      <c r="BE35">
        <f>COUNT(B35:BC35)</f>
        <v/>
      </c>
      <c r="BF35">
        <f>IF(OR(BD35="",COUNT($BD$5:$BD$39)&lt;3),"",IF(RANK(BD35,$BD$5:$BD$39,0)&lt;=ROUND(COUNT($BD$5:$BD$39)/3,0),"top",IF(RANK(BD35,$BD$5:$BD$39,1)&lt;=ROUND(COUNT($BD$5:$BD$39)/3,0),"bottom","middle")))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>
        <f>IF(COUNT(B36:BC36)=0,"",SUM(B36:BC36))</f>
        <v/>
      </c>
      <c r="BE36">
        <f>COUNT(B36:BC36)</f>
        <v/>
      </c>
      <c r="BF36">
        <f>IF(OR(BD36="",COUNT($BD$5:$BD$39)&lt;3),"",IF(RANK(BD36,$BD$5:$BD$39,0)&lt;=ROUND(COUNT($BD$5:$BD$39)/3,0),"top",IF(RANK(BD36,$BD$5:$BD$39,1)&lt;=ROUND(COUNT($BD$5:$BD$39)/3,0),"bottom","middle")))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>
        <f>IF(COUNT(B37:BC37)=0,"",SUM(B37:BC37))</f>
        <v/>
      </c>
      <c r="BE37">
        <f>COUNT(B37:BC37)</f>
        <v/>
      </c>
      <c r="BF37">
        <f>IF(OR(BD37="",COUNT($BD$5:$BD$39)&lt;3),"",IF(RANK(BD37,$BD$5:$BD$39,0)&lt;=ROUND(COUNT($BD$5:$BD$39)/3,0),"top",IF(RANK(BD37,$BD$5:$BD$39,1)&lt;=ROUND(COUNT($BD$5:$BD$39)/3,0),"bottom","middle")))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>
        <f>IF(COUNT(B38:BC38)=0,"",SUM(B38:BC38))</f>
        <v/>
      </c>
      <c r="BE38">
        <f>COUNT(B38:BC38)</f>
        <v/>
      </c>
      <c r="BF38">
        <f>IF(OR(BD38="",COUNT($BD$5:$BD$39)&lt;3),"",IF(RANK(BD38,$BD$5:$BD$39,0)&lt;=ROUND(COUNT($BD$5:$BD$39)/3,0),"top",IF(RANK(BD38,$BD$5:$BD$39,1)&lt;=ROUND(COUNT($BD$5:$BD$39)/3,0),"bottom","middle")))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>
        <f>IF(COUNT(B39:BC39)=0,"",SUM(B39:BC39))</f>
        <v/>
      </c>
      <c r="BE39">
        <f>COUNT(B39:BC39)</f>
        <v/>
      </c>
      <c r="BF39">
        <f>IF(OR(BD39="",COUNT($BD$5:$BD$39)&lt;3),"",IF(RANK(BD39,$BD$5:$BD$39,0)&lt;=ROUND(COUNT($BD$5:$BD$39)/3,0),"top",IF(RANK(BD39,$BD$5:$BD$39,1)&lt;=ROUND(COUNT($BD$5:$BD$39)/3,0),"bottom","middle")))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[S]</t>
        </is>
      </c>
      <c r="F5" t="inlineStr">
        <is>
          <t>large (or extreme)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IF(SUMPRODUCT((Marks!$BF$5:$BF$39="top")*ISNUMBER(Marks!B$5:B$39))=0,"",SUMPRODUCT((Marks!$BF$5:$BF$39="top")*(Marks!B$5:B$39=1))/SUMPRODUCT((Marks!$BF$5:$BF$39="top")*ISNUMBER(Marks!B$5:B$39)))</f>
        <v/>
      </c>
      <c r="K5" s="6">
        <f>IF(SUMPRODUCT((Marks!$BF$5:$BF$39="bottom")*ISNUMBER(Marks!B$5:B$39))=0,"",SUMPRODUCT((Marks!$BF$5:$BF$39="bottom")*(Marks!B$5:B$39=1))/SUMPRODUCT((Marks!$BF$5:$BF$39="bottom")*ISNUMBER(Marks!B$5:B$39)))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confounder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IF(SUMPRODUCT((Marks!$BF$5:$BF$39="top")*ISNUMBER(Marks!C$5:C$39))=0,"",SUMPRODUCT((Marks!$BF$5:$BF$39="top")*(Marks!C$5:C$39=1))/SUMPRODUCT((Marks!$BF$5:$BF$39="top")*ISNUMBER(Marks!C$5:C$39)))</f>
        <v/>
      </c>
      <c r="K6" s="6">
        <f>IF(SUMPRODUCT((Marks!$BF$5:$BF$39="bottom")*ISNUMBER(Marks!C$5:C$39))=0,"",SUMPRODUCT((Marks!$BF$5:$BF$39="bottom")*(Marks!C$5:C$39=1))/SUMPRODUCT((Marks!$BF$5:$BF$39="bottom")*ISNUMBER(Marks!C$5:C$39)))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[S]</t>
        </is>
      </c>
      <c r="F7" t="inlineStr">
        <is>
          <t>False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IF(SUMPRODUCT((Marks!$BF$5:$BF$39="top")*ISNUMBER(Marks!D$5:D$39))=0,"",SUMPRODUCT((Marks!$BF$5:$BF$39="top")*(Marks!D$5:D$39=1))/SUMPRODUCT((Marks!$BF$5:$BF$39="top")*ISNUMBER(Marks!D$5:D$39)))</f>
        <v/>
      </c>
      <c r="K7" s="6">
        <f>IF(SUMPRODUCT((Marks!$BF$5:$BF$39="bottom")*ISNUMBER(Marks!D$5:D$39))=0,"",SUMPRODUCT((Marks!$BF$5:$BF$39="bottom")*(Marks!D$5:D$39=1))/SUMPRODUCT((Marks!$BF$5:$BF$39="bottom")*ISNUMBER(Marks!D$5:D$39)))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True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IF(SUMPRODUCT((Marks!$BF$5:$BF$39="top")*ISNUMBER(Marks!E$5:E$39))=0,"",SUMPRODUCT((Marks!$BF$5:$BF$39="top")*(Marks!E$5:E$39=1))/SUMPRODUCT((Marks!$BF$5:$BF$39="top")*ISNUMBER(Marks!E$5:E$39)))</f>
        <v/>
      </c>
      <c r="K8" s="6">
        <f>IF(SUMPRODUCT((Marks!$BF$5:$BF$39="bottom")*ISNUMBER(Marks!E$5:E$39))=0,"",SUMPRODUCT((Marks!$BF$5:$BF$39="bottom")*(Marks!E$5:E$39=1))/SUMPRODUCT((Marks!$BF$5:$BF$39="bottom")*ISNUMBER(Marks!E$5:E$39)))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Easy</t>
        </is>
      </c>
      <c r="E9" t="inlineStr">
        <is>
          <t>[F]</t>
        </is>
      </c>
      <c r="F9" t="inlineStr">
        <is>
          <t>True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IF(SUMPRODUCT((Marks!$BF$5:$BF$39="top")*ISNUMBER(Marks!F$5:F$39))=0,"",SUMPRODUCT((Marks!$BF$5:$BF$39="top")*(Marks!F$5:F$39=1))/SUMPRODUCT((Marks!$BF$5:$BF$39="top")*ISNUMBER(Marks!F$5:F$39)))</f>
        <v/>
      </c>
      <c r="K9" s="6">
        <f>IF(SUMPRODUCT((Marks!$BF$5:$BF$39="bottom")*ISNUMBER(Marks!F$5:F$39))=0,"",SUMPRODUCT((Marks!$BF$5:$BF$39="bottom")*(Marks!F$5:F$39=1))/SUMPRODUCT((Marks!$BF$5:$BF$39="bottom")*ISNUMBER(Marks!F$5:F$39)))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[F]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IF(SUMPRODUCT((Marks!$BF$5:$BF$39="top")*ISNUMBER(Marks!G$5:G$39))=0,"",SUMPRODUCT((Marks!$BF$5:$BF$39="top")*(Marks!G$5:G$39=1))/SUMPRODUCT((Marks!$BF$5:$BF$39="top")*ISNUMBER(Marks!G$5:G$39)))</f>
        <v/>
      </c>
      <c r="K10" s="6">
        <f>IF(SUMPRODUCT((Marks!$BF$5:$BF$39="bottom")*ISNUMBER(Marks!G$5:G$39))=0,"",SUMPRODUCT((Marks!$BF$5:$BF$39="bottom")*(Marks!G$5:G$39=1))/SUMPRODUCT((Marks!$BF$5:$BF$39="bottom")*ISNUMBER(Marks!G$5:G$39)))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Easy</t>
        </is>
      </c>
      <c r="E11" t="inlineStr">
        <is>
          <t>[F]</t>
        </is>
      </c>
      <c r="F11" t="inlineStr">
        <is>
          <t>False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IF(SUMPRODUCT((Marks!$BF$5:$BF$39="top")*ISNUMBER(Marks!H$5:H$39))=0,"",SUMPRODUCT((Marks!$BF$5:$BF$39="top")*(Marks!H$5:H$39=1))/SUMPRODUCT((Marks!$BF$5:$BF$39="top")*ISNUMBER(Marks!H$5:H$39)))</f>
        <v/>
      </c>
      <c r="K11" s="6">
        <f>IF(SUMPRODUCT((Marks!$BF$5:$BF$39="bottom")*ISNUMBER(Marks!H$5:H$39))=0,"",SUMPRODUCT((Marks!$BF$5:$BF$39="bottom")*(Marks!H$5:H$39=1))/SUMPRODUCT((Marks!$BF$5:$BF$39="bottom")*ISNUMBER(Marks!H$5:H$39)))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Easy</t>
        </is>
      </c>
      <c r="E12" t="inlineStr">
        <is>
          <t>[F]</t>
        </is>
      </c>
      <c r="F12" t="inlineStr">
        <is>
          <t>False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IF(SUMPRODUCT((Marks!$BF$5:$BF$39="top")*ISNUMBER(Marks!I$5:I$39))=0,"",SUMPRODUCT((Marks!$BF$5:$BF$39="top")*(Marks!I$5:I$39=1))/SUMPRODUCT((Marks!$BF$5:$BF$39="top")*ISNUMBER(Marks!I$5:I$39)))</f>
        <v/>
      </c>
      <c r="K12" s="6">
        <f>IF(SUMPRODUCT((Marks!$BF$5:$BF$39="bottom")*ISNUMBER(Marks!I$5:I$39))=0,"",SUMPRODUCT((Marks!$BF$5:$BF$39="bottom")*(Marks!I$5:I$39=1))/SUMPRODUCT((Marks!$BF$5:$BF$39="bottom")*ISNUMBER(Marks!I$5:I$39)))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Hard</t>
        </is>
      </c>
      <c r="E13" t="inlineStr">
        <is>
          <t>[D]</t>
        </is>
      </c>
      <c r="F13" t="inlineStr">
        <is>
          <t>True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IF(SUMPRODUCT((Marks!$BF$5:$BF$39="top")*ISNUMBER(Marks!J$5:J$39))=0,"",SUMPRODUCT((Marks!$BF$5:$BF$39="top")*(Marks!J$5:J$39=1))/SUMPRODUCT((Marks!$BF$5:$BF$39="top")*ISNUMBER(Marks!J$5:J$39)))</f>
        <v/>
      </c>
      <c r="K13" s="6">
        <f>IF(SUMPRODUCT((Marks!$BF$5:$BF$39="bottom")*ISNUMBER(Marks!J$5:J$39))=0,"",SUMPRODUCT((Marks!$BF$5:$BF$39="bottom")*(Marks!J$5:J$39=1))/SUMPRODUCT((Marks!$BF$5:$BF$39="bottom")*ISNUMBER(Marks!J$5:J$39)))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Easy</t>
        </is>
      </c>
      <c r="E14" t="inlineStr">
        <is>
          <t>[S]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IF(SUMPRODUCT((Marks!$BF$5:$BF$39="top")*ISNUMBER(Marks!K$5:K$39))=0,"",SUMPRODUCT((Marks!$BF$5:$BF$39="top")*(Marks!K$5:K$39=1))/SUMPRODUCT((Marks!$BF$5:$BF$39="top")*ISNUMBER(Marks!K$5:K$39)))</f>
        <v/>
      </c>
      <c r="K14" s="6">
        <f>IF(SUMPRODUCT((Marks!$BF$5:$BF$39="bottom")*ISNUMBER(Marks!K$5:K$39))=0,"",SUMPRODUCT((Marks!$BF$5:$BF$39="bottom")*(Marks!K$5:K$39=1))/SUMPRODUCT((Marks!$BF$5:$BF$39="bottom")*ISNUMBER(Marks!K$5:K$39)))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One correct option</t>
        </is>
      </c>
      <c r="D15" t="inlineStr">
        <is>
          <t>Easy</t>
        </is>
      </c>
      <c r="E15" t="inlineStr">
        <is>
          <t>[S]</t>
        </is>
      </c>
      <c r="F15" t="inlineStr">
        <is>
          <t>a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IF(SUMPRODUCT((Marks!$BF$5:$BF$39="top")*ISNUMBER(Marks!L$5:L$39))=0,"",SUMPRODUCT((Marks!$BF$5:$BF$39="top")*(Marks!L$5:L$39=1))/SUMPRODUCT((Marks!$BF$5:$BF$39="top")*ISNUMBER(Marks!L$5:L$39)))</f>
        <v/>
      </c>
      <c r="K15" s="6">
        <f>IF(SUMPRODUCT((Marks!$BF$5:$BF$39="bottom")*ISNUMBER(Marks!L$5:L$39))=0,"",SUMPRODUCT((Marks!$BF$5:$BF$39="bottom")*(Marks!L$5:L$39=1))/SUMPRODUCT((Marks!$BF$5:$BF$39="bottom")*ISNUMBER(Marks!L$5:L$39)))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IF(SUMPRODUCT((Marks!$BF$5:$BF$39="top")*ISNUMBER(Marks!M$5:M$39))=0,"",SUMPRODUCT((Marks!$BF$5:$BF$39="top")*(Marks!M$5:M$39=1))/SUMPRODUCT((Marks!$BF$5:$BF$39="top")*ISNUMBER(Marks!M$5:M$39)))</f>
        <v/>
      </c>
      <c r="K16" s="6">
        <f>IF(SUMPRODUCT((Marks!$BF$5:$BF$39="bottom")*ISNUMBER(Marks!M$5:M$39))=0,"",SUMPRODUCT((Marks!$BF$5:$BF$39="bottom")*(Marks!M$5:M$39=1))/SUMPRODUCT((Marks!$BF$5:$BF$39="bottom")*ISNUMBER(Marks!M$5:M$39)))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IF(SUMPRODUCT((Marks!$BF$5:$BF$39="top")*ISNUMBER(Marks!N$5:N$39))=0,"",SUMPRODUCT((Marks!$BF$5:$BF$39="top")*(Marks!N$5:N$39=1))/SUMPRODUCT((Marks!$BF$5:$BF$39="top")*ISNUMBER(Marks!N$5:N$39)))</f>
        <v/>
      </c>
      <c r="K17" s="6">
        <f>IF(SUMPRODUCT((Marks!$BF$5:$BF$39="bottom")*ISNUMBER(Marks!N$5:N$39))=0,"",SUMPRODUCT((Marks!$BF$5:$BF$39="bottom")*(Marks!N$5:N$39=1))/SUMPRODUCT((Marks!$BF$5:$BF$39="bottom")*ISNUMBER(Marks!N$5:N$39)))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[D]</t>
        </is>
      </c>
      <c r="F18" t="inlineStr">
        <is>
          <t>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IF(SUMPRODUCT((Marks!$BF$5:$BF$39="top")*ISNUMBER(Marks!O$5:O$39))=0,"",SUMPRODUCT((Marks!$BF$5:$BF$39="top")*(Marks!O$5:O$39=1))/SUMPRODUCT((Marks!$BF$5:$BF$39="top")*ISNUMBER(Marks!O$5:O$39)))</f>
        <v/>
      </c>
      <c r="K18" s="6">
        <f>IF(SUMPRODUCT((Marks!$BF$5:$BF$39="bottom")*ISNUMBER(Marks!O$5:O$39))=0,"",SUMPRODUCT((Marks!$BF$5:$BF$39="bottom")*(Marks!O$5:O$39=1))/SUMPRODUCT((Marks!$BF$5:$BF$39="bottom")*ISNUMBER(Marks!O$5:O$39)))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More than one correct</t>
        </is>
      </c>
      <c r="D19" t="inlineStr">
        <is>
          <t>Easy</t>
        </is>
      </c>
      <c r="E19" t="inlineStr">
        <is>
          <t>[S]</t>
        </is>
      </c>
      <c r="F19" t="inlineStr">
        <is>
          <t>a, b, d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IF(SUMPRODUCT((Marks!$BF$5:$BF$39="top")*ISNUMBER(Marks!P$5:P$39))=0,"",SUMPRODUCT((Marks!$BF$5:$BF$39="top")*(Marks!P$5:P$39=1))/SUMPRODUCT((Marks!$BF$5:$BF$39="top")*ISNUMBER(Marks!P$5:P$39)))</f>
        <v/>
      </c>
      <c r="K19" s="6">
        <f>IF(SUMPRODUCT((Marks!$BF$5:$BF$39="bottom")*ISNUMBER(Marks!P$5:P$39))=0,"",SUMPRODUCT((Marks!$BF$5:$BF$39="bottom")*(Marks!P$5:P$39=1))/SUMPRODUCT((Marks!$BF$5:$BF$39="bottom")*ISNUMBER(Marks!P$5:P$39)))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More than one correct</t>
        </is>
      </c>
      <c r="D20" t="inlineStr">
        <is>
          <t>Medium</t>
        </is>
      </c>
      <c r="E20" t="inlineStr">
        <is>
          <t>[S]</t>
        </is>
      </c>
      <c r="F20" t="inlineStr">
        <is>
          <t>a, b, 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IF(SUMPRODUCT((Marks!$BF$5:$BF$39="top")*ISNUMBER(Marks!Q$5:Q$39))=0,"",SUMPRODUCT((Marks!$BF$5:$BF$39="top")*(Marks!Q$5:Q$39=1))/SUMPRODUCT((Marks!$BF$5:$BF$39="top")*ISNUMBER(Marks!Q$5:Q$39)))</f>
        <v/>
      </c>
      <c r="K20" s="6">
        <f>IF(SUMPRODUCT((Marks!$BF$5:$BF$39="bottom")*ISNUMBER(Marks!Q$5:Q$39))=0,"",SUMPRODUCT((Marks!$BF$5:$BF$39="bottom")*(Marks!Q$5:Q$39=1))/SUMPRODUCT((Marks!$BF$5:$BF$39="bottom")*ISNUMBER(Marks!Q$5:Q$39)))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2</v>
      </c>
      <c r="C21" t="inlineStr">
        <is>
          <t>Scenario set</t>
        </is>
      </c>
      <c r="D21" t="inlineStr">
        <is>
          <t>Easy</t>
        </is>
      </c>
      <c r="E21" t="inlineStr">
        <is>
          <t>[S]</t>
        </is>
      </c>
      <c r="F21" t="inlineStr">
        <is>
          <t>b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IF(SUMPRODUCT((Marks!$BF$5:$BF$39="top")*ISNUMBER(Marks!R$5:R$39))=0,"",SUMPRODUCT((Marks!$BF$5:$BF$39="top")*(Marks!R$5:R$39=1))/SUMPRODUCT((Marks!$BF$5:$BF$39="top")*ISNUMBER(Marks!R$5:R$39)))</f>
        <v/>
      </c>
      <c r="K21" s="6">
        <f>IF(SUMPRODUCT((Marks!$BF$5:$BF$39="bottom")*ISNUMBER(Marks!R$5:R$39))=0,"",SUMPRODUCT((Marks!$BF$5:$BF$39="bottom")*(Marks!R$5:R$39=1))/SUMPRODUCT((Marks!$BF$5:$BF$39="bottom")*ISNUMBER(Marks!R$5:R$39)))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2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b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IF(SUMPRODUCT((Marks!$BF$5:$BF$39="top")*ISNUMBER(Marks!S$5:S$39))=0,"",SUMPRODUCT((Marks!$BF$5:$BF$39="top")*(Marks!S$5:S$39=1))/SUMPRODUCT((Marks!$BF$5:$BF$39="top")*ISNUMBER(Marks!S$5:S$39)))</f>
        <v/>
      </c>
      <c r="K22" s="6">
        <f>IF(SUMPRODUCT((Marks!$BF$5:$BF$39="bottom")*ISNUMBER(Marks!S$5:S$39))=0,"",SUMPRODUCT((Marks!$BF$5:$BF$39="bottom")*(Marks!S$5:S$39=1))/SUMPRODUCT((Marks!$BF$5:$BF$39="bottom")*ISNUMBER(Marks!S$5:S$39)))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2</v>
      </c>
      <c r="C23" t="inlineStr">
        <is>
          <t>Scenario set</t>
        </is>
      </c>
      <c r="D23" t="inlineStr">
        <is>
          <t>Medium</t>
        </is>
      </c>
      <c r="E23" t="inlineStr">
        <is>
          <t>[F]</t>
        </is>
      </c>
      <c r="F23" t="inlineStr">
        <is>
          <t>True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IF(SUMPRODUCT((Marks!$BF$5:$BF$39="top")*ISNUMBER(Marks!T$5:T$39))=0,"",SUMPRODUCT((Marks!$BF$5:$BF$39="top")*(Marks!T$5:T$39=1))/SUMPRODUCT((Marks!$BF$5:$BF$39="top")*ISNUMBER(Marks!T$5:T$39)))</f>
        <v/>
      </c>
      <c r="K23" s="6">
        <f>IF(SUMPRODUCT((Marks!$BF$5:$BF$39="bottom")*ISNUMBER(Marks!T$5:T$39))=0,"",SUMPRODUCT((Marks!$BF$5:$BF$39="bottom")*(Marks!T$5:T$39=1))/SUMPRODUCT((Marks!$BF$5:$BF$39="bottom")*ISNUMBER(Marks!T$5:T$39)))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2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IF(SUMPRODUCT((Marks!$BF$5:$BF$39="top")*ISNUMBER(Marks!U$5:U$39))=0,"",SUMPRODUCT((Marks!$BF$5:$BF$39="top")*(Marks!U$5:U$39=1))/SUMPRODUCT((Marks!$BF$5:$BF$39="top")*ISNUMBER(Marks!U$5:U$39)))</f>
        <v/>
      </c>
      <c r="K24" s="6">
        <f>IF(SUMPRODUCT((Marks!$BF$5:$BF$39="bottom")*ISNUMBER(Marks!U$5:U$39))=0,"",SUMPRODUCT((Marks!$BF$5:$BF$39="bottom")*(Marks!U$5:U$39=1))/SUMPRODUCT((Marks!$BF$5:$BF$39="bottom")*ISNUMBER(Marks!U$5:U$39)))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2</v>
      </c>
      <c r="C25" t="inlineStr">
        <is>
          <t>Order the steps</t>
        </is>
      </c>
      <c r="D25" t="inlineStr">
        <is>
          <t>Medium</t>
        </is>
      </c>
      <c r="E25" t="inlineStr">
        <is>
          <t>[S]</t>
        </is>
      </c>
      <c r="F25" t="inlineStr">
        <is>
          <t>b, d, e, a,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IF(SUMPRODUCT((Marks!$BF$5:$BF$39="top")*ISNUMBER(Marks!V$5:V$39))=0,"",SUMPRODUCT((Marks!$BF$5:$BF$39="top")*(Marks!V$5:V$39=1))/SUMPRODUCT((Marks!$BF$5:$BF$39="top")*ISNUMBER(Marks!V$5:V$39)))</f>
        <v/>
      </c>
      <c r="K25" s="6">
        <f>IF(SUMPRODUCT((Marks!$BF$5:$BF$39="bottom")*ISNUMBER(Marks!V$5:V$39))=0,"",SUMPRODUCT((Marks!$BF$5:$BF$39="bottom")*(Marks!V$5:V$39=1))/SUMPRODUCT((Marks!$BF$5:$BF$39="bottom")*ISNUMBER(Marks!V$5:V$39)))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One correct option</t>
        </is>
      </c>
      <c r="D26" t="inlineStr">
        <is>
          <t>Medium</t>
        </is>
      </c>
      <c r="E26" t="inlineStr">
        <is>
          <t>[F]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IF(SUMPRODUCT((Marks!$BF$5:$BF$39="top")*ISNUMBER(Marks!W$5:W$39))=0,"",SUMPRODUCT((Marks!$BF$5:$BF$39="top")*(Marks!W$5:W$39=1))/SUMPRODUCT((Marks!$BF$5:$BF$39="top")*ISNUMBER(Marks!W$5:W$39)))</f>
        <v/>
      </c>
      <c r="K26" s="6">
        <f>IF(SUMPRODUCT((Marks!$BF$5:$BF$39="bottom")*ISNUMBER(Marks!W$5:W$39))=0,"",SUMPRODUCT((Marks!$BF$5:$BF$39="bottom")*(Marks!W$5:W$39=1))/SUMPRODUCT((Marks!$BF$5:$BF$39="bottom")*ISNUMBER(Marks!W$5:W$39)))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One correct option</t>
        </is>
      </c>
      <c r="D27" t="inlineStr">
        <is>
          <t>Medium</t>
        </is>
      </c>
      <c r="E27" t="inlineStr">
        <is>
          <t>[F]</t>
        </is>
      </c>
      <c r="F27" t="inlineStr">
        <is>
          <t>b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IF(SUMPRODUCT((Marks!$BF$5:$BF$39="top")*ISNUMBER(Marks!X$5:X$39))=0,"",SUMPRODUCT((Marks!$BF$5:$BF$39="top")*(Marks!X$5:X$39=1))/SUMPRODUCT((Marks!$BF$5:$BF$39="top")*ISNUMBER(Marks!X$5:X$39)))</f>
        <v/>
      </c>
      <c r="K27" s="6">
        <f>IF(SUMPRODUCT((Marks!$BF$5:$BF$39="bottom")*ISNUMBER(Marks!X$5:X$39))=0,"",SUMPRODUCT((Marks!$BF$5:$BF$39="bottom")*(Marks!X$5:X$39=1))/SUMPRODUCT((Marks!$BF$5:$BF$39="bottom")*ISNUMBER(Marks!X$5:X$39)))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One correct option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IF(SUMPRODUCT((Marks!$BF$5:$BF$39="top")*ISNUMBER(Marks!Y$5:Y$39))=0,"",SUMPRODUCT((Marks!$BF$5:$BF$39="top")*(Marks!Y$5:Y$39=1))/SUMPRODUCT((Marks!$BF$5:$BF$39="top")*ISNUMBER(Marks!Y$5:Y$39)))</f>
        <v/>
      </c>
      <c r="K28" s="6">
        <f>IF(SUMPRODUCT((Marks!$BF$5:$BF$39="bottom")*ISNUMBER(Marks!Y$5:Y$39))=0,"",SUMPRODUCT((Marks!$BF$5:$BF$39="bottom")*(Marks!Y$5:Y$39=1))/SUMPRODUCT((Marks!$BF$5:$BF$39="bottom")*ISNUMBER(Marks!Y$5:Y$39)))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One correct option</t>
        </is>
      </c>
      <c r="D29" t="inlineStr">
        <is>
          <t>Medium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IF(SUMPRODUCT((Marks!$BF$5:$BF$39="top")*ISNUMBER(Marks!Z$5:Z$39))=0,"",SUMPRODUCT((Marks!$BF$5:$BF$39="top")*(Marks!Z$5:Z$39=1))/SUMPRODUCT((Marks!$BF$5:$BF$39="top")*ISNUMBER(Marks!Z$5:Z$39)))</f>
        <v/>
      </c>
      <c r="K29" s="6">
        <f>IF(SUMPRODUCT((Marks!$BF$5:$BF$39="bottom")*ISNUMBER(Marks!Z$5:Z$39))=0,"",SUMPRODUCT((Marks!$BF$5:$BF$39="bottom")*(Marks!Z$5:Z$39=1))/SUMPRODUCT((Marks!$BF$5:$BF$39="bottom")*ISNUMBER(Marks!Z$5:Z$39)))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More than one correct</t>
        </is>
      </c>
      <c r="D30" t="inlineStr">
        <is>
          <t>Easy</t>
        </is>
      </c>
      <c r="E30" t="inlineStr">
        <is>
          <t>[S]</t>
        </is>
      </c>
      <c r="F30" t="inlineStr">
        <is>
          <t>a, b, c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IF(SUMPRODUCT((Marks!$BF$5:$BF$39="top")*ISNUMBER(Marks!AA$5:AA$39))=0,"",SUMPRODUCT((Marks!$BF$5:$BF$39="top")*(Marks!AA$5:AA$39=1))/SUMPRODUCT((Marks!$BF$5:$BF$39="top")*ISNUMBER(Marks!AA$5:AA$39)))</f>
        <v/>
      </c>
      <c r="K30" s="6">
        <f>IF(SUMPRODUCT((Marks!$BF$5:$BF$39="bottom")*ISNUMBER(Marks!AA$5:AA$39))=0,"",SUMPRODUCT((Marks!$BF$5:$BF$39="bottom")*(Marks!AA$5:AA$39=1))/SUMPRODUCT((Marks!$BF$5:$BF$39="bottom")*ISNUMBER(Marks!AA$5:AA$39)))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More than one correct</t>
        </is>
      </c>
      <c r="D31" t="inlineStr">
        <is>
          <t>Easy</t>
        </is>
      </c>
      <c r="E31" t="inlineStr">
        <is>
          <t>[F]</t>
        </is>
      </c>
      <c r="F31" t="inlineStr">
        <is>
          <t>a, b, c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IF(SUMPRODUCT((Marks!$BF$5:$BF$39="top")*ISNUMBER(Marks!AB$5:AB$39))=0,"",SUMPRODUCT((Marks!$BF$5:$BF$39="top")*(Marks!AB$5:AB$39=1))/SUMPRODUCT((Marks!$BF$5:$BF$39="top")*ISNUMBER(Marks!AB$5:AB$39)))</f>
        <v/>
      </c>
      <c r="K31" s="6">
        <f>IF(SUMPRODUCT((Marks!$BF$5:$BF$39="bottom")*ISNUMBER(Marks!AB$5:AB$39))=0,"",SUMPRODUCT((Marks!$BF$5:$BF$39="bottom")*(Marks!AB$5:AB$39=1))/SUMPRODUCT((Marks!$BF$5:$BF$39="bottom")*ISNUMBER(Marks!AB$5:AB$39)))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3</v>
      </c>
      <c r="C32" t="inlineStr">
        <is>
          <t>Scenario set</t>
        </is>
      </c>
      <c r="D32" t="inlineStr">
        <is>
          <t>Easy</t>
        </is>
      </c>
      <c r="E32" t="inlineStr">
        <is>
          <t>[F]</t>
        </is>
      </c>
      <c r="F32" t="inlineStr">
        <is>
          <t>197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IF(SUMPRODUCT((Marks!$BF$5:$BF$39="top")*ISNUMBER(Marks!AC$5:AC$39))=0,"",SUMPRODUCT((Marks!$BF$5:$BF$39="top")*(Marks!AC$5:AC$39=1))/SUMPRODUCT((Marks!$BF$5:$BF$39="top")*ISNUMBER(Marks!AC$5:AC$39)))</f>
        <v/>
      </c>
      <c r="K32" s="6">
        <f>IF(SUMPRODUCT((Marks!$BF$5:$BF$39="bottom")*ISNUMBER(Marks!AC$5:AC$39))=0,"",SUMPRODUCT((Marks!$BF$5:$BF$39="bottom")*(Marks!AC$5:AC$39=1))/SUMPRODUCT((Marks!$BF$5:$BF$39="bottom")*ISNUMBER(Marks!AC$5:AC$39)))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3</v>
      </c>
      <c r="C33" t="inlineStr">
        <is>
          <t>Scenario set</t>
        </is>
      </c>
      <c r="D33" t="inlineStr">
        <is>
          <t>Medium</t>
        </is>
      </c>
      <c r="E33" t="inlineStr">
        <is>
          <t>[F]</t>
        </is>
      </c>
      <c r="F33" t="inlineStr">
        <is>
          <t>17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IF(SUMPRODUCT((Marks!$BF$5:$BF$39="top")*ISNUMBER(Marks!AD$5:AD$39))=0,"",SUMPRODUCT((Marks!$BF$5:$BF$39="top")*(Marks!AD$5:AD$39=1))/SUMPRODUCT((Marks!$BF$5:$BF$39="top")*ISNUMBER(Marks!AD$5:AD$39)))</f>
        <v/>
      </c>
      <c r="K33" s="6">
        <f>IF(SUMPRODUCT((Marks!$BF$5:$BF$39="bottom")*ISNUMBER(Marks!AD$5:AD$39))=0,"",SUMPRODUCT((Marks!$BF$5:$BF$39="bottom")*(Marks!AD$5:AD$39=1))/SUMPRODUCT((Marks!$BF$5:$BF$39="bottom")*ISNUMBER(Marks!AD$5:AD$39)))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3</v>
      </c>
      <c r="C34" t="inlineStr">
        <is>
          <t>Scenario set</t>
        </is>
      </c>
      <c r="D34" t="inlineStr">
        <is>
          <t>Hard</t>
        </is>
      </c>
      <c r="E34" t="inlineStr">
        <is>
          <t>[S]</t>
        </is>
      </c>
      <c r="F34" t="inlineStr">
        <is>
          <t>c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IF(SUMPRODUCT((Marks!$BF$5:$BF$39="top")*ISNUMBER(Marks!AE$5:AE$39))=0,"",SUMPRODUCT((Marks!$BF$5:$BF$39="top")*(Marks!AE$5:AE$39=1))/SUMPRODUCT((Marks!$BF$5:$BF$39="top")*ISNUMBER(Marks!AE$5:AE$39)))</f>
        <v/>
      </c>
      <c r="K34" s="6">
        <f>IF(SUMPRODUCT((Marks!$BF$5:$BF$39="bottom")*ISNUMBER(Marks!AE$5:AE$39))=0,"",SUMPRODUCT((Marks!$BF$5:$BF$39="bottom")*(Marks!AE$5:AE$39=1))/SUMPRODUCT((Marks!$BF$5:$BF$39="bottom")*ISNUMBER(Marks!AE$5:AE$39)))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3</v>
      </c>
      <c r="C35" t="inlineStr">
        <is>
          <t>Order the steps</t>
        </is>
      </c>
      <c r="D35" t="inlineStr">
        <is>
          <t>Medium</t>
        </is>
      </c>
      <c r="E35" t="inlineStr">
        <is>
          <t>[F]</t>
        </is>
      </c>
      <c r="F35" t="inlineStr">
        <is>
          <t>b, d, a, c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IF(SUMPRODUCT((Marks!$BF$5:$BF$39="top")*ISNUMBER(Marks!AF$5:AF$39))=0,"",SUMPRODUCT((Marks!$BF$5:$BF$39="top")*(Marks!AF$5:AF$39=1))/SUMPRODUCT((Marks!$BF$5:$BF$39="top")*ISNUMBER(Marks!AF$5:AF$39)))</f>
        <v/>
      </c>
      <c r="K35" s="6">
        <f>IF(SUMPRODUCT((Marks!$BF$5:$BF$39="bottom")*ISNUMBER(Marks!AF$5:AF$39))=0,"",SUMPRODUCT((Marks!$BF$5:$BF$39="bottom")*(Marks!AF$5:AF$39=1))/SUMPRODUCT((Marks!$BF$5:$BF$39="bottom")*ISNUMBER(Marks!AF$5:AF$39)))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True or false</t>
        </is>
      </c>
      <c r="D36" t="inlineStr">
        <is>
          <t>Medium</t>
        </is>
      </c>
      <c r="E36" t="inlineStr">
        <is>
          <t>[SV]</t>
        </is>
      </c>
      <c r="F36" t="inlineStr">
        <is>
          <t>False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IF(SUMPRODUCT((Marks!$BF$5:$BF$39="top")*ISNUMBER(Marks!AG$5:AG$39))=0,"",SUMPRODUCT((Marks!$BF$5:$BF$39="top")*(Marks!AG$5:AG$39=1))/SUMPRODUCT((Marks!$BF$5:$BF$39="top")*ISNUMBER(Marks!AG$5:AG$39)))</f>
        <v/>
      </c>
      <c r="K36" s="6">
        <f>IF(SUMPRODUCT((Marks!$BF$5:$BF$39="bottom")*ISNUMBER(Marks!AG$5:AG$39))=0,"",SUMPRODUCT((Marks!$BF$5:$BF$39="bottom")*(Marks!AG$5:AG$39=1))/SUMPRODUCT((Marks!$BF$5:$BF$39="bottom")*ISNUMBER(Marks!AG$5:AG$39)))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Scenario set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IF(SUMPRODUCT((Marks!$BF$5:$BF$39="top")*ISNUMBER(Marks!AH$5:AH$39))=0,"",SUMPRODUCT((Marks!$BF$5:$BF$39="top")*(Marks!AH$5:AH$39=1))/SUMPRODUCT((Marks!$BF$5:$BF$39="top")*ISNUMBER(Marks!AH$5:AH$39)))</f>
        <v/>
      </c>
      <c r="K37" s="6">
        <f>IF(SUMPRODUCT((Marks!$BF$5:$BF$39="bottom")*ISNUMBER(Marks!AH$5:AH$39))=0,"",SUMPRODUCT((Marks!$BF$5:$BF$39="bottom")*(Marks!AH$5:AH$39=1))/SUMPRODUCT((Marks!$BF$5:$BF$39="bottom")*ISNUMBER(Marks!AH$5:AH$39)))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Hard</t>
        </is>
      </c>
      <c r="E38" t="inlineStr">
        <is>
          <t>[D]</t>
        </is>
      </c>
      <c r="F38" t="inlineStr">
        <is>
          <t>b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IF(SUMPRODUCT((Marks!$BF$5:$BF$39="top")*ISNUMBER(Marks!AI$5:AI$39))=0,"",SUMPRODUCT((Marks!$BF$5:$BF$39="top")*(Marks!AI$5:AI$39=1))/SUMPRODUCT((Marks!$BF$5:$BF$39="top")*ISNUMBER(Marks!AI$5:AI$39)))</f>
        <v/>
      </c>
      <c r="K38" s="6">
        <f>IF(SUMPRODUCT((Marks!$BF$5:$BF$39="bottom")*ISNUMBER(Marks!AI$5:AI$39))=0,"",SUMPRODUCT((Marks!$BF$5:$BF$39="bottom")*(Marks!AI$5:AI$39=1))/SUMPRODUCT((Marks!$BF$5:$BF$39="bottom")*ISNUMBER(Marks!AI$5:AI$39)))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Easy</t>
        </is>
      </c>
      <c r="E39" t="inlineStr">
        <is>
          <t>[S]</t>
        </is>
      </c>
      <c r="F39" t="inlineStr">
        <is>
          <t>2.00 (or 2)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IF(SUMPRODUCT((Marks!$BF$5:$BF$39="top")*ISNUMBER(Marks!AJ$5:AJ$39))=0,"",SUMPRODUCT((Marks!$BF$5:$BF$39="top")*(Marks!AJ$5:AJ$39=1))/SUMPRODUCT((Marks!$BF$5:$BF$39="top")*ISNUMBER(Marks!AJ$5:AJ$39)))</f>
        <v/>
      </c>
      <c r="K39" s="6">
        <f>IF(SUMPRODUCT((Marks!$BF$5:$BF$39="bottom")*ISNUMBER(Marks!AJ$5:AJ$39))=0,"",SUMPRODUCT((Marks!$BF$5:$BF$39="bottom")*(Marks!AJ$5:AJ$39=1))/SUMPRODUCT((Marks!$BF$5:$BF$39="bottom")*ISNUMBER(Marks!AJ$5:AJ$39)))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Medium</t>
        </is>
      </c>
      <c r="E40" t="inlineStr">
        <is>
          <t>[S]</t>
        </is>
      </c>
      <c r="F40" t="inlineStr">
        <is>
          <t>4,000 (Rs 4,000)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IF(SUMPRODUCT((Marks!$BF$5:$BF$39="top")*ISNUMBER(Marks!AK$5:AK$39))=0,"",SUMPRODUCT((Marks!$BF$5:$BF$39="top")*(Marks!AK$5:AK$39=1))/SUMPRODUCT((Marks!$BF$5:$BF$39="top")*ISNUMBER(Marks!AK$5:AK$39)))</f>
        <v/>
      </c>
      <c r="K40" s="6">
        <f>IF(SUMPRODUCT((Marks!$BF$5:$BF$39="bottom")*ISNUMBER(Marks!AK$5:AK$39))=0,"",SUMPRODUCT((Marks!$BF$5:$BF$39="bottom")*(Marks!AK$5:AK$39=1))/SUMPRODUCT((Marks!$BF$5:$BF$39="bottom")*ISNUMBER(Marks!AK$5:AK$39)))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IF(SUMPRODUCT((Marks!$BF$5:$BF$39="top")*ISNUMBER(Marks!AL$5:AL$39))=0,"",SUMPRODUCT((Marks!$BF$5:$BF$39="top")*(Marks!AL$5:AL$39=1))/SUMPRODUCT((Marks!$BF$5:$BF$39="top")*ISNUMBER(Marks!AL$5:AL$39)))</f>
        <v/>
      </c>
      <c r="K41" s="6">
        <f>IF(SUMPRODUCT((Marks!$BF$5:$BF$39="bottom")*ISNUMBER(Marks!AL$5:AL$39))=0,"",SUMPRODUCT((Marks!$BF$5:$BF$39="bottom")*(Marks!AL$5:AL$39=1))/SUMPRODUCT((Marks!$BF$5:$BF$39="bottom")*ISNUMBER(Marks!AL$5:AL$39)))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One correct option</t>
        </is>
      </c>
      <c r="D42" t="inlineStr">
        <is>
          <t>Medium</t>
        </is>
      </c>
      <c r="E42" t="inlineStr">
        <is>
          <t>[S]</t>
        </is>
      </c>
      <c r="F42" t="inlineStr">
        <is>
          <t>d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IF(SUMPRODUCT((Marks!$BF$5:$BF$39="top")*ISNUMBER(Marks!AM$5:AM$39))=0,"",SUMPRODUCT((Marks!$BF$5:$BF$39="top")*(Marks!AM$5:AM$39=1))/SUMPRODUCT((Marks!$BF$5:$BF$39="top")*ISNUMBER(Marks!AM$5:AM$39)))</f>
        <v/>
      </c>
      <c r="K42" s="6">
        <f>IF(SUMPRODUCT((Marks!$BF$5:$BF$39="bottom")*ISNUMBER(Marks!AM$5:AM$39))=0,"",SUMPRODUCT((Marks!$BF$5:$BF$39="bottom")*(Marks!AM$5:AM$39=1))/SUMPRODUCT((Marks!$BF$5:$BF$39="bottom")*ISNUMBER(Marks!AM$5:AM$39)))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One correct option</t>
        </is>
      </c>
      <c r="D43" t="inlineStr">
        <is>
          <t>Easy</t>
        </is>
      </c>
      <c r="E43" t="inlineStr">
        <is>
          <t>[F]</t>
        </is>
      </c>
      <c r="F43" t="inlineStr">
        <is>
          <t>c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IF(SUMPRODUCT((Marks!$BF$5:$BF$39="top")*ISNUMBER(Marks!AN$5:AN$39))=0,"",SUMPRODUCT((Marks!$BF$5:$BF$39="top")*(Marks!AN$5:AN$39=1))/SUMPRODUCT((Marks!$BF$5:$BF$39="top")*ISNUMBER(Marks!AN$5:AN$39)))</f>
        <v/>
      </c>
      <c r="K43" s="6">
        <f>IF(SUMPRODUCT((Marks!$BF$5:$BF$39="bottom")*ISNUMBER(Marks!AN$5:AN$39))=0,"",SUMPRODUCT((Marks!$BF$5:$BF$39="bottom")*(Marks!AN$5:AN$39=1))/SUMPRODUCT((Marks!$BF$5:$BF$39="bottom")*ISNUMBER(Marks!AN$5:AN$39)))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4</v>
      </c>
      <c r="C44" t="inlineStr">
        <is>
          <t>One correct option</t>
        </is>
      </c>
      <c r="D44" t="inlineStr">
        <is>
          <t>Hard</t>
        </is>
      </c>
      <c r="E44" t="inlineStr">
        <is>
          <t>[F]</t>
        </is>
      </c>
      <c r="F44" t="inlineStr">
        <is>
          <t>b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IF(SUMPRODUCT((Marks!$BF$5:$BF$39="top")*ISNUMBER(Marks!AO$5:AO$39))=0,"",SUMPRODUCT((Marks!$BF$5:$BF$39="top")*(Marks!AO$5:AO$39=1))/SUMPRODUCT((Marks!$BF$5:$BF$39="top")*ISNUMBER(Marks!AO$5:AO$39)))</f>
        <v/>
      </c>
      <c r="K44" s="6">
        <f>IF(SUMPRODUCT((Marks!$BF$5:$BF$39="bottom")*ISNUMBER(Marks!AO$5:AO$39))=0,"",SUMPRODUCT((Marks!$BF$5:$BF$39="bottom")*(Marks!AO$5:AO$39=1))/SUMPRODUCT((Marks!$BF$5:$BF$39="bottom")*ISNUMBER(Marks!AO$5:AO$39)))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4</v>
      </c>
      <c r="C45" t="inlineStr">
        <is>
          <t>One correct option</t>
        </is>
      </c>
      <c r="D45" t="inlineStr">
        <is>
          <t>Hard</t>
        </is>
      </c>
      <c r="E45" t="inlineStr">
        <is>
          <t>[F]</t>
        </is>
      </c>
      <c r="F45" t="inlineStr">
        <is>
          <t>a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IF(SUMPRODUCT((Marks!$BF$5:$BF$39="top")*ISNUMBER(Marks!AP$5:AP$39))=0,"",SUMPRODUCT((Marks!$BF$5:$BF$39="top")*(Marks!AP$5:AP$39=1))/SUMPRODUCT((Marks!$BF$5:$BF$39="top")*ISNUMBER(Marks!AP$5:AP$39)))</f>
        <v/>
      </c>
      <c r="K45" s="6">
        <f>IF(SUMPRODUCT((Marks!$BF$5:$BF$39="bottom")*ISNUMBER(Marks!AP$5:AP$39))=0,"",SUMPRODUCT((Marks!$BF$5:$BF$39="bottom")*(Marks!AP$5:AP$39=1))/SUMPRODUCT((Marks!$BF$5:$BF$39="bottom")*ISNUMBER(Marks!AP$5:AP$39)))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Hard</t>
        </is>
      </c>
      <c r="E46" t="inlineStr">
        <is>
          <t>[S]</t>
        </is>
      </c>
      <c r="F46" t="inlineStr">
        <is>
          <t>c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IF(SUMPRODUCT((Marks!$BF$5:$BF$39="top")*ISNUMBER(Marks!AQ$5:AQ$39))=0,"",SUMPRODUCT((Marks!$BF$5:$BF$39="top")*(Marks!AQ$5:AQ$39=1))/SUMPRODUCT((Marks!$BF$5:$BF$39="top")*ISNUMBER(Marks!AQ$5:AQ$39)))</f>
        <v/>
      </c>
      <c r="K46" s="6">
        <f>IF(SUMPRODUCT((Marks!$BF$5:$BF$39="bottom")*ISNUMBER(Marks!AQ$5:AQ$39))=0,"",SUMPRODUCT((Marks!$BF$5:$BF$39="bottom")*(Marks!AQ$5:AQ$39=1))/SUMPRODUCT((Marks!$BF$5:$BF$39="bottom")*ISNUMBER(Marks!AQ$5:AQ$39)))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Easy</t>
        </is>
      </c>
      <c r="E47" t="inlineStr">
        <is>
          <t>[F]</t>
        </is>
      </c>
      <c r="F47" t="inlineStr">
        <is>
          <t>b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IF(SUMPRODUCT((Marks!$BF$5:$BF$39="top")*ISNUMBER(Marks!AR$5:AR$39))=0,"",SUMPRODUCT((Marks!$BF$5:$BF$39="top")*(Marks!AR$5:AR$39=1))/SUMPRODUCT((Marks!$BF$5:$BF$39="top")*ISNUMBER(Marks!AR$5:AR$39)))</f>
        <v/>
      </c>
      <c r="K47" s="6">
        <f>IF(SUMPRODUCT((Marks!$BF$5:$BF$39="bottom")*ISNUMBER(Marks!AR$5:AR$39))=0,"",SUMPRODUCT((Marks!$BF$5:$BF$39="bottom")*(Marks!AR$5:AR$39=1))/SUMPRODUCT((Marks!$BF$5:$BF$39="bottom")*ISNUMBER(Marks!AR$5:AR$39)))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a, b, c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IF(SUMPRODUCT((Marks!$BF$5:$BF$39="top")*ISNUMBER(Marks!AS$5:AS$39))=0,"",SUMPRODUCT((Marks!$BF$5:$BF$39="top")*(Marks!AS$5:AS$39=1))/SUMPRODUCT((Marks!$BF$5:$BF$39="top")*ISNUMBER(Marks!AS$5:AS$39)))</f>
        <v/>
      </c>
      <c r="K48" s="6">
        <f>IF(SUMPRODUCT((Marks!$BF$5:$BF$39="bottom")*ISNUMBER(Marks!AS$5:AS$39))=0,"",SUMPRODUCT((Marks!$BF$5:$BF$39="bottom")*(Marks!AS$5:AS$39=1))/SUMPRODUCT((Marks!$BF$5:$BF$39="bottom")*ISNUMBER(Marks!AS$5:AS$39)))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Hard</t>
        </is>
      </c>
      <c r="E49" t="inlineStr">
        <is>
          <t>[S]</t>
        </is>
      </c>
      <c r="F49" t="inlineStr">
        <is>
          <t>a, b, d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IF(SUMPRODUCT((Marks!$BF$5:$BF$39="top")*ISNUMBER(Marks!AT$5:AT$39))=0,"",SUMPRODUCT((Marks!$BF$5:$BF$39="top")*(Marks!AT$5:AT$39=1))/SUMPRODUCT((Marks!$BF$5:$BF$39="top")*ISNUMBER(Marks!AT$5:AT$39)))</f>
        <v/>
      </c>
      <c r="K49" s="6">
        <f>IF(SUMPRODUCT((Marks!$BF$5:$BF$39="bottom")*ISNUMBER(Marks!AT$5:AT$39))=0,"",SUMPRODUCT((Marks!$BF$5:$BF$39="bottom")*(Marks!AT$5:AT$39=1))/SUMPRODUCT((Marks!$BF$5:$BF$39="bottom")*ISNUMBER(Marks!AT$5:AT$39)))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Hard</t>
        </is>
      </c>
      <c r="E50" t="inlineStr">
        <is>
          <t>[D]</t>
        </is>
      </c>
      <c r="F50" t="inlineStr">
        <is>
          <t>a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IF(SUMPRODUCT((Marks!$BF$5:$BF$39="top")*ISNUMBER(Marks!AU$5:AU$39))=0,"",SUMPRODUCT((Marks!$BF$5:$BF$39="top")*(Marks!AU$5:AU$39=1))/SUMPRODUCT((Marks!$BF$5:$BF$39="top")*ISNUMBER(Marks!AU$5:AU$39)))</f>
        <v/>
      </c>
      <c r="K50" s="6">
        <f>IF(SUMPRODUCT((Marks!$BF$5:$BF$39="bottom")*ISNUMBER(Marks!AU$5:AU$39))=0,"",SUMPRODUCT((Marks!$BF$5:$BF$39="bottom")*(Marks!AU$5:AU$39=1))/SUMPRODUCT((Marks!$BF$5:$BF$39="bottom")*ISNUMBER(Marks!AU$5:AU$39)))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True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IF(SUMPRODUCT((Marks!$BF$5:$BF$39="top")*ISNUMBER(Marks!AV$5:AV$39))=0,"",SUMPRODUCT((Marks!$BF$5:$BF$39="top")*(Marks!AV$5:AV$39=1))/SUMPRODUCT((Marks!$BF$5:$BF$39="top")*ISNUMBER(Marks!AV$5:AV$39)))</f>
        <v/>
      </c>
      <c r="K51" s="6">
        <f>IF(SUMPRODUCT((Marks!$BF$5:$BF$39="bottom")*ISNUMBER(Marks!AV$5:AV$39))=0,"",SUMPRODUCT((Marks!$BF$5:$BF$39="bottom")*(Marks!AV$5:AV$39=1))/SUMPRODUCT((Marks!$BF$5:$BF$39="bottom")*ISNUMBER(Marks!AV$5:AV$39)))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Hard</t>
        </is>
      </c>
      <c r="E52" t="inlineStr">
        <is>
          <t>[D]</t>
        </is>
      </c>
      <c r="F52" t="inlineStr">
        <is>
          <t>d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IF(SUMPRODUCT((Marks!$BF$5:$BF$39="top")*ISNUMBER(Marks!AW$5:AW$39))=0,"",SUMPRODUCT((Marks!$BF$5:$BF$39="top")*(Marks!AW$5:AW$39=1))/SUMPRODUCT((Marks!$BF$5:$BF$39="top")*ISNUMBER(Marks!AW$5:AW$39)))</f>
        <v/>
      </c>
      <c r="K52" s="6">
        <f>IF(SUMPRODUCT((Marks!$BF$5:$BF$39="bottom")*ISNUMBER(Marks!AW$5:AW$39))=0,"",SUMPRODUCT((Marks!$BF$5:$BF$39="bottom")*(Marks!AW$5:AW$39=1))/SUMPRODUCT((Marks!$BF$5:$BF$39="bottom")*ISNUMBER(Marks!AW$5:AW$39)))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6</v>
      </c>
      <c r="C53" t="inlineStr">
        <is>
          <t>One correct option</t>
        </is>
      </c>
      <c r="D53" t="inlineStr">
        <is>
          <t>Easy</t>
        </is>
      </c>
      <c r="E53" t="inlineStr">
        <is>
          <t>[S]</t>
        </is>
      </c>
      <c r="F53" t="inlineStr">
        <is>
          <t>d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IF(SUMPRODUCT((Marks!$BF$5:$BF$39="top")*ISNUMBER(Marks!AX$5:AX$39))=0,"",SUMPRODUCT((Marks!$BF$5:$BF$39="top")*(Marks!AX$5:AX$39=1))/SUMPRODUCT((Marks!$BF$5:$BF$39="top")*ISNUMBER(Marks!AX$5:AX$39)))</f>
        <v/>
      </c>
      <c r="K53" s="6">
        <f>IF(SUMPRODUCT((Marks!$BF$5:$BF$39="bottom")*ISNUMBER(Marks!AX$5:AX$39))=0,"",SUMPRODUCT((Marks!$BF$5:$BF$39="bottom")*(Marks!AX$5:AX$39=1))/SUMPRODUCT((Marks!$BF$5:$BF$39="bottom")*ISNUMBER(Marks!AX$5:AX$39)))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6</v>
      </c>
      <c r="C54" t="inlineStr">
        <is>
          <t>Applied maths</t>
        </is>
      </c>
      <c r="D54" t="inlineStr">
        <is>
          <t>Hard</t>
        </is>
      </c>
      <c r="E54" t="inlineStr">
        <is>
          <t>[F]</t>
        </is>
      </c>
      <c r="F54" t="inlineStr">
        <is>
          <t>Revenue falls by 6.5 percent (1.10 x 0.85 = 0.935).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IF(SUMPRODUCT((Marks!$BF$5:$BF$39="top")*ISNUMBER(Marks!AY$5:AY$39))=0,"",SUMPRODUCT((Marks!$BF$5:$BF$39="top")*(Marks!AY$5:AY$39=1))/SUMPRODUCT((Marks!$BF$5:$BF$39="top")*ISNUMBER(Marks!AY$5:AY$39)))</f>
        <v/>
      </c>
      <c r="K54" s="6">
        <f>IF(SUMPRODUCT((Marks!$BF$5:$BF$39="bottom")*ISNUMBER(Marks!AY$5:AY$39))=0,"",SUMPRODUCT((Marks!$BF$5:$BF$39="bottom")*(Marks!AY$5:AY$39=1))/SUMPRODUCT((Marks!$BF$5:$BF$39="bottom")*ISNUMBER(Marks!AY$5:AY$39)))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6</v>
      </c>
      <c r="C55" t="inlineStr">
        <is>
          <t>Applied maths</t>
        </is>
      </c>
      <c r="D55" t="inlineStr">
        <is>
          <t>Easy</t>
        </is>
      </c>
      <c r="E55" t="inlineStr">
        <is>
          <t>[S]</t>
        </is>
      </c>
      <c r="F55" t="inlineStr">
        <is>
          <t>Median Rs 1,400; mean Rs 97,080.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IF(SUMPRODUCT((Marks!$BF$5:$BF$39="top")*ISNUMBER(Marks!AZ$5:AZ$39))=0,"",SUMPRODUCT((Marks!$BF$5:$BF$39="top")*(Marks!AZ$5:AZ$39=1))/SUMPRODUCT((Marks!$BF$5:$BF$39="top")*ISNUMBER(Marks!AZ$5:AZ$39)))</f>
        <v/>
      </c>
      <c r="K55" s="6">
        <f>IF(SUMPRODUCT((Marks!$BF$5:$BF$39="bottom")*ISNUMBER(Marks!AZ$5:AZ$39))=0,"",SUMPRODUCT((Marks!$BF$5:$BF$39="bottom")*(Marks!AZ$5:AZ$39=1))/SUMPRODUCT((Marks!$BF$5:$BF$39="bottom")*ISNUMBER(Marks!AZ$5:AZ$39)))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Applied maths</t>
        </is>
      </c>
      <c r="D56" t="inlineStr">
        <is>
          <t>Easy</t>
        </is>
      </c>
      <c r="E56" t="inlineStr">
        <is>
          <t>[S]</t>
        </is>
      </c>
      <c r="F56" t="inlineStr">
        <is>
          <t>A fall of 9.5 percent ((1.9 - 2.1) / 2.1).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IF(SUMPRODUCT((Marks!$BF$5:$BF$39="top")*ISNUMBER(Marks!BA$5:BA$39))=0,"",SUMPRODUCT((Marks!$BF$5:$BF$39="top")*(Marks!BA$5:BA$39=1))/SUMPRODUCT((Marks!$BF$5:$BF$39="top")*ISNUMBER(Marks!BA$5:BA$39)))</f>
        <v/>
      </c>
      <c r="K56" s="6">
        <f>IF(SUMPRODUCT((Marks!$BF$5:$BF$39="bottom")*ISNUMBER(Marks!BA$5:BA$39))=0,"",SUMPRODUCT((Marks!$BF$5:$BF$39="bottom")*(Marks!BA$5:BA$39=1))/SUMPRODUCT((Marks!$BF$5:$BF$39="bottom")*ISNUMBER(Marks!BA$5:BA$39)))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Applied maths</t>
        </is>
      </c>
      <c r="D57" t="inlineStr">
        <is>
          <t>Medium</t>
        </is>
      </c>
      <c r="E57" t="inlineStr">
        <is>
          <t>[S]</t>
        </is>
      </c>
      <c r="F57" t="inlineStr">
        <is>
          <t>0.028 (140 / 5,000).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IF(SUMPRODUCT((Marks!$BF$5:$BF$39="top")*ISNUMBER(Marks!BB$5:BB$39))=0,"",SUMPRODUCT((Marks!$BF$5:$BF$39="top")*(Marks!BB$5:BB$39=1))/SUMPRODUCT((Marks!$BF$5:$BF$39="top")*ISNUMBER(Marks!BB$5:BB$39)))</f>
        <v/>
      </c>
      <c r="K57" s="6">
        <f>IF(SUMPRODUCT((Marks!$BF$5:$BF$39="bottom")*ISNUMBER(Marks!BB$5:BB$39))=0,"",SUMPRODUCT((Marks!$BF$5:$BF$39="bottom")*(Marks!BB$5:BB$39=1))/SUMPRODUCT((Marks!$BF$5:$BF$39="bottom")*ISNUMBER(Marks!BB$5:BB$39)))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Applied maths</t>
        </is>
      </c>
      <c r="D58" t="inlineStr">
        <is>
          <t>Medium</t>
        </is>
      </c>
      <c r="E58" t="inlineStr">
        <is>
          <t>[S]</t>
        </is>
      </c>
      <c r="F58" t="inlineStr">
        <is>
          <t>Rs 11 crore (Rs 12 crore before discounts).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IF(SUMPRODUCT((Marks!$BF$5:$BF$39="top")*ISNUMBER(Marks!BC$5:BC$39))=0,"",SUMPRODUCT((Marks!$BF$5:$BF$39="top")*(Marks!BC$5:BC$39=1))/SUMPRODUCT((Marks!$BF$5:$BF$39="top")*ISNUMBER(Marks!BC$5:BC$39)))</f>
        <v/>
      </c>
      <c r="K58" s="6">
        <f>IF(SUMPRODUCT((Marks!$BF$5:$BF$39="bottom")*ISNUMBER(Marks!BC$5:BC$39))=0,"",SUMPRODUCT((Marks!$BF$5:$BF$39="bottom")*(Marks!BC$5:BC$39=1))/SUMPRODUCT((Marks!$BF$5:$BF$39="bottom")*ISNUMBER(Marks!BC$5:BC$39)))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IF(SUM(Items!H5:H58)=0,"No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IF(COUNT(Items!$N$5:$N$58)&lt;A5,"",INDEX(Items!$A$5:$A$58,MATCH(SMALL(Items!$N$5:$N$58,A5),Items!$N$5:$N$58,0)))</f>
        <v/>
      </c>
      <c r="C5" s="6">
        <f>IF(B5="","",INDEX(Items!$I$5:$I$58,MATCH(B5,Items!$A$5:$A$58,0)))</f>
        <v/>
      </c>
      <c r="D5">
        <f>IF(B5="","",INDEX(Items!$B$5:$B$58,MATCH(B5,Items!$A$5:$A$58,0)))</f>
        <v/>
      </c>
      <c r="E5">
        <f>IF(B5="","",INDEX(Items!$E$5:$E$58,MATCH(B5,Items!$A$5:$A$58,0)))</f>
        <v/>
      </c>
      <c r="F5">
        <f>IF(B5="","",INDEX(Items!$M$5:$M$58,MATCH(B5,Items!$A$5:$A$58,0)))</f>
        <v/>
      </c>
    </row>
    <row r="6">
      <c r="A6" t="n">
        <v>2</v>
      </c>
      <c r="B6">
        <f>IF(COUNT(Items!$N$5:$N$58)&lt;A6,"",INDEX(Items!$A$5:$A$58,MATCH(SMALL(Items!$N$5:$N$58,A6),Items!$N$5:$N$58,0)))</f>
        <v/>
      </c>
      <c r="C6" s="6">
        <f>IF(B6="","",INDEX(Items!$I$5:$I$58,MATCH(B6,Items!$A$5:$A$58,0)))</f>
        <v/>
      </c>
      <c r="D6">
        <f>IF(B6="","",INDEX(Items!$B$5:$B$58,MATCH(B6,Items!$A$5:$A$58,0)))</f>
        <v/>
      </c>
      <c r="E6">
        <f>IF(B6="","",INDEX(Items!$E$5:$E$58,MATCH(B6,Items!$A$5:$A$58,0)))</f>
        <v/>
      </c>
      <c r="F6">
        <f>IF(B6="","",INDEX(Items!$M$5:$M$58,MATCH(B6,Items!$A$5:$A$58,0)))</f>
        <v/>
      </c>
    </row>
    <row r="7">
      <c r="A7" t="n">
        <v>3</v>
      </c>
      <c r="B7">
        <f>IF(COUNT(Items!$N$5:$N$58)&lt;A7,"",INDEX(Items!$A$5:$A$58,MATCH(SMALL(Items!$N$5:$N$58,A7),Items!$N$5:$N$58,0)))</f>
        <v/>
      </c>
      <c r="C7" s="6">
        <f>IF(B7="","",INDEX(Items!$I$5:$I$58,MATCH(B7,Items!$A$5:$A$58,0)))</f>
        <v/>
      </c>
      <c r="D7">
        <f>IF(B7="","",INDEX(Items!$B$5:$B$58,MATCH(B7,Items!$A$5:$A$58,0)))</f>
        <v/>
      </c>
      <c r="E7">
        <f>IF(B7="","",INDEX(Items!$E$5:$E$58,MATCH(B7,Items!$A$5:$A$58,0)))</f>
        <v/>
      </c>
      <c r="F7">
        <f>IF(B7="","",INDEX(Items!$M$5:$M$58,MATCH(B7,Items!$A$5:$A$58,0)))</f>
        <v/>
      </c>
    </row>
    <row r="8">
      <c r="A8" t="n">
        <v>4</v>
      </c>
      <c r="B8">
        <f>IF(COUNT(Items!$N$5:$N$58)&lt;A8,"",INDEX(Items!$A$5:$A$58,MATCH(SMALL(Items!$N$5:$N$58,A8),Items!$N$5:$N$58,0)))</f>
        <v/>
      </c>
      <c r="C8" s="6">
        <f>IF(B8="","",INDEX(Items!$I$5:$I$58,MATCH(B8,Items!$A$5:$A$58,0)))</f>
        <v/>
      </c>
      <c r="D8">
        <f>IF(B8="","",INDEX(Items!$B$5:$B$58,MATCH(B8,Items!$A$5:$A$58,0)))</f>
        <v/>
      </c>
      <c r="E8">
        <f>IF(B8="","",INDEX(Items!$E$5:$E$58,MATCH(B8,Items!$A$5:$A$58,0)))</f>
        <v/>
      </c>
      <c r="F8">
        <f>IF(B8="","",INDEX(Items!$M$5:$M$58,MATCH(B8,Items!$A$5:$A$58,0)))</f>
        <v/>
      </c>
    </row>
    <row r="9">
      <c r="A9" t="n">
        <v>5</v>
      </c>
      <c r="B9">
        <f>IF(COUNT(Items!$N$5:$N$58)&lt;A9,"",INDEX(Items!$A$5:$A$58,MATCH(SMALL(Items!$N$5:$N$58,A9),Items!$N$5:$N$58,0)))</f>
        <v/>
      </c>
      <c r="C9" s="6">
        <f>IF(B9="","",INDEX(Items!$I$5:$I$58,MATCH(B9,Items!$A$5:$A$58,0)))</f>
        <v/>
      </c>
      <c r="D9">
        <f>IF(B9="","",INDEX(Items!$B$5:$B$58,MATCH(B9,Items!$A$5:$A$58,0)))</f>
        <v/>
      </c>
      <c r="E9">
        <f>IF(B9="","",INDEX(Items!$E$5:$E$58,MATCH(B9,Items!$A$5:$A$58,0)))</f>
        <v/>
      </c>
      <c r="F9">
        <f>IF(B9="","",INDEX(Items!$M$5:$M$58,MATCH(B9,Items!$A$5:$A$58,0)))</f>
        <v/>
      </c>
    </row>
    <row r="10">
      <c r="A10" t="n">
        <v>6</v>
      </c>
      <c r="B10">
        <f>IF(COUNT(Items!$N$5:$N$58)&lt;A10,"",INDEX(Items!$A$5:$A$58,MATCH(SMALL(Items!$N$5:$N$58,A10),Items!$N$5:$N$58,0)))</f>
        <v/>
      </c>
      <c r="C10" s="6">
        <f>IF(B10="","",INDEX(Items!$I$5:$I$58,MATCH(B10,Items!$A$5:$A$58,0)))</f>
        <v/>
      </c>
      <c r="D10">
        <f>IF(B10="","",INDEX(Items!$B$5:$B$58,MATCH(B10,Items!$A$5:$A$58,0)))</f>
        <v/>
      </c>
      <c r="E10">
        <f>IF(B10="","",INDEX(Items!$E$5:$E$58,MATCH(B10,Items!$A$5:$A$58,0)))</f>
        <v/>
      </c>
      <c r="F10">
        <f>IF(B10="","",INDEX(Items!$M$5:$M$58,MATCH(B10,Items!$A$5:$A$58,0)))</f>
        <v/>
      </c>
    </row>
    <row r="11">
      <c r="A11" t="n">
        <v>7</v>
      </c>
      <c r="B11">
        <f>IF(COUNT(Items!$N$5:$N$58)&lt;A11,"",INDEX(Items!$A$5:$A$58,MATCH(SMALL(Items!$N$5:$N$58,A11),Items!$N$5:$N$58,0)))</f>
        <v/>
      </c>
      <c r="C11" s="6">
        <f>IF(B11="","",INDEX(Items!$I$5:$I$58,MATCH(B11,Items!$A$5:$A$58,0)))</f>
        <v/>
      </c>
      <c r="D11">
        <f>IF(B11="","",INDEX(Items!$B$5:$B$58,MATCH(B11,Items!$A$5:$A$58,0)))</f>
        <v/>
      </c>
      <c r="E11">
        <f>IF(B11="","",INDEX(Items!$E$5:$E$58,MATCH(B11,Items!$A$5:$A$58,0)))</f>
        <v/>
      </c>
      <c r="F11">
        <f>IF(B11="","",INDEX(Items!$M$5:$M$58,MATCH(B11,Items!$A$5:$A$58,0)))</f>
        <v/>
      </c>
    </row>
    <row r="12">
      <c r="A12" t="n">
        <v>8</v>
      </c>
      <c r="B12">
        <f>IF(COUNT(Items!$N$5:$N$58)&lt;A12,"",INDEX(Items!$A$5:$A$58,MATCH(SMALL(Items!$N$5:$N$58,A12),Items!$N$5:$N$58,0)))</f>
        <v/>
      </c>
      <c r="C12" s="6">
        <f>IF(B12="","",INDEX(Items!$I$5:$I$58,MATCH(B12,Items!$A$5:$A$58,0)))</f>
        <v/>
      </c>
      <c r="D12">
        <f>IF(B12="","",INDEX(Items!$B$5:$B$58,MATCH(B12,Items!$A$5:$A$58,0)))</f>
        <v/>
      </c>
      <c r="E12">
        <f>IF(B12="","",INDEX(Items!$E$5:$E$58,MATCH(B12,Items!$A$5:$A$58,0)))</f>
        <v/>
      </c>
      <c r="F12">
        <f>IF(B12="","",INDEX(Items!$M$5:$M$58,MATCH(B12,Items!$A$5:$A$58,0)))</f>
        <v/>
      </c>
    </row>
    <row r="13">
      <c r="A13" t="n">
        <v>9</v>
      </c>
      <c r="B13">
        <f>IF(COUNT(Items!$N$5:$N$58)&lt;A13,"",INDEX(Items!$A$5:$A$58,MATCH(SMALL(Items!$N$5:$N$58,A13),Items!$N$5:$N$58,0)))</f>
        <v/>
      </c>
      <c r="C13" s="6">
        <f>IF(B13="","",INDEX(Items!$I$5:$I$58,MATCH(B13,Items!$A$5:$A$58,0)))</f>
        <v/>
      </c>
      <c r="D13">
        <f>IF(B13="","",INDEX(Items!$B$5:$B$58,MATCH(B13,Items!$A$5:$A$58,0)))</f>
        <v/>
      </c>
      <c r="E13">
        <f>IF(B13="","",INDEX(Items!$E$5:$E$58,MATCH(B13,Items!$A$5:$A$58,0)))</f>
        <v/>
      </c>
      <c r="F13">
        <f>IF(B13="","",INDEX(Items!$M$5:$M$58,MATCH(B13,Items!$A$5:$A$58,0)))</f>
        <v/>
      </c>
    </row>
    <row r="14">
      <c r="A14" t="n">
        <v>10</v>
      </c>
      <c r="B14">
        <f>IF(COUNT(Items!$N$5:$N$58)&lt;A14,"",INDEX(Items!$A$5:$A$58,MATCH(SMALL(Items!$N$5:$N$58,A14),Items!$N$5:$N$58,0)))</f>
        <v/>
      </c>
      <c r="C14" s="6">
        <f>IF(B14="","",INDEX(Items!$I$5:$I$58,MATCH(B14,Items!$A$5:$A$58,0)))</f>
        <v/>
      </c>
      <c r="D14">
        <f>IF(B14="","",INDEX(Items!$B$5:$B$58,MATCH(B14,Items!$A$5:$A$58,0)))</f>
        <v/>
      </c>
      <c r="E14">
        <f>IF(B14="","",INDEX(Items!$E$5:$E$58,MATCH(B14,Items!$A$5:$A$58,0)))</f>
        <v/>
      </c>
      <c r="F14">
        <f>IF(B14="","",INDEX(Items!$M$5:$M$58,MATCH(B14,Items!$A$5:$A$58,0)))</f>
        <v/>
      </c>
    </row>
    <row r="15">
      <c r="A15" t="n">
        <v>11</v>
      </c>
      <c r="B15">
        <f>IF(COUNT(Items!$N$5:$N$58)&lt;A15,"",INDEX(Items!$A$5:$A$58,MATCH(SMALL(Items!$N$5:$N$58,A15),Items!$N$5:$N$58,0)))</f>
        <v/>
      </c>
      <c r="C15" s="6">
        <f>IF(B15="","",INDEX(Items!$I$5:$I$58,MATCH(B15,Items!$A$5:$A$58,0)))</f>
        <v/>
      </c>
      <c r="D15">
        <f>IF(B15="","",INDEX(Items!$B$5:$B$58,MATCH(B15,Items!$A$5:$A$58,0)))</f>
        <v/>
      </c>
      <c r="E15">
        <f>IF(B15="","",INDEX(Items!$E$5:$E$58,MATCH(B15,Items!$A$5:$A$58,0)))</f>
        <v/>
      </c>
      <c r="F15">
        <f>IF(B15="","",INDEX(Items!$M$5:$M$58,MATCH(B15,Items!$A$5:$A$58,0)))</f>
        <v/>
      </c>
    </row>
    <row r="16">
      <c r="A16" t="n">
        <v>12</v>
      </c>
      <c r="B16">
        <f>IF(COUNT(Items!$N$5:$N$58)&lt;A16,"",INDEX(Items!$A$5:$A$58,MATCH(SMALL(Items!$N$5:$N$58,A16),Items!$N$5:$N$58,0)))</f>
        <v/>
      </c>
      <c r="C16" s="6">
        <f>IF(B16="","",INDEX(Items!$I$5:$I$58,MATCH(B16,Items!$A$5:$A$58,0)))</f>
        <v/>
      </c>
      <c r="D16">
        <f>IF(B16="","",INDEX(Items!$B$5:$B$58,MATCH(B16,Items!$A$5:$A$58,0)))</f>
        <v/>
      </c>
      <c r="E16">
        <f>IF(B16="","",INDEX(Items!$E$5:$E$58,MATCH(B16,Items!$A$5:$A$58,0)))</f>
        <v/>
      </c>
      <c r="F16">
        <f>IF(B16="","",INDEX(Items!$M$5:$M$58,MATCH(B16,Items!$A$5:$A$58,0)))</f>
        <v/>
      </c>
    </row>
    <row r="17">
      <c r="A17" t="n">
        <v>13</v>
      </c>
      <c r="B17">
        <f>IF(COUNT(Items!$N$5:$N$58)&lt;A17,"",INDEX(Items!$A$5:$A$58,MATCH(SMALL(Items!$N$5:$N$58,A17),Items!$N$5:$N$58,0)))</f>
        <v/>
      </c>
      <c r="C17" s="6">
        <f>IF(B17="","",INDEX(Items!$I$5:$I$58,MATCH(B17,Items!$A$5:$A$58,0)))</f>
        <v/>
      </c>
      <c r="D17">
        <f>IF(B17="","",INDEX(Items!$B$5:$B$58,MATCH(B17,Items!$A$5:$A$58,0)))</f>
        <v/>
      </c>
      <c r="E17">
        <f>IF(B17="","",INDEX(Items!$E$5:$E$58,MATCH(B17,Items!$A$5:$A$58,0)))</f>
        <v/>
      </c>
      <c r="F17">
        <f>IF(B17="","",INDEX(Items!$M$5:$M$58,MATCH(B17,Items!$A$5:$A$58,0)))</f>
        <v/>
      </c>
    </row>
    <row r="18">
      <c r="A18" t="n">
        <v>14</v>
      </c>
      <c r="B18">
        <f>IF(COUNT(Items!$N$5:$N$58)&lt;A18,"",INDEX(Items!$A$5:$A$58,MATCH(SMALL(Items!$N$5:$N$58,A18),Items!$N$5:$N$58,0)))</f>
        <v/>
      </c>
      <c r="C18" s="6">
        <f>IF(B18="","",INDEX(Items!$I$5:$I$58,MATCH(B18,Items!$A$5:$A$58,0)))</f>
        <v/>
      </c>
      <c r="D18">
        <f>IF(B18="","",INDEX(Items!$B$5:$B$58,MATCH(B18,Items!$A$5:$A$58,0)))</f>
        <v/>
      </c>
      <c r="E18">
        <f>IF(B18="","",INDEX(Items!$E$5:$E$58,MATCH(B18,Items!$A$5:$A$58,0)))</f>
        <v/>
      </c>
      <c r="F18">
        <f>IF(B18="","",INDEX(Items!$M$5:$M$58,MATCH(B18,Items!$A$5:$A$58,0)))</f>
        <v/>
      </c>
    </row>
    <row r="19">
      <c r="A19" t="n">
        <v>15</v>
      </c>
      <c r="B19">
        <f>IF(COUNT(Items!$N$5:$N$58)&lt;A19,"",INDEX(Items!$A$5:$A$58,MATCH(SMALL(Items!$N$5:$N$58,A19),Items!$N$5:$N$58,0)))</f>
        <v/>
      </c>
      <c r="C19" s="6">
        <f>IF(B19="","",INDEX(Items!$I$5:$I$58,MATCH(B19,Items!$A$5:$A$58,0)))</f>
        <v/>
      </c>
      <c r="D19">
        <f>IF(B19="","",INDEX(Items!$B$5:$B$58,MATCH(B19,Items!$A$5:$A$58,0)))</f>
        <v/>
      </c>
      <c r="E19">
        <f>IF(B19="","",INDEX(Items!$E$5:$E$58,MATCH(B19,Items!$A$5:$A$58,0)))</f>
        <v/>
      </c>
      <c r="F19">
        <f>IF(B19="","",INDEX(Items!$M$5:$M$58,MATCH(B19,Items!$A$5:$A$58,0)))</f>
        <v/>
      </c>
    </row>
    <row r="20">
      <c r="A20" t="n">
        <v>16</v>
      </c>
      <c r="B20">
        <f>IF(COUNT(Items!$N$5:$N$58)&lt;A20,"",INDEX(Items!$A$5:$A$58,MATCH(SMALL(Items!$N$5:$N$58,A20),Items!$N$5:$N$58,0)))</f>
        <v/>
      </c>
      <c r="C20" s="6">
        <f>IF(B20="","",INDEX(Items!$I$5:$I$58,MATCH(B20,Items!$A$5:$A$58,0)))</f>
        <v/>
      </c>
      <c r="D20">
        <f>IF(B20="","",INDEX(Items!$B$5:$B$58,MATCH(B20,Items!$A$5:$A$58,0)))</f>
        <v/>
      </c>
      <c r="E20">
        <f>IF(B20="","",INDEX(Items!$E$5:$E$58,MATCH(B20,Items!$A$5:$A$58,0)))</f>
        <v/>
      </c>
      <c r="F20">
        <f>IF(B20="","",INDEX(Items!$M$5:$M$58,MATCH(B20,Items!$A$5:$A$58,0)))</f>
        <v/>
      </c>
    </row>
    <row r="21">
      <c r="A21" t="n">
        <v>17</v>
      </c>
      <c r="B21">
        <f>IF(COUNT(Items!$N$5:$N$58)&lt;A21,"",INDEX(Items!$A$5:$A$58,MATCH(SMALL(Items!$N$5:$N$58,A21),Items!$N$5:$N$58,0)))</f>
        <v/>
      </c>
      <c r="C21" s="6">
        <f>IF(B21="","",INDEX(Items!$I$5:$I$58,MATCH(B21,Items!$A$5:$A$58,0)))</f>
        <v/>
      </c>
      <c r="D21">
        <f>IF(B21="","",INDEX(Items!$B$5:$B$58,MATCH(B21,Items!$A$5:$A$58,0)))</f>
        <v/>
      </c>
      <c r="E21">
        <f>IF(B21="","",INDEX(Items!$E$5:$E$58,MATCH(B21,Items!$A$5:$A$58,0)))</f>
        <v/>
      </c>
      <c r="F21">
        <f>IF(B21="","",INDEX(Items!$M$5:$M$58,MATCH(B21,Items!$A$5:$A$58,0)))</f>
        <v/>
      </c>
    </row>
    <row r="22">
      <c r="A22" t="n">
        <v>18</v>
      </c>
      <c r="B22">
        <f>IF(COUNT(Items!$N$5:$N$58)&lt;A22,"",INDEX(Items!$A$5:$A$58,MATCH(SMALL(Items!$N$5:$N$58,A22),Items!$N$5:$N$58,0)))</f>
        <v/>
      </c>
      <c r="C22" s="6">
        <f>IF(B22="","",INDEX(Items!$I$5:$I$58,MATCH(B22,Items!$A$5:$A$58,0)))</f>
        <v/>
      </c>
      <c r="D22">
        <f>IF(B22="","",INDEX(Items!$B$5:$B$58,MATCH(B22,Items!$A$5:$A$58,0)))</f>
        <v/>
      </c>
      <c r="E22">
        <f>IF(B22="","",INDEX(Items!$E$5:$E$58,MATCH(B22,Items!$A$5:$A$58,0)))</f>
        <v/>
      </c>
      <c r="F22">
        <f>IF(B22="","",INDEX(Items!$M$5:$M$58,MATCH(B22,Items!$A$5:$A$58,0)))</f>
        <v/>
      </c>
    </row>
    <row r="23">
      <c r="A23" t="n">
        <v>19</v>
      </c>
      <c r="B23">
        <f>IF(COUNT(Items!$N$5:$N$58)&lt;A23,"",INDEX(Items!$A$5:$A$58,MATCH(SMALL(Items!$N$5:$N$58,A23),Items!$N$5:$N$58,0)))</f>
        <v/>
      </c>
      <c r="C23" s="6">
        <f>IF(B23="","",INDEX(Items!$I$5:$I$58,MATCH(B23,Items!$A$5:$A$58,0)))</f>
        <v/>
      </c>
      <c r="D23">
        <f>IF(B23="","",INDEX(Items!$B$5:$B$58,MATCH(B23,Items!$A$5:$A$58,0)))</f>
        <v/>
      </c>
      <c r="E23">
        <f>IF(B23="","",INDEX(Items!$E$5:$E$58,MATCH(B23,Items!$A$5:$A$58,0)))</f>
        <v/>
      </c>
      <c r="F23">
        <f>IF(B23="","",INDEX(Items!$M$5:$M$58,MATCH(B23,Items!$A$5:$A$58,0)))</f>
        <v/>
      </c>
    </row>
    <row r="24">
      <c r="A24" t="n">
        <v>20</v>
      </c>
      <c r="B24">
        <f>IF(COUNT(Items!$N$5:$N$58)&lt;A24,"",INDEX(Items!$A$5:$A$58,MATCH(SMALL(Items!$N$5:$N$58,A24),Items!$N$5:$N$58,0)))</f>
        <v/>
      </c>
      <c r="C24" s="6">
        <f>IF(B24="","",INDEX(Items!$I$5:$I$58,MATCH(B24,Items!$A$5:$A$58,0)))</f>
        <v/>
      </c>
      <c r="D24">
        <f>IF(B24="","",INDEX(Items!$B$5:$B$58,MATCH(B24,Items!$A$5:$A$58,0)))</f>
        <v/>
      </c>
      <c r="E24">
        <f>IF(B24="","",INDEX(Items!$E$5:$E$58,MATCH(B24,Items!$A$5:$A$58,0)))</f>
        <v/>
      </c>
      <c r="F24">
        <f>IF(B24="","",INDEX(Items!$M$5:$M$58,MATCH(B24,Items!$A$5:$A$58,0)))</f>
        <v/>
      </c>
    </row>
    <row r="25">
      <c r="A25" t="n">
        <v>21</v>
      </c>
      <c r="B25">
        <f>IF(COUNT(Items!$N$5:$N$58)&lt;A25,"",INDEX(Items!$A$5:$A$58,MATCH(SMALL(Items!$N$5:$N$58,A25),Items!$N$5:$N$58,0)))</f>
        <v/>
      </c>
      <c r="C25" s="6">
        <f>IF(B25="","",INDEX(Items!$I$5:$I$58,MATCH(B25,Items!$A$5:$A$58,0)))</f>
        <v/>
      </c>
      <c r="D25">
        <f>IF(B25="","",INDEX(Items!$B$5:$B$58,MATCH(B25,Items!$A$5:$A$58,0)))</f>
        <v/>
      </c>
      <c r="E25">
        <f>IF(B25="","",INDEX(Items!$E$5:$E$58,MATCH(B25,Items!$A$5:$A$58,0)))</f>
        <v/>
      </c>
      <c r="F25">
        <f>IF(B25="","",INDEX(Items!$M$5:$M$58,MATCH(B25,Items!$A$5:$A$58,0)))</f>
        <v/>
      </c>
    </row>
    <row r="26">
      <c r="A26" t="n">
        <v>22</v>
      </c>
      <c r="B26">
        <f>IF(COUNT(Items!$N$5:$N$58)&lt;A26,"",INDEX(Items!$A$5:$A$58,MATCH(SMALL(Items!$N$5:$N$58,A26),Items!$N$5:$N$58,0)))</f>
        <v/>
      </c>
      <c r="C26" s="6">
        <f>IF(B26="","",INDEX(Items!$I$5:$I$58,MATCH(B26,Items!$A$5:$A$58,0)))</f>
        <v/>
      </c>
      <c r="D26">
        <f>IF(B26="","",INDEX(Items!$B$5:$B$58,MATCH(B26,Items!$A$5:$A$58,0)))</f>
        <v/>
      </c>
      <c r="E26">
        <f>IF(B26="","",INDEX(Items!$E$5:$E$58,MATCH(B26,Items!$A$5:$A$58,0)))</f>
        <v/>
      </c>
      <c r="F26">
        <f>IF(B26="","",INDEX(Items!$M$5:$M$58,MATCH(B26,Items!$A$5:$A$58,0)))</f>
        <v/>
      </c>
    </row>
    <row r="27">
      <c r="A27" t="n">
        <v>23</v>
      </c>
      <c r="B27">
        <f>IF(COUNT(Items!$N$5:$N$58)&lt;A27,"",INDEX(Items!$A$5:$A$58,MATCH(SMALL(Items!$N$5:$N$58,A27),Items!$N$5:$N$58,0)))</f>
        <v/>
      </c>
      <c r="C27" s="6">
        <f>IF(B27="","",INDEX(Items!$I$5:$I$58,MATCH(B27,Items!$A$5:$A$58,0)))</f>
        <v/>
      </c>
      <c r="D27">
        <f>IF(B27="","",INDEX(Items!$B$5:$B$58,MATCH(B27,Items!$A$5:$A$58,0)))</f>
        <v/>
      </c>
      <c r="E27">
        <f>IF(B27="","",INDEX(Items!$E$5:$E$58,MATCH(B27,Items!$A$5:$A$58,0)))</f>
        <v/>
      </c>
      <c r="F27">
        <f>IF(B27="","",INDEX(Items!$M$5:$M$58,MATCH(B27,Items!$A$5:$A$58,0)))</f>
        <v/>
      </c>
    </row>
    <row r="28">
      <c r="A28" t="n">
        <v>24</v>
      </c>
      <c r="B28">
        <f>IF(COUNT(Items!$N$5:$N$58)&lt;A28,"",INDEX(Items!$A$5:$A$58,MATCH(SMALL(Items!$N$5:$N$58,A28),Items!$N$5:$N$58,0)))</f>
        <v/>
      </c>
      <c r="C28" s="6">
        <f>IF(B28="","",INDEX(Items!$I$5:$I$58,MATCH(B28,Items!$A$5:$A$58,0)))</f>
        <v/>
      </c>
      <c r="D28">
        <f>IF(B28="","",INDEX(Items!$B$5:$B$58,MATCH(B28,Items!$A$5:$A$58,0)))</f>
        <v/>
      </c>
      <c r="E28">
        <f>IF(B28="","",INDEX(Items!$E$5:$E$58,MATCH(B28,Items!$A$5:$A$58,0)))</f>
        <v/>
      </c>
      <c r="F28">
        <f>IF(B28="","",INDEX(Items!$M$5:$M$58,MATCH(B28,Items!$A$5:$A$58,0)))</f>
        <v/>
      </c>
    </row>
    <row r="29">
      <c r="A29" t="n">
        <v>25</v>
      </c>
      <c r="B29">
        <f>IF(COUNT(Items!$N$5:$N$58)&lt;A29,"",INDEX(Items!$A$5:$A$58,MATCH(SMALL(Items!$N$5:$N$58,A29),Items!$N$5:$N$58,0)))</f>
        <v/>
      </c>
      <c r="C29" s="6">
        <f>IF(B29="","",INDEX(Items!$I$5:$I$58,MATCH(B29,Items!$A$5:$A$58,0)))</f>
        <v/>
      </c>
      <c r="D29">
        <f>IF(B29="","",INDEX(Items!$B$5:$B$58,MATCH(B29,Items!$A$5:$A$58,0)))</f>
        <v/>
      </c>
      <c r="E29">
        <f>IF(B29="","",INDEX(Items!$E$5:$E$58,MATCH(B29,Items!$A$5:$A$58,0)))</f>
        <v/>
      </c>
      <c r="F29">
        <f>IF(B29="","",INDEX(Items!$M$5:$M$58,MATCH(B29,Items!$A$5:$A$58,0)))</f>
        <v/>
      </c>
    </row>
    <row r="30">
      <c r="A30" t="n">
        <v>26</v>
      </c>
      <c r="B30">
        <f>IF(COUNT(Items!$N$5:$N$58)&lt;A30,"",INDEX(Items!$A$5:$A$58,MATCH(SMALL(Items!$N$5:$N$58,A30),Items!$N$5:$N$58,0)))</f>
        <v/>
      </c>
      <c r="C30" s="6">
        <f>IF(B30="","",INDEX(Items!$I$5:$I$58,MATCH(B30,Items!$A$5:$A$58,0)))</f>
        <v/>
      </c>
      <c r="D30">
        <f>IF(B30="","",INDEX(Items!$B$5:$B$58,MATCH(B30,Items!$A$5:$A$58,0)))</f>
        <v/>
      </c>
      <c r="E30">
        <f>IF(B30="","",INDEX(Items!$E$5:$E$58,MATCH(B30,Items!$A$5:$A$58,0)))</f>
        <v/>
      </c>
      <c r="F30">
        <f>IF(B30="","",INDEX(Items!$M$5:$M$58,MATCH(B30,Items!$A$5:$A$58,0)))</f>
        <v/>
      </c>
    </row>
    <row r="31">
      <c r="A31" t="n">
        <v>27</v>
      </c>
      <c r="B31">
        <f>IF(COUNT(Items!$N$5:$N$58)&lt;A31,"",INDEX(Items!$A$5:$A$58,MATCH(SMALL(Items!$N$5:$N$58,A31),Items!$N$5:$N$58,0)))</f>
        <v/>
      </c>
      <c r="C31" s="6">
        <f>IF(B31="","",INDEX(Items!$I$5:$I$58,MATCH(B31,Items!$A$5:$A$58,0)))</f>
        <v/>
      </c>
      <c r="D31">
        <f>IF(B31="","",INDEX(Items!$B$5:$B$58,MATCH(B31,Items!$A$5:$A$58,0)))</f>
        <v/>
      </c>
      <c r="E31">
        <f>IF(B31="","",INDEX(Items!$E$5:$E$58,MATCH(B31,Items!$A$5:$A$58,0)))</f>
        <v/>
      </c>
      <c r="F31">
        <f>IF(B31="","",INDEX(Items!$M$5:$M$58,MATCH(B31,Items!$A$5:$A$58,0)))</f>
        <v/>
      </c>
    </row>
    <row r="32">
      <c r="A32" t="n">
        <v>28</v>
      </c>
      <c r="B32">
        <f>IF(COUNT(Items!$N$5:$N$58)&lt;A32,"",INDEX(Items!$A$5:$A$58,MATCH(SMALL(Items!$N$5:$N$58,A32),Items!$N$5:$N$58,0)))</f>
        <v/>
      </c>
      <c r="C32" s="6">
        <f>IF(B32="","",INDEX(Items!$I$5:$I$58,MATCH(B32,Items!$A$5:$A$58,0)))</f>
        <v/>
      </c>
      <c r="D32">
        <f>IF(B32="","",INDEX(Items!$B$5:$B$58,MATCH(B32,Items!$A$5:$A$58,0)))</f>
        <v/>
      </c>
      <c r="E32">
        <f>IF(B32="","",INDEX(Items!$E$5:$E$58,MATCH(B32,Items!$A$5:$A$58,0)))</f>
        <v/>
      </c>
      <c r="F32">
        <f>IF(B32="","",INDEX(Items!$M$5:$M$58,MATCH(B32,Items!$A$5:$A$58,0)))</f>
        <v/>
      </c>
    </row>
    <row r="33">
      <c r="A33" t="n">
        <v>29</v>
      </c>
      <c r="B33">
        <f>IF(COUNT(Items!$N$5:$N$58)&lt;A33,"",INDEX(Items!$A$5:$A$58,MATCH(SMALL(Items!$N$5:$N$58,A33),Items!$N$5:$N$58,0)))</f>
        <v/>
      </c>
      <c r="C33" s="6">
        <f>IF(B33="","",INDEX(Items!$I$5:$I$58,MATCH(B33,Items!$A$5:$A$58,0)))</f>
        <v/>
      </c>
      <c r="D33">
        <f>IF(B33="","",INDEX(Items!$B$5:$B$58,MATCH(B33,Items!$A$5:$A$58,0)))</f>
        <v/>
      </c>
      <c r="E33">
        <f>IF(B33="","",INDEX(Items!$E$5:$E$58,MATCH(B33,Items!$A$5:$A$58,0)))</f>
        <v/>
      </c>
      <c r="F33">
        <f>IF(B33="","",INDEX(Items!$M$5:$M$58,MATCH(B33,Items!$A$5:$A$58,0)))</f>
        <v/>
      </c>
    </row>
    <row r="34">
      <c r="A34" t="n">
        <v>30</v>
      </c>
      <c r="B34">
        <f>IF(COUNT(Items!$N$5:$N$58)&lt;A34,"",INDEX(Items!$A$5:$A$58,MATCH(SMALL(Items!$N$5:$N$58,A34),Items!$N$5:$N$58,0)))</f>
        <v/>
      </c>
      <c r="C34" s="6">
        <f>IF(B34="","",INDEX(Items!$I$5:$I$58,MATCH(B34,Items!$A$5:$A$58,0)))</f>
        <v/>
      </c>
      <c r="D34">
        <f>IF(B34="","",INDEX(Items!$B$5:$B$58,MATCH(B34,Items!$A$5:$A$58,0)))</f>
        <v/>
      </c>
      <c r="E34">
        <f>IF(B34="","",INDEX(Items!$E$5:$E$58,MATCH(B34,Items!$A$5:$A$58,0)))</f>
        <v/>
      </c>
      <c r="F34">
        <f>IF(B34="","",INDEX(Items!$M$5:$M$58,MATCH(B34,Items!$A$5:$A$58,0)))</f>
        <v/>
      </c>
    </row>
    <row r="35">
      <c r="A35" t="n">
        <v>31</v>
      </c>
      <c r="B35">
        <f>IF(COUNT(Items!$N$5:$N$58)&lt;A35,"",INDEX(Items!$A$5:$A$58,MATCH(SMALL(Items!$N$5:$N$58,A35),Items!$N$5:$N$58,0)))</f>
        <v/>
      </c>
      <c r="C35" s="6">
        <f>IF(B35="","",INDEX(Items!$I$5:$I$58,MATCH(B35,Items!$A$5:$A$58,0)))</f>
        <v/>
      </c>
      <c r="D35">
        <f>IF(B35="","",INDEX(Items!$B$5:$B$58,MATCH(B35,Items!$A$5:$A$58,0)))</f>
        <v/>
      </c>
      <c r="E35">
        <f>IF(B35="","",INDEX(Items!$E$5:$E$58,MATCH(B35,Items!$A$5:$A$58,0)))</f>
        <v/>
      </c>
      <c r="F35">
        <f>IF(B35="","",INDEX(Items!$M$5:$M$58,MATCH(B35,Items!$A$5:$A$58,0)))</f>
        <v/>
      </c>
    </row>
    <row r="36">
      <c r="A36" t="n">
        <v>32</v>
      </c>
      <c r="B36">
        <f>IF(COUNT(Items!$N$5:$N$58)&lt;A36,"",INDEX(Items!$A$5:$A$58,MATCH(SMALL(Items!$N$5:$N$58,A36),Items!$N$5:$N$58,0)))</f>
        <v/>
      </c>
      <c r="C36" s="6">
        <f>IF(B36="","",INDEX(Items!$I$5:$I$58,MATCH(B36,Items!$A$5:$A$58,0)))</f>
        <v/>
      </c>
      <c r="D36">
        <f>IF(B36="","",INDEX(Items!$B$5:$B$58,MATCH(B36,Items!$A$5:$A$58,0)))</f>
        <v/>
      </c>
      <c r="E36">
        <f>IF(B36="","",INDEX(Items!$E$5:$E$58,MATCH(B36,Items!$A$5:$A$58,0)))</f>
        <v/>
      </c>
      <c r="F36">
        <f>IF(B36="","",INDEX(Items!$M$5:$M$58,MATCH(B36,Items!$A$5:$A$58,0)))</f>
        <v/>
      </c>
    </row>
    <row r="37">
      <c r="A37" t="n">
        <v>33</v>
      </c>
      <c r="B37">
        <f>IF(COUNT(Items!$N$5:$N$58)&lt;A37,"",INDEX(Items!$A$5:$A$58,MATCH(SMALL(Items!$N$5:$N$58,A37),Items!$N$5:$N$58,0)))</f>
        <v/>
      </c>
      <c r="C37" s="6">
        <f>IF(B37="","",INDEX(Items!$I$5:$I$58,MATCH(B37,Items!$A$5:$A$58,0)))</f>
        <v/>
      </c>
      <c r="D37">
        <f>IF(B37="","",INDEX(Items!$B$5:$B$58,MATCH(B37,Items!$A$5:$A$58,0)))</f>
        <v/>
      </c>
      <c r="E37">
        <f>IF(B37="","",INDEX(Items!$E$5:$E$58,MATCH(B37,Items!$A$5:$A$58,0)))</f>
        <v/>
      </c>
      <c r="F37">
        <f>IF(B37="","",INDEX(Items!$M$5:$M$58,MATCH(B37,Items!$A$5:$A$58,0)))</f>
        <v/>
      </c>
    </row>
    <row r="38">
      <c r="A38" t="n">
        <v>34</v>
      </c>
      <c r="B38">
        <f>IF(COUNT(Items!$N$5:$N$58)&lt;A38,"",INDEX(Items!$A$5:$A$58,MATCH(SMALL(Items!$N$5:$N$58,A38),Items!$N$5:$N$58,0)))</f>
        <v/>
      </c>
      <c r="C38" s="6">
        <f>IF(B38="","",INDEX(Items!$I$5:$I$58,MATCH(B38,Items!$A$5:$A$58,0)))</f>
        <v/>
      </c>
      <c r="D38">
        <f>IF(B38="","",INDEX(Items!$B$5:$B$58,MATCH(B38,Items!$A$5:$A$58,0)))</f>
        <v/>
      </c>
      <c r="E38">
        <f>IF(B38="","",INDEX(Items!$E$5:$E$58,MATCH(B38,Items!$A$5:$A$58,0)))</f>
        <v/>
      </c>
      <c r="F38">
        <f>IF(B38="","",INDEX(Items!$M$5:$M$58,MATCH(B38,Items!$A$5:$A$58,0)))</f>
        <v/>
      </c>
    </row>
    <row r="39">
      <c r="A39" t="n">
        <v>35</v>
      </c>
      <c r="B39">
        <f>IF(COUNT(Items!$N$5:$N$58)&lt;A39,"",INDEX(Items!$A$5:$A$58,MATCH(SMALL(Items!$N$5:$N$58,A39),Items!$N$5:$N$58,0)))</f>
        <v/>
      </c>
      <c r="C39" s="6">
        <f>IF(B39="","",INDEX(Items!$I$5:$I$58,MATCH(B39,Items!$A$5:$A$58,0)))</f>
        <v/>
      </c>
      <c r="D39">
        <f>IF(B39="","",INDEX(Items!$B$5:$B$58,MATCH(B39,Items!$A$5:$A$58,0)))</f>
        <v/>
      </c>
      <c r="E39">
        <f>IF(B39="","",INDEX(Items!$E$5:$E$58,MATCH(B39,Items!$A$5:$A$58,0)))</f>
        <v/>
      </c>
      <c r="F39">
        <f>IF(B39="","",INDEX(Items!$M$5:$M$58,MATCH(B39,Items!$A$5:$A$58,0)))</f>
        <v/>
      </c>
    </row>
    <row r="40">
      <c r="A40" t="n">
        <v>36</v>
      </c>
      <c r="B40">
        <f>IF(COUNT(Items!$N$5:$N$58)&lt;A40,"",INDEX(Items!$A$5:$A$58,MATCH(SMALL(Items!$N$5:$N$58,A40),Items!$N$5:$N$58,0)))</f>
        <v/>
      </c>
      <c r="C40" s="6">
        <f>IF(B40="","",INDEX(Items!$I$5:$I$58,MATCH(B40,Items!$A$5:$A$58,0)))</f>
        <v/>
      </c>
      <c r="D40">
        <f>IF(B40="","",INDEX(Items!$B$5:$B$58,MATCH(B40,Items!$A$5:$A$58,0)))</f>
        <v/>
      </c>
      <c r="E40">
        <f>IF(B40="","",INDEX(Items!$E$5:$E$58,MATCH(B40,Items!$A$5:$A$58,0)))</f>
        <v/>
      </c>
      <c r="F40">
        <f>IF(B40="","",INDEX(Items!$M$5:$M$58,MATCH(B40,Items!$A$5:$A$58,0)))</f>
        <v/>
      </c>
    </row>
    <row r="41">
      <c r="A41" t="n">
        <v>37</v>
      </c>
      <c r="B41">
        <f>IF(COUNT(Items!$N$5:$N$58)&lt;A41,"",INDEX(Items!$A$5:$A$58,MATCH(SMALL(Items!$N$5:$N$58,A41),Items!$N$5:$N$58,0)))</f>
        <v/>
      </c>
      <c r="C41" s="6">
        <f>IF(B41="","",INDEX(Items!$I$5:$I$58,MATCH(B41,Items!$A$5:$A$58,0)))</f>
        <v/>
      </c>
      <c r="D41">
        <f>IF(B41="","",INDEX(Items!$B$5:$B$58,MATCH(B41,Items!$A$5:$A$58,0)))</f>
        <v/>
      </c>
      <c r="E41">
        <f>IF(B41="","",INDEX(Items!$E$5:$E$58,MATCH(B41,Items!$A$5:$A$58,0)))</f>
        <v/>
      </c>
      <c r="F41">
        <f>IF(B41="","",INDEX(Items!$M$5:$M$58,MATCH(B41,Items!$A$5:$A$58,0)))</f>
        <v/>
      </c>
    </row>
    <row r="42">
      <c r="A42" t="n">
        <v>38</v>
      </c>
      <c r="B42">
        <f>IF(COUNT(Items!$N$5:$N$58)&lt;A42,"",INDEX(Items!$A$5:$A$58,MATCH(SMALL(Items!$N$5:$N$58,A42),Items!$N$5:$N$58,0)))</f>
        <v/>
      </c>
      <c r="C42" s="6">
        <f>IF(B42="","",INDEX(Items!$I$5:$I$58,MATCH(B42,Items!$A$5:$A$58,0)))</f>
        <v/>
      </c>
      <c r="D42">
        <f>IF(B42="","",INDEX(Items!$B$5:$B$58,MATCH(B42,Items!$A$5:$A$58,0)))</f>
        <v/>
      </c>
      <c r="E42">
        <f>IF(B42="","",INDEX(Items!$E$5:$E$58,MATCH(B42,Items!$A$5:$A$58,0)))</f>
        <v/>
      </c>
      <c r="F42">
        <f>IF(B42="","",INDEX(Items!$M$5:$M$58,MATCH(B42,Items!$A$5:$A$58,0)))</f>
        <v/>
      </c>
    </row>
    <row r="43">
      <c r="A43" t="n">
        <v>39</v>
      </c>
      <c r="B43">
        <f>IF(COUNT(Items!$N$5:$N$58)&lt;A43,"",INDEX(Items!$A$5:$A$58,MATCH(SMALL(Items!$N$5:$N$58,A43),Items!$N$5:$N$58,0)))</f>
        <v/>
      </c>
      <c r="C43" s="6">
        <f>IF(B43="","",INDEX(Items!$I$5:$I$58,MATCH(B43,Items!$A$5:$A$58,0)))</f>
        <v/>
      </c>
      <c r="D43">
        <f>IF(B43="","",INDEX(Items!$B$5:$B$58,MATCH(B43,Items!$A$5:$A$58,0)))</f>
        <v/>
      </c>
      <c r="E43">
        <f>IF(B43="","",INDEX(Items!$E$5:$E$58,MATCH(B43,Items!$A$5:$A$58,0)))</f>
        <v/>
      </c>
      <c r="F43">
        <f>IF(B43="","",INDEX(Items!$M$5:$M$58,MATCH(B43,Items!$A$5:$A$58,0)))</f>
        <v/>
      </c>
    </row>
    <row r="44">
      <c r="A44" t="n">
        <v>40</v>
      </c>
      <c r="B44">
        <f>IF(COUNT(Items!$N$5:$N$58)&lt;A44,"",INDEX(Items!$A$5:$A$58,MATCH(SMALL(Items!$N$5:$N$58,A44),Items!$N$5:$N$58,0)))</f>
        <v/>
      </c>
      <c r="C44" s="6">
        <f>IF(B44="","",INDEX(Items!$I$5:$I$58,MATCH(B44,Items!$A$5:$A$58,0)))</f>
        <v/>
      </c>
      <c r="D44">
        <f>IF(B44="","",INDEX(Items!$B$5:$B$58,MATCH(B44,Items!$A$5:$A$58,0)))</f>
        <v/>
      </c>
      <c r="E44">
        <f>IF(B44="","",INDEX(Items!$E$5:$E$58,MATCH(B44,Items!$A$5:$A$58,0)))</f>
        <v/>
      </c>
      <c r="F44">
        <f>IF(B44="","",INDEX(Items!$M$5:$M$58,MATCH(B44,Items!$A$5:$A$58,0)))</f>
        <v/>
      </c>
    </row>
    <row r="45">
      <c r="A45" t="n">
        <v>41</v>
      </c>
      <c r="B45">
        <f>IF(COUNT(Items!$N$5:$N$58)&lt;A45,"",INDEX(Items!$A$5:$A$58,MATCH(SMALL(Items!$N$5:$N$58,A45),Items!$N$5:$N$58,0)))</f>
        <v/>
      </c>
      <c r="C45" s="6">
        <f>IF(B45="","",INDEX(Items!$I$5:$I$58,MATCH(B45,Items!$A$5:$A$58,0)))</f>
        <v/>
      </c>
      <c r="D45">
        <f>IF(B45="","",INDEX(Items!$B$5:$B$58,MATCH(B45,Items!$A$5:$A$58,0)))</f>
        <v/>
      </c>
      <c r="E45">
        <f>IF(B45="","",INDEX(Items!$E$5:$E$58,MATCH(B45,Items!$A$5:$A$58,0)))</f>
        <v/>
      </c>
      <c r="F45">
        <f>IF(B45="","",INDEX(Items!$M$5:$M$58,MATCH(B45,Items!$A$5:$A$58,0)))</f>
        <v/>
      </c>
    </row>
    <row r="46">
      <c r="A46" t="n">
        <v>42</v>
      </c>
      <c r="B46">
        <f>IF(COUNT(Items!$N$5:$N$58)&lt;A46,"",INDEX(Items!$A$5:$A$58,MATCH(SMALL(Items!$N$5:$N$58,A46),Items!$N$5:$N$58,0)))</f>
        <v/>
      </c>
      <c r="C46" s="6">
        <f>IF(B46="","",INDEX(Items!$I$5:$I$58,MATCH(B46,Items!$A$5:$A$58,0)))</f>
        <v/>
      </c>
      <c r="D46">
        <f>IF(B46="","",INDEX(Items!$B$5:$B$58,MATCH(B46,Items!$A$5:$A$58,0)))</f>
        <v/>
      </c>
      <c r="E46">
        <f>IF(B46="","",INDEX(Items!$E$5:$E$58,MATCH(B46,Items!$A$5:$A$58,0)))</f>
        <v/>
      </c>
      <c r="F46">
        <f>IF(B46="","",INDEX(Items!$M$5:$M$58,MATCH(B46,Items!$A$5:$A$58,0)))</f>
        <v/>
      </c>
    </row>
    <row r="47">
      <c r="A47" t="n">
        <v>43</v>
      </c>
      <c r="B47">
        <f>IF(COUNT(Items!$N$5:$N$58)&lt;A47,"",INDEX(Items!$A$5:$A$58,MATCH(SMALL(Items!$N$5:$N$58,A47),Items!$N$5:$N$58,0)))</f>
        <v/>
      </c>
      <c r="C47" s="6">
        <f>IF(B47="","",INDEX(Items!$I$5:$I$58,MATCH(B47,Items!$A$5:$A$58,0)))</f>
        <v/>
      </c>
      <c r="D47">
        <f>IF(B47="","",INDEX(Items!$B$5:$B$58,MATCH(B47,Items!$A$5:$A$58,0)))</f>
        <v/>
      </c>
      <c r="E47">
        <f>IF(B47="","",INDEX(Items!$E$5:$E$58,MATCH(B47,Items!$A$5:$A$58,0)))</f>
        <v/>
      </c>
      <c r="F47">
        <f>IF(B47="","",INDEX(Items!$M$5:$M$58,MATCH(B47,Items!$A$5:$A$58,0)))</f>
        <v/>
      </c>
    </row>
    <row r="48">
      <c r="A48" t="n">
        <v>44</v>
      </c>
      <c r="B48">
        <f>IF(COUNT(Items!$N$5:$N$58)&lt;A48,"",INDEX(Items!$A$5:$A$58,MATCH(SMALL(Items!$N$5:$N$58,A48),Items!$N$5:$N$58,0)))</f>
        <v/>
      </c>
      <c r="C48" s="6">
        <f>IF(B48="","",INDEX(Items!$I$5:$I$58,MATCH(B48,Items!$A$5:$A$58,0)))</f>
        <v/>
      </c>
      <c r="D48">
        <f>IF(B48="","",INDEX(Items!$B$5:$B$58,MATCH(B48,Items!$A$5:$A$58,0)))</f>
        <v/>
      </c>
      <c r="E48">
        <f>IF(B48="","",INDEX(Items!$E$5:$E$58,MATCH(B48,Items!$A$5:$A$58,0)))</f>
        <v/>
      </c>
      <c r="F48">
        <f>IF(B48="","",INDEX(Items!$M$5:$M$58,MATCH(B48,Items!$A$5:$A$58,0)))</f>
        <v/>
      </c>
    </row>
    <row r="49">
      <c r="A49" t="n">
        <v>45</v>
      </c>
      <c r="B49">
        <f>IF(COUNT(Items!$N$5:$N$58)&lt;A49,"",INDEX(Items!$A$5:$A$58,MATCH(SMALL(Items!$N$5:$N$58,A49),Items!$N$5:$N$58,0)))</f>
        <v/>
      </c>
      <c r="C49" s="6">
        <f>IF(B49="","",INDEX(Items!$I$5:$I$58,MATCH(B49,Items!$A$5:$A$58,0)))</f>
        <v/>
      </c>
      <c r="D49">
        <f>IF(B49="","",INDEX(Items!$B$5:$B$58,MATCH(B49,Items!$A$5:$A$58,0)))</f>
        <v/>
      </c>
      <c r="E49">
        <f>IF(B49="","",INDEX(Items!$E$5:$E$58,MATCH(B49,Items!$A$5:$A$58,0)))</f>
        <v/>
      </c>
      <c r="F49">
        <f>IF(B49="","",INDEX(Items!$M$5:$M$58,MATCH(B49,Items!$A$5:$A$58,0)))</f>
        <v/>
      </c>
    </row>
    <row r="50">
      <c r="A50" t="n">
        <v>46</v>
      </c>
      <c r="B50">
        <f>IF(COUNT(Items!$N$5:$N$58)&lt;A50,"",INDEX(Items!$A$5:$A$58,MATCH(SMALL(Items!$N$5:$N$58,A50),Items!$N$5:$N$58,0)))</f>
        <v/>
      </c>
      <c r="C50" s="6">
        <f>IF(B50="","",INDEX(Items!$I$5:$I$58,MATCH(B50,Items!$A$5:$A$58,0)))</f>
        <v/>
      </c>
      <c r="D50">
        <f>IF(B50="","",INDEX(Items!$B$5:$B$58,MATCH(B50,Items!$A$5:$A$58,0)))</f>
        <v/>
      </c>
      <c r="E50">
        <f>IF(B50="","",INDEX(Items!$E$5:$E$58,MATCH(B50,Items!$A$5:$A$58,0)))</f>
        <v/>
      </c>
      <c r="F50">
        <f>IF(B50="","",INDEX(Items!$M$5:$M$58,MATCH(B50,Items!$A$5:$A$58,0)))</f>
        <v/>
      </c>
    </row>
    <row r="51">
      <c r="A51" t="n">
        <v>47</v>
      </c>
      <c r="B51">
        <f>IF(COUNT(Items!$N$5:$N$58)&lt;A51,"",INDEX(Items!$A$5:$A$58,MATCH(SMALL(Items!$N$5:$N$58,A51),Items!$N$5:$N$58,0)))</f>
        <v/>
      </c>
      <c r="C51" s="6">
        <f>IF(B51="","",INDEX(Items!$I$5:$I$58,MATCH(B51,Items!$A$5:$A$58,0)))</f>
        <v/>
      </c>
      <c r="D51">
        <f>IF(B51="","",INDEX(Items!$B$5:$B$58,MATCH(B51,Items!$A$5:$A$58,0)))</f>
        <v/>
      </c>
      <c r="E51">
        <f>IF(B51="","",INDEX(Items!$E$5:$E$58,MATCH(B51,Items!$A$5:$A$58,0)))</f>
        <v/>
      </c>
      <c r="F51">
        <f>IF(B51="","",INDEX(Items!$M$5:$M$58,MATCH(B51,Items!$A$5:$A$58,0)))</f>
        <v/>
      </c>
    </row>
    <row r="52">
      <c r="A52" t="n">
        <v>48</v>
      </c>
      <c r="B52">
        <f>IF(COUNT(Items!$N$5:$N$58)&lt;A52,"",INDEX(Items!$A$5:$A$58,MATCH(SMALL(Items!$N$5:$N$58,A52),Items!$N$5:$N$58,0)))</f>
        <v/>
      </c>
      <c r="C52" s="6">
        <f>IF(B52="","",INDEX(Items!$I$5:$I$58,MATCH(B52,Items!$A$5:$A$58,0)))</f>
        <v/>
      </c>
      <c r="D52">
        <f>IF(B52="","",INDEX(Items!$B$5:$B$58,MATCH(B52,Items!$A$5:$A$58,0)))</f>
        <v/>
      </c>
      <c r="E52">
        <f>IF(B52="","",INDEX(Items!$E$5:$E$58,MATCH(B52,Items!$A$5:$A$58,0)))</f>
        <v/>
      </c>
      <c r="F52">
        <f>IF(B52="","",INDEX(Items!$M$5:$M$58,MATCH(B52,Items!$A$5:$A$58,0)))</f>
        <v/>
      </c>
    </row>
    <row r="53">
      <c r="A53" t="n">
        <v>49</v>
      </c>
      <c r="B53">
        <f>IF(COUNT(Items!$N$5:$N$58)&lt;A53,"",INDEX(Items!$A$5:$A$58,MATCH(SMALL(Items!$N$5:$N$58,A53),Items!$N$5:$N$58,0)))</f>
        <v/>
      </c>
      <c r="C53" s="6">
        <f>IF(B53="","",INDEX(Items!$I$5:$I$58,MATCH(B53,Items!$A$5:$A$58,0)))</f>
        <v/>
      </c>
      <c r="D53">
        <f>IF(B53="","",INDEX(Items!$B$5:$B$58,MATCH(B53,Items!$A$5:$A$58,0)))</f>
        <v/>
      </c>
      <c r="E53">
        <f>IF(B53="","",INDEX(Items!$E$5:$E$58,MATCH(B53,Items!$A$5:$A$58,0)))</f>
        <v/>
      </c>
      <c r="F53">
        <f>IF(B53="","",INDEX(Items!$M$5:$M$58,MATCH(B53,Items!$A$5:$A$58,0)))</f>
        <v/>
      </c>
    </row>
    <row r="54">
      <c r="A54" t="n">
        <v>50</v>
      </c>
      <c r="B54">
        <f>IF(COUNT(Items!$N$5:$N$58)&lt;A54,"",INDEX(Items!$A$5:$A$58,MATCH(SMALL(Items!$N$5:$N$58,A54),Items!$N$5:$N$58,0)))</f>
        <v/>
      </c>
      <c r="C54" s="6">
        <f>IF(B54="","",INDEX(Items!$I$5:$I$58,MATCH(B54,Items!$A$5:$A$58,0)))</f>
        <v/>
      </c>
      <c r="D54">
        <f>IF(B54="","",INDEX(Items!$B$5:$B$58,MATCH(B54,Items!$A$5:$A$58,0)))</f>
        <v/>
      </c>
      <c r="E54">
        <f>IF(B54="","",INDEX(Items!$E$5:$E$58,MATCH(B54,Items!$A$5:$A$58,0)))</f>
        <v/>
      </c>
      <c r="F54">
        <f>IF(B54="","",INDEX(Items!$M$5:$M$58,MATCH(B54,Items!$A$5:$A$58,0)))</f>
        <v/>
      </c>
    </row>
    <row r="55">
      <c r="A55" t="n">
        <v>51</v>
      </c>
      <c r="B55">
        <f>IF(COUNT(Items!$N$5:$N$58)&lt;A55,"",INDEX(Items!$A$5:$A$58,MATCH(SMALL(Items!$N$5:$N$58,A55),Items!$N$5:$N$58,0)))</f>
        <v/>
      </c>
      <c r="C55" s="6">
        <f>IF(B55="","",INDEX(Items!$I$5:$I$58,MATCH(B55,Items!$A$5:$A$58,0)))</f>
        <v/>
      </c>
      <c r="D55">
        <f>IF(B55="","",INDEX(Items!$B$5:$B$58,MATCH(B55,Items!$A$5:$A$58,0)))</f>
        <v/>
      </c>
      <c r="E55">
        <f>IF(B55="","",INDEX(Items!$E$5:$E$58,MATCH(B55,Items!$A$5:$A$58,0)))</f>
        <v/>
      </c>
      <c r="F55">
        <f>IF(B55="","",INDEX(Items!$M$5:$M$58,MATCH(B55,Items!$A$5:$A$58,0)))</f>
        <v/>
      </c>
    </row>
    <row r="56">
      <c r="A56" t="n">
        <v>52</v>
      </c>
      <c r="B56">
        <f>IF(COUNT(Items!$N$5:$N$58)&lt;A56,"",INDEX(Items!$A$5:$A$58,MATCH(SMALL(Items!$N$5:$N$58,A56),Items!$N$5:$N$58,0)))</f>
        <v/>
      </c>
      <c r="C56" s="6">
        <f>IF(B56="","",INDEX(Items!$I$5:$I$58,MATCH(B56,Items!$A$5:$A$58,0)))</f>
        <v/>
      </c>
      <c r="D56">
        <f>IF(B56="","",INDEX(Items!$B$5:$B$58,MATCH(B56,Items!$A$5:$A$58,0)))</f>
        <v/>
      </c>
      <c r="E56">
        <f>IF(B56="","",INDEX(Items!$E$5:$E$58,MATCH(B56,Items!$A$5:$A$58,0)))</f>
        <v/>
      </c>
      <c r="F56">
        <f>IF(B56="","",INDEX(Items!$M$5:$M$58,MATCH(B56,Items!$A$5:$A$58,0)))</f>
        <v/>
      </c>
    </row>
    <row r="57">
      <c r="A57" t="n">
        <v>53</v>
      </c>
      <c r="B57">
        <f>IF(COUNT(Items!$N$5:$N$58)&lt;A57,"",INDEX(Items!$A$5:$A$58,MATCH(SMALL(Items!$N$5:$N$58,A57),Items!$N$5:$N$58,0)))</f>
        <v/>
      </c>
      <c r="C57" s="6">
        <f>IF(B57="","",INDEX(Items!$I$5:$I$58,MATCH(B57,Items!$A$5:$A$58,0)))</f>
        <v/>
      </c>
      <c r="D57">
        <f>IF(B57="","",INDEX(Items!$B$5:$B$58,MATCH(B57,Items!$A$5:$A$58,0)))</f>
        <v/>
      </c>
      <c r="E57">
        <f>IF(B57="","",INDEX(Items!$E$5:$E$58,MATCH(B57,Items!$A$5:$A$58,0)))</f>
        <v/>
      </c>
      <c r="F57">
        <f>IF(B57="","",INDEX(Items!$M$5:$M$58,MATCH(B57,Items!$A$5:$A$58,0)))</f>
        <v/>
      </c>
    </row>
    <row r="58">
      <c r="A58" t="n">
        <v>54</v>
      </c>
      <c r="B58">
        <f>IF(COUNT(Items!$N$5:$N$58)&lt;A58,"",INDEX(Items!$A$5:$A$58,MATCH(SMALL(Items!$N$5:$N$58,A58),Items!$N$5:$N$58,0)))</f>
        <v/>
      </c>
      <c r="C58" s="6">
        <f>IF(B58="","",INDEX(Items!$I$5:$I$58,MATCH(B58,Items!$A$5:$A$58,0)))</f>
        <v/>
      </c>
      <c r="D58">
        <f>IF(B58="","",INDEX(Items!$B$5:$B$58,MATCH(B58,Items!$A$5:$A$58,0)))</f>
        <v/>
      </c>
      <c r="E58">
        <f>IF(B58="","",INDEX(Items!$E$5:$E$58,MATCH(B58,Items!$A$5:$A$58,0)))</f>
        <v/>
      </c>
      <c r="F58">
        <f>IF(B58="","",INDEX(Items!$M$5:$M$58,MATCH(B58,Items!$A$5:$A$58,0)))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COUNTIF(Items!$E$5:$E$58,A5)</f>
        <v/>
      </c>
      <c r="D5" s="6">
        <f>IF(SUMPRODUCT((Items!$E$5:$E$58=A5)*Items!$H$5:$H$58)=0,"",SUMPRODUCT((Items!$E$5:$E$58=A5)*Items!$G$5:$G$58)/SUMPRODUCT((Items!$E$5:$E$58=A5)*Items!$H$5:$H$58))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COUNTIF(Items!$E$5:$E$58,A6)</f>
        <v/>
      </c>
      <c r="D6" s="6">
        <f>IF(SUMPRODUCT((Items!$E$5:$E$58=A6)*Items!$H$5:$H$58)=0,"",SUMPRODUCT((Items!$E$5:$E$58=A6)*Items!$G$5:$G$58)/SUMPRODUCT((Items!$E$5:$E$58=A6)*Items!$H$5:$H$58))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COUNTIF(Items!$E$5:$E$58,A7)</f>
        <v/>
      </c>
      <c r="D7" s="6">
        <f>IF(SUMPRODUCT((Items!$E$5:$E$58=A7)*Items!$H$5:$H$58)=0,"",SUMPRODUCT((Items!$E$5:$E$58=A7)*Items!$G$5:$G$58)/SUMPRODUCT((Items!$E$5:$E$58=A7)*Items!$H$5:$H$58))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COUNTIF(Items!$E$5:$E$58,A8)</f>
        <v/>
      </c>
      <c r="D8" s="6">
        <f>IF(SUMPRODUCT((Items!$E$5:$E$58=A8)*Items!$H$5:$H$58)=0,"",SUMPRODUCT((Items!$E$5:$E$58=A8)*Items!$G$5:$G$58)/SUMPRODUCT((Items!$E$5:$E$58=A8)*Items!$H$5:$H$58))</f>
        <v/>
      </c>
    </row>
    <row r="9">
      <c r="A9" t="n">
        <v>1</v>
      </c>
      <c r="B9" t="inlineStr">
        <is>
          <t>Part 1. The week's rules, cold</t>
        </is>
      </c>
      <c r="C9">
        <f>COUNTIF(Items!$B$5:$B$58,A9)</f>
        <v/>
      </c>
      <c r="D9" s="6">
        <f>IF(SUMPRODUCT((Items!$B$5:$B$58=A9)*Items!$H$5:$H$58)=0,"",SUMPRODUCT((Items!$B$5:$B$58=A9)*Items!$G$5:$G$58)/SUMPRODUCT((Items!$B$5:$B$58=A9)*Items!$H$5:$H$58))</f>
        <v/>
      </c>
    </row>
    <row r="10">
      <c r="A10" t="n">
        <v>2</v>
      </c>
      <c r="B10" t="inlineStr">
        <is>
          <t>Part 2. Where did the revenue go</t>
        </is>
      </c>
      <c r="C10">
        <f>COUNTIF(Items!$B$5:$B$58,A10)</f>
        <v/>
      </c>
      <c r="D10" s="6">
        <f>IF(SUMPRODUCT((Items!$B$5:$B$58=A10)*Items!$H$5:$H$58)=0,"",SUMPRODUCT((Items!$B$5:$B$58=A10)*Items!$G$5:$G$58)/SUMPRODUCT((Items!$B$5:$B$58=A10)*Items!$H$5:$H$58))</f>
        <v/>
      </c>
    </row>
    <row r="11">
      <c r="A11" t="n">
        <v>3</v>
      </c>
      <c r="B11" t="inlineStr">
        <is>
          <t>Part 3. Rows you can trust</t>
        </is>
      </c>
      <c r="C11">
        <f>COUNTIF(Items!$B$5:$B$58,A11)</f>
        <v/>
      </c>
      <c r="D11" s="6">
        <f>IF(SUMPRODUCT((Items!$B$5:$B$58=A11)*Items!$H$5:$H$58)=0,"",SUMPRODUCT((Items!$B$5:$B$58=A11)*Items!$G$5:$G$58)/SUMPRODUCT((Items!$B$5:$B$58=A11)*Items!$H$5:$H$58))</f>
        <v/>
      </c>
    </row>
    <row r="12">
      <c r="A12" t="n">
        <v>4</v>
      </c>
      <c r="B12" t="inlineStr">
        <is>
          <t>Part 4. Read the code, read the data</t>
        </is>
      </c>
      <c r="C12">
        <f>COUNTIF(Items!$B$5:$B$58,A12)</f>
        <v/>
      </c>
      <c r="D12" s="6">
        <f>IF(SUMPRODUCT((Items!$B$5:$B$58=A12)*Items!$H$5:$H$58)=0,"",SUMPRODUCT((Items!$B$5:$B$58=A12)*Items!$G$5:$G$58)/SUMPRODUCT((Items!$B$5:$B$58=A12)*Items!$H$5:$H$58))</f>
        <v/>
      </c>
    </row>
    <row r="13">
      <c r="A13" t="n">
        <v>5</v>
      </c>
      <c r="B13" t="inlineStr">
        <is>
          <t>Part 5. Chance and a fair test</t>
        </is>
      </c>
      <c r="C13">
        <f>COUNTIF(Items!$B$5:$B$58,A13)</f>
        <v/>
      </c>
      <c r="D13" s="6">
        <f>IF(SUMPRODUCT((Items!$B$5:$B$58=A13)*Items!$H$5:$H$58)=0,"",SUMPRODUCT((Items!$B$5:$B$58=A13)*Items!$G$5:$G$58)/SUMPRODUCT((Items!$B$5:$B$58=A13)*Items!$H$5:$H$58))</f>
        <v/>
      </c>
    </row>
    <row r="14">
      <c r="A14" t="n">
        <v>6</v>
      </c>
      <c r="B14" t="inlineStr">
        <is>
          <t>Part 6. The numbers</t>
        </is>
      </c>
      <c r="C14">
        <f>COUNTIF(Items!$B$5:$B$58,A14)</f>
        <v/>
      </c>
      <c r="D14" s="6">
        <f>IF(SUMPRODUCT((Items!$B$5:$B$58=A14)*Items!$H$5:$H$58)=0,"",SUMPRODUCT((Items!$B$5:$B$58=A14)*Items!$G$5:$G$58)/SUMPRODUCT((Items!$B$5:$B$58=A14)*Items!$H$5:$H$58))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IF(SUMPRODUCT((Marks!$B$3:$BC$3=B$4)*ISNUMBER(Marks!$B$5:$BC$5))=0,"",SUMPRODUCT((Marks!$B$3:$BC$3=B$4)*(Marks!$B$5:$BC$5=1))/SUMPRODUCT((Marks!$B$3:$BC$3=B$4)*ISNUMBER(Marks!$B$5:$BC$5)))</f>
        <v/>
      </c>
      <c r="C5" s="6">
        <f>IF(SUMPRODUCT((Marks!$B$3:$BC$3=C$4)*ISNUMBER(Marks!$B$5:$BC$5))=0,"",SUMPRODUCT((Marks!$B$3:$BC$3=C$4)*(Marks!$B$5:$BC$5=1))/SUMPRODUCT((Marks!$B$3:$BC$3=C$4)*ISNUMBER(Marks!$B$5:$BC$5)))</f>
        <v/>
      </c>
      <c r="D5" s="6">
        <f>IF(SUMPRODUCT((Marks!$B$3:$BC$3=D$4)*ISNUMBER(Marks!$B$5:$BC$5))=0,"",SUMPRODUCT((Marks!$B$3:$BC$3=D$4)*(Marks!$B$5:$BC$5=1))/SUMPRODUCT((Marks!$B$3:$BC$3=D$4)*ISNUMBER(Marks!$B$5:$BC$5)))</f>
        <v/>
      </c>
      <c r="E5" s="6">
        <f>IF(SUMPRODUCT((Marks!$B$3:$BC$3=E$4)*ISNUMBER(Marks!$B$5:$BC$5))=0,"",SUMPRODUCT((Marks!$B$3:$BC$3=E$4)*(Marks!$B$5:$BC$5=1))/SUMPRODUCT((Marks!$B$3:$BC$3=E$4)*ISNUMBER(Marks!$B$5:$BC$5)))</f>
        <v/>
      </c>
    </row>
    <row r="6">
      <c r="A6" t="n">
        <v>2</v>
      </c>
      <c r="B6" s="6">
        <f>IF(SUMPRODUCT((Marks!$B$3:$BC$3=B$4)*ISNUMBER(Marks!$B$6:$BC$6))=0,"",SUMPRODUCT((Marks!$B$3:$BC$3=B$4)*(Marks!$B$6:$BC$6=1))/SUMPRODUCT((Marks!$B$3:$BC$3=B$4)*ISNUMBER(Marks!$B$6:$BC$6)))</f>
        <v/>
      </c>
      <c r="C6" s="6">
        <f>IF(SUMPRODUCT((Marks!$B$3:$BC$3=C$4)*ISNUMBER(Marks!$B$6:$BC$6))=0,"",SUMPRODUCT((Marks!$B$3:$BC$3=C$4)*(Marks!$B$6:$BC$6=1))/SUMPRODUCT((Marks!$B$3:$BC$3=C$4)*ISNUMBER(Marks!$B$6:$BC$6)))</f>
        <v/>
      </c>
      <c r="D6" s="6">
        <f>IF(SUMPRODUCT((Marks!$B$3:$BC$3=D$4)*ISNUMBER(Marks!$B$6:$BC$6))=0,"",SUMPRODUCT((Marks!$B$3:$BC$3=D$4)*(Marks!$B$6:$BC$6=1))/SUMPRODUCT((Marks!$B$3:$BC$3=D$4)*ISNUMBER(Marks!$B$6:$BC$6)))</f>
        <v/>
      </c>
      <c r="E6" s="6">
        <f>IF(SUMPRODUCT((Marks!$B$3:$BC$3=E$4)*ISNUMBER(Marks!$B$6:$BC$6))=0,"",SUMPRODUCT((Marks!$B$3:$BC$3=E$4)*(Marks!$B$6:$BC$6=1))/SUMPRODUCT((Marks!$B$3:$BC$3=E$4)*ISNUMBER(Marks!$B$6:$BC$6)))</f>
        <v/>
      </c>
    </row>
    <row r="7">
      <c r="A7" t="n">
        <v>3</v>
      </c>
      <c r="B7" s="6">
        <f>IF(SUMPRODUCT((Marks!$B$3:$BC$3=B$4)*ISNUMBER(Marks!$B$7:$BC$7))=0,"",SUMPRODUCT((Marks!$B$3:$BC$3=B$4)*(Marks!$B$7:$BC$7=1))/SUMPRODUCT((Marks!$B$3:$BC$3=B$4)*ISNUMBER(Marks!$B$7:$BC$7)))</f>
        <v/>
      </c>
      <c r="C7" s="6">
        <f>IF(SUMPRODUCT((Marks!$B$3:$BC$3=C$4)*ISNUMBER(Marks!$B$7:$BC$7))=0,"",SUMPRODUCT((Marks!$B$3:$BC$3=C$4)*(Marks!$B$7:$BC$7=1))/SUMPRODUCT((Marks!$B$3:$BC$3=C$4)*ISNUMBER(Marks!$B$7:$BC$7)))</f>
        <v/>
      </c>
      <c r="D7" s="6">
        <f>IF(SUMPRODUCT((Marks!$B$3:$BC$3=D$4)*ISNUMBER(Marks!$B$7:$BC$7))=0,"",SUMPRODUCT((Marks!$B$3:$BC$3=D$4)*(Marks!$B$7:$BC$7=1))/SUMPRODUCT((Marks!$B$3:$BC$3=D$4)*ISNUMBER(Marks!$B$7:$BC$7)))</f>
        <v/>
      </c>
      <c r="E7" s="6">
        <f>IF(SUMPRODUCT((Marks!$B$3:$BC$3=E$4)*ISNUMBER(Marks!$B$7:$BC$7))=0,"",SUMPRODUCT((Marks!$B$3:$BC$3=E$4)*(Marks!$B$7:$BC$7=1))/SUMPRODUCT((Marks!$B$3:$BC$3=E$4)*ISNUMBER(Marks!$B$7:$BC$7)))</f>
        <v/>
      </c>
    </row>
    <row r="8">
      <c r="A8" t="n">
        <v>4</v>
      </c>
      <c r="B8" s="6">
        <f>IF(SUMPRODUCT((Marks!$B$3:$BC$3=B$4)*ISNUMBER(Marks!$B$8:$BC$8))=0,"",SUMPRODUCT((Marks!$B$3:$BC$3=B$4)*(Marks!$B$8:$BC$8=1))/SUMPRODUCT((Marks!$B$3:$BC$3=B$4)*ISNUMBER(Marks!$B$8:$BC$8)))</f>
        <v/>
      </c>
      <c r="C8" s="6">
        <f>IF(SUMPRODUCT((Marks!$B$3:$BC$3=C$4)*ISNUMBER(Marks!$B$8:$BC$8))=0,"",SUMPRODUCT((Marks!$B$3:$BC$3=C$4)*(Marks!$B$8:$BC$8=1))/SUMPRODUCT((Marks!$B$3:$BC$3=C$4)*ISNUMBER(Marks!$B$8:$BC$8)))</f>
        <v/>
      </c>
      <c r="D8" s="6">
        <f>IF(SUMPRODUCT((Marks!$B$3:$BC$3=D$4)*ISNUMBER(Marks!$B$8:$BC$8))=0,"",SUMPRODUCT((Marks!$B$3:$BC$3=D$4)*(Marks!$B$8:$BC$8=1))/SUMPRODUCT((Marks!$B$3:$BC$3=D$4)*ISNUMBER(Marks!$B$8:$BC$8)))</f>
        <v/>
      </c>
      <c r="E8" s="6">
        <f>IF(SUMPRODUCT((Marks!$B$3:$BC$3=E$4)*ISNUMBER(Marks!$B$8:$BC$8))=0,"",SUMPRODUCT((Marks!$B$3:$BC$3=E$4)*(Marks!$B$8:$BC$8=1))/SUMPRODUCT((Marks!$B$3:$BC$3=E$4)*ISNUMBER(Marks!$B$8:$BC$8)))</f>
        <v/>
      </c>
    </row>
    <row r="9">
      <c r="A9" t="n">
        <v>5</v>
      </c>
      <c r="B9" s="6">
        <f>IF(SUMPRODUCT((Marks!$B$3:$BC$3=B$4)*ISNUMBER(Marks!$B$9:$BC$9))=0,"",SUMPRODUCT((Marks!$B$3:$BC$3=B$4)*(Marks!$B$9:$BC$9=1))/SUMPRODUCT((Marks!$B$3:$BC$3=B$4)*ISNUMBER(Marks!$B$9:$BC$9)))</f>
        <v/>
      </c>
      <c r="C9" s="6">
        <f>IF(SUMPRODUCT((Marks!$B$3:$BC$3=C$4)*ISNUMBER(Marks!$B$9:$BC$9))=0,"",SUMPRODUCT((Marks!$B$3:$BC$3=C$4)*(Marks!$B$9:$BC$9=1))/SUMPRODUCT((Marks!$B$3:$BC$3=C$4)*ISNUMBER(Marks!$B$9:$BC$9)))</f>
        <v/>
      </c>
      <c r="D9" s="6">
        <f>IF(SUMPRODUCT((Marks!$B$3:$BC$3=D$4)*ISNUMBER(Marks!$B$9:$BC$9))=0,"",SUMPRODUCT((Marks!$B$3:$BC$3=D$4)*(Marks!$B$9:$BC$9=1))/SUMPRODUCT((Marks!$B$3:$BC$3=D$4)*ISNUMBER(Marks!$B$9:$BC$9)))</f>
        <v/>
      </c>
      <c r="E9" s="6">
        <f>IF(SUMPRODUCT((Marks!$B$3:$BC$3=E$4)*ISNUMBER(Marks!$B$9:$BC$9))=0,"",SUMPRODUCT((Marks!$B$3:$BC$3=E$4)*(Marks!$B$9:$BC$9=1))/SUMPRODUCT((Marks!$B$3:$BC$3=E$4)*ISNUMBER(Marks!$B$9:$BC$9)))</f>
        <v/>
      </c>
    </row>
    <row r="10">
      <c r="A10" t="n">
        <v>6</v>
      </c>
      <c r="B10" s="6">
        <f>IF(SUMPRODUCT((Marks!$B$3:$BC$3=B$4)*ISNUMBER(Marks!$B$10:$BC$10))=0,"",SUMPRODUCT((Marks!$B$3:$BC$3=B$4)*(Marks!$B$10:$BC$10=1))/SUMPRODUCT((Marks!$B$3:$BC$3=B$4)*ISNUMBER(Marks!$B$10:$BC$10)))</f>
        <v/>
      </c>
      <c r="C10" s="6">
        <f>IF(SUMPRODUCT((Marks!$B$3:$BC$3=C$4)*ISNUMBER(Marks!$B$10:$BC$10))=0,"",SUMPRODUCT((Marks!$B$3:$BC$3=C$4)*(Marks!$B$10:$BC$10=1))/SUMPRODUCT((Marks!$B$3:$BC$3=C$4)*ISNUMBER(Marks!$B$10:$BC$10)))</f>
        <v/>
      </c>
      <c r="D10" s="6">
        <f>IF(SUMPRODUCT((Marks!$B$3:$BC$3=D$4)*ISNUMBER(Marks!$B$10:$BC$10))=0,"",SUMPRODUCT((Marks!$B$3:$BC$3=D$4)*(Marks!$B$10:$BC$10=1))/SUMPRODUCT((Marks!$B$3:$BC$3=D$4)*ISNUMBER(Marks!$B$10:$BC$10)))</f>
        <v/>
      </c>
      <c r="E10" s="6">
        <f>IF(SUMPRODUCT((Marks!$B$3:$BC$3=E$4)*ISNUMBER(Marks!$B$10:$BC$10))=0,"",SUMPRODUCT((Marks!$B$3:$BC$3=E$4)*(Marks!$B$10:$BC$10=1))/SUMPRODUCT((Marks!$B$3:$BC$3=E$4)*ISNUMBER(Marks!$B$10:$BC$10)))</f>
        <v/>
      </c>
    </row>
    <row r="11">
      <c r="A11" t="n">
        <v>7</v>
      </c>
      <c r="B11" s="6">
        <f>IF(SUMPRODUCT((Marks!$B$3:$BC$3=B$4)*ISNUMBER(Marks!$B$11:$BC$11))=0,"",SUMPRODUCT((Marks!$B$3:$BC$3=B$4)*(Marks!$B$11:$BC$11=1))/SUMPRODUCT((Marks!$B$3:$BC$3=B$4)*ISNUMBER(Marks!$B$11:$BC$11)))</f>
        <v/>
      </c>
      <c r="C11" s="6">
        <f>IF(SUMPRODUCT((Marks!$B$3:$BC$3=C$4)*ISNUMBER(Marks!$B$11:$BC$11))=0,"",SUMPRODUCT((Marks!$B$3:$BC$3=C$4)*(Marks!$B$11:$BC$11=1))/SUMPRODUCT((Marks!$B$3:$BC$3=C$4)*ISNUMBER(Marks!$B$11:$BC$11)))</f>
        <v/>
      </c>
      <c r="D11" s="6">
        <f>IF(SUMPRODUCT((Marks!$B$3:$BC$3=D$4)*ISNUMBER(Marks!$B$11:$BC$11))=0,"",SUMPRODUCT((Marks!$B$3:$BC$3=D$4)*(Marks!$B$11:$BC$11=1))/SUMPRODUCT((Marks!$B$3:$BC$3=D$4)*ISNUMBER(Marks!$B$11:$BC$11)))</f>
        <v/>
      </c>
      <c r="E11" s="6">
        <f>IF(SUMPRODUCT((Marks!$B$3:$BC$3=E$4)*ISNUMBER(Marks!$B$11:$BC$11))=0,"",SUMPRODUCT((Marks!$B$3:$BC$3=E$4)*(Marks!$B$11:$BC$11=1))/SUMPRODUCT((Marks!$B$3:$BC$3=E$4)*ISNUMBER(Marks!$B$11:$BC$11)))</f>
        <v/>
      </c>
    </row>
    <row r="12">
      <c r="A12" t="n">
        <v>8</v>
      </c>
      <c r="B12" s="6">
        <f>IF(SUMPRODUCT((Marks!$B$3:$BC$3=B$4)*ISNUMBER(Marks!$B$12:$BC$12))=0,"",SUMPRODUCT((Marks!$B$3:$BC$3=B$4)*(Marks!$B$12:$BC$12=1))/SUMPRODUCT((Marks!$B$3:$BC$3=B$4)*ISNUMBER(Marks!$B$12:$BC$12)))</f>
        <v/>
      </c>
      <c r="C12" s="6">
        <f>IF(SUMPRODUCT((Marks!$B$3:$BC$3=C$4)*ISNUMBER(Marks!$B$12:$BC$12))=0,"",SUMPRODUCT((Marks!$B$3:$BC$3=C$4)*(Marks!$B$12:$BC$12=1))/SUMPRODUCT((Marks!$B$3:$BC$3=C$4)*ISNUMBER(Marks!$B$12:$BC$12)))</f>
        <v/>
      </c>
      <c r="D12" s="6">
        <f>IF(SUMPRODUCT((Marks!$B$3:$BC$3=D$4)*ISNUMBER(Marks!$B$12:$BC$12))=0,"",SUMPRODUCT((Marks!$B$3:$BC$3=D$4)*(Marks!$B$12:$BC$12=1))/SUMPRODUCT((Marks!$B$3:$BC$3=D$4)*ISNUMBER(Marks!$B$12:$BC$12)))</f>
        <v/>
      </c>
      <c r="E12" s="6">
        <f>IF(SUMPRODUCT((Marks!$B$3:$BC$3=E$4)*ISNUMBER(Marks!$B$12:$BC$12))=0,"",SUMPRODUCT((Marks!$B$3:$BC$3=E$4)*(Marks!$B$12:$BC$12=1))/SUMPRODUCT((Marks!$B$3:$BC$3=E$4)*ISNUMBER(Marks!$B$12:$BC$12)))</f>
        <v/>
      </c>
    </row>
    <row r="13">
      <c r="A13" t="n">
        <v>9</v>
      </c>
      <c r="B13" s="6">
        <f>IF(SUMPRODUCT((Marks!$B$3:$BC$3=B$4)*ISNUMBER(Marks!$B$13:$BC$13))=0,"",SUMPRODUCT((Marks!$B$3:$BC$3=B$4)*(Marks!$B$13:$BC$13=1))/SUMPRODUCT((Marks!$B$3:$BC$3=B$4)*ISNUMBER(Marks!$B$13:$BC$13)))</f>
        <v/>
      </c>
      <c r="C13" s="6">
        <f>IF(SUMPRODUCT((Marks!$B$3:$BC$3=C$4)*ISNUMBER(Marks!$B$13:$BC$13))=0,"",SUMPRODUCT((Marks!$B$3:$BC$3=C$4)*(Marks!$B$13:$BC$13=1))/SUMPRODUCT((Marks!$B$3:$BC$3=C$4)*ISNUMBER(Marks!$B$13:$BC$13)))</f>
        <v/>
      </c>
      <c r="D13" s="6">
        <f>IF(SUMPRODUCT((Marks!$B$3:$BC$3=D$4)*ISNUMBER(Marks!$B$13:$BC$13))=0,"",SUMPRODUCT((Marks!$B$3:$BC$3=D$4)*(Marks!$B$13:$BC$13=1))/SUMPRODUCT((Marks!$B$3:$BC$3=D$4)*ISNUMBER(Marks!$B$13:$BC$13)))</f>
        <v/>
      </c>
      <c r="E13" s="6">
        <f>IF(SUMPRODUCT((Marks!$B$3:$BC$3=E$4)*ISNUMBER(Marks!$B$13:$BC$13))=0,"",SUMPRODUCT((Marks!$B$3:$BC$3=E$4)*(Marks!$B$13:$BC$13=1))/SUMPRODUCT((Marks!$B$3:$BC$3=E$4)*ISNUMBER(Marks!$B$13:$BC$13)))</f>
        <v/>
      </c>
    </row>
    <row r="14">
      <c r="A14" t="n">
        <v>10</v>
      </c>
      <c r="B14" s="6">
        <f>IF(SUMPRODUCT((Marks!$B$3:$BC$3=B$4)*ISNUMBER(Marks!$B$14:$BC$14))=0,"",SUMPRODUCT((Marks!$B$3:$BC$3=B$4)*(Marks!$B$14:$BC$14=1))/SUMPRODUCT((Marks!$B$3:$BC$3=B$4)*ISNUMBER(Marks!$B$14:$BC$14)))</f>
        <v/>
      </c>
      <c r="C14" s="6">
        <f>IF(SUMPRODUCT((Marks!$B$3:$BC$3=C$4)*ISNUMBER(Marks!$B$14:$BC$14))=0,"",SUMPRODUCT((Marks!$B$3:$BC$3=C$4)*(Marks!$B$14:$BC$14=1))/SUMPRODUCT((Marks!$B$3:$BC$3=C$4)*ISNUMBER(Marks!$B$14:$BC$14)))</f>
        <v/>
      </c>
      <c r="D14" s="6">
        <f>IF(SUMPRODUCT((Marks!$B$3:$BC$3=D$4)*ISNUMBER(Marks!$B$14:$BC$14))=0,"",SUMPRODUCT((Marks!$B$3:$BC$3=D$4)*(Marks!$B$14:$BC$14=1))/SUMPRODUCT((Marks!$B$3:$BC$3=D$4)*ISNUMBER(Marks!$B$14:$BC$14)))</f>
        <v/>
      </c>
      <c r="E14" s="6">
        <f>IF(SUMPRODUCT((Marks!$B$3:$BC$3=E$4)*ISNUMBER(Marks!$B$14:$BC$14))=0,"",SUMPRODUCT((Marks!$B$3:$BC$3=E$4)*(Marks!$B$14:$BC$14=1))/SUMPRODUCT((Marks!$B$3:$BC$3=E$4)*ISNUMBER(Marks!$B$14:$BC$14)))</f>
        <v/>
      </c>
    </row>
    <row r="15">
      <c r="A15" t="n">
        <v>11</v>
      </c>
      <c r="B15" s="6">
        <f>IF(SUMPRODUCT((Marks!$B$3:$BC$3=B$4)*ISNUMBER(Marks!$B$15:$BC$15))=0,"",SUMPRODUCT((Marks!$B$3:$BC$3=B$4)*(Marks!$B$15:$BC$15=1))/SUMPRODUCT((Marks!$B$3:$BC$3=B$4)*ISNUMBER(Marks!$B$15:$BC$15)))</f>
        <v/>
      </c>
      <c r="C15" s="6">
        <f>IF(SUMPRODUCT((Marks!$B$3:$BC$3=C$4)*ISNUMBER(Marks!$B$15:$BC$15))=0,"",SUMPRODUCT((Marks!$B$3:$BC$3=C$4)*(Marks!$B$15:$BC$15=1))/SUMPRODUCT((Marks!$B$3:$BC$3=C$4)*ISNUMBER(Marks!$B$15:$BC$15)))</f>
        <v/>
      </c>
      <c r="D15" s="6">
        <f>IF(SUMPRODUCT((Marks!$B$3:$BC$3=D$4)*ISNUMBER(Marks!$B$15:$BC$15))=0,"",SUMPRODUCT((Marks!$B$3:$BC$3=D$4)*(Marks!$B$15:$BC$15=1))/SUMPRODUCT((Marks!$B$3:$BC$3=D$4)*ISNUMBER(Marks!$B$15:$BC$15)))</f>
        <v/>
      </c>
      <c r="E15" s="6">
        <f>IF(SUMPRODUCT((Marks!$B$3:$BC$3=E$4)*ISNUMBER(Marks!$B$15:$BC$15))=0,"",SUMPRODUCT((Marks!$B$3:$BC$3=E$4)*(Marks!$B$15:$BC$15=1))/SUMPRODUCT((Marks!$B$3:$BC$3=E$4)*ISNUMBER(Marks!$B$15:$BC$15)))</f>
        <v/>
      </c>
    </row>
    <row r="16">
      <c r="A16" t="n">
        <v>12</v>
      </c>
      <c r="B16" s="6">
        <f>IF(SUMPRODUCT((Marks!$B$3:$BC$3=B$4)*ISNUMBER(Marks!$B$16:$BC$16))=0,"",SUMPRODUCT((Marks!$B$3:$BC$3=B$4)*(Marks!$B$16:$BC$16=1))/SUMPRODUCT((Marks!$B$3:$BC$3=B$4)*ISNUMBER(Marks!$B$16:$BC$16)))</f>
        <v/>
      </c>
      <c r="C16" s="6">
        <f>IF(SUMPRODUCT((Marks!$B$3:$BC$3=C$4)*ISNUMBER(Marks!$B$16:$BC$16))=0,"",SUMPRODUCT((Marks!$B$3:$BC$3=C$4)*(Marks!$B$16:$BC$16=1))/SUMPRODUCT((Marks!$B$3:$BC$3=C$4)*ISNUMBER(Marks!$B$16:$BC$16)))</f>
        <v/>
      </c>
      <c r="D16" s="6">
        <f>IF(SUMPRODUCT((Marks!$B$3:$BC$3=D$4)*ISNUMBER(Marks!$B$16:$BC$16))=0,"",SUMPRODUCT((Marks!$B$3:$BC$3=D$4)*(Marks!$B$16:$BC$16=1))/SUMPRODUCT((Marks!$B$3:$BC$3=D$4)*ISNUMBER(Marks!$B$16:$BC$16)))</f>
        <v/>
      </c>
      <c r="E16" s="6">
        <f>IF(SUMPRODUCT((Marks!$B$3:$BC$3=E$4)*ISNUMBER(Marks!$B$16:$BC$16))=0,"",SUMPRODUCT((Marks!$B$3:$BC$3=E$4)*(Marks!$B$16:$BC$16=1))/SUMPRODUCT((Marks!$B$3:$BC$3=E$4)*ISNUMBER(Marks!$B$16:$BC$16)))</f>
        <v/>
      </c>
    </row>
    <row r="17">
      <c r="A17" t="n">
        <v>13</v>
      </c>
      <c r="B17" s="6">
        <f>IF(SUMPRODUCT((Marks!$B$3:$BC$3=B$4)*ISNUMBER(Marks!$B$17:$BC$17))=0,"",SUMPRODUCT((Marks!$B$3:$BC$3=B$4)*(Marks!$B$17:$BC$17=1))/SUMPRODUCT((Marks!$B$3:$BC$3=B$4)*ISNUMBER(Marks!$B$17:$BC$17)))</f>
        <v/>
      </c>
      <c r="C17" s="6">
        <f>IF(SUMPRODUCT((Marks!$B$3:$BC$3=C$4)*ISNUMBER(Marks!$B$17:$BC$17))=0,"",SUMPRODUCT((Marks!$B$3:$BC$3=C$4)*(Marks!$B$17:$BC$17=1))/SUMPRODUCT((Marks!$B$3:$BC$3=C$4)*ISNUMBER(Marks!$B$17:$BC$17)))</f>
        <v/>
      </c>
      <c r="D17" s="6">
        <f>IF(SUMPRODUCT((Marks!$B$3:$BC$3=D$4)*ISNUMBER(Marks!$B$17:$BC$17))=0,"",SUMPRODUCT((Marks!$B$3:$BC$3=D$4)*(Marks!$B$17:$BC$17=1))/SUMPRODUCT((Marks!$B$3:$BC$3=D$4)*ISNUMBER(Marks!$B$17:$BC$17)))</f>
        <v/>
      </c>
      <c r="E17" s="6">
        <f>IF(SUMPRODUCT((Marks!$B$3:$BC$3=E$4)*ISNUMBER(Marks!$B$17:$BC$17))=0,"",SUMPRODUCT((Marks!$B$3:$BC$3=E$4)*(Marks!$B$17:$BC$17=1))/SUMPRODUCT((Marks!$B$3:$BC$3=E$4)*ISNUMBER(Marks!$B$17:$BC$17)))</f>
        <v/>
      </c>
    </row>
    <row r="18">
      <c r="A18" t="n">
        <v>14</v>
      </c>
      <c r="B18" s="6">
        <f>IF(SUMPRODUCT((Marks!$B$3:$BC$3=B$4)*ISNUMBER(Marks!$B$18:$BC$18))=0,"",SUMPRODUCT((Marks!$B$3:$BC$3=B$4)*(Marks!$B$18:$BC$18=1))/SUMPRODUCT((Marks!$B$3:$BC$3=B$4)*ISNUMBER(Marks!$B$18:$BC$18)))</f>
        <v/>
      </c>
      <c r="C18" s="6">
        <f>IF(SUMPRODUCT((Marks!$B$3:$BC$3=C$4)*ISNUMBER(Marks!$B$18:$BC$18))=0,"",SUMPRODUCT((Marks!$B$3:$BC$3=C$4)*(Marks!$B$18:$BC$18=1))/SUMPRODUCT((Marks!$B$3:$BC$3=C$4)*ISNUMBER(Marks!$B$18:$BC$18)))</f>
        <v/>
      </c>
      <c r="D18" s="6">
        <f>IF(SUMPRODUCT((Marks!$B$3:$BC$3=D$4)*ISNUMBER(Marks!$B$18:$BC$18))=0,"",SUMPRODUCT((Marks!$B$3:$BC$3=D$4)*(Marks!$B$18:$BC$18=1))/SUMPRODUCT((Marks!$B$3:$BC$3=D$4)*ISNUMBER(Marks!$B$18:$BC$18)))</f>
        <v/>
      </c>
      <c r="E18" s="6">
        <f>IF(SUMPRODUCT((Marks!$B$3:$BC$3=E$4)*ISNUMBER(Marks!$B$18:$BC$18))=0,"",SUMPRODUCT((Marks!$B$3:$BC$3=E$4)*(Marks!$B$18:$BC$18=1))/SUMPRODUCT((Marks!$B$3:$BC$3=E$4)*ISNUMBER(Marks!$B$18:$BC$18)))</f>
        <v/>
      </c>
    </row>
    <row r="19">
      <c r="A19" t="n">
        <v>15</v>
      </c>
      <c r="B19" s="6">
        <f>IF(SUMPRODUCT((Marks!$B$3:$BC$3=B$4)*ISNUMBER(Marks!$B$19:$BC$19))=0,"",SUMPRODUCT((Marks!$B$3:$BC$3=B$4)*(Marks!$B$19:$BC$19=1))/SUMPRODUCT((Marks!$B$3:$BC$3=B$4)*ISNUMBER(Marks!$B$19:$BC$19)))</f>
        <v/>
      </c>
      <c r="C19" s="6">
        <f>IF(SUMPRODUCT((Marks!$B$3:$BC$3=C$4)*ISNUMBER(Marks!$B$19:$BC$19))=0,"",SUMPRODUCT((Marks!$B$3:$BC$3=C$4)*(Marks!$B$19:$BC$19=1))/SUMPRODUCT((Marks!$B$3:$BC$3=C$4)*ISNUMBER(Marks!$B$19:$BC$19)))</f>
        <v/>
      </c>
      <c r="D19" s="6">
        <f>IF(SUMPRODUCT((Marks!$B$3:$BC$3=D$4)*ISNUMBER(Marks!$B$19:$BC$19))=0,"",SUMPRODUCT((Marks!$B$3:$BC$3=D$4)*(Marks!$B$19:$BC$19=1))/SUMPRODUCT((Marks!$B$3:$BC$3=D$4)*ISNUMBER(Marks!$B$19:$BC$19)))</f>
        <v/>
      </c>
      <c r="E19" s="6">
        <f>IF(SUMPRODUCT((Marks!$B$3:$BC$3=E$4)*ISNUMBER(Marks!$B$19:$BC$19))=0,"",SUMPRODUCT((Marks!$B$3:$BC$3=E$4)*(Marks!$B$19:$BC$19=1))/SUMPRODUCT((Marks!$B$3:$BC$3=E$4)*ISNUMBER(Marks!$B$19:$BC$19)))</f>
        <v/>
      </c>
    </row>
    <row r="20">
      <c r="A20" t="n">
        <v>16</v>
      </c>
      <c r="B20" s="6">
        <f>IF(SUMPRODUCT((Marks!$B$3:$BC$3=B$4)*ISNUMBER(Marks!$B$20:$BC$20))=0,"",SUMPRODUCT((Marks!$B$3:$BC$3=B$4)*(Marks!$B$20:$BC$20=1))/SUMPRODUCT((Marks!$B$3:$BC$3=B$4)*ISNUMBER(Marks!$B$20:$BC$20)))</f>
        <v/>
      </c>
      <c r="C20" s="6">
        <f>IF(SUMPRODUCT((Marks!$B$3:$BC$3=C$4)*ISNUMBER(Marks!$B$20:$BC$20))=0,"",SUMPRODUCT((Marks!$B$3:$BC$3=C$4)*(Marks!$B$20:$BC$20=1))/SUMPRODUCT((Marks!$B$3:$BC$3=C$4)*ISNUMBER(Marks!$B$20:$BC$20)))</f>
        <v/>
      </c>
      <c r="D20" s="6">
        <f>IF(SUMPRODUCT((Marks!$B$3:$BC$3=D$4)*ISNUMBER(Marks!$B$20:$BC$20))=0,"",SUMPRODUCT((Marks!$B$3:$BC$3=D$4)*(Marks!$B$20:$BC$20=1))/SUMPRODUCT((Marks!$B$3:$BC$3=D$4)*ISNUMBER(Marks!$B$20:$BC$20)))</f>
        <v/>
      </c>
      <c r="E20" s="6">
        <f>IF(SUMPRODUCT((Marks!$B$3:$BC$3=E$4)*ISNUMBER(Marks!$B$20:$BC$20))=0,"",SUMPRODUCT((Marks!$B$3:$BC$3=E$4)*(Marks!$B$20:$BC$20=1))/SUMPRODUCT((Marks!$B$3:$BC$3=E$4)*ISNUMBER(Marks!$B$20:$BC$20)))</f>
        <v/>
      </c>
    </row>
    <row r="21">
      <c r="A21" t="n">
        <v>17</v>
      </c>
      <c r="B21" s="6">
        <f>IF(SUMPRODUCT((Marks!$B$3:$BC$3=B$4)*ISNUMBER(Marks!$B$21:$BC$21))=0,"",SUMPRODUCT((Marks!$B$3:$BC$3=B$4)*(Marks!$B$21:$BC$21=1))/SUMPRODUCT((Marks!$B$3:$BC$3=B$4)*ISNUMBER(Marks!$B$21:$BC$21)))</f>
        <v/>
      </c>
      <c r="C21" s="6">
        <f>IF(SUMPRODUCT((Marks!$B$3:$BC$3=C$4)*ISNUMBER(Marks!$B$21:$BC$21))=0,"",SUMPRODUCT((Marks!$B$3:$BC$3=C$4)*(Marks!$B$21:$BC$21=1))/SUMPRODUCT((Marks!$B$3:$BC$3=C$4)*ISNUMBER(Marks!$B$21:$BC$21)))</f>
        <v/>
      </c>
      <c r="D21" s="6">
        <f>IF(SUMPRODUCT((Marks!$B$3:$BC$3=D$4)*ISNUMBER(Marks!$B$21:$BC$21))=0,"",SUMPRODUCT((Marks!$B$3:$BC$3=D$4)*(Marks!$B$21:$BC$21=1))/SUMPRODUCT((Marks!$B$3:$BC$3=D$4)*ISNUMBER(Marks!$B$21:$BC$21)))</f>
        <v/>
      </c>
      <c r="E21" s="6">
        <f>IF(SUMPRODUCT((Marks!$B$3:$BC$3=E$4)*ISNUMBER(Marks!$B$21:$BC$21))=0,"",SUMPRODUCT((Marks!$B$3:$BC$3=E$4)*(Marks!$B$21:$BC$21=1))/SUMPRODUCT((Marks!$B$3:$BC$3=E$4)*ISNUMBER(Marks!$B$21:$BC$21)))</f>
        <v/>
      </c>
    </row>
    <row r="22">
      <c r="A22" t="n">
        <v>18</v>
      </c>
      <c r="B22" s="6">
        <f>IF(SUMPRODUCT((Marks!$B$3:$BC$3=B$4)*ISNUMBER(Marks!$B$22:$BC$22))=0,"",SUMPRODUCT((Marks!$B$3:$BC$3=B$4)*(Marks!$B$22:$BC$22=1))/SUMPRODUCT((Marks!$B$3:$BC$3=B$4)*ISNUMBER(Marks!$B$22:$BC$22)))</f>
        <v/>
      </c>
      <c r="C22" s="6">
        <f>IF(SUMPRODUCT((Marks!$B$3:$BC$3=C$4)*ISNUMBER(Marks!$B$22:$BC$22))=0,"",SUMPRODUCT((Marks!$B$3:$BC$3=C$4)*(Marks!$B$22:$BC$22=1))/SUMPRODUCT((Marks!$B$3:$BC$3=C$4)*ISNUMBER(Marks!$B$22:$BC$22)))</f>
        <v/>
      </c>
      <c r="D22" s="6">
        <f>IF(SUMPRODUCT((Marks!$B$3:$BC$3=D$4)*ISNUMBER(Marks!$B$22:$BC$22))=0,"",SUMPRODUCT((Marks!$B$3:$BC$3=D$4)*(Marks!$B$22:$BC$22=1))/SUMPRODUCT((Marks!$B$3:$BC$3=D$4)*ISNUMBER(Marks!$B$22:$BC$22)))</f>
        <v/>
      </c>
      <c r="E22" s="6">
        <f>IF(SUMPRODUCT((Marks!$B$3:$BC$3=E$4)*ISNUMBER(Marks!$B$22:$BC$22))=0,"",SUMPRODUCT((Marks!$B$3:$BC$3=E$4)*(Marks!$B$22:$BC$22=1))/SUMPRODUCT((Marks!$B$3:$BC$3=E$4)*ISNUMBER(Marks!$B$22:$BC$22)))</f>
        <v/>
      </c>
    </row>
    <row r="23">
      <c r="A23" t="n">
        <v>19</v>
      </c>
      <c r="B23" s="6">
        <f>IF(SUMPRODUCT((Marks!$B$3:$BC$3=B$4)*ISNUMBER(Marks!$B$23:$BC$23))=0,"",SUMPRODUCT((Marks!$B$3:$BC$3=B$4)*(Marks!$B$23:$BC$23=1))/SUMPRODUCT((Marks!$B$3:$BC$3=B$4)*ISNUMBER(Marks!$B$23:$BC$23)))</f>
        <v/>
      </c>
      <c r="C23" s="6">
        <f>IF(SUMPRODUCT((Marks!$B$3:$BC$3=C$4)*ISNUMBER(Marks!$B$23:$BC$23))=0,"",SUMPRODUCT((Marks!$B$3:$BC$3=C$4)*(Marks!$B$23:$BC$23=1))/SUMPRODUCT((Marks!$B$3:$BC$3=C$4)*ISNUMBER(Marks!$B$23:$BC$23)))</f>
        <v/>
      </c>
      <c r="D23" s="6">
        <f>IF(SUMPRODUCT((Marks!$B$3:$BC$3=D$4)*ISNUMBER(Marks!$B$23:$BC$23))=0,"",SUMPRODUCT((Marks!$B$3:$BC$3=D$4)*(Marks!$B$23:$BC$23=1))/SUMPRODUCT((Marks!$B$3:$BC$3=D$4)*ISNUMBER(Marks!$B$23:$BC$23)))</f>
        <v/>
      </c>
      <c r="E23" s="6">
        <f>IF(SUMPRODUCT((Marks!$B$3:$BC$3=E$4)*ISNUMBER(Marks!$B$23:$BC$23))=0,"",SUMPRODUCT((Marks!$B$3:$BC$3=E$4)*(Marks!$B$23:$BC$23=1))/SUMPRODUCT((Marks!$B$3:$BC$3=E$4)*ISNUMBER(Marks!$B$23:$BC$23)))</f>
        <v/>
      </c>
    </row>
    <row r="24">
      <c r="A24" t="n">
        <v>20</v>
      </c>
      <c r="B24" s="6">
        <f>IF(SUMPRODUCT((Marks!$B$3:$BC$3=B$4)*ISNUMBER(Marks!$B$24:$BC$24))=0,"",SUMPRODUCT((Marks!$B$3:$BC$3=B$4)*(Marks!$B$24:$BC$24=1))/SUMPRODUCT((Marks!$B$3:$BC$3=B$4)*ISNUMBER(Marks!$B$24:$BC$24)))</f>
        <v/>
      </c>
      <c r="C24" s="6">
        <f>IF(SUMPRODUCT((Marks!$B$3:$BC$3=C$4)*ISNUMBER(Marks!$B$24:$BC$24))=0,"",SUMPRODUCT((Marks!$B$3:$BC$3=C$4)*(Marks!$B$24:$BC$24=1))/SUMPRODUCT((Marks!$B$3:$BC$3=C$4)*ISNUMBER(Marks!$B$24:$BC$24)))</f>
        <v/>
      </c>
      <c r="D24" s="6">
        <f>IF(SUMPRODUCT((Marks!$B$3:$BC$3=D$4)*ISNUMBER(Marks!$B$24:$BC$24))=0,"",SUMPRODUCT((Marks!$B$3:$BC$3=D$4)*(Marks!$B$24:$BC$24=1))/SUMPRODUCT((Marks!$B$3:$BC$3=D$4)*ISNUMBER(Marks!$B$24:$BC$24)))</f>
        <v/>
      </c>
      <c r="E24" s="6">
        <f>IF(SUMPRODUCT((Marks!$B$3:$BC$3=E$4)*ISNUMBER(Marks!$B$24:$BC$24))=0,"",SUMPRODUCT((Marks!$B$3:$BC$3=E$4)*(Marks!$B$24:$BC$24=1))/SUMPRODUCT((Marks!$B$3:$BC$3=E$4)*ISNUMBER(Marks!$B$24:$BC$24)))</f>
        <v/>
      </c>
    </row>
    <row r="25">
      <c r="A25" t="n">
        <v>21</v>
      </c>
      <c r="B25" s="6">
        <f>IF(SUMPRODUCT((Marks!$B$3:$BC$3=B$4)*ISNUMBER(Marks!$B$25:$BC$25))=0,"",SUMPRODUCT((Marks!$B$3:$BC$3=B$4)*(Marks!$B$25:$BC$25=1))/SUMPRODUCT((Marks!$B$3:$BC$3=B$4)*ISNUMBER(Marks!$B$25:$BC$25)))</f>
        <v/>
      </c>
      <c r="C25" s="6">
        <f>IF(SUMPRODUCT((Marks!$B$3:$BC$3=C$4)*ISNUMBER(Marks!$B$25:$BC$25))=0,"",SUMPRODUCT((Marks!$B$3:$BC$3=C$4)*(Marks!$B$25:$BC$25=1))/SUMPRODUCT((Marks!$B$3:$BC$3=C$4)*ISNUMBER(Marks!$B$25:$BC$25)))</f>
        <v/>
      </c>
      <c r="D25" s="6">
        <f>IF(SUMPRODUCT((Marks!$B$3:$BC$3=D$4)*ISNUMBER(Marks!$B$25:$BC$25))=0,"",SUMPRODUCT((Marks!$B$3:$BC$3=D$4)*(Marks!$B$25:$BC$25=1))/SUMPRODUCT((Marks!$B$3:$BC$3=D$4)*ISNUMBER(Marks!$B$25:$BC$25)))</f>
        <v/>
      </c>
      <c r="E25" s="6">
        <f>IF(SUMPRODUCT((Marks!$B$3:$BC$3=E$4)*ISNUMBER(Marks!$B$25:$BC$25))=0,"",SUMPRODUCT((Marks!$B$3:$BC$3=E$4)*(Marks!$B$25:$BC$25=1))/SUMPRODUCT((Marks!$B$3:$BC$3=E$4)*ISNUMBER(Marks!$B$25:$BC$25)))</f>
        <v/>
      </c>
    </row>
    <row r="26">
      <c r="A26" t="n">
        <v>22</v>
      </c>
      <c r="B26" s="6">
        <f>IF(SUMPRODUCT((Marks!$B$3:$BC$3=B$4)*ISNUMBER(Marks!$B$26:$BC$26))=0,"",SUMPRODUCT((Marks!$B$3:$BC$3=B$4)*(Marks!$B$26:$BC$26=1))/SUMPRODUCT((Marks!$B$3:$BC$3=B$4)*ISNUMBER(Marks!$B$26:$BC$26)))</f>
        <v/>
      </c>
      <c r="C26" s="6">
        <f>IF(SUMPRODUCT((Marks!$B$3:$BC$3=C$4)*ISNUMBER(Marks!$B$26:$BC$26))=0,"",SUMPRODUCT((Marks!$B$3:$BC$3=C$4)*(Marks!$B$26:$BC$26=1))/SUMPRODUCT((Marks!$B$3:$BC$3=C$4)*ISNUMBER(Marks!$B$26:$BC$26)))</f>
        <v/>
      </c>
      <c r="D26" s="6">
        <f>IF(SUMPRODUCT((Marks!$B$3:$BC$3=D$4)*ISNUMBER(Marks!$B$26:$BC$26))=0,"",SUMPRODUCT((Marks!$B$3:$BC$3=D$4)*(Marks!$B$26:$BC$26=1))/SUMPRODUCT((Marks!$B$3:$BC$3=D$4)*ISNUMBER(Marks!$B$26:$BC$26)))</f>
        <v/>
      </c>
      <c r="E26" s="6">
        <f>IF(SUMPRODUCT((Marks!$B$3:$BC$3=E$4)*ISNUMBER(Marks!$B$26:$BC$26))=0,"",SUMPRODUCT((Marks!$B$3:$BC$3=E$4)*(Marks!$B$26:$BC$26=1))/SUMPRODUCT((Marks!$B$3:$BC$3=E$4)*ISNUMBER(Marks!$B$26:$BC$26)))</f>
        <v/>
      </c>
    </row>
    <row r="27">
      <c r="A27" t="n">
        <v>23</v>
      </c>
      <c r="B27" s="6">
        <f>IF(SUMPRODUCT((Marks!$B$3:$BC$3=B$4)*ISNUMBER(Marks!$B$27:$BC$27))=0,"",SUMPRODUCT((Marks!$B$3:$BC$3=B$4)*(Marks!$B$27:$BC$27=1))/SUMPRODUCT((Marks!$B$3:$BC$3=B$4)*ISNUMBER(Marks!$B$27:$BC$27)))</f>
        <v/>
      </c>
      <c r="C27" s="6">
        <f>IF(SUMPRODUCT((Marks!$B$3:$BC$3=C$4)*ISNUMBER(Marks!$B$27:$BC$27))=0,"",SUMPRODUCT((Marks!$B$3:$BC$3=C$4)*(Marks!$B$27:$BC$27=1))/SUMPRODUCT((Marks!$B$3:$BC$3=C$4)*ISNUMBER(Marks!$B$27:$BC$27)))</f>
        <v/>
      </c>
      <c r="D27" s="6">
        <f>IF(SUMPRODUCT((Marks!$B$3:$BC$3=D$4)*ISNUMBER(Marks!$B$27:$BC$27))=0,"",SUMPRODUCT((Marks!$B$3:$BC$3=D$4)*(Marks!$B$27:$BC$27=1))/SUMPRODUCT((Marks!$B$3:$BC$3=D$4)*ISNUMBER(Marks!$B$27:$BC$27)))</f>
        <v/>
      </c>
      <c r="E27" s="6">
        <f>IF(SUMPRODUCT((Marks!$B$3:$BC$3=E$4)*ISNUMBER(Marks!$B$27:$BC$27))=0,"",SUMPRODUCT((Marks!$B$3:$BC$3=E$4)*(Marks!$B$27:$BC$27=1))/SUMPRODUCT((Marks!$B$3:$BC$3=E$4)*ISNUMBER(Marks!$B$27:$BC$27)))</f>
        <v/>
      </c>
    </row>
    <row r="28">
      <c r="A28" t="n">
        <v>24</v>
      </c>
      <c r="B28" s="6">
        <f>IF(SUMPRODUCT((Marks!$B$3:$BC$3=B$4)*ISNUMBER(Marks!$B$28:$BC$28))=0,"",SUMPRODUCT((Marks!$B$3:$BC$3=B$4)*(Marks!$B$28:$BC$28=1))/SUMPRODUCT((Marks!$B$3:$BC$3=B$4)*ISNUMBER(Marks!$B$28:$BC$28)))</f>
        <v/>
      </c>
      <c r="C28" s="6">
        <f>IF(SUMPRODUCT((Marks!$B$3:$BC$3=C$4)*ISNUMBER(Marks!$B$28:$BC$28))=0,"",SUMPRODUCT((Marks!$B$3:$BC$3=C$4)*(Marks!$B$28:$BC$28=1))/SUMPRODUCT((Marks!$B$3:$BC$3=C$4)*ISNUMBER(Marks!$B$28:$BC$28)))</f>
        <v/>
      </c>
      <c r="D28" s="6">
        <f>IF(SUMPRODUCT((Marks!$B$3:$BC$3=D$4)*ISNUMBER(Marks!$B$28:$BC$28))=0,"",SUMPRODUCT((Marks!$B$3:$BC$3=D$4)*(Marks!$B$28:$BC$28=1))/SUMPRODUCT((Marks!$B$3:$BC$3=D$4)*ISNUMBER(Marks!$B$28:$BC$28)))</f>
        <v/>
      </c>
      <c r="E28" s="6">
        <f>IF(SUMPRODUCT((Marks!$B$3:$BC$3=E$4)*ISNUMBER(Marks!$B$28:$BC$28))=0,"",SUMPRODUCT((Marks!$B$3:$BC$3=E$4)*(Marks!$B$28:$BC$28=1))/SUMPRODUCT((Marks!$B$3:$BC$3=E$4)*ISNUMBER(Marks!$B$28:$BC$28)))</f>
        <v/>
      </c>
    </row>
    <row r="29">
      <c r="A29" t="n">
        <v>25</v>
      </c>
      <c r="B29" s="6">
        <f>IF(SUMPRODUCT((Marks!$B$3:$BC$3=B$4)*ISNUMBER(Marks!$B$29:$BC$29))=0,"",SUMPRODUCT((Marks!$B$3:$BC$3=B$4)*(Marks!$B$29:$BC$29=1))/SUMPRODUCT((Marks!$B$3:$BC$3=B$4)*ISNUMBER(Marks!$B$29:$BC$29)))</f>
        <v/>
      </c>
      <c r="C29" s="6">
        <f>IF(SUMPRODUCT((Marks!$B$3:$BC$3=C$4)*ISNUMBER(Marks!$B$29:$BC$29))=0,"",SUMPRODUCT((Marks!$B$3:$BC$3=C$4)*(Marks!$B$29:$BC$29=1))/SUMPRODUCT((Marks!$B$3:$BC$3=C$4)*ISNUMBER(Marks!$B$29:$BC$29)))</f>
        <v/>
      </c>
      <c r="D29" s="6">
        <f>IF(SUMPRODUCT((Marks!$B$3:$BC$3=D$4)*ISNUMBER(Marks!$B$29:$BC$29))=0,"",SUMPRODUCT((Marks!$B$3:$BC$3=D$4)*(Marks!$B$29:$BC$29=1))/SUMPRODUCT((Marks!$B$3:$BC$3=D$4)*ISNUMBER(Marks!$B$29:$BC$29)))</f>
        <v/>
      </c>
      <c r="E29" s="6">
        <f>IF(SUMPRODUCT((Marks!$B$3:$BC$3=E$4)*ISNUMBER(Marks!$B$29:$BC$29))=0,"",SUMPRODUCT((Marks!$B$3:$BC$3=E$4)*(Marks!$B$29:$BC$29=1))/SUMPRODUCT((Marks!$B$3:$BC$3=E$4)*ISNUMBER(Marks!$B$29:$BC$29)))</f>
        <v/>
      </c>
    </row>
    <row r="30">
      <c r="A30" t="n">
        <v>26</v>
      </c>
      <c r="B30" s="6">
        <f>IF(SUMPRODUCT((Marks!$B$3:$BC$3=B$4)*ISNUMBER(Marks!$B$30:$BC$30))=0,"",SUMPRODUCT((Marks!$B$3:$BC$3=B$4)*(Marks!$B$30:$BC$30=1))/SUMPRODUCT((Marks!$B$3:$BC$3=B$4)*ISNUMBER(Marks!$B$30:$BC$30)))</f>
        <v/>
      </c>
      <c r="C30" s="6">
        <f>IF(SUMPRODUCT((Marks!$B$3:$BC$3=C$4)*ISNUMBER(Marks!$B$30:$BC$30))=0,"",SUMPRODUCT((Marks!$B$3:$BC$3=C$4)*(Marks!$B$30:$BC$30=1))/SUMPRODUCT((Marks!$B$3:$BC$3=C$4)*ISNUMBER(Marks!$B$30:$BC$30)))</f>
        <v/>
      </c>
      <c r="D30" s="6">
        <f>IF(SUMPRODUCT((Marks!$B$3:$BC$3=D$4)*ISNUMBER(Marks!$B$30:$BC$30))=0,"",SUMPRODUCT((Marks!$B$3:$BC$3=D$4)*(Marks!$B$30:$BC$30=1))/SUMPRODUCT((Marks!$B$3:$BC$3=D$4)*ISNUMBER(Marks!$B$30:$BC$30)))</f>
        <v/>
      </c>
      <c r="E30" s="6">
        <f>IF(SUMPRODUCT((Marks!$B$3:$BC$3=E$4)*ISNUMBER(Marks!$B$30:$BC$30))=0,"",SUMPRODUCT((Marks!$B$3:$BC$3=E$4)*(Marks!$B$30:$BC$30=1))/SUMPRODUCT((Marks!$B$3:$BC$3=E$4)*ISNUMBER(Marks!$B$30:$BC$30)))</f>
        <v/>
      </c>
    </row>
    <row r="31">
      <c r="A31" t="n">
        <v>27</v>
      </c>
      <c r="B31" s="6">
        <f>IF(SUMPRODUCT((Marks!$B$3:$BC$3=B$4)*ISNUMBER(Marks!$B$31:$BC$31))=0,"",SUMPRODUCT((Marks!$B$3:$BC$3=B$4)*(Marks!$B$31:$BC$31=1))/SUMPRODUCT((Marks!$B$3:$BC$3=B$4)*ISNUMBER(Marks!$B$31:$BC$31)))</f>
        <v/>
      </c>
      <c r="C31" s="6">
        <f>IF(SUMPRODUCT((Marks!$B$3:$BC$3=C$4)*ISNUMBER(Marks!$B$31:$BC$31))=0,"",SUMPRODUCT((Marks!$B$3:$BC$3=C$4)*(Marks!$B$31:$BC$31=1))/SUMPRODUCT((Marks!$B$3:$BC$3=C$4)*ISNUMBER(Marks!$B$31:$BC$31)))</f>
        <v/>
      </c>
      <c r="D31" s="6">
        <f>IF(SUMPRODUCT((Marks!$B$3:$BC$3=D$4)*ISNUMBER(Marks!$B$31:$BC$31))=0,"",SUMPRODUCT((Marks!$B$3:$BC$3=D$4)*(Marks!$B$31:$BC$31=1))/SUMPRODUCT((Marks!$B$3:$BC$3=D$4)*ISNUMBER(Marks!$B$31:$BC$31)))</f>
        <v/>
      </c>
      <c r="E31" s="6">
        <f>IF(SUMPRODUCT((Marks!$B$3:$BC$3=E$4)*ISNUMBER(Marks!$B$31:$BC$31))=0,"",SUMPRODUCT((Marks!$B$3:$BC$3=E$4)*(Marks!$B$31:$BC$31=1))/SUMPRODUCT((Marks!$B$3:$BC$3=E$4)*ISNUMBER(Marks!$B$31:$BC$31)))</f>
        <v/>
      </c>
    </row>
    <row r="32">
      <c r="A32" t="n">
        <v>28</v>
      </c>
      <c r="B32" s="6">
        <f>IF(SUMPRODUCT((Marks!$B$3:$BC$3=B$4)*ISNUMBER(Marks!$B$32:$BC$32))=0,"",SUMPRODUCT((Marks!$B$3:$BC$3=B$4)*(Marks!$B$32:$BC$32=1))/SUMPRODUCT((Marks!$B$3:$BC$3=B$4)*ISNUMBER(Marks!$B$32:$BC$32)))</f>
        <v/>
      </c>
      <c r="C32" s="6">
        <f>IF(SUMPRODUCT((Marks!$B$3:$BC$3=C$4)*ISNUMBER(Marks!$B$32:$BC$32))=0,"",SUMPRODUCT((Marks!$B$3:$BC$3=C$4)*(Marks!$B$32:$BC$32=1))/SUMPRODUCT((Marks!$B$3:$BC$3=C$4)*ISNUMBER(Marks!$B$32:$BC$32)))</f>
        <v/>
      </c>
      <c r="D32" s="6">
        <f>IF(SUMPRODUCT((Marks!$B$3:$BC$3=D$4)*ISNUMBER(Marks!$B$32:$BC$32))=0,"",SUMPRODUCT((Marks!$B$3:$BC$3=D$4)*(Marks!$B$32:$BC$32=1))/SUMPRODUCT((Marks!$B$3:$BC$3=D$4)*ISNUMBER(Marks!$B$32:$BC$32)))</f>
        <v/>
      </c>
      <c r="E32" s="6">
        <f>IF(SUMPRODUCT((Marks!$B$3:$BC$3=E$4)*ISNUMBER(Marks!$B$32:$BC$32))=0,"",SUMPRODUCT((Marks!$B$3:$BC$3=E$4)*(Marks!$B$32:$BC$32=1))/SUMPRODUCT((Marks!$B$3:$BC$3=E$4)*ISNUMBER(Marks!$B$32:$BC$32)))</f>
        <v/>
      </c>
    </row>
    <row r="33">
      <c r="A33" t="n">
        <v>29</v>
      </c>
      <c r="B33" s="6">
        <f>IF(SUMPRODUCT((Marks!$B$3:$BC$3=B$4)*ISNUMBER(Marks!$B$33:$BC$33))=0,"",SUMPRODUCT((Marks!$B$3:$BC$3=B$4)*(Marks!$B$33:$BC$33=1))/SUMPRODUCT((Marks!$B$3:$BC$3=B$4)*ISNUMBER(Marks!$B$33:$BC$33)))</f>
        <v/>
      </c>
      <c r="C33" s="6">
        <f>IF(SUMPRODUCT((Marks!$B$3:$BC$3=C$4)*ISNUMBER(Marks!$B$33:$BC$33))=0,"",SUMPRODUCT((Marks!$B$3:$BC$3=C$4)*(Marks!$B$33:$BC$33=1))/SUMPRODUCT((Marks!$B$3:$BC$3=C$4)*ISNUMBER(Marks!$B$33:$BC$33)))</f>
        <v/>
      </c>
      <c r="D33" s="6">
        <f>IF(SUMPRODUCT((Marks!$B$3:$BC$3=D$4)*ISNUMBER(Marks!$B$33:$BC$33))=0,"",SUMPRODUCT((Marks!$B$3:$BC$3=D$4)*(Marks!$B$33:$BC$33=1))/SUMPRODUCT((Marks!$B$3:$BC$3=D$4)*ISNUMBER(Marks!$B$33:$BC$33)))</f>
        <v/>
      </c>
      <c r="E33" s="6">
        <f>IF(SUMPRODUCT((Marks!$B$3:$BC$3=E$4)*ISNUMBER(Marks!$B$33:$BC$33))=0,"",SUMPRODUCT((Marks!$B$3:$BC$3=E$4)*(Marks!$B$33:$BC$33=1))/SUMPRODUCT((Marks!$B$3:$BC$3=E$4)*ISNUMBER(Marks!$B$33:$BC$33)))</f>
        <v/>
      </c>
    </row>
    <row r="34">
      <c r="A34" t="n">
        <v>30</v>
      </c>
      <c r="B34" s="6">
        <f>IF(SUMPRODUCT((Marks!$B$3:$BC$3=B$4)*ISNUMBER(Marks!$B$34:$BC$34))=0,"",SUMPRODUCT((Marks!$B$3:$BC$3=B$4)*(Marks!$B$34:$BC$34=1))/SUMPRODUCT((Marks!$B$3:$BC$3=B$4)*ISNUMBER(Marks!$B$34:$BC$34)))</f>
        <v/>
      </c>
      <c r="C34" s="6">
        <f>IF(SUMPRODUCT((Marks!$B$3:$BC$3=C$4)*ISNUMBER(Marks!$B$34:$BC$34))=0,"",SUMPRODUCT((Marks!$B$3:$BC$3=C$4)*(Marks!$B$34:$BC$34=1))/SUMPRODUCT((Marks!$B$3:$BC$3=C$4)*ISNUMBER(Marks!$B$34:$BC$34)))</f>
        <v/>
      </c>
      <c r="D34" s="6">
        <f>IF(SUMPRODUCT((Marks!$B$3:$BC$3=D$4)*ISNUMBER(Marks!$B$34:$BC$34))=0,"",SUMPRODUCT((Marks!$B$3:$BC$3=D$4)*(Marks!$B$34:$BC$34=1))/SUMPRODUCT((Marks!$B$3:$BC$3=D$4)*ISNUMBER(Marks!$B$34:$BC$34)))</f>
        <v/>
      </c>
      <c r="E34" s="6">
        <f>IF(SUMPRODUCT((Marks!$B$3:$BC$3=E$4)*ISNUMBER(Marks!$B$34:$BC$34))=0,"",SUMPRODUCT((Marks!$B$3:$BC$3=E$4)*(Marks!$B$34:$BC$34=1))/SUMPRODUCT((Marks!$B$3:$BC$3=E$4)*ISNUMBER(Marks!$B$34:$BC$34)))</f>
        <v/>
      </c>
    </row>
    <row r="35">
      <c r="A35" t="n">
        <v>31</v>
      </c>
      <c r="B35" s="6">
        <f>IF(SUMPRODUCT((Marks!$B$3:$BC$3=B$4)*ISNUMBER(Marks!$B$35:$BC$35))=0,"",SUMPRODUCT((Marks!$B$3:$BC$3=B$4)*(Marks!$B$35:$BC$35=1))/SUMPRODUCT((Marks!$B$3:$BC$3=B$4)*ISNUMBER(Marks!$B$35:$BC$35)))</f>
        <v/>
      </c>
      <c r="C35" s="6">
        <f>IF(SUMPRODUCT((Marks!$B$3:$BC$3=C$4)*ISNUMBER(Marks!$B$35:$BC$35))=0,"",SUMPRODUCT((Marks!$B$3:$BC$3=C$4)*(Marks!$B$35:$BC$35=1))/SUMPRODUCT((Marks!$B$3:$BC$3=C$4)*ISNUMBER(Marks!$B$35:$BC$35)))</f>
        <v/>
      </c>
      <c r="D35" s="6">
        <f>IF(SUMPRODUCT((Marks!$B$3:$BC$3=D$4)*ISNUMBER(Marks!$B$35:$BC$35))=0,"",SUMPRODUCT((Marks!$B$3:$BC$3=D$4)*(Marks!$B$35:$BC$35=1))/SUMPRODUCT((Marks!$B$3:$BC$3=D$4)*ISNUMBER(Marks!$B$35:$BC$35)))</f>
        <v/>
      </c>
      <c r="E35" s="6">
        <f>IF(SUMPRODUCT((Marks!$B$3:$BC$3=E$4)*ISNUMBER(Marks!$B$35:$BC$35))=0,"",SUMPRODUCT((Marks!$B$3:$BC$3=E$4)*(Marks!$B$35:$BC$35=1))/SUMPRODUCT((Marks!$B$3:$BC$3=E$4)*ISNUMBER(Marks!$B$35:$BC$35)))</f>
        <v/>
      </c>
    </row>
    <row r="36">
      <c r="A36" t="n">
        <v>32</v>
      </c>
      <c r="B36" s="6">
        <f>IF(SUMPRODUCT((Marks!$B$3:$BC$3=B$4)*ISNUMBER(Marks!$B$36:$BC$36))=0,"",SUMPRODUCT((Marks!$B$3:$BC$3=B$4)*(Marks!$B$36:$BC$36=1))/SUMPRODUCT((Marks!$B$3:$BC$3=B$4)*ISNUMBER(Marks!$B$36:$BC$36)))</f>
        <v/>
      </c>
      <c r="C36" s="6">
        <f>IF(SUMPRODUCT((Marks!$B$3:$BC$3=C$4)*ISNUMBER(Marks!$B$36:$BC$36))=0,"",SUMPRODUCT((Marks!$B$3:$BC$3=C$4)*(Marks!$B$36:$BC$36=1))/SUMPRODUCT((Marks!$B$3:$BC$3=C$4)*ISNUMBER(Marks!$B$36:$BC$36)))</f>
        <v/>
      </c>
      <c r="D36" s="6">
        <f>IF(SUMPRODUCT((Marks!$B$3:$BC$3=D$4)*ISNUMBER(Marks!$B$36:$BC$36))=0,"",SUMPRODUCT((Marks!$B$3:$BC$3=D$4)*(Marks!$B$36:$BC$36=1))/SUMPRODUCT((Marks!$B$3:$BC$3=D$4)*ISNUMBER(Marks!$B$36:$BC$36)))</f>
        <v/>
      </c>
      <c r="E36" s="6">
        <f>IF(SUMPRODUCT((Marks!$B$3:$BC$3=E$4)*ISNUMBER(Marks!$B$36:$BC$36))=0,"",SUMPRODUCT((Marks!$B$3:$BC$3=E$4)*(Marks!$B$36:$BC$36=1))/SUMPRODUCT((Marks!$B$3:$BC$3=E$4)*ISNUMBER(Marks!$B$36:$BC$36)))</f>
        <v/>
      </c>
    </row>
    <row r="37">
      <c r="A37" t="n">
        <v>33</v>
      </c>
      <c r="B37" s="6">
        <f>IF(SUMPRODUCT((Marks!$B$3:$BC$3=B$4)*ISNUMBER(Marks!$B$37:$BC$37))=0,"",SUMPRODUCT((Marks!$B$3:$BC$3=B$4)*(Marks!$B$37:$BC$37=1))/SUMPRODUCT((Marks!$B$3:$BC$3=B$4)*ISNUMBER(Marks!$B$37:$BC$37)))</f>
        <v/>
      </c>
      <c r="C37" s="6">
        <f>IF(SUMPRODUCT((Marks!$B$3:$BC$3=C$4)*ISNUMBER(Marks!$B$37:$BC$37))=0,"",SUMPRODUCT((Marks!$B$3:$BC$3=C$4)*(Marks!$B$37:$BC$37=1))/SUMPRODUCT((Marks!$B$3:$BC$3=C$4)*ISNUMBER(Marks!$B$37:$BC$37)))</f>
        <v/>
      </c>
      <c r="D37" s="6">
        <f>IF(SUMPRODUCT((Marks!$B$3:$BC$3=D$4)*ISNUMBER(Marks!$B$37:$BC$37))=0,"",SUMPRODUCT((Marks!$B$3:$BC$3=D$4)*(Marks!$B$37:$BC$37=1))/SUMPRODUCT((Marks!$B$3:$BC$3=D$4)*ISNUMBER(Marks!$B$37:$BC$37)))</f>
        <v/>
      </c>
      <c r="E37" s="6">
        <f>IF(SUMPRODUCT((Marks!$B$3:$BC$3=E$4)*ISNUMBER(Marks!$B$37:$BC$37))=0,"",SUMPRODUCT((Marks!$B$3:$BC$3=E$4)*(Marks!$B$37:$BC$37=1))/SUMPRODUCT((Marks!$B$3:$BC$3=E$4)*ISNUMBER(Marks!$B$37:$BC$37)))</f>
        <v/>
      </c>
    </row>
    <row r="38">
      <c r="A38" t="n">
        <v>34</v>
      </c>
      <c r="B38" s="6">
        <f>IF(SUMPRODUCT((Marks!$B$3:$BC$3=B$4)*ISNUMBER(Marks!$B$38:$BC$38))=0,"",SUMPRODUCT((Marks!$B$3:$BC$3=B$4)*(Marks!$B$38:$BC$38=1))/SUMPRODUCT((Marks!$B$3:$BC$3=B$4)*ISNUMBER(Marks!$B$38:$BC$38)))</f>
        <v/>
      </c>
      <c r="C38" s="6">
        <f>IF(SUMPRODUCT((Marks!$B$3:$BC$3=C$4)*ISNUMBER(Marks!$B$38:$BC$38))=0,"",SUMPRODUCT((Marks!$B$3:$BC$3=C$4)*(Marks!$B$38:$BC$38=1))/SUMPRODUCT((Marks!$B$3:$BC$3=C$4)*ISNUMBER(Marks!$B$38:$BC$38)))</f>
        <v/>
      </c>
      <c r="D38" s="6">
        <f>IF(SUMPRODUCT((Marks!$B$3:$BC$3=D$4)*ISNUMBER(Marks!$B$38:$BC$38))=0,"",SUMPRODUCT((Marks!$B$3:$BC$3=D$4)*(Marks!$B$38:$BC$38=1))/SUMPRODUCT((Marks!$B$3:$BC$3=D$4)*ISNUMBER(Marks!$B$38:$BC$38)))</f>
        <v/>
      </c>
      <c r="E38" s="6">
        <f>IF(SUMPRODUCT((Marks!$B$3:$BC$3=E$4)*ISNUMBER(Marks!$B$38:$BC$38))=0,"",SUMPRODUCT((Marks!$B$3:$BC$3=E$4)*(Marks!$B$38:$BC$38=1))/SUMPRODUCT((Marks!$B$3:$BC$3=E$4)*ISNUMBER(Marks!$B$38:$BC$38)))</f>
        <v/>
      </c>
    </row>
    <row r="39">
      <c r="A39" t="n">
        <v>35</v>
      </c>
      <c r="B39" s="6">
        <f>IF(SUMPRODUCT((Marks!$B$3:$BC$3=B$4)*ISNUMBER(Marks!$B$39:$BC$39))=0,"",SUMPRODUCT((Marks!$B$3:$BC$3=B$4)*(Marks!$B$39:$BC$39=1))/SUMPRODUCT((Marks!$B$3:$BC$3=B$4)*ISNUMBER(Marks!$B$39:$BC$39)))</f>
        <v/>
      </c>
      <c r="C39" s="6">
        <f>IF(SUMPRODUCT((Marks!$B$3:$BC$3=C$4)*ISNUMBER(Marks!$B$39:$BC$39))=0,"",SUMPRODUCT((Marks!$B$3:$BC$3=C$4)*(Marks!$B$39:$BC$39=1))/SUMPRODUCT((Marks!$B$3:$BC$3=C$4)*ISNUMBER(Marks!$B$39:$BC$39)))</f>
        <v/>
      </c>
      <c r="D39" s="6">
        <f>IF(SUMPRODUCT((Marks!$B$3:$BC$3=D$4)*ISNUMBER(Marks!$B$39:$BC$39))=0,"",SUMPRODUCT((Marks!$B$3:$BC$3=D$4)*(Marks!$B$39:$BC$39=1))/SUMPRODUCT((Marks!$B$3:$BC$3=D$4)*ISNUMBER(Marks!$B$39:$BC$39)))</f>
        <v/>
      </c>
      <c r="E39" s="6">
        <f>IF(SUMPRODUCT((Marks!$B$3:$BC$3=E$4)*ISNUMBER(Marks!$B$39:$BC$39))=0,"",SUMPRODUCT((Marks!$B$3:$BC$3=E$4)*(Marks!$B$39:$BC$39=1))/SUMPRODUCT((Marks!$B$3:$BC$3=E$4)*ISNUMBER(Marks!$B$39:$BC$39)))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IF(SUMPRODUCT((Marks!$B$2:$BC$2=I$3)*ISNUMBER(Marks!$B$5:$BC$5))=0,"",SUMPRODUCT((Marks!$B$2:$BC$2=I$3)*(Marks!$B$5:$BC$5=1))/SUMPRODUCT((Marks!$B$2:$BC$2=I$3)*ISNUMBER(Marks!$B$5:$BC$5)))</f>
        <v/>
      </c>
      <c r="J5" s="6">
        <f>IF(SUMPRODUCT((Marks!$B$2:$BC$2=J$3)*ISNUMBER(Marks!$B$5:$BC$5))=0,"",SUMPRODUCT((Marks!$B$2:$BC$2=J$3)*(Marks!$B$5:$BC$5=1))/SUMPRODUCT((Marks!$B$2:$BC$2=J$3)*ISNUMBER(Marks!$B$5:$BC$5)))</f>
        <v/>
      </c>
      <c r="K5" s="6">
        <f>IF(SUMPRODUCT((Marks!$B$2:$BC$2=K$3)*ISNUMBER(Marks!$B$5:$BC$5))=0,"",SUMPRODUCT((Marks!$B$2:$BC$2=K$3)*(Marks!$B$5:$BC$5=1))/SUMPRODUCT((Marks!$B$2:$BC$2=K$3)*ISNUMBER(Marks!$B$5:$BC$5)))</f>
        <v/>
      </c>
      <c r="L5" s="6">
        <f>IF(SUMPRODUCT((Marks!$B$2:$BC$2=L$3)*ISNUMBER(Marks!$B$5:$BC$5))=0,"",SUMPRODUCT((Marks!$B$2:$BC$2=L$3)*(Marks!$B$5:$BC$5=1))/SUMPRODUCT((Marks!$B$2:$BC$2=L$3)*ISNUMBER(Marks!$B$5:$BC$5)))</f>
        <v/>
      </c>
      <c r="M5" s="6">
        <f>IF(SUMPRODUCT((Marks!$B$2:$BC$2=M$3)*ISNUMBER(Marks!$B$5:$BC$5))=0,"",SUMPRODUCT((Marks!$B$2:$BC$2=M$3)*(Marks!$B$5:$BC$5=1))/SUMPRODUCT((Marks!$B$2:$BC$2=M$3)*ISNUMBER(Marks!$B$5:$BC$5)))</f>
        <v/>
      </c>
      <c r="N5" s="6">
        <f>IF(SUMPRODUCT((Marks!$B$2:$BC$2=N$3)*ISNUMBER(Marks!$B$5:$BC$5))=0,"",SUMPRODUCT((Marks!$B$2:$BC$2=N$3)*(Marks!$B$5:$BC$5=1))/SUMPRODUCT((Marks!$B$2:$BC$2=N$3)*ISNUMBER(Marks!$B$5:$BC$5)))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IF(SUMPRODUCT((Marks!$B$2:$BC$2=I$3)*ISNUMBER(Marks!$B$6:$BC$6))=0,"",SUMPRODUCT((Marks!$B$2:$BC$2=I$3)*(Marks!$B$6:$BC$6=1))/SUMPRODUCT((Marks!$B$2:$BC$2=I$3)*ISNUMBER(Marks!$B$6:$BC$6)))</f>
        <v/>
      </c>
      <c r="J6" s="6">
        <f>IF(SUMPRODUCT((Marks!$B$2:$BC$2=J$3)*ISNUMBER(Marks!$B$6:$BC$6))=0,"",SUMPRODUCT((Marks!$B$2:$BC$2=J$3)*(Marks!$B$6:$BC$6=1))/SUMPRODUCT((Marks!$B$2:$BC$2=J$3)*ISNUMBER(Marks!$B$6:$BC$6)))</f>
        <v/>
      </c>
      <c r="K6" s="6">
        <f>IF(SUMPRODUCT((Marks!$B$2:$BC$2=K$3)*ISNUMBER(Marks!$B$6:$BC$6))=0,"",SUMPRODUCT((Marks!$B$2:$BC$2=K$3)*(Marks!$B$6:$BC$6=1))/SUMPRODUCT((Marks!$B$2:$BC$2=K$3)*ISNUMBER(Marks!$B$6:$BC$6)))</f>
        <v/>
      </c>
      <c r="L6" s="6">
        <f>IF(SUMPRODUCT((Marks!$B$2:$BC$2=L$3)*ISNUMBER(Marks!$B$6:$BC$6))=0,"",SUMPRODUCT((Marks!$B$2:$BC$2=L$3)*(Marks!$B$6:$BC$6=1))/SUMPRODUCT((Marks!$B$2:$BC$2=L$3)*ISNUMBER(Marks!$B$6:$BC$6)))</f>
        <v/>
      </c>
      <c r="M6" s="6">
        <f>IF(SUMPRODUCT((Marks!$B$2:$BC$2=M$3)*ISNUMBER(Marks!$B$6:$BC$6))=0,"",SUMPRODUCT((Marks!$B$2:$BC$2=M$3)*(Marks!$B$6:$BC$6=1))/SUMPRODUCT((Marks!$B$2:$BC$2=M$3)*ISNUMBER(Marks!$B$6:$BC$6)))</f>
        <v/>
      </c>
      <c r="N6" s="6">
        <f>IF(SUMPRODUCT((Marks!$B$2:$BC$2=N$3)*ISNUMBER(Marks!$B$6:$BC$6))=0,"",SUMPRODUCT((Marks!$B$2:$BC$2=N$3)*(Marks!$B$6:$BC$6=1))/SUMPRODUCT((Marks!$B$2:$BC$2=N$3)*ISNUMBER(Marks!$B$6:$BC$6)))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IF(SUMPRODUCT((Marks!$B$2:$BC$2=I$3)*ISNUMBER(Marks!$B$7:$BC$7))=0,"",SUMPRODUCT((Marks!$B$2:$BC$2=I$3)*(Marks!$B$7:$BC$7=1))/SUMPRODUCT((Marks!$B$2:$BC$2=I$3)*ISNUMBER(Marks!$B$7:$BC$7)))</f>
        <v/>
      </c>
      <c r="J7" s="6">
        <f>IF(SUMPRODUCT((Marks!$B$2:$BC$2=J$3)*ISNUMBER(Marks!$B$7:$BC$7))=0,"",SUMPRODUCT((Marks!$B$2:$BC$2=J$3)*(Marks!$B$7:$BC$7=1))/SUMPRODUCT((Marks!$B$2:$BC$2=J$3)*ISNUMBER(Marks!$B$7:$BC$7)))</f>
        <v/>
      </c>
      <c r="K7" s="6">
        <f>IF(SUMPRODUCT((Marks!$B$2:$BC$2=K$3)*ISNUMBER(Marks!$B$7:$BC$7))=0,"",SUMPRODUCT((Marks!$B$2:$BC$2=K$3)*(Marks!$B$7:$BC$7=1))/SUMPRODUCT((Marks!$B$2:$BC$2=K$3)*ISNUMBER(Marks!$B$7:$BC$7)))</f>
        <v/>
      </c>
      <c r="L7" s="6">
        <f>IF(SUMPRODUCT((Marks!$B$2:$BC$2=L$3)*ISNUMBER(Marks!$B$7:$BC$7))=0,"",SUMPRODUCT((Marks!$B$2:$BC$2=L$3)*(Marks!$B$7:$BC$7=1))/SUMPRODUCT((Marks!$B$2:$BC$2=L$3)*ISNUMBER(Marks!$B$7:$BC$7)))</f>
        <v/>
      </c>
      <c r="M7" s="6">
        <f>IF(SUMPRODUCT((Marks!$B$2:$BC$2=M$3)*ISNUMBER(Marks!$B$7:$BC$7))=0,"",SUMPRODUCT((Marks!$B$2:$BC$2=M$3)*(Marks!$B$7:$BC$7=1))/SUMPRODUCT((Marks!$B$2:$BC$2=M$3)*ISNUMBER(Marks!$B$7:$BC$7)))</f>
        <v/>
      </c>
      <c r="N7" s="6">
        <f>IF(SUMPRODUCT((Marks!$B$2:$BC$2=N$3)*ISNUMBER(Marks!$B$7:$BC$7))=0,"",SUMPRODUCT((Marks!$B$2:$BC$2=N$3)*(Marks!$B$7:$BC$7=1))/SUMPRODUCT((Marks!$B$2:$BC$2=N$3)*ISNUMBER(Marks!$B$7:$BC$7)))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IF(SUMPRODUCT((Marks!$B$2:$BC$2=I$3)*ISNUMBER(Marks!$B$8:$BC$8))=0,"",SUMPRODUCT((Marks!$B$2:$BC$2=I$3)*(Marks!$B$8:$BC$8=1))/SUMPRODUCT((Marks!$B$2:$BC$2=I$3)*ISNUMBER(Marks!$B$8:$BC$8)))</f>
        <v/>
      </c>
      <c r="J8" s="6">
        <f>IF(SUMPRODUCT((Marks!$B$2:$BC$2=J$3)*ISNUMBER(Marks!$B$8:$BC$8))=0,"",SUMPRODUCT((Marks!$B$2:$BC$2=J$3)*(Marks!$B$8:$BC$8=1))/SUMPRODUCT((Marks!$B$2:$BC$2=J$3)*ISNUMBER(Marks!$B$8:$BC$8)))</f>
        <v/>
      </c>
      <c r="K8" s="6">
        <f>IF(SUMPRODUCT((Marks!$B$2:$BC$2=K$3)*ISNUMBER(Marks!$B$8:$BC$8))=0,"",SUMPRODUCT((Marks!$B$2:$BC$2=K$3)*(Marks!$B$8:$BC$8=1))/SUMPRODUCT((Marks!$B$2:$BC$2=K$3)*ISNUMBER(Marks!$B$8:$BC$8)))</f>
        <v/>
      </c>
      <c r="L8" s="6">
        <f>IF(SUMPRODUCT((Marks!$B$2:$BC$2=L$3)*ISNUMBER(Marks!$B$8:$BC$8))=0,"",SUMPRODUCT((Marks!$B$2:$BC$2=L$3)*(Marks!$B$8:$BC$8=1))/SUMPRODUCT((Marks!$B$2:$BC$2=L$3)*ISNUMBER(Marks!$B$8:$BC$8)))</f>
        <v/>
      </c>
      <c r="M8" s="6">
        <f>IF(SUMPRODUCT((Marks!$B$2:$BC$2=M$3)*ISNUMBER(Marks!$B$8:$BC$8))=0,"",SUMPRODUCT((Marks!$B$2:$BC$2=M$3)*(Marks!$B$8:$BC$8=1))/SUMPRODUCT((Marks!$B$2:$BC$2=M$3)*ISNUMBER(Marks!$B$8:$BC$8)))</f>
        <v/>
      </c>
      <c r="N8" s="6">
        <f>IF(SUMPRODUCT((Marks!$B$2:$BC$2=N$3)*ISNUMBER(Marks!$B$8:$BC$8))=0,"",SUMPRODUCT((Marks!$B$2:$BC$2=N$3)*(Marks!$B$8:$BC$8=1))/SUMPRODUCT((Marks!$B$2:$BC$2=N$3)*ISNUMBER(Marks!$B$8:$BC$8)))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IF(SUMPRODUCT((Marks!$B$2:$BC$2=I$3)*ISNUMBER(Marks!$B$9:$BC$9))=0,"",SUMPRODUCT((Marks!$B$2:$BC$2=I$3)*(Marks!$B$9:$BC$9=1))/SUMPRODUCT((Marks!$B$2:$BC$2=I$3)*ISNUMBER(Marks!$B$9:$BC$9)))</f>
        <v/>
      </c>
      <c r="J9" s="6">
        <f>IF(SUMPRODUCT((Marks!$B$2:$BC$2=J$3)*ISNUMBER(Marks!$B$9:$BC$9))=0,"",SUMPRODUCT((Marks!$B$2:$BC$2=J$3)*(Marks!$B$9:$BC$9=1))/SUMPRODUCT((Marks!$B$2:$BC$2=J$3)*ISNUMBER(Marks!$B$9:$BC$9)))</f>
        <v/>
      </c>
      <c r="K9" s="6">
        <f>IF(SUMPRODUCT((Marks!$B$2:$BC$2=K$3)*ISNUMBER(Marks!$B$9:$BC$9))=0,"",SUMPRODUCT((Marks!$B$2:$BC$2=K$3)*(Marks!$B$9:$BC$9=1))/SUMPRODUCT((Marks!$B$2:$BC$2=K$3)*ISNUMBER(Marks!$B$9:$BC$9)))</f>
        <v/>
      </c>
      <c r="L9" s="6">
        <f>IF(SUMPRODUCT((Marks!$B$2:$BC$2=L$3)*ISNUMBER(Marks!$B$9:$BC$9))=0,"",SUMPRODUCT((Marks!$B$2:$BC$2=L$3)*(Marks!$B$9:$BC$9=1))/SUMPRODUCT((Marks!$B$2:$BC$2=L$3)*ISNUMBER(Marks!$B$9:$BC$9)))</f>
        <v/>
      </c>
      <c r="M9" s="6">
        <f>IF(SUMPRODUCT((Marks!$B$2:$BC$2=M$3)*ISNUMBER(Marks!$B$9:$BC$9))=0,"",SUMPRODUCT((Marks!$B$2:$BC$2=M$3)*(Marks!$B$9:$BC$9=1))/SUMPRODUCT((Marks!$B$2:$BC$2=M$3)*ISNUMBER(Marks!$B$9:$BC$9)))</f>
        <v/>
      </c>
      <c r="N9" s="6">
        <f>IF(SUMPRODUCT((Marks!$B$2:$BC$2=N$3)*ISNUMBER(Marks!$B$9:$BC$9))=0,"",SUMPRODUCT((Marks!$B$2:$BC$2=N$3)*(Marks!$B$9:$BC$9=1))/SUMPRODUCT((Marks!$B$2:$BC$2=N$3)*ISNUMBER(Marks!$B$9:$BC$9)))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IF(SUMPRODUCT((Marks!$B$2:$BC$2=I$3)*ISNUMBER(Marks!$B$10:$BC$10))=0,"",SUMPRODUCT((Marks!$B$2:$BC$2=I$3)*(Marks!$B$10:$BC$10=1))/SUMPRODUCT((Marks!$B$2:$BC$2=I$3)*ISNUMBER(Marks!$B$10:$BC$10)))</f>
        <v/>
      </c>
      <c r="J10" s="6">
        <f>IF(SUMPRODUCT((Marks!$B$2:$BC$2=J$3)*ISNUMBER(Marks!$B$10:$BC$10))=0,"",SUMPRODUCT((Marks!$B$2:$BC$2=J$3)*(Marks!$B$10:$BC$10=1))/SUMPRODUCT((Marks!$B$2:$BC$2=J$3)*ISNUMBER(Marks!$B$10:$BC$10)))</f>
        <v/>
      </c>
      <c r="K10" s="6">
        <f>IF(SUMPRODUCT((Marks!$B$2:$BC$2=K$3)*ISNUMBER(Marks!$B$10:$BC$10))=0,"",SUMPRODUCT((Marks!$B$2:$BC$2=K$3)*(Marks!$B$10:$BC$10=1))/SUMPRODUCT((Marks!$B$2:$BC$2=K$3)*ISNUMBER(Marks!$B$10:$BC$10)))</f>
        <v/>
      </c>
      <c r="L10" s="6">
        <f>IF(SUMPRODUCT((Marks!$B$2:$BC$2=L$3)*ISNUMBER(Marks!$B$10:$BC$10))=0,"",SUMPRODUCT((Marks!$B$2:$BC$2=L$3)*(Marks!$B$10:$BC$10=1))/SUMPRODUCT((Marks!$B$2:$BC$2=L$3)*ISNUMBER(Marks!$B$10:$BC$10)))</f>
        <v/>
      </c>
      <c r="M10" s="6">
        <f>IF(SUMPRODUCT((Marks!$B$2:$BC$2=M$3)*ISNUMBER(Marks!$B$10:$BC$10))=0,"",SUMPRODUCT((Marks!$B$2:$BC$2=M$3)*(Marks!$B$10:$BC$10=1))/SUMPRODUCT((Marks!$B$2:$BC$2=M$3)*ISNUMBER(Marks!$B$10:$BC$10)))</f>
        <v/>
      </c>
      <c r="N10" s="6">
        <f>IF(SUMPRODUCT((Marks!$B$2:$BC$2=N$3)*ISNUMBER(Marks!$B$10:$BC$10))=0,"",SUMPRODUCT((Marks!$B$2:$BC$2=N$3)*(Marks!$B$10:$BC$10=1))/SUMPRODUCT((Marks!$B$2:$BC$2=N$3)*ISNUMBER(Marks!$B$10:$BC$10)))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IF(SUMPRODUCT((Marks!$B$2:$BC$2=I$3)*ISNUMBER(Marks!$B$11:$BC$11))=0,"",SUMPRODUCT((Marks!$B$2:$BC$2=I$3)*(Marks!$B$11:$BC$11=1))/SUMPRODUCT((Marks!$B$2:$BC$2=I$3)*ISNUMBER(Marks!$B$11:$BC$11)))</f>
        <v/>
      </c>
      <c r="J11" s="6">
        <f>IF(SUMPRODUCT((Marks!$B$2:$BC$2=J$3)*ISNUMBER(Marks!$B$11:$BC$11))=0,"",SUMPRODUCT((Marks!$B$2:$BC$2=J$3)*(Marks!$B$11:$BC$11=1))/SUMPRODUCT((Marks!$B$2:$BC$2=J$3)*ISNUMBER(Marks!$B$11:$BC$11)))</f>
        <v/>
      </c>
      <c r="K11" s="6">
        <f>IF(SUMPRODUCT((Marks!$B$2:$BC$2=K$3)*ISNUMBER(Marks!$B$11:$BC$11))=0,"",SUMPRODUCT((Marks!$B$2:$BC$2=K$3)*(Marks!$B$11:$BC$11=1))/SUMPRODUCT((Marks!$B$2:$BC$2=K$3)*ISNUMBER(Marks!$B$11:$BC$11)))</f>
        <v/>
      </c>
      <c r="L11" s="6">
        <f>IF(SUMPRODUCT((Marks!$B$2:$BC$2=L$3)*ISNUMBER(Marks!$B$11:$BC$11))=0,"",SUMPRODUCT((Marks!$B$2:$BC$2=L$3)*(Marks!$B$11:$BC$11=1))/SUMPRODUCT((Marks!$B$2:$BC$2=L$3)*ISNUMBER(Marks!$B$11:$BC$11)))</f>
        <v/>
      </c>
      <c r="M11" s="6">
        <f>IF(SUMPRODUCT((Marks!$B$2:$BC$2=M$3)*ISNUMBER(Marks!$B$11:$BC$11))=0,"",SUMPRODUCT((Marks!$B$2:$BC$2=M$3)*(Marks!$B$11:$BC$11=1))/SUMPRODUCT((Marks!$B$2:$BC$2=M$3)*ISNUMBER(Marks!$B$11:$BC$11)))</f>
        <v/>
      </c>
      <c r="N11" s="6">
        <f>IF(SUMPRODUCT((Marks!$B$2:$BC$2=N$3)*ISNUMBER(Marks!$B$11:$BC$11))=0,"",SUMPRODUCT((Marks!$B$2:$BC$2=N$3)*(Marks!$B$11:$BC$11=1))/SUMPRODUCT((Marks!$B$2:$BC$2=N$3)*ISNUMBER(Marks!$B$11:$BC$11)))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IF(SUMPRODUCT((Marks!$B$2:$BC$2=I$3)*ISNUMBER(Marks!$B$12:$BC$12))=0,"",SUMPRODUCT((Marks!$B$2:$BC$2=I$3)*(Marks!$B$12:$BC$12=1))/SUMPRODUCT((Marks!$B$2:$BC$2=I$3)*ISNUMBER(Marks!$B$12:$BC$12)))</f>
        <v/>
      </c>
      <c r="J12" s="6">
        <f>IF(SUMPRODUCT((Marks!$B$2:$BC$2=J$3)*ISNUMBER(Marks!$B$12:$BC$12))=0,"",SUMPRODUCT((Marks!$B$2:$BC$2=J$3)*(Marks!$B$12:$BC$12=1))/SUMPRODUCT((Marks!$B$2:$BC$2=J$3)*ISNUMBER(Marks!$B$12:$BC$12)))</f>
        <v/>
      </c>
      <c r="K12" s="6">
        <f>IF(SUMPRODUCT((Marks!$B$2:$BC$2=K$3)*ISNUMBER(Marks!$B$12:$BC$12))=0,"",SUMPRODUCT((Marks!$B$2:$BC$2=K$3)*(Marks!$B$12:$BC$12=1))/SUMPRODUCT((Marks!$B$2:$BC$2=K$3)*ISNUMBER(Marks!$B$12:$BC$12)))</f>
        <v/>
      </c>
      <c r="L12" s="6">
        <f>IF(SUMPRODUCT((Marks!$B$2:$BC$2=L$3)*ISNUMBER(Marks!$B$12:$BC$12))=0,"",SUMPRODUCT((Marks!$B$2:$BC$2=L$3)*(Marks!$B$12:$BC$12=1))/SUMPRODUCT((Marks!$B$2:$BC$2=L$3)*ISNUMBER(Marks!$B$12:$BC$12)))</f>
        <v/>
      </c>
      <c r="M12" s="6">
        <f>IF(SUMPRODUCT((Marks!$B$2:$BC$2=M$3)*ISNUMBER(Marks!$B$12:$BC$12))=0,"",SUMPRODUCT((Marks!$B$2:$BC$2=M$3)*(Marks!$B$12:$BC$12=1))/SUMPRODUCT((Marks!$B$2:$BC$2=M$3)*ISNUMBER(Marks!$B$12:$BC$12)))</f>
        <v/>
      </c>
      <c r="N12" s="6">
        <f>IF(SUMPRODUCT((Marks!$B$2:$BC$2=N$3)*ISNUMBER(Marks!$B$12:$BC$12))=0,"",SUMPRODUCT((Marks!$B$2:$BC$2=N$3)*(Marks!$B$12:$BC$12=1))/SUMPRODUCT((Marks!$B$2:$BC$2=N$3)*ISNUMBER(Marks!$B$12:$BC$12)))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IF(SUMPRODUCT((Marks!$B$2:$BC$2=I$3)*ISNUMBER(Marks!$B$13:$BC$13))=0,"",SUMPRODUCT((Marks!$B$2:$BC$2=I$3)*(Marks!$B$13:$BC$13=1))/SUMPRODUCT((Marks!$B$2:$BC$2=I$3)*ISNUMBER(Marks!$B$13:$BC$13)))</f>
        <v/>
      </c>
      <c r="J13" s="6">
        <f>IF(SUMPRODUCT((Marks!$B$2:$BC$2=J$3)*ISNUMBER(Marks!$B$13:$BC$13))=0,"",SUMPRODUCT((Marks!$B$2:$BC$2=J$3)*(Marks!$B$13:$BC$13=1))/SUMPRODUCT((Marks!$B$2:$BC$2=J$3)*ISNUMBER(Marks!$B$13:$BC$13)))</f>
        <v/>
      </c>
      <c r="K13" s="6">
        <f>IF(SUMPRODUCT((Marks!$B$2:$BC$2=K$3)*ISNUMBER(Marks!$B$13:$BC$13))=0,"",SUMPRODUCT((Marks!$B$2:$BC$2=K$3)*(Marks!$B$13:$BC$13=1))/SUMPRODUCT((Marks!$B$2:$BC$2=K$3)*ISNUMBER(Marks!$B$13:$BC$13)))</f>
        <v/>
      </c>
      <c r="L13" s="6">
        <f>IF(SUMPRODUCT((Marks!$B$2:$BC$2=L$3)*ISNUMBER(Marks!$B$13:$BC$13))=0,"",SUMPRODUCT((Marks!$B$2:$BC$2=L$3)*(Marks!$B$13:$BC$13=1))/SUMPRODUCT((Marks!$B$2:$BC$2=L$3)*ISNUMBER(Marks!$B$13:$BC$13)))</f>
        <v/>
      </c>
      <c r="M13" s="6">
        <f>IF(SUMPRODUCT((Marks!$B$2:$BC$2=M$3)*ISNUMBER(Marks!$B$13:$BC$13))=0,"",SUMPRODUCT((Marks!$B$2:$BC$2=M$3)*(Marks!$B$13:$BC$13=1))/SUMPRODUCT((Marks!$B$2:$BC$2=M$3)*ISNUMBER(Marks!$B$13:$BC$13)))</f>
        <v/>
      </c>
      <c r="N13" s="6">
        <f>IF(SUMPRODUCT((Marks!$B$2:$BC$2=N$3)*ISNUMBER(Marks!$B$13:$BC$13))=0,"",SUMPRODUCT((Marks!$B$2:$BC$2=N$3)*(Marks!$B$13:$BC$13=1))/SUMPRODUCT((Marks!$B$2:$BC$2=N$3)*ISNUMBER(Marks!$B$13:$BC$13)))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IF(SUMPRODUCT((Marks!$B$2:$BC$2=I$3)*ISNUMBER(Marks!$B$14:$BC$14))=0,"",SUMPRODUCT((Marks!$B$2:$BC$2=I$3)*(Marks!$B$14:$BC$14=1))/SUMPRODUCT((Marks!$B$2:$BC$2=I$3)*ISNUMBER(Marks!$B$14:$BC$14)))</f>
        <v/>
      </c>
      <c r="J14" s="6">
        <f>IF(SUMPRODUCT((Marks!$B$2:$BC$2=J$3)*ISNUMBER(Marks!$B$14:$BC$14))=0,"",SUMPRODUCT((Marks!$B$2:$BC$2=J$3)*(Marks!$B$14:$BC$14=1))/SUMPRODUCT((Marks!$B$2:$BC$2=J$3)*ISNUMBER(Marks!$B$14:$BC$14)))</f>
        <v/>
      </c>
      <c r="K14" s="6">
        <f>IF(SUMPRODUCT((Marks!$B$2:$BC$2=K$3)*ISNUMBER(Marks!$B$14:$BC$14))=0,"",SUMPRODUCT((Marks!$B$2:$BC$2=K$3)*(Marks!$B$14:$BC$14=1))/SUMPRODUCT((Marks!$B$2:$BC$2=K$3)*ISNUMBER(Marks!$B$14:$BC$14)))</f>
        <v/>
      </c>
      <c r="L14" s="6">
        <f>IF(SUMPRODUCT((Marks!$B$2:$BC$2=L$3)*ISNUMBER(Marks!$B$14:$BC$14))=0,"",SUMPRODUCT((Marks!$B$2:$BC$2=L$3)*(Marks!$B$14:$BC$14=1))/SUMPRODUCT((Marks!$B$2:$BC$2=L$3)*ISNUMBER(Marks!$B$14:$BC$14)))</f>
        <v/>
      </c>
      <c r="M14" s="6">
        <f>IF(SUMPRODUCT((Marks!$B$2:$BC$2=M$3)*ISNUMBER(Marks!$B$14:$BC$14))=0,"",SUMPRODUCT((Marks!$B$2:$BC$2=M$3)*(Marks!$B$14:$BC$14=1))/SUMPRODUCT((Marks!$B$2:$BC$2=M$3)*ISNUMBER(Marks!$B$14:$BC$14)))</f>
        <v/>
      </c>
      <c r="N14" s="6">
        <f>IF(SUMPRODUCT((Marks!$B$2:$BC$2=N$3)*ISNUMBER(Marks!$B$14:$BC$14))=0,"",SUMPRODUCT((Marks!$B$2:$BC$2=N$3)*(Marks!$B$14:$BC$14=1))/SUMPRODUCT((Marks!$B$2:$BC$2=N$3)*ISNUMBER(Marks!$B$14:$BC$14)))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IF(SUMPRODUCT((Marks!$B$2:$BC$2=I$3)*ISNUMBER(Marks!$B$15:$BC$15))=0,"",SUMPRODUCT((Marks!$B$2:$BC$2=I$3)*(Marks!$B$15:$BC$15=1))/SUMPRODUCT((Marks!$B$2:$BC$2=I$3)*ISNUMBER(Marks!$B$15:$BC$15)))</f>
        <v/>
      </c>
      <c r="J15" s="6">
        <f>IF(SUMPRODUCT((Marks!$B$2:$BC$2=J$3)*ISNUMBER(Marks!$B$15:$BC$15))=0,"",SUMPRODUCT((Marks!$B$2:$BC$2=J$3)*(Marks!$B$15:$BC$15=1))/SUMPRODUCT((Marks!$B$2:$BC$2=J$3)*ISNUMBER(Marks!$B$15:$BC$15)))</f>
        <v/>
      </c>
      <c r="K15" s="6">
        <f>IF(SUMPRODUCT((Marks!$B$2:$BC$2=K$3)*ISNUMBER(Marks!$B$15:$BC$15))=0,"",SUMPRODUCT((Marks!$B$2:$BC$2=K$3)*(Marks!$B$15:$BC$15=1))/SUMPRODUCT((Marks!$B$2:$BC$2=K$3)*ISNUMBER(Marks!$B$15:$BC$15)))</f>
        <v/>
      </c>
      <c r="L15" s="6">
        <f>IF(SUMPRODUCT((Marks!$B$2:$BC$2=L$3)*ISNUMBER(Marks!$B$15:$BC$15))=0,"",SUMPRODUCT((Marks!$B$2:$BC$2=L$3)*(Marks!$B$15:$BC$15=1))/SUMPRODUCT((Marks!$B$2:$BC$2=L$3)*ISNUMBER(Marks!$B$15:$BC$15)))</f>
        <v/>
      </c>
      <c r="M15" s="6">
        <f>IF(SUMPRODUCT((Marks!$B$2:$BC$2=M$3)*ISNUMBER(Marks!$B$15:$BC$15))=0,"",SUMPRODUCT((Marks!$B$2:$BC$2=M$3)*(Marks!$B$15:$BC$15=1))/SUMPRODUCT((Marks!$B$2:$BC$2=M$3)*ISNUMBER(Marks!$B$15:$BC$15)))</f>
        <v/>
      </c>
      <c r="N15" s="6">
        <f>IF(SUMPRODUCT((Marks!$B$2:$BC$2=N$3)*ISNUMBER(Marks!$B$15:$BC$15))=0,"",SUMPRODUCT((Marks!$B$2:$BC$2=N$3)*(Marks!$B$15:$BC$15=1))/SUMPRODUCT((Marks!$B$2:$BC$2=N$3)*ISNUMBER(Marks!$B$15:$BC$15)))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IF(SUMPRODUCT((Marks!$B$2:$BC$2=I$3)*ISNUMBER(Marks!$B$16:$BC$16))=0,"",SUMPRODUCT((Marks!$B$2:$BC$2=I$3)*(Marks!$B$16:$BC$16=1))/SUMPRODUCT((Marks!$B$2:$BC$2=I$3)*ISNUMBER(Marks!$B$16:$BC$16)))</f>
        <v/>
      </c>
      <c r="J16" s="6">
        <f>IF(SUMPRODUCT((Marks!$B$2:$BC$2=J$3)*ISNUMBER(Marks!$B$16:$BC$16))=0,"",SUMPRODUCT((Marks!$B$2:$BC$2=J$3)*(Marks!$B$16:$BC$16=1))/SUMPRODUCT((Marks!$B$2:$BC$2=J$3)*ISNUMBER(Marks!$B$16:$BC$16)))</f>
        <v/>
      </c>
      <c r="K16" s="6">
        <f>IF(SUMPRODUCT((Marks!$B$2:$BC$2=K$3)*ISNUMBER(Marks!$B$16:$BC$16))=0,"",SUMPRODUCT((Marks!$B$2:$BC$2=K$3)*(Marks!$B$16:$BC$16=1))/SUMPRODUCT((Marks!$B$2:$BC$2=K$3)*ISNUMBER(Marks!$B$16:$BC$16)))</f>
        <v/>
      </c>
      <c r="L16" s="6">
        <f>IF(SUMPRODUCT((Marks!$B$2:$BC$2=L$3)*ISNUMBER(Marks!$B$16:$BC$16))=0,"",SUMPRODUCT((Marks!$B$2:$BC$2=L$3)*(Marks!$B$16:$BC$16=1))/SUMPRODUCT((Marks!$B$2:$BC$2=L$3)*ISNUMBER(Marks!$B$16:$BC$16)))</f>
        <v/>
      </c>
      <c r="M16" s="6">
        <f>IF(SUMPRODUCT((Marks!$B$2:$BC$2=M$3)*ISNUMBER(Marks!$B$16:$BC$16))=0,"",SUMPRODUCT((Marks!$B$2:$BC$2=M$3)*(Marks!$B$16:$BC$16=1))/SUMPRODUCT((Marks!$B$2:$BC$2=M$3)*ISNUMBER(Marks!$B$16:$BC$16)))</f>
        <v/>
      </c>
      <c r="N16" s="6">
        <f>IF(SUMPRODUCT((Marks!$B$2:$BC$2=N$3)*ISNUMBER(Marks!$B$16:$BC$16))=0,"",SUMPRODUCT((Marks!$B$2:$BC$2=N$3)*(Marks!$B$16:$BC$16=1))/SUMPRODUCT((Marks!$B$2:$BC$2=N$3)*ISNUMBER(Marks!$B$16:$BC$16)))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IF(SUMPRODUCT((Marks!$B$2:$BC$2=I$3)*ISNUMBER(Marks!$B$17:$BC$17))=0,"",SUMPRODUCT((Marks!$B$2:$BC$2=I$3)*(Marks!$B$17:$BC$17=1))/SUMPRODUCT((Marks!$B$2:$BC$2=I$3)*ISNUMBER(Marks!$B$17:$BC$17)))</f>
        <v/>
      </c>
      <c r="J17" s="6">
        <f>IF(SUMPRODUCT((Marks!$B$2:$BC$2=J$3)*ISNUMBER(Marks!$B$17:$BC$17))=0,"",SUMPRODUCT((Marks!$B$2:$BC$2=J$3)*(Marks!$B$17:$BC$17=1))/SUMPRODUCT((Marks!$B$2:$BC$2=J$3)*ISNUMBER(Marks!$B$17:$BC$17)))</f>
        <v/>
      </c>
      <c r="K17" s="6">
        <f>IF(SUMPRODUCT((Marks!$B$2:$BC$2=K$3)*ISNUMBER(Marks!$B$17:$BC$17))=0,"",SUMPRODUCT((Marks!$B$2:$BC$2=K$3)*(Marks!$B$17:$BC$17=1))/SUMPRODUCT((Marks!$B$2:$BC$2=K$3)*ISNUMBER(Marks!$B$17:$BC$17)))</f>
        <v/>
      </c>
      <c r="L17" s="6">
        <f>IF(SUMPRODUCT((Marks!$B$2:$BC$2=L$3)*ISNUMBER(Marks!$B$17:$BC$17))=0,"",SUMPRODUCT((Marks!$B$2:$BC$2=L$3)*(Marks!$B$17:$BC$17=1))/SUMPRODUCT((Marks!$B$2:$BC$2=L$3)*ISNUMBER(Marks!$B$17:$BC$17)))</f>
        <v/>
      </c>
      <c r="M17" s="6">
        <f>IF(SUMPRODUCT((Marks!$B$2:$BC$2=M$3)*ISNUMBER(Marks!$B$17:$BC$17))=0,"",SUMPRODUCT((Marks!$B$2:$BC$2=M$3)*(Marks!$B$17:$BC$17=1))/SUMPRODUCT((Marks!$B$2:$BC$2=M$3)*ISNUMBER(Marks!$B$17:$BC$17)))</f>
        <v/>
      </c>
      <c r="N17" s="6">
        <f>IF(SUMPRODUCT((Marks!$B$2:$BC$2=N$3)*ISNUMBER(Marks!$B$17:$BC$17))=0,"",SUMPRODUCT((Marks!$B$2:$BC$2=N$3)*(Marks!$B$17:$BC$17=1))/SUMPRODUCT((Marks!$B$2:$BC$2=N$3)*ISNUMBER(Marks!$B$17:$BC$17)))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IF(SUMPRODUCT((Marks!$B$2:$BC$2=I$3)*ISNUMBER(Marks!$B$18:$BC$18))=0,"",SUMPRODUCT((Marks!$B$2:$BC$2=I$3)*(Marks!$B$18:$BC$18=1))/SUMPRODUCT((Marks!$B$2:$BC$2=I$3)*ISNUMBER(Marks!$B$18:$BC$18)))</f>
        <v/>
      </c>
      <c r="J18" s="6">
        <f>IF(SUMPRODUCT((Marks!$B$2:$BC$2=J$3)*ISNUMBER(Marks!$B$18:$BC$18))=0,"",SUMPRODUCT((Marks!$B$2:$BC$2=J$3)*(Marks!$B$18:$BC$18=1))/SUMPRODUCT((Marks!$B$2:$BC$2=J$3)*ISNUMBER(Marks!$B$18:$BC$18)))</f>
        <v/>
      </c>
      <c r="K18" s="6">
        <f>IF(SUMPRODUCT((Marks!$B$2:$BC$2=K$3)*ISNUMBER(Marks!$B$18:$BC$18))=0,"",SUMPRODUCT((Marks!$B$2:$BC$2=K$3)*(Marks!$B$18:$BC$18=1))/SUMPRODUCT((Marks!$B$2:$BC$2=K$3)*ISNUMBER(Marks!$B$18:$BC$18)))</f>
        <v/>
      </c>
      <c r="L18" s="6">
        <f>IF(SUMPRODUCT((Marks!$B$2:$BC$2=L$3)*ISNUMBER(Marks!$B$18:$BC$18))=0,"",SUMPRODUCT((Marks!$B$2:$BC$2=L$3)*(Marks!$B$18:$BC$18=1))/SUMPRODUCT((Marks!$B$2:$BC$2=L$3)*ISNUMBER(Marks!$B$18:$BC$18)))</f>
        <v/>
      </c>
      <c r="M18" s="6">
        <f>IF(SUMPRODUCT((Marks!$B$2:$BC$2=M$3)*ISNUMBER(Marks!$B$18:$BC$18))=0,"",SUMPRODUCT((Marks!$B$2:$BC$2=M$3)*(Marks!$B$18:$BC$18=1))/SUMPRODUCT((Marks!$B$2:$BC$2=M$3)*ISNUMBER(Marks!$B$18:$BC$18)))</f>
        <v/>
      </c>
      <c r="N18" s="6">
        <f>IF(SUMPRODUCT((Marks!$B$2:$BC$2=N$3)*ISNUMBER(Marks!$B$18:$BC$18))=0,"",SUMPRODUCT((Marks!$B$2:$BC$2=N$3)*(Marks!$B$18:$BC$18=1))/SUMPRODUCT((Marks!$B$2:$BC$2=N$3)*ISNUMBER(Marks!$B$18:$BC$18)))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IF(SUMPRODUCT((Marks!$B$2:$BC$2=I$3)*ISNUMBER(Marks!$B$19:$BC$19))=0,"",SUMPRODUCT((Marks!$B$2:$BC$2=I$3)*(Marks!$B$19:$BC$19=1))/SUMPRODUCT((Marks!$B$2:$BC$2=I$3)*ISNUMBER(Marks!$B$19:$BC$19)))</f>
        <v/>
      </c>
      <c r="J19" s="6">
        <f>IF(SUMPRODUCT((Marks!$B$2:$BC$2=J$3)*ISNUMBER(Marks!$B$19:$BC$19))=0,"",SUMPRODUCT((Marks!$B$2:$BC$2=J$3)*(Marks!$B$19:$BC$19=1))/SUMPRODUCT((Marks!$B$2:$BC$2=J$3)*ISNUMBER(Marks!$B$19:$BC$19)))</f>
        <v/>
      </c>
      <c r="K19" s="6">
        <f>IF(SUMPRODUCT((Marks!$B$2:$BC$2=K$3)*ISNUMBER(Marks!$B$19:$BC$19))=0,"",SUMPRODUCT((Marks!$B$2:$BC$2=K$3)*(Marks!$B$19:$BC$19=1))/SUMPRODUCT((Marks!$B$2:$BC$2=K$3)*ISNUMBER(Marks!$B$19:$BC$19)))</f>
        <v/>
      </c>
      <c r="L19" s="6">
        <f>IF(SUMPRODUCT((Marks!$B$2:$BC$2=L$3)*ISNUMBER(Marks!$B$19:$BC$19))=0,"",SUMPRODUCT((Marks!$B$2:$BC$2=L$3)*(Marks!$B$19:$BC$19=1))/SUMPRODUCT((Marks!$B$2:$BC$2=L$3)*ISNUMBER(Marks!$B$19:$BC$19)))</f>
        <v/>
      </c>
      <c r="M19" s="6">
        <f>IF(SUMPRODUCT((Marks!$B$2:$BC$2=M$3)*ISNUMBER(Marks!$B$19:$BC$19))=0,"",SUMPRODUCT((Marks!$B$2:$BC$2=M$3)*(Marks!$B$19:$BC$19=1))/SUMPRODUCT((Marks!$B$2:$BC$2=M$3)*ISNUMBER(Marks!$B$19:$BC$19)))</f>
        <v/>
      </c>
      <c r="N19" s="6">
        <f>IF(SUMPRODUCT((Marks!$B$2:$BC$2=N$3)*ISNUMBER(Marks!$B$19:$BC$19))=0,"",SUMPRODUCT((Marks!$B$2:$BC$2=N$3)*(Marks!$B$19:$BC$19=1))/SUMPRODUCT((Marks!$B$2:$BC$2=N$3)*ISNUMBER(Marks!$B$19:$BC$19)))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IF(SUMPRODUCT((Marks!$B$2:$BC$2=I$3)*ISNUMBER(Marks!$B$20:$BC$20))=0,"",SUMPRODUCT((Marks!$B$2:$BC$2=I$3)*(Marks!$B$20:$BC$20=1))/SUMPRODUCT((Marks!$B$2:$BC$2=I$3)*ISNUMBER(Marks!$B$20:$BC$20)))</f>
        <v/>
      </c>
      <c r="J20" s="6">
        <f>IF(SUMPRODUCT((Marks!$B$2:$BC$2=J$3)*ISNUMBER(Marks!$B$20:$BC$20))=0,"",SUMPRODUCT((Marks!$B$2:$BC$2=J$3)*(Marks!$B$20:$BC$20=1))/SUMPRODUCT((Marks!$B$2:$BC$2=J$3)*ISNUMBER(Marks!$B$20:$BC$20)))</f>
        <v/>
      </c>
      <c r="K20" s="6">
        <f>IF(SUMPRODUCT((Marks!$B$2:$BC$2=K$3)*ISNUMBER(Marks!$B$20:$BC$20))=0,"",SUMPRODUCT((Marks!$B$2:$BC$2=K$3)*(Marks!$B$20:$BC$20=1))/SUMPRODUCT((Marks!$B$2:$BC$2=K$3)*ISNUMBER(Marks!$B$20:$BC$20)))</f>
        <v/>
      </c>
      <c r="L20" s="6">
        <f>IF(SUMPRODUCT((Marks!$B$2:$BC$2=L$3)*ISNUMBER(Marks!$B$20:$BC$20))=0,"",SUMPRODUCT((Marks!$B$2:$BC$2=L$3)*(Marks!$B$20:$BC$20=1))/SUMPRODUCT((Marks!$B$2:$BC$2=L$3)*ISNUMBER(Marks!$B$20:$BC$20)))</f>
        <v/>
      </c>
      <c r="M20" s="6">
        <f>IF(SUMPRODUCT((Marks!$B$2:$BC$2=M$3)*ISNUMBER(Marks!$B$20:$BC$20))=0,"",SUMPRODUCT((Marks!$B$2:$BC$2=M$3)*(Marks!$B$20:$BC$20=1))/SUMPRODUCT((Marks!$B$2:$BC$2=M$3)*ISNUMBER(Marks!$B$20:$BC$20)))</f>
        <v/>
      </c>
      <c r="N20" s="6">
        <f>IF(SUMPRODUCT((Marks!$B$2:$BC$2=N$3)*ISNUMBER(Marks!$B$20:$BC$20))=0,"",SUMPRODUCT((Marks!$B$2:$BC$2=N$3)*(Marks!$B$20:$BC$20=1))/SUMPRODUCT((Marks!$B$2:$BC$2=N$3)*ISNUMBER(Marks!$B$20:$BC$20)))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IF(SUMPRODUCT((Marks!$B$2:$BC$2=I$3)*ISNUMBER(Marks!$B$21:$BC$21))=0,"",SUMPRODUCT((Marks!$B$2:$BC$2=I$3)*(Marks!$B$21:$BC$21=1))/SUMPRODUCT((Marks!$B$2:$BC$2=I$3)*ISNUMBER(Marks!$B$21:$BC$21)))</f>
        <v/>
      </c>
      <c r="J21" s="6">
        <f>IF(SUMPRODUCT((Marks!$B$2:$BC$2=J$3)*ISNUMBER(Marks!$B$21:$BC$21))=0,"",SUMPRODUCT((Marks!$B$2:$BC$2=J$3)*(Marks!$B$21:$BC$21=1))/SUMPRODUCT((Marks!$B$2:$BC$2=J$3)*ISNUMBER(Marks!$B$21:$BC$21)))</f>
        <v/>
      </c>
      <c r="K21" s="6">
        <f>IF(SUMPRODUCT((Marks!$B$2:$BC$2=K$3)*ISNUMBER(Marks!$B$21:$BC$21))=0,"",SUMPRODUCT((Marks!$B$2:$BC$2=K$3)*(Marks!$B$21:$BC$21=1))/SUMPRODUCT((Marks!$B$2:$BC$2=K$3)*ISNUMBER(Marks!$B$21:$BC$21)))</f>
        <v/>
      </c>
      <c r="L21" s="6">
        <f>IF(SUMPRODUCT((Marks!$B$2:$BC$2=L$3)*ISNUMBER(Marks!$B$21:$BC$21))=0,"",SUMPRODUCT((Marks!$B$2:$BC$2=L$3)*(Marks!$B$21:$BC$21=1))/SUMPRODUCT((Marks!$B$2:$BC$2=L$3)*ISNUMBER(Marks!$B$21:$BC$21)))</f>
        <v/>
      </c>
      <c r="M21" s="6">
        <f>IF(SUMPRODUCT((Marks!$B$2:$BC$2=M$3)*ISNUMBER(Marks!$B$21:$BC$21))=0,"",SUMPRODUCT((Marks!$B$2:$BC$2=M$3)*(Marks!$B$21:$BC$21=1))/SUMPRODUCT((Marks!$B$2:$BC$2=M$3)*ISNUMBER(Marks!$B$21:$BC$21)))</f>
        <v/>
      </c>
      <c r="N21" s="6">
        <f>IF(SUMPRODUCT((Marks!$B$2:$BC$2=N$3)*ISNUMBER(Marks!$B$21:$BC$21))=0,"",SUMPRODUCT((Marks!$B$2:$BC$2=N$3)*(Marks!$B$21:$BC$21=1))/SUMPRODUCT((Marks!$B$2:$BC$2=N$3)*ISNUMBER(Marks!$B$21:$BC$21)))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IF(SUMPRODUCT((Marks!$B$2:$BC$2=I$3)*ISNUMBER(Marks!$B$22:$BC$22))=0,"",SUMPRODUCT((Marks!$B$2:$BC$2=I$3)*(Marks!$B$22:$BC$22=1))/SUMPRODUCT((Marks!$B$2:$BC$2=I$3)*ISNUMBER(Marks!$B$22:$BC$22)))</f>
        <v/>
      </c>
      <c r="J22" s="6">
        <f>IF(SUMPRODUCT((Marks!$B$2:$BC$2=J$3)*ISNUMBER(Marks!$B$22:$BC$22))=0,"",SUMPRODUCT((Marks!$B$2:$BC$2=J$3)*(Marks!$B$22:$BC$22=1))/SUMPRODUCT((Marks!$B$2:$BC$2=J$3)*ISNUMBER(Marks!$B$22:$BC$22)))</f>
        <v/>
      </c>
      <c r="K22" s="6">
        <f>IF(SUMPRODUCT((Marks!$B$2:$BC$2=K$3)*ISNUMBER(Marks!$B$22:$BC$22))=0,"",SUMPRODUCT((Marks!$B$2:$BC$2=K$3)*(Marks!$B$22:$BC$22=1))/SUMPRODUCT((Marks!$B$2:$BC$2=K$3)*ISNUMBER(Marks!$B$22:$BC$22)))</f>
        <v/>
      </c>
      <c r="L22" s="6">
        <f>IF(SUMPRODUCT((Marks!$B$2:$BC$2=L$3)*ISNUMBER(Marks!$B$22:$BC$22))=0,"",SUMPRODUCT((Marks!$B$2:$BC$2=L$3)*(Marks!$B$22:$BC$22=1))/SUMPRODUCT((Marks!$B$2:$BC$2=L$3)*ISNUMBER(Marks!$B$22:$BC$22)))</f>
        <v/>
      </c>
      <c r="M22" s="6">
        <f>IF(SUMPRODUCT((Marks!$B$2:$BC$2=M$3)*ISNUMBER(Marks!$B$22:$BC$22))=0,"",SUMPRODUCT((Marks!$B$2:$BC$2=M$3)*(Marks!$B$22:$BC$22=1))/SUMPRODUCT((Marks!$B$2:$BC$2=M$3)*ISNUMBER(Marks!$B$22:$BC$22)))</f>
        <v/>
      </c>
      <c r="N22" s="6">
        <f>IF(SUMPRODUCT((Marks!$B$2:$BC$2=N$3)*ISNUMBER(Marks!$B$22:$BC$22))=0,"",SUMPRODUCT((Marks!$B$2:$BC$2=N$3)*(Marks!$B$22:$BC$22=1))/SUMPRODUCT((Marks!$B$2:$BC$2=N$3)*ISNUMBER(Marks!$B$22:$BC$22)))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IF(SUMPRODUCT((Marks!$B$2:$BC$2=I$3)*ISNUMBER(Marks!$B$23:$BC$23))=0,"",SUMPRODUCT((Marks!$B$2:$BC$2=I$3)*(Marks!$B$23:$BC$23=1))/SUMPRODUCT((Marks!$B$2:$BC$2=I$3)*ISNUMBER(Marks!$B$23:$BC$23)))</f>
        <v/>
      </c>
      <c r="J23" s="6">
        <f>IF(SUMPRODUCT((Marks!$B$2:$BC$2=J$3)*ISNUMBER(Marks!$B$23:$BC$23))=0,"",SUMPRODUCT((Marks!$B$2:$BC$2=J$3)*(Marks!$B$23:$BC$23=1))/SUMPRODUCT((Marks!$B$2:$BC$2=J$3)*ISNUMBER(Marks!$B$23:$BC$23)))</f>
        <v/>
      </c>
      <c r="K23" s="6">
        <f>IF(SUMPRODUCT((Marks!$B$2:$BC$2=K$3)*ISNUMBER(Marks!$B$23:$BC$23))=0,"",SUMPRODUCT((Marks!$B$2:$BC$2=K$3)*(Marks!$B$23:$BC$23=1))/SUMPRODUCT((Marks!$B$2:$BC$2=K$3)*ISNUMBER(Marks!$B$23:$BC$23)))</f>
        <v/>
      </c>
      <c r="L23" s="6">
        <f>IF(SUMPRODUCT((Marks!$B$2:$BC$2=L$3)*ISNUMBER(Marks!$B$23:$BC$23))=0,"",SUMPRODUCT((Marks!$B$2:$BC$2=L$3)*(Marks!$B$23:$BC$23=1))/SUMPRODUCT((Marks!$B$2:$BC$2=L$3)*ISNUMBER(Marks!$B$23:$BC$23)))</f>
        <v/>
      </c>
      <c r="M23" s="6">
        <f>IF(SUMPRODUCT((Marks!$B$2:$BC$2=M$3)*ISNUMBER(Marks!$B$23:$BC$23))=0,"",SUMPRODUCT((Marks!$B$2:$BC$2=M$3)*(Marks!$B$23:$BC$23=1))/SUMPRODUCT((Marks!$B$2:$BC$2=M$3)*ISNUMBER(Marks!$B$23:$BC$23)))</f>
        <v/>
      </c>
      <c r="N23" s="6">
        <f>IF(SUMPRODUCT((Marks!$B$2:$BC$2=N$3)*ISNUMBER(Marks!$B$23:$BC$23))=0,"",SUMPRODUCT((Marks!$B$2:$BC$2=N$3)*(Marks!$B$23:$BC$23=1))/SUMPRODUCT((Marks!$B$2:$BC$2=N$3)*ISNUMBER(Marks!$B$23:$BC$23)))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IF(SUMPRODUCT((Marks!$B$2:$BC$2=I$3)*ISNUMBER(Marks!$B$24:$BC$24))=0,"",SUMPRODUCT((Marks!$B$2:$BC$2=I$3)*(Marks!$B$24:$BC$24=1))/SUMPRODUCT((Marks!$B$2:$BC$2=I$3)*ISNUMBER(Marks!$B$24:$BC$24)))</f>
        <v/>
      </c>
      <c r="J24" s="6">
        <f>IF(SUMPRODUCT((Marks!$B$2:$BC$2=J$3)*ISNUMBER(Marks!$B$24:$BC$24))=0,"",SUMPRODUCT((Marks!$B$2:$BC$2=J$3)*(Marks!$B$24:$BC$24=1))/SUMPRODUCT((Marks!$B$2:$BC$2=J$3)*ISNUMBER(Marks!$B$24:$BC$24)))</f>
        <v/>
      </c>
      <c r="K24" s="6">
        <f>IF(SUMPRODUCT((Marks!$B$2:$BC$2=K$3)*ISNUMBER(Marks!$B$24:$BC$24))=0,"",SUMPRODUCT((Marks!$B$2:$BC$2=K$3)*(Marks!$B$24:$BC$24=1))/SUMPRODUCT((Marks!$B$2:$BC$2=K$3)*ISNUMBER(Marks!$B$24:$BC$24)))</f>
        <v/>
      </c>
      <c r="L24" s="6">
        <f>IF(SUMPRODUCT((Marks!$B$2:$BC$2=L$3)*ISNUMBER(Marks!$B$24:$BC$24))=0,"",SUMPRODUCT((Marks!$B$2:$BC$2=L$3)*(Marks!$B$24:$BC$24=1))/SUMPRODUCT((Marks!$B$2:$BC$2=L$3)*ISNUMBER(Marks!$B$24:$BC$24)))</f>
        <v/>
      </c>
      <c r="M24" s="6">
        <f>IF(SUMPRODUCT((Marks!$B$2:$BC$2=M$3)*ISNUMBER(Marks!$B$24:$BC$24))=0,"",SUMPRODUCT((Marks!$B$2:$BC$2=M$3)*(Marks!$B$24:$BC$24=1))/SUMPRODUCT((Marks!$B$2:$BC$2=M$3)*ISNUMBER(Marks!$B$24:$BC$24)))</f>
        <v/>
      </c>
      <c r="N24" s="6">
        <f>IF(SUMPRODUCT((Marks!$B$2:$BC$2=N$3)*ISNUMBER(Marks!$B$24:$BC$24))=0,"",SUMPRODUCT((Marks!$B$2:$BC$2=N$3)*(Marks!$B$24:$BC$24=1))/SUMPRODUCT((Marks!$B$2:$BC$2=N$3)*ISNUMBER(Marks!$B$24:$BC$24)))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IF(SUMPRODUCT((Marks!$B$2:$BC$2=I$3)*ISNUMBER(Marks!$B$25:$BC$25))=0,"",SUMPRODUCT((Marks!$B$2:$BC$2=I$3)*(Marks!$B$25:$BC$25=1))/SUMPRODUCT((Marks!$B$2:$BC$2=I$3)*ISNUMBER(Marks!$B$25:$BC$25)))</f>
        <v/>
      </c>
      <c r="J25" s="6">
        <f>IF(SUMPRODUCT((Marks!$B$2:$BC$2=J$3)*ISNUMBER(Marks!$B$25:$BC$25))=0,"",SUMPRODUCT((Marks!$B$2:$BC$2=J$3)*(Marks!$B$25:$BC$25=1))/SUMPRODUCT((Marks!$B$2:$BC$2=J$3)*ISNUMBER(Marks!$B$25:$BC$25)))</f>
        <v/>
      </c>
      <c r="K25" s="6">
        <f>IF(SUMPRODUCT((Marks!$B$2:$BC$2=K$3)*ISNUMBER(Marks!$B$25:$BC$25))=0,"",SUMPRODUCT((Marks!$B$2:$BC$2=K$3)*(Marks!$B$25:$BC$25=1))/SUMPRODUCT((Marks!$B$2:$BC$2=K$3)*ISNUMBER(Marks!$B$25:$BC$25)))</f>
        <v/>
      </c>
      <c r="L25" s="6">
        <f>IF(SUMPRODUCT((Marks!$B$2:$BC$2=L$3)*ISNUMBER(Marks!$B$25:$BC$25))=0,"",SUMPRODUCT((Marks!$B$2:$BC$2=L$3)*(Marks!$B$25:$BC$25=1))/SUMPRODUCT((Marks!$B$2:$BC$2=L$3)*ISNUMBER(Marks!$B$25:$BC$25)))</f>
        <v/>
      </c>
      <c r="M25" s="6">
        <f>IF(SUMPRODUCT((Marks!$B$2:$BC$2=M$3)*ISNUMBER(Marks!$B$25:$BC$25))=0,"",SUMPRODUCT((Marks!$B$2:$BC$2=M$3)*(Marks!$B$25:$BC$25=1))/SUMPRODUCT((Marks!$B$2:$BC$2=M$3)*ISNUMBER(Marks!$B$25:$BC$25)))</f>
        <v/>
      </c>
      <c r="N25" s="6">
        <f>IF(SUMPRODUCT((Marks!$B$2:$BC$2=N$3)*ISNUMBER(Marks!$B$25:$BC$25))=0,"",SUMPRODUCT((Marks!$B$2:$BC$2=N$3)*(Marks!$B$25:$BC$25=1))/SUMPRODUCT((Marks!$B$2:$BC$2=N$3)*ISNUMBER(Marks!$B$25:$BC$25)))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IF(SUMPRODUCT((Marks!$B$2:$BC$2=I$3)*ISNUMBER(Marks!$B$26:$BC$26))=0,"",SUMPRODUCT((Marks!$B$2:$BC$2=I$3)*(Marks!$B$26:$BC$26=1))/SUMPRODUCT((Marks!$B$2:$BC$2=I$3)*ISNUMBER(Marks!$B$26:$BC$26)))</f>
        <v/>
      </c>
      <c r="J26" s="6">
        <f>IF(SUMPRODUCT((Marks!$B$2:$BC$2=J$3)*ISNUMBER(Marks!$B$26:$BC$26))=0,"",SUMPRODUCT((Marks!$B$2:$BC$2=J$3)*(Marks!$B$26:$BC$26=1))/SUMPRODUCT((Marks!$B$2:$BC$2=J$3)*ISNUMBER(Marks!$B$26:$BC$26)))</f>
        <v/>
      </c>
      <c r="K26" s="6">
        <f>IF(SUMPRODUCT((Marks!$B$2:$BC$2=K$3)*ISNUMBER(Marks!$B$26:$BC$26))=0,"",SUMPRODUCT((Marks!$B$2:$BC$2=K$3)*(Marks!$B$26:$BC$26=1))/SUMPRODUCT((Marks!$B$2:$BC$2=K$3)*ISNUMBER(Marks!$B$26:$BC$26)))</f>
        <v/>
      </c>
      <c r="L26" s="6">
        <f>IF(SUMPRODUCT((Marks!$B$2:$BC$2=L$3)*ISNUMBER(Marks!$B$26:$BC$26))=0,"",SUMPRODUCT((Marks!$B$2:$BC$2=L$3)*(Marks!$B$26:$BC$26=1))/SUMPRODUCT((Marks!$B$2:$BC$2=L$3)*ISNUMBER(Marks!$B$26:$BC$26)))</f>
        <v/>
      </c>
      <c r="M26" s="6">
        <f>IF(SUMPRODUCT((Marks!$B$2:$BC$2=M$3)*ISNUMBER(Marks!$B$26:$BC$26))=0,"",SUMPRODUCT((Marks!$B$2:$BC$2=M$3)*(Marks!$B$26:$BC$26=1))/SUMPRODUCT((Marks!$B$2:$BC$2=M$3)*ISNUMBER(Marks!$B$26:$BC$26)))</f>
        <v/>
      </c>
      <c r="N26" s="6">
        <f>IF(SUMPRODUCT((Marks!$B$2:$BC$2=N$3)*ISNUMBER(Marks!$B$26:$BC$26))=0,"",SUMPRODUCT((Marks!$B$2:$BC$2=N$3)*(Marks!$B$26:$BC$26=1))/SUMPRODUCT((Marks!$B$2:$BC$2=N$3)*ISNUMBER(Marks!$B$26:$BC$26)))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IF(SUMPRODUCT((Marks!$B$2:$BC$2=I$3)*ISNUMBER(Marks!$B$27:$BC$27))=0,"",SUMPRODUCT((Marks!$B$2:$BC$2=I$3)*(Marks!$B$27:$BC$27=1))/SUMPRODUCT((Marks!$B$2:$BC$2=I$3)*ISNUMBER(Marks!$B$27:$BC$27)))</f>
        <v/>
      </c>
      <c r="J27" s="6">
        <f>IF(SUMPRODUCT((Marks!$B$2:$BC$2=J$3)*ISNUMBER(Marks!$B$27:$BC$27))=0,"",SUMPRODUCT((Marks!$B$2:$BC$2=J$3)*(Marks!$B$27:$BC$27=1))/SUMPRODUCT((Marks!$B$2:$BC$2=J$3)*ISNUMBER(Marks!$B$27:$BC$27)))</f>
        <v/>
      </c>
      <c r="K27" s="6">
        <f>IF(SUMPRODUCT((Marks!$B$2:$BC$2=K$3)*ISNUMBER(Marks!$B$27:$BC$27))=0,"",SUMPRODUCT((Marks!$B$2:$BC$2=K$3)*(Marks!$B$27:$BC$27=1))/SUMPRODUCT((Marks!$B$2:$BC$2=K$3)*ISNUMBER(Marks!$B$27:$BC$27)))</f>
        <v/>
      </c>
      <c r="L27" s="6">
        <f>IF(SUMPRODUCT((Marks!$B$2:$BC$2=L$3)*ISNUMBER(Marks!$B$27:$BC$27))=0,"",SUMPRODUCT((Marks!$B$2:$BC$2=L$3)*(Marks!$B$27:$BC$27=1))/SUMPRODUCT((Marks!$B$2:$BC$2=L$3)*ISNUMBER(Marks!$B$27:$BC$27)))</f>
        <v/>
      </c>
      <c r="M27" s="6">
        <f>IF(SUMPRODUCT((Marks!$B$2:$BC$2=M$3)*ISNUMBER(Marks!$B$27:$BC$27))=0,"",SUMPRODUCT((Marks!$B$2:$BC$2=M$3)*(Marks!$B$27:$BC$27=1))/SUMPRODUCT((Marks!$B$2:$BC$2=M$3)*ISNUMBER(Marks!$B$27:$BC$27)))</f>
        <v/>
      </c>
      <c r="N27" s="6">
        <f>IF(SUMPRODUCT((Marks!$B$2:$BC$2=N$3)*ISNUMBER(Marks!$B$27:$BC$27))=0,"",SUMPRODUCT((Marks!$B$2:$BC$2=N$3)*(Marks!$B$27:$BC$27=1))/SUMPRODUCT((Marks!$B$2:$BC$2=N$3)*ISNUMBER(Marks!$B$27:$BC$27)))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IF(SUMPRODUCT((Marks!$B$2:$BC$2=I$3)*ISNUMBER(Marks!$B$28:$BC$28))=0,"",SUMPRODUCT((Marks!$B$2:$BC$2=I$3)*(Marks!$B$28:$BC$28=1))/SUMPRODUCT((Marks!$B$2:$BC$2=I$3)*ISNUMBER(Marks!$B$28:$BC$28)))</f>
        <v/>
      </c>
      <c r="J28" s="6">
        <f>IF(SUMPRODUCT((Marks!$B$2:$BC$2=J$3)*ISNUMBER(Marks!$B$28:$BC$28))=0,"",SUMPRODUCT((Marks!$B$2:$BC$2=J$3)*(Marks!$B$28:$BC$28=1))/SUMPRODUCT((Marks!$B$2:$BC$2=J$3)*ISNUMBER(Marks!$B$28:$BC$28)))</f>
        <v/>
      </c>
      <c r="K28" s="6">
        <f>IF(SUMPRODUCT((Marks!$B$2:$BC$2=K$3)*ISNUMBER(Marks!$B$28:$BC$28))=0,"",SUMPRODUCT((Marks!$B$2:$BC$2=K$3)*(Marks!$B$28:$BC$28=1))/SUMPRODUCT((Marks!$B$2:$BC$2=K$3)*ISNUMBER(Marks!$B$28:$BC$28)))</f>
        <v/>
      </c>
      <c r="L28" s="6">
        <f>IF(SUMPRODUCT((Marks!$B$2:$BC$2=L$3)*ISNUMBER(Marks!$B$28:$BC$28))=0,"",SUMPRODUCT((Marks!$B$2:$BC$2=L$3)*(Marks!$B$28:$BC$28=1))/SUMPRODUCT((Marks!$B$2:$BC$2=L$3)*ISNUMBER(Marks!$B$28:$BC$28)))</f>
        <v/>
      </c>
      <c r="M28" s="6">
        <f>IF(SUMPRODUCT((Marks!$B$2:$BC$2=M$3)*ISNUMBER(Marks!$B$28:$BC$28))=0,"",SUMPRODUCT((Marks!$B$2:$BC$2=M$3)*(Marks!$B$28:$BC$28=1))/SUMPRODUCT((Marks!$B$2:$BC$2=M$3)*ISNUMBER(Marks!$B$28:$BC$28)))</f>
        <v/>
      </c>
      <c r="N28" s="6">
        <f>IF(SUMPRODUCT((Marks!$B$2:$BC$2=N$3)*ISNUMBER(Marks!$B$28:$BC$28))=0,"",SUMPRODUCT((Marks!$B$2:$BC$2=N$3)*(Marks!$B$28:$BC$28=1))/SUMPRODUCT((Marks!$B$2:$BC$2=N$3)*ISNUMBER(Marks!$B$28:$BC$28)))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IF(SUMPRODUCT((Marks!$B$2:$BC$2=I$3)*ISNUMBER(Marks!$B$29:$BC$29))=0,"",SUMPRODUCT((Marks!$B$2:$BC$2=I$3)*(Marks!$B$29:$BC$29=1))/SUMPRODUCT((Marks!$B$2:$BC$2=I$3)*ISNUMBER(Marks!$B$29:$BC$29)))</f>
        <v/>
      </c>
      <c r="J29" s="6">
        <f>IF(SUMPRODUCT((Marks!$B$2:$BC$2=J$3)*ISNUMBER(Marks!$B$29:$BC$29))=0,"",SUMPRODUCT((Marks!$B$2:$BC$2=J$3)*(Marks!$B$29:$BC$29=1))/SUMPRODUCT((Marks!$B$2:$BC$2=J$3)*ISNUMBER(Marks!$B$29:$BC$29)))</f>
        <v/>
      </c>
      <c r="K29" s="6">
        <f>IF(SUMPRODUCT((Marks!$B$2:$BC$2=K$3)*ISNUMBER(Marks!$B$29:$BC$29))=0,"",SUMPRODUCT((Marks!$B$2:$BC$2=K$3)*(Marks!$B$29:$BC$29=1))/SUMPRODUCT((Marks!$B$2:$BC$2=K$3)*ISNUMBER(Marks!$B$29:$BC$29)))</f>
        <v/>
      </c>
      <c r="L29" s="6">
        <f>IF(SUMPRODUCT((Marks!$B$2:$BC$2=L$3)*ISNUMBER(Marks!$B$29:$BC$29))=0,"",SUMPRODUCT((Marks!$B$2:$BC$2=L$3)*(Marks!$B$29:$BC$29=1))/SUMPRODUCT((Marks!$B$2:$BC$2=L$3)*ISNUMBER(Marks!$B$29:$BC$29)))</f>
        <v/>
      </c>
      <c r="M29" s="6">
        <f>IF(SUMPRODUCT((Marks!$B$2:$BC$2=M$3)*ISNUMBER(Marks!$B$29:$BC$29))=0,"",SUMPRODUCT((Marks!$B$2:$BC$2=M$3)*(Marks!$B$29:$BC$29=1))/SUMPRODUCT((Marks!$B$2:$BC$2=M$3)*ISNUMBER(Marks!$B$29:$BC$29)))</f>
        <v/>
      </c>
      <c r="N29" s="6">
        <f>IF(SUMPRODUCT((Marks!$B$2:$BC$2=N$3)*ISNUMBER(Marks!$B$29:$BC$29))=0,"",SUMPRODUCT((Marks!$B$2:$BC$2=N$3)*(Marks!$B$29:$BC$29=1))/SUMPRODUCT((Marks!$B$2:$BC$2=N$3)*ISNUMBER(Marks!$B$29:$BC$29)))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IF(SUMPRODUCT((Marks!$B$2:$BC$2=I$3)*ISNUMBER(Marks!$B$30:$BC$30))=0,"",SUMPRODUCT((Marks!$B$2:$BC$2=I$3)*(Marks!$B$30:$BC$30=1))/SUMPRODUCT((Marks!$B$2:$BC$2=I$3)*ISNUMBER(Marks!$B$30:$BC$30)))</f>
        <v/>
      </c>
      <c r="J30" s="6">
        <f>IF(SUMPRODUCT((Marks!$B$2:$BC$2=J$3)*ISNUMBER(Marks!$B$30:$BC$30))=0,"",SUMPRODUCT((Marks!$B$2:$BC$2=J$3)*(Marks!$B$30:$BC$30=1))/SUMPRODUCT((Marks!$B$2:$BC$2=J$3)*ISNUMBER(Marks!$B$30:$BC$30)))</f>
        <v/>
      </c>
      <c r="K30" s="6">
        <f>IF(SUMPRODUCT((Marks!$B$2:$BC$2=K$3)*ISNUMBER(Marks!$B$30:$BC$30))=0,"",SUMPRODUCT((Marks!$B$2:$BC$2=K$3)*(Marks!$B$30:$BC$30=1))/SUMPRODUCT((Marks!$B$2:$BC$2=K$3)*ISNUMBER(Marks!$B$30:$BC$30)))</f>
        <v/>
      </c>
      <c r="L30" s="6">
        <f>IF(SUMPRODUCT((Marks!$B$2:$BC$2=L$3)*ISNUMBER(Marks!$B$30:$BC$30))=0,"",SUMPRODUCT((Marks!$B$2:$BC$2=L$3)*(Marks!$B$30:$BC$30=1))/SUMPRODUCT((Marks!$B$2:$BC$2=L$3)*ISNUMBER(Marks!$B$30:$BC$30)))</f>
        <v/>
      </c>
      <c r="M30" s="6">
        <f>IF(SUMPRODUCT((Marks!$B$2:$BC$2=M$3)*ISNUMBER(Marks!$B$30:$BC$30))=0,"",SUMPRODUCT((Marks!$B$2:$BC$2=M$3)*(Marks!$B$30:$BC$30=1))/SUMPRODUCT((Marks!$B$2:$BC$2=M$3)*ISNUMBER(Marks!$B$30:$BC$30)))</f>
        <v/>
      </c>
      <c r="N30" s="6">
        <f>IF(SUMPRODUCT((Marks!$B$2:$BC$2=N$3)*ISNUMBER(Marks!$B$30:$BC$30))=0,"",SUMPRODUCT((Marks!$B$2:$BC$2=N$3)*(Marks!$B$30:$BC$30=1))/SUMPRODUCT((Marks!$B$2:$BC$2=N$3)*ISNUMBER(Marks!$B$30:$BC$30)))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IF(SUMPRODUCT((Marks!$B$2:$BC$2=I$3)*ISNUMBER(Marks!$B$31:$BC$31))=0,"",SUMPRODUCT((Marks!$B$2:$BC$2=I$3)*(Marks!$B$31:$BC$31=1))/SUMPRODUCT((Marks!$B$2:$BC$2=I$3)*ISNUMBER(Marks!$B$31:$BC$31)))</f>
        <v/>
      </c>
      <c r="J31" s="6">
        <f>IF(SUMPRODUCT((Marks!$B$2:$BC$2=J$3)*ISNUMBER(Marks!$B$31:$BC$31))=0,"",SUMPRODUCT((Marks!$B$2:$BC$2=J$3)*(Marks!$B$31:$BC$31=1))/SUMPRODUCT((Marks!$B$2:$BC$2=J$3)*ISNUMBER(Marks!$B$31:$BC$31)))</f>
        <v/>
      </c>
      <c r="K31" s="6">
        <f>IF(SUMPRODUCT((Marks!$B$2:$BC$2=K$3)*ISNUMBER(Marks!$B$31:$BC$31))=0,"",SUMPRODUCT((Marks!$B$2:$BC$2=K$3)*(Marks!$B$31:$BC$31=1))/SUMPRODUCT((Marks!$B$2:$BC$2=K$3)*ISNUMBER(Marks!$B$31:$BC$31)))</f>
        <v/>
      </c>
      <c r="L31" s="6">
        <f>IF(SUMPRODUCT((Marks!$B$2:$BC$2=L$3)*ISNUMBER(Marks!$B$31:$BC$31))=0,"",SUMPRODUCT((Marks!$B$2:$BC$2=L$3)*(Marks!$B$31:$BC$31=1))/SUMPRODUCT((Marks!$B$2:$BC$2=L$3)*ISNUMBER(Marks!$B$31:$BC$31)))</f>
        <v/>
      </c>
      <c r="M31" s="6">
        <f>IF(SUMPRODUCT((Marks!$B$2:$BC$2=M$3)*ISNUMBER(Marks!$B$31:$BC$31))=0,"",SUMPRODUCT((Marks!$B$2:$BC$2=M$3)*(Marks!$B$31:$BC$31=1))/SUMPRODUCT((Marks!$B$2:$BC$2=M$3)*ISNUMBER(Marks!$B$31:$BC$31)))</f>
        <v/>
      </c>
      <c r="N31" s="6">
        <f>IF(SUMPRODUCT((Marks!$B$2:$BC$2=N$3)*ISNUMBER(Marks!$B$31:$BC$31))=0,"",SUMPRODUCT((Marks!$B$2:$BC$2=N$3)*(Marks!$B$31:$BC$31=1))/SUMPRODUCT((Marks!$B$2:$BC$2=N$3)*ISNUMBER(Marks!$B$31:$BC$31)))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IF(SUMPRODUCT((Marks!$B$2:$BC$2=I$3)*ISNUMBER(Marks!$B$32:$BC$32))=0,"",SUMPRODUCT((Marks!$B$2:$BC$2=I$3)*(Marks!$B$32:$BC$32=1))/SUMPRODUCT((Marks!$B$2:$BC$2=I$3)*ISNUMBER(Marks!$B$32:$BC$32)))</f>
        <v/>
      </c>
      <c r="J32" s="6">
        <f>IF(SUMPRODUCT((Marks!$B$2:$BC$2=J$3)*ISNUMBER(Marks!$B$32:$BC$32))=0,"",SUMPRODUCT((Marks!$B$2:$BC$2=J$3)*(Marks!$B$32:$BC$32=1))/SUMPRODUCT((Marks!$B$2:$BC$2=J$3)*ISNUMBER(Marks!$B$32:$BC$32)))</f>
        <v/>
      </c>
      <c r="K32" s="6">
        <f>IF(SUMPRODUCT((Marks!$B$2:$BC$2=K$3)*ISNUMBER(Marks!$B$32:$BC$32))=0,"",SUMPRODUCT((Marks!$B$2:$BC$2=K$3)*(Marks!$B$32:$BC$32=1))/SUMPRODUCT((Marks!$B$2:$BC$2=K$3)*ISNUMBER(Marks!$B$32:$BC$32)))</f>
        <v/>
      </c>
      <c r="L32" s="6">
        <f>IF(SUMPRODUCT((Marks!$B$2:$BC$2=L$3)*ISNUMBER(Marks!$B$32:$BC$32))=0,"",SUMPRODUCT((Marks!$B$2:$BC$2=L$3)*(Marks!$B$32:$BC$32=1))/SUMPRODUCT((Marks!$B$2:$BC$2=L$3)*ISNUMBER(Marks!$B$32:$BC$32)))</f>
        <v/>
      </c>
      <c r="M32" s="6">
        <f>IF(SUMPRODUCT((Marks!$B$2:$BC$2=M$3)*ISNUMBER(Marks!$B$32:$BC$32))=0,"",SUMPRODUCT((Marks!$B$2:$BC$2=M$3)*(Marks!$B$32:$BC$32=1))/SUMPRODUCT((Marks!$B$2:$BC$2=M$3)*ISNUMBER(Marks!$B$32:$BC$32)))</f>
        <v/>
      </c>
      <c r="N32" s="6">
        <f>IF(SUMPRODUCT((Marks!$B$2:$BC$2=N$3)*ISNUMBER(Marks!$B$32:$BC$32))=0,"",SUMPRODUCT((Marks!$B$2:$BC$2=N$3)*(Marks!$B$32:$BC$32=1))/SUMPRODUCT((Marks!$B$2:$BC$2=N$3)*ISNUMBER(Marks!$B$32:$BC$32)))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IF(SUMPRODUCT((Marks!$B$2:$BC$2=I$3)*ISNUMBER(Marks!$B$33:$BC$33))=0,"",SUMPRODUCT((Marks!$B$2:$BC$2=I$3)*(Marks!$B$33:$BC$33=1))/SUMPRODUCT((Marks!$B$2:$BC$2=I$3)*ISNUMBER(Marks!$B$33:$BC$33)))</f>
        <v/>
      </c>
      <c r="J33" s="6">
        <f>IF(SUMPRODUCT((Marks!$B$2:$BC$2=J$3)*ISNUMBER(Marks!$B$33:$BC$33))=0,"",SUMPRODUCT((Marks!$B$2:$BC$2=J$3)*(Marks!$B$33:$BC$33=1))/SUMPRODUCT((Marks!$B$2:$BC$2=J$3)*ISNUMBER(Marks!$B$33:$BC$33)))</f>
        <v/>
      </c>
      <c r="K33" s="6">
        <f>IF(SUMPRODUCT((Marks!$B$2:$BC$2=K$3)*ISNUMBER(Marks!$B$33:$BC$33))=0,"",SUMPRODUCT((Marks!$B$2:$BC$2=K$3)*(Marks!$B$33:$BC$33=1))/SUMPRODUCT((Marks!$B$2:$BC$2=K$3)*ISNUMBER(Marks!$B$33:$BC$33)))</f>
        <v/>
      </c>
      <c r="L33" s="6">
        <f>IF(SUMPRODUCT((Marks!$B$2:$BC$2=L$3)*ISNUMBER(Marks!$B$33:$BC$33))=0,"",SUMPRODUCT((Marks!$B$2:$BC$2=L$3)*(Marks!$B$33:$BC$33=1))/SUMPRODUCT((Marks!$B$2:$BC$2=L$3)*ISNUMBER(Marks!$B$33:$BC$33)))</f>
        <v/>
      </c>
      <c r="M33" s="6">
        <f>IF(SUMPRODUCT((Marks!$B$2:$BC$2=M$3)*ISNUMBER(Marks!$B$33:$BC$33))=0,"",SUMPRODUCT((Marks!$B$2:$BC$2=M$3)*(Marks!$B$33:$BC$33=1))/SUMPRODUCT((Marks!$B$2:$BC$2=M$3)*ISNUMBER(Marks!$B$33:$BC$33)))</f>
        <v/>
      </c>
      <c r="N33" s="6">
        <f>IF(SUMPRODUCT((Marks!$B$2:$BC$2=N$3)*ISNUMBER(Marks!$B$33:$BC$33))=0,"",SUMPRODUCT((Marks!$B$2:$BC$2=N$3)*(Marks!$B$33:$BC$33=1))/SUMPRODUCT((Marks!$B$2:$BC$2=N$3)*ISNUMBER(Marks!$B$33:$BC$33)))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IF(SUMPRODUCT((Marks!$B$2:$BC$2=I$3)*ISNUMBER(Marks!$B$34:$BC$34))=0,"",SUMPRODUCT((Marks!$B$2:$BC$2=I$3)*(Marks!$B$34:$BC$34=1))/SUMPRODUCT((Marks!$B$2:$BC$2=I$3)*ISNUMBER(Marks!$B$34:$BC$34)))</f>
        <v/>
      </c>
      <c r="J34" s="6">
        <f>IF(SUMPRODUCT((Marks!$B$2:$BC$2=J$3)*ISNUMBER(Marks!$B$34:$BC$34))=0,"",SUMPRODUCT((Marks!$B$2:$BC$2=J$3)*(Marks!$B$34:$BC$34=1))/SUMPRODUCT((Marks!$B$2:$BC$2=J$3)*ISNUMBER(Marks!$B$34:$BC$34)))</f>
        <v/>
      </c>
      <c r="K34" s="6">
        <f>IF(SUMPRODUCT((Marks!$B$2:$BC$2=K$3)*ISNUMBER(Marks!$B$34:$BC$34))=0,"",SUMPRODUCT((Marks!$B$2:$BC$2=K$3)*(Marks!$B$34:$BC$34=1))/SUMPRODUCT((Marks!$B$2:$BC$2=K$3)*ISNUMBER(Marks!$B$34:$BC$34)))</f>
        <v/>
      </c>
      <c r="L34" s="6">
        <f>IF(SUMPRODUCT((Marks!$B$2:$BC$2=L$3)*ISNUMBER(Marks!$B$34:$BC$34))=0,"",SUMPRODUCT((Marks!$B$2:$BC$2=L$3)*(Marks!$B$34:$BC$34=1))/SUMPRODUCT((Marks!$B$2:$BC$2=L$3)*ISNUMBER(Marks!$B$34:$BC$34)))</f>
        <v/>
      </c>
      <c r="M34" s="6">
        <f>IF(SUMPRODUCT((Marks!$B$2:$BC$2=M$3)*ISNUMBER(Marks!$B$34:$BC$34))=0,"",SUMPRODUCT((Marks!$B$2:$BC$2=M$3)*(Marks!$B$34:$BC$34=1))/SUMPRODUCT((Marks!$B$2:$BC$2=M$3)*ISNUMBER(Marks!$B$34:$BC$34)))</f>
        <v/>
      </c>
      <c r="N34" s="6">
        <f>IF(SUMPRODUCT((Marks!$B$2:$BC$2=N$3)*ISNUMBER(Marks!$B$34:$BC$34))=0,"",SUMPRODUCT((Marks!$B$2:$BC$2=N$3)*(Marks!$B$34:$BC$34=1))/SUMPRODUCT((Marks!$B$2:$BC$2=N$3)*ISNUMBER(Marks!$B$34:$BC$34)))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IF(SUMPRODUCT((Marks!$B$2:$BC$2=I$3)*ISNUMBER(Marks!$B$35:$BC$35))=0,"",SUMPRODUCT((Marks!$B$2:$BC$2=I$3)*(Marks!$B$35:$BC$35=1))/SUMPRODUCT((Marks!$B$2:$BC$2=I$3)*ISNUMBER(Marks!$B$35:$BC$35)))</f>
        <v/>
      </c>
      <c r="J35" s="6">
        <f>IF(SUMPRODUCT((Marks!$B$2:$BC$2=J$3)*ISNUMBER(Marks!$B$35:$BC$35))=0,"",SUMPRODUCT((Marks!$B$2:$BC$2=J$3)*(Marks!$B$35:$BC$35=1))/SUMPRODUCT((Marks!$B$2:$BC$2=J$3)*ISNUMBER(Marks!$B$35:$BC$35)))</f>
        <v/>
      </c>
      <c r="K35" s="6">
        <f>IF(SUMPRODUCT((Marks!$B$2:$BC$2=K$3)*ISNUMBER(Marks!$B$35:$BC$35))=0,"",SUMPRODUCT((Marks!$B$2:$BC$2=K$3)*(Marks!$B$35:$BC$35=1))/SUMPRODUCT((Marks!$B$2:$BC$2=K$3)*ISNUMBER(Marks!$B$35:$BC$35)))</f>
        <v/>
      </c>
      <c r="L35" s="6">
        <f>IF(SUMPRODUCT((Marks!$B$2:$BC$2=L$3)*ISNUMBER(Marks!$B$35:$BC$35))=0,"",SUMPRODUCT((Marks!$B$2:$BC$2=L$3)*(Marks!$B$35:$BC$35=1))/SUMPRODUCT((Marks!$B$2:$BC$2=L$3)*ISNUMBER(Marks!$B$35:$BC$35)))</f>
        <v/>
      </c>
      <c r="M35" s="6">
        <f>IF(SUMPRODUCT((Marks!$B$2:$BC$2=M$3)*ISNUMBER(Marks!$B$35:$BC$35))=0,"",SUMPRODUCT((Marks!$B$2:$BC$2=M$3)*(Marks!$B$35:$BC$35=1))/SUMPRODUCT((Marks!$B$2:$BC$2=M$3)*ISNUMBER(Marks!$B$35:$BC$35)))</f>
        <v/>
      </c>
      <c r="N35" s="6">
        <f>IF(SUMPRODUCT((Marks!$B$2:$BC$2=N$3)*ISNUMBER(Marks!$B$35:$BC$35))=0,"",SUMPRODUCT((Marks!$B$2:$BC$2=N$3)*(Marks!$B$35:$BC$35=1))/SUMPRODUCT((Marks!$B$2:$BC$2=N$3)*ISNUMBER(Marks!$B$35:$BC$35)))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IF(SUMPRODUCT((Marks!$B$2:$BC$2=I$3)*ISNUMBER(Marks!$B$36:$BC$36))=0,"",SUMPRODUCT((Marks!$B$2:$BC$2=I$3)*(Marks!$B$36:$BC$36=1))/SUMPRODUCT((Marks!$B$2:$BC$2=I$3)*ISNUMBER(Marks!$B$36:$BC$36)))</f>
        <v/>
      </c>
      <c r="J36" s="6">
        <f>IF(SUMPRODUCT((Marks!$B$2:$BC$2=J$3)*ISNUMBER(Marks!$B$36:$BC$36))=0,"",SUMPRODUCT((Marks!$B$2:$BC$2=J$3)*(Marks!$B$36:$BC$36=1))/SUMPRODUCT((Marks!$B$2:$BC$2=J$3)*ISNUMBER(Marks!$B$36:$BC$36)))</f>
        <v/>
      </c>
      <c r="K36" s="6">
        <f>IF(SUMPRODUCT((Marks!$B$2:$BC$2=K$3)*ISNUMBER(Marks!$B$36:$BC$36))=0,"",SUMPRODUCT((Marks!$B$2:$BC$2=K$3)*(Marks!$B$36:$BC$36=1))/SUMPRODUCT((Marks!$B$2:$BC$2=K$3)*ISNUMBER(Marks!$B$36:$BC$36)))</f>
        <v/>
      </c>
      <c r="L36" s="6">
        <f>IF(SUMPRODUCT((Marks!$B$2:$BC$2=L$3)*ISNUMBER(Marks!$B$36:$BC$36))=0,"",SUMPRODUCT((Marks!$B$2:$BC$2=L$3)*(Marks!$B$36:$BC$36=1))/SUMPRODUCT((Marks!$B$2:$BC$2=L$3)*ISNUMBER(Marks!$B$36:$BC$36)))</f>
        <v/>
      </c>
      <c r="M36" s="6">
        <f>IF(SUMPRODUCT((Marks!$B$2:$BC$2=M$3)*ISNUMBER(Marks!$B$36:$BC$36))=0,"",SUMPRODUCT((Marks!$B$2:$BC$2=M$3)*(Marks!$B$36:$BC$36=1))/SUMPRODUCT((Marks!$B$2:$BC$2=M$3)*ISNUMBER(Marks!$B$36:$BC$36)))</f>
        <v/>
      </c>
      <c r="N36" s="6">
        <f>IF(SUMPRODUCT((Marks!$B$2:$BC$2=N$3)*ISNUMBER(Marks!$B$36:$BC$36))=0,"",SUMPRODUCT((Marks!$B$2:$BC$2=N$3)*(Marks!$B$36:$BC$36=1))/SUMPRODUCT((Marks!$B$2:$BC$2=N$3)*ISNUMBER(Marks!$B$36:$BC$36)))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IF(SUMPRODUCT((Marks!$B$2:$BC$2=I$3)*ISNUMBER(Marks!$B$37:$BC$37))=0,"",SUMPRODUCT((Marks!$B$2:$BC$2=I$3)*(Marks!$B$37:$BC$37=1))/SUMPRODUCT((Marks!$B$2:$BC$2=I$3)*ISNUMBER(Marks!$B$37:$BC$37)))</f>
        <v/>
      </c>
      <c r="J37" s="6">
        <f>IF(SUMPRODUCT((Marks!$B$2:$BC$2=J$3)*ISNUMBER(Marks!$B$37:$BC$37))=0,"",SUMPRODUCT((Marks!$B$2:$BC$2=J$3)*(Marks!$B$37:$BC$37=1))/SUMPRODUCT((Marks!$B$2:$BC$2=J$3)*ISNUMBER(Marks!$B$37:$BC$37)))</f>
        <v/>
      </c>
      <c r="K37" s="6">
        <f>IF(SUMPRODUCT((Marks!$B$2:$BC$2=K$3)*ISNUMBER(Marks!$B$37:$BC$37))=0,"",SUMPRODUCT((Marks!$B$2:$BC$2=K$3)*(Marks!$B$37:$BC$37=1))/SUMPRODUCT((Marks!$B$2:$BC$2=K$3)*ISNUMBER(Marks!$B$37:$BC$37)))</f>
        <v/>
      </c>
      <c r="L37" s="6">
        <f>IF(SUMPRODUCT((Marks!$B$2:$BC$2=L$3)*ISNUMBER(Marks!$B$37:$BC$37))=0,"",SUMPRODUCT((Marks!$B$2:$BC$2=L$3)*(Marks!$B$37:$BC$37=1))/SUMPRODUCT((Marks!$B$2:$BC$2=L$3)*ISNUMBER(Marks!$B$37:$BC$37)))</f>
        <v/>
      </c>
      <c r="M37" s="6">
        <f>IF(SUMPRODUCT((Marks!$B$2:$BC$2=M$3)*ISNUMBER(Marks!$B$37:$BC$37))=0,"",SUMPRODUCT((Marks!$B$2:$BC$2=M$3)*(Marks!$B$37:$BC$37=1))/SUMPRODUCT((Marks!$B$2:$BC$2=M$3)*ISNUMBER(Marks!$B$37:$BC$37)))</f>
        <v/>
      </c>
      <c r="N37" s="6">
        <f>IF(SUMPRODUCT((Marks!$B$2:$BC$2=N$3)*ISNUMBER(Marks!$B$37:$BC$37))=0,"",SUMPRODUCT((Marks!$B$2:$BC$2=N$3)*(Marks!$B$37:$BC$37=1))/SUMPRODUCT((Marks!$B$2:$BC$2=N$3)*ISNUMBER(Marks!$B$37:$BC$37)))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IF(SUMPRODUCT((Marks!$B$2:$BC$2=I$3)*ISNUMBER(Marks!$B$38:$BC$38))=0,"",SUMPRODUCT((Marks!$B$2:$BC$2=I$3)*(Marks!$B$38:$BC$38=1))/SUMPRODUCT((Marks!$B$2:$BC$2=I$3)*ISNUMBER(Marks!$B$38:$BC$38)))</f>
        <v/>
      </c>
      <c r="J38" s="6">
        <f>IF(SUMPRODUCT((Marks!$B$2:$BC$2=J$3)*ISNUMBER(Marks!$B$38:$BC$38))=0,"",SUMPRODUCT((Marks!$B$2:$BC$2=J$3)*(Marks!$B$38:$BC$38=1))/SUMPRODUCT((Marks!$B$2:$BC$2=J$3)*ISNUMBER(Marks!$B$38:$BC$38)))</f>
        <v/>
      </c>
      <c r="K38" s="6">
        <f>IF(SUMPRODUCT((Marks!$B$2:$BC$2=K$3)*ISNUMBER(Marks!$B$38:$BC$38))=0,"",SUMPRODUCT((Marks!$B$2:$BC$2=K$3)*(Marks!$B$38:$BC$38=1))/SUMPRODUCT((Marks!$B$2:$BC$2=K$3)*ISNUMBER(Marks!$B$38:$BC$38)))</f>
        <v/>
      </c>
      <c r="L38" s="6">
        <f>IF(SUMPRODUCT((Marks!$B$2:$BC$2=L$3)*ISNUMBER(Marks!$B$38:$BC$38))=0,"",SUMPRODUCT((Marks!$B$2:$BC$2=L$3)*(Marks!$B$38:$BC$38=1))/SUMPRODUCT((Marks!$B$2:$BC$2=L$3)*ISNUMBER(Marks!$B$38:$BC$38)))</f>
        <v/>
      </c>
      <c r="M38" s="6">
        <f>IF(SUMPRODUCT((Marks!$B$2:$BC$2=M$3)*ISNUMBER(Marks!$B$38:$BC$38))=0,"",SUMPRODUCT((Marks!$B$2:$BC$2=M$3)*(Marks!$B$38:$BC$38=1))/SUMPRODUCT((Marks!$B$2:$BC$2=M$3)*ISNUMBER(Marks!$B$38:$BC$38)))</f>
        <v/>
      </c>
      <c r="N38" s="6">
        <f>IF(SUMPRODUCT((Marks!$B$2:$BC$2=N$3)*ISNUMBER(Marks!$B$38:$BC$38))=0,"",SUMPRODUCT((Marks!$B$2:$BC$2=N$3)*(Marks!$B$38:$BC$38=1))/SUMPRODUCT((Marks!$B$2:$BC$2=N$3)*ISNUMBER(Marks!$B$38:$BC$38)))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IF(SUMPRODUCT((Marks!$B$2:$BC$2=I$3)*ISNUMBER(Marks!$B$39:$BC$39))=0,"",SUMPRODUCT((Marks!$B$2:$BC$2=I$3)*(Marks!$B$39:$BC$39=1))/SUMPRODUCT((Marks!$B$2:$BC$2=I$3)*ISNUMBER(Marks!$B$39:$BC$39)))</f>
        <v/>
      </c>
      <c r="J39" s="6">
        <f>IF(SUMPRODUCT((Marks!$B$2:$BC$2=J$3)*ISNUMBER(Marks!$B$39:$BC$39))=0,"",SUMPRODUCT((Marks!$B$2:$BC$2=J$3)*(Marks!$B$39:$BC$39=1))/SUMPRODUCT((Marks!$B$2:$BC$2=J$3)*ISNUMBER(Marks!$B$39:$BC$39)))</f>
        <v/>
      </c>
      <c r="K39" s="6">
        <f>IF(SUMPRODUCT((Marks!$B$2:$BC$2=K$3)*ISNUMBER(Marks!$B$39:$BC$39))=0,"",SUMPRODUCT((Marks!$B$2:$BC$2=K$3)*(Marks!$B$39:$BC$39=1))/SUMPRODUCT((Marks!$B$2:$BC$2=K$3)*ISNUMBER(Marks!$B$39:$BC$39)))</f>
        <v/>
      </c>
      <c r="L39" s="6">
        <f>IF(SUMPRODUCT((Marks!$B$2:$BC$2=L$3)*ISNUMBER(Marks!$B$39:$BC$39))=0,"",SUMPRODUCT((Marks!$B$2:$BC$2=L$3)*(Marks!$B$39:$BC$39=1))/SUMPRODUCT((Marks!$B$2:$BC$2=L$3)*ISNUMBER(Marks!$B$39:$BC$39)))</f>
        <v/>
      </c>
      <c r="M39" s="6">
        <f>IF(SUMPRODUCT((Marks!$B$2:$BC$2=M$3)*ISNUMBER(Marks!$B$39:$BC$39))=0,"",SUMPRODUCT((Marks!$B$2:$BC$2=M$3)*(Marks!$B$39:$BC$39=1))/SUMPRODUCT((Marks!$B$2:$BC$2=M$3)*ISNUMBER(Marks!$B$39:$BC$39)))</f>
        <v/>
      </c>
      <c r="N39" s="6">
        <f>IF(SUMPRODUCT((Marks!$B$2:$BC$2=N$3)*ISNUMBER(Marks!$B$39:$BC$39))=0,"",SUMPRODUCT((Marks!$B$2:$BC$2=N$3)*(Marks!$B$39:$BC$39=1))/SUMPRODUCT((Marks!$B$2:$BC$2=N$3)*ISNUMBER(Marks!$B$39:$BC$39)))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The week's rules, cold</t>
        </is>
      </c>
      <c r="B43" s="7">
        <f>IF(COUNT(B5:B39)=0,"",AVERAGE(B5:B39))</f>
        <v/>
      </c>
      <c r="C43" s="6">
        <f>IFERROR(INDEX(Tags!$D$5:$D$14,MATCH(1,Tags!$A$5:$A$14,0)),"")</f>
        <v/>
      </c>
      <c r="D43">
        <f>SUMPRODUCT((B5:B39&gt;=3)*ISNUMBER(I5:I39)*(I5:I39&lt;0.5))</f>
        <v/>
      </c>
    </row>
    <row r="44">
      <c r="A44" t="inlineStr">
        <is>
          <t>Part 2. Where did the revenue go</t>
        </is>
      </c>
      <c r="B44" s="7">
        <f>IF(COUNT(C5:C39)=0,"",AVERAGE(C5:C39))</f>
        <v/>
      </c>
      <c r="C44" s="6">
        <f>IFERROR(INDEX(Tags!$D$5:$D$14,MATCH(2,Tags!$A$5:$A$14,0)),"")</f>
        <v/>
      </c>
      <c r="D44">
        <f>SUMPRODUCT((C5:C39&gt;=3)*ISNUMBER(J5:J39)*(J5:J39&lt;0.5))</f>
        <v/>
      </c>
    </row>
    <row r="45">
      <c r="A45" t="inlineStr">
        <is>
          <t>Part 3. Rows you can trust</t>
        </is>
      </c>
      <c r="B45" s="7">
        <f>IF(COUNT(D5:D39)=0,"",AVERAGE(D5:D39))</f>
        <v/>
      </c>
      <c r="C45" s="6">
        <f>IFERROR(INDEX(Tags!$D$5:$D$14,MATCH(3,Tags!$A$5:$A$14,0)),"")</f>
        <v/>
      </c>
      <c r="D45">
        <f>SUMPRODUCT((D5:D39&gt;=3)*ISNUMBER(K5:K39)*(K5:K39&lt;0.5))</f>
        <v/>
      </c>
    </row>
    <row r="46">
      <c r="A46" t="inlineStr">
        <is>
          <t>Part 4. Read the code, read the data</t>
        </is>
      </c>
      <c r="B46" s="7">
        <f>IF(COUNT(E5:E39)=0,"",AVERAGE(E5:E39))</f>
        <v/>
      </c>
      <c r="C46" s="6">
        <f>IFERROR(INDEX(Tags!$D$5:$D$14,MATCH(4,Tags!$A$5:$A$14,0)),"")</f>
        <v/>
      </c>
      <c r="D46">
        <f>SUMPRODUCT((E5:E39&gt;=3)*ISNUMBER(L5:L39)*(L5:L39&lt;0.5))</f>
        <v/>
      </c>
    </row>
    <row r="47">
      <c r="A47" t="inlineStr">
        <is>
          <t>Part 5. Chance and a fair test</t>
        </is>
      </c>
      <c r="B47" s="7">
        <f>IF(COUNT(F5:F39)=0,"",AVERAGE(F5:F39))</f>
        <v/>
      </c>
      <c r="C47" s="6">
        <f>IFERROR(INDEX(Tags!$D$5:$D$14,MATCH(5,Tags!$A$5:$A$14,0)),"")</f>
        <v/>
      </c>
      <c r="D47">
        <f>SUMPRODUCT((F5:F39&gt;=3)*ISNUMBER(M5:M39)*(M5:M39&lt;0.5))</f>
        <v/>
      </c>
    </row>
    <row r="48">
      <c r="A48" t="inlineStr">
        <is>
          <t>Part 6. The numbers</t>
        </is>
      </c>
      <c r="B48" s="7">
        <f>IF(COUNT(G5:G39)=0,"",AVERAGE(G5:G39))</f>
        <v/>
      </c>
      <c r="C48" s="6">
        <f>IFERROR(INDEX(Tags!$D$5:$D$14,MATCH(6,Tags!$A$5:$A$14,0)),"")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2026-09-30T06:15:19Z</dcterms:created>
  <dcterms:modified xmlns:dcterms="http://purl.org/dc/terms/" xmlns:xsi="http://www.w3.org/2001/XMLSchema-instance" xsi:type="dcterms:W3CDTF">2026-09-30T06:15:19Z</dcterms:modified>
</cp:coreProperties>
</file>