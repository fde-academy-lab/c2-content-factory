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arks" sheetId="2" state="visible" r:id="rId2"/>
    <sheet xmlns:r="http://schemas.openxmlformats.org/officeDocument/2006/relationships" name="Items" sheetId="3" state="visible" r:id="rId3"/>
    <sheet xmlns:r="http://schemas.openxmlformats.org/officeDocument/2006/relationships" name="Discussion" sheetId="4" state="visible" r:id="rId4"/>
    <sheet xmlns:r="http://schemas.openxmlformats.org/officeDocument/2006/relationships" name="Tags" sheetId="5" state="visible" r:id="rId5"/>
    <sheet xmlns:r="http://schemas.openxmlformats.org/officeDocument/2006/relationships" name="Seats" sheetId="6" state="visible" r:id="rId6"/>
    <sheet xmlns:r="http://schemas.openxmlformats.org/officeDocument/2006/relationships" name="Rat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</font>
    <font/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0F5C"/>
      </patternFill>
    </fill>
    <fill>
      <patternFill patternType="solid">
        <fgColor rgb="00FFF4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Week 1 recap paper: item analysis</t>
        </is>
      </c>
    </row>
    <row r="2">
      <c r="A2" s="2" t="inlineStr">
        <is>
          <t>TRAINER. Fill this after the swap-marking, one row per seat and never a name.</t>
        </is>
      </c>
    </row>
    <row r="3">
      <c r="A3" s="2" t="inlineStr">
        <is>
          <t>Marks: type 1 for a tick, 0 for a cross and leave a blank for an item left empty. Yellow cells are the only inputs; everything else is computed.</t>
        </is>
      </c>
    </row>
    <row r="4">
      <c r="A4" s="2" t="inlineStr">
        <is>
          <t>Items: each item's right rate, the top and bottom thirds' rates (thirds by total, once three or more seats are in), and a flag when fewer than one in five got it right or the bottom third beat the top third. Both are this programme's own working rule for a room of 35.</t>
        </is>
      </c>
    </row>
    <row r="5">
      <c r="A5" s="2" t="inlineStr">
        <is>
          <t>Discussion: the items from the most missed, which is the order the solution discussion takes.</t>
        </is>
      </c>
    </row>
    <row r="6">
      <c r="A6" s="2" t="inlineStr">
        <is>
          <t>Tags: the room's rate by tag and by part. Seats: each seat's rate by tag, for Monday's remediation read. Neither is a ranking, and neither is read out by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3" t="inlineStr">
        <is>
          <t>Marks: 1 right, 0 wrong, blank left empty</t>
        </is>
      </c>
    </row>
    <row r="2">
      <c r="A2" t="inlineStr">
        <is>
          <t>Part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</row>
    <row r="3">
      <c r="A3" t="inlineStr">
        <is>
          <t>Tag</t>
        </is>
      </c>
      <c r="B3" t="inlineStr">
        <is>
          <t>[S]</t>
        </is>
      </c>
      <c r="C3" t="inlineStr">
        <is>
          <t>[F]</t>
        </is>
      </c>
      <c r="D3" t="inlineStr">
        <is>
          <t>[S]</t>
        </is>
      </c>
      <c r="E3" t="inlineStr">
        <is>
          <t>[S]</t>
        </is>
      </c>
      <c r="F3" t="inlineStr">
        <is>
          <t>[S]</t>
        </is>
      </c>
      <c r="G3" t="inlineStr">
        <is>
          <t>[D]</t>
        </is>
      </c>
      <c r="H3" t="inlineStr">
        <is>
          <t>[S]</t>
        </is>
      </c>
      <c r="I3" t="inlineStr">
        <is>
          <t>[F]</t>
        </is>
      </c>
      <c r="J3" t="inlineStr">
        <is>
          <t>[SV]</t>
        </is>
      </c>
      <c r="K3" t="inlineStr">
        <is>
          <t>[D]</t>
        </is>
      </c>
      <c r="L3" t="inlineStr">
        <is>
          <t>[F]</t>
        </is>
      </c>
      <c r="M3" t="inlineStr">
        <is>
          <t>[F]</t>
        </is>
      </c>
      <c r="N3" t="inlineStr">
        <is>
          <t>[F]</t>
        </is>
      </c>
      <c r="O3" t="inlineStr">
        <is>
          <t>[F]</t>
        </is>
      </c>
      <c r="P3" t="inlineStr">
        <is>
          <t>[S]</t>
        </is>
      </c>
      <c r="Q3" t="inlineStr">
        <is>
          <t>[S]</t>
        </is>
      </c>
      <c r="R3" t="inlineStr">
        <is>
          <t>[S]</t>
        </is>
      </c>
      <c r="S3" t="inlineStr">
        <is>
          <t>[S]</t>
        </is>
      </c>
      <c r="T3" t="inlineStr">
        <is>
          <t>[S]</t>
        </is>
      </c>
      <c r="U3" t="inlineStr">
        <is>
          <t>[F]</t>
        </is>
      </c>
      <c r="V3" t="inlineStr">
        <is>
          <t>[F]</t>
        </is>
      </c>
      <c r="W3" t="inlineStr">
        <is>
          <t>[S]</t>
        </is>
      </c>
      <c r="X3" t="inlineStr">
        <is>
          <t>[F]</t>
        </is>
      </c>
      <c r="Y3" t="inlineStr">
        <is>
          <t>[S]</t>
        </is>
      </c>
      <c r="Z3" t="inlineStr">
        <is>
          <t>[F]</t>
        </is>
      </c>
      <c r="AA3" t="inlineStr">
        <is>
          <t>[S]</t>
        </is>
      </c>
      <c r="AB3" t="inlineStr">
        <is>
          <t>[D]</t>
        </is>
      </c>
      <c r="AC3" t="inlineStr">
        <is>
          <t>[D]</t>
        </is>
      </c>
      <c r="AD3" t="inlineStr">
        <is>
          <t>[F]</t>
        </is>
      </c>
      <c r="AE3" t="inlineStr">
        <is>
          <t>[SV]</t>
        </is>
      </c>
      <c r="AF3" t="inlineStr">
        <is>
          <t>[S]</t>
        </is>
      </c>
      <c r="AG3" t="inlineStr">
        <is>
          <t>[S]</t>
        </is>
      </c>
      <c r="AH3" t="inlineStr">
        <is>
          <t>[S]</t>
        </is>
      </c>
      <c r="AI3" t="inlineStr">
        <is>
          <t>[S]</t>
        </is>
      </c>
      <c r="AJ3" t="inlineStr">
        <is>
          <t>[S]</t>
        </is>
      </c>
    </row>
    <row r="4">
      <c r="A4" s="4" t="inlineStr">
        <is>
          <t>Seat</t>
        </is>
      </c>
      <c r="B4" s="4" t="inlineStr">
        <is>
          <t>Q1</t>
        </is>
      </c>
      <c r="C4" s="4" t="inlineStr">
        <is>
          <t>Q2</t>
        </is>
      </c>
      <c r="D4" s="4" t="inlineStr">
        <is>
          <t>Q3</t>
        </is>
      </c>
      <c r="E4" s="4" t="inlineStr">
        <is>
          <t>Q4</t>
        </is>
      </c>
      <c r="F4" s="4" t="inlineStr">
        <is>
          <t>Q5</t>
        </is>
      </c>
      <c r="G4" s="4" t="inlineStr">
        <is>
          <t>Q6</t>
        </is>
      </c>
      <c r="H4" s="4" t="inlineStr">
        <is>
          <t>Q7</t>
        </is>
      </c>
      <c r="I4" s="4" t="inlineStr">
        <is>
          <t>Q8</t>
        </is>
      </c>
      <c r="J4" s="4" t="inlineStr">
        <is>
          <t>Q9</t>
        </is>
      </c>
      <c r="K4" s="4" t="inlineStr">
        <is>
          <t>Q10</t>
        </is>
      </c>
      <c r="L4" s="4" t="inlineStr">
        <is>
          <t>Q11</t>
        </is>
      </c>
      <c r="M4" s="4" t="inlineStr">
        <is>
          <t>Q12</t>
        </is>
      </c>
      <c r="N4" s="4" t="inlineStr">
        <is>
          <t>Q13</t>
        </is>
      </c>
      <c r="O4" s="4" t="inlineStr">
        <is>
          <t>Q14</t>
        </is>
      </c>
      <c r="P4" s="4" t="inlineStr">
        <is>
          <t>Q15</t>
        </is>
      </c>
      <c r="Q4" s="4" t="inlineStr">
        <is>
          <t>Q16</t>
        </is>
      </c>
      <c r="R4" s="4" t="inlineStr">
        <is>
          <t>Q17</t>
        </is>
      </c>
      <c r="S4" s="4" t="inlineStr">
        <is>
          <t>Q18</t>
        </is>
      </c>
      <c r="T4" s="4" t="inlineStr">
        <is>
          <t>Q19</t>
        </is>
      </c>
      <c r="U4" s="4" t="inlineStr">
        <is>
          <t>Q20</t>
        </is>
      </c>
      <c r="V4" s="4" t="inlineStr">
        <is>
          <t>Q21</t>
        </is>
      </c>
      <c r="W4" s="4" t="inlineStr">
        <is>
          <t>Q22</t>
        </is>
      </c>
      <c r="X4" s="4" t="inlineStr">
        <is>
          <t>Q23</t>
        </is>
      </c>
      <c r="Y4" s="4" t="inlineStr">
        <is>
          <t>Q24</t>
        </is>
      </c>
      <c r="Z4" s="4" t="inlineStr">
        <is>
          <t>Q25</t>
        </is>
      </c>
      <c r="AA4" s="4" t="inlineStr">
        <is>
          <t>Q26</t>
        </is>
      </c>
      <c r="AB4" s="4" t="inlineStr">
        <is>
          <t>Q27</t>
        </is>
      </c>
      <c r="AC4" s="4" t="inlineStr">
        <is>
          <t>Q28</t>
        </is>
      </c>
      <c r="AD4" s="4" t="inlineStr">
        <is>
          <t>Q29</t>
        </is>
      </c>
      <c r="AE4" s="4" t="inlineStr">
        <is>
          <t>Q30</t>
        </is>
      </c>
      <c r="AF4" s="4" t="inlineStr">
        <is>
          <t>Q31</t>
        </is>
      </c>
      <c r="AG4" s="4" t="inlineStr">
        <is>
          <t>Q32</t>
        </is>
      </c>
      <c r="AH4" s="4" t="inlineStr">
        <is>
          <t>Q33</t>
        </is>
      </c>
      <c r="AI4" s="4" t="inlineStr">
        <is>
          <t>Q34</t>
        </is>
      </c>
      <c r="AJ4" s="4" t="inlineStr">
        <is>
          <t>Q35</t>
        </is>
      </c>
      <c r="AK4" s="4" t="inlineStr">
        <is>
          <t>Total</t>
        </is>
      </c>
      <c r="AL4" s="4" t="inlineStr">
        <is>
          <t>Answered</t>
        </is>
      </c>
      <c r="AM4" s="4" t="inlineStr">
        <is>
          <t>Band</t>
        </is>
      </c>
    </row>
    <row r="5">
      <c r="A5" t="n">
        <v>1</v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>
        <f>IF(COUNT(B5:AJ5)=0,"",SUM(B5:AJ5))</f>
        <v/>
      </c>
      <c r="AL5">
        <f>COUNT(B5:AJ5)</f>
        <v/>
      </c>
      <c r="AM5">
        <f>IF(OR(AK5="",COUNT($AK$5:$AK$39)&lt;3),"",IF(RANK(AK5,$AK$5:$AK$39,0)&lt;=ROUND(COUNT($AK$5:$AK$39)/3,0),"top",IF(RANK(AK5,$AK$5:$AK$39,1)&lt;=ROUND(COUNT($AK$5:$AK$39)/3,0),"bottom","middle")))</f>
        <v/>
      </c>
    </row>
    <row r="6">
      <c r="A6" t="n">
        <v>2</v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>
        <f>IF(COUNT(B6:AJ6)=0,"",SUM(B6:AJ6))</f>
        <v/>
      </c>
      <c r="AL6">
        <f>COUNT(B6:AJ6)</f>
        <v/>
      </c>
      <c r="AM6">
        <f>IF(OR(AK6="",COUNT($AK$5:$AK$39)&lt;3),"",IF(RANK(AK6,$AK$5:$AK$39,0)&lt;=ROUND(COUNT($AK$5:$AK$39)/3,0),"top",IF(RANK(AK6,$AK$5:$AK$39,1)&lt;=ROUND(COUNT($AK$5:$AK$39)/3,0),"bottom","middle")))</f>
        <v/>
      </c>
    </row>
    <row r="7">
      <c r="A7" t="n">
        <v>3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>
        <f>IF(COUNT(B7:AJ7)=0,"",SUM(B7:AJ7))</f>
        <v/>
      </c>
      <c r="AL7">
        <f>COUNT(B7:AJ7)</f>
        <v/>
      </c>
      <c r="AM7">
        <f>IF(OR(AK7="",COUNT($AK$5:$AK$39)&lt;3),"",IF(RANK(AK7,$AK$5:$AK$39,0)&lt;=ROUND(COUNT($AK$5:$AK$39)/3,0),"top",IF(RANK(AK7,$AK$5:$AK$39,1)&lt;=ROUND(COUNT($AK$5:$AK$39)/3,0),"bottom","middle")))</f>
        <v/>
      </c>
    </row>
    <row r="8">
      <c r="A8" t="n">
        <v>4</v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>
        <f>IF(COUNT(B8:AJ8)=0,"",SUM(B8:AJ8))</f>
        <v/>
      </c>
      <c r="AL8">
        <f>COUNT(B8:AJ8)</f>
        <v/>
      </c>
      <c r="AM8">
        <f>IF(OR(AK8="",COUNT($AK$5:$AK$39)&lt;3),"",IF(RANK(AK8,$AK$5:$AK$39,0)&lt;=ROUND(COUNT($AK$5:$AK$39)/3,0),"top",IF(RANK(AK8,$AK$5:$AK$39,1)&lt;=ROUND(COUNT($AK$5:$AK$39)/3,0),"bottom","middle")))</f>
        <v/>
      </c>
    </row>
    <row r="9">
      <c r="A9" t="n">
        <v>5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>
        <f>IF(COUNT(B9:AJ9)=0,"",SUM(B9:AJ9))</f>
        <v/>
      </c>
      <c r="AL9">
        <f>COUNT(B9:AJ9)</f>
        <v/>
      </c>
      <c r="AM9">
        <f>IF(OR(AK9="",COUNT($AK$5:$AK$39)&lt;3),"",IF(RANK(AK9,$AK$5:$AK$39,0)&lt;=ROUND(COUNT($AK$5:$AK$39)/3,0),"top",IF(RANK(AK9,$AK$5:$AK$39,1)&lt;=ROUND(COUNT($AK$5:$AK$39)/3,0),"bottom","middle")))</f>
        <v/>
      </c>
    </row>
    <row r="10">
      <c r="A10" t="n">
        <v>6</v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>
        <f>IF(COUNT(B10:AJ10)=0,"",SUM(B10:AJ10))</f>
        <v/>
      </c>
      <c r="AL10">
        <f>COUNT(B10:AJ10)</f>
        <v/>
      </c>
      <c r="AM10">
        <f>IF(OR(AK10="",COUNT($AK$5:$AK$39)&lt;3),"",IF(RANK(AK10,$AK$5:$AK$39,0)&lt;=ROUND(COUNT($AK$5:$AK$39)/3,0),"top",IF(RANK(AK10,$AK$5:$AK$39,1)&lt;=ROUND(COUNT($AK$5:$AK$39)/3,0),"bottom","middle")))</f>
        <v/>
      </c>
    </row>
    <row r="11">
      <c r="A11" t="n">
        <v>7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>
        <f>IF(COUNT(B11:AJ11)=0,"",SUM(B11:AJ11))</f>
        <v/>
      </c>
      <c r="AL11">
        <f>COUNT(B11:AJ11)</f>
        <v/>
      </c>
      <c r="AM11">
        <f>IF(OR(AK11="",COUNT($AK$5:$AK$39)&lt;3),"",IF(RANK(AK11,$AK$5:$AK$39,0)&lt;=ROUND(COUNT($AK$5:$AK$39)/3,0),"top",IF(RANK(AK11,$AK$5:$AK$39,1)&lt;=ROUND(COUNT($AK$5:$AK$39)/3,0),"bottom","middle")))</f>
        <v/>
      </c>
    </row>
    <row r="12">
      <c r="A12" t="n">
        <v>8</v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>
        <f>IF(COUNT(B12:AJ12)=0,"",SUM(B12:AJ12))</f>
        <v/>
      </c>
      <c r="AL12">
        <f>COUNT(B12:AJ12)</f>
        <v/>
      </c>
      <c r="AM12">
        <f>IF(OR(AK12="",COUNT($AK$5:$AK$39)&lt;3),"",IF(RANK(AK12,$AK$5:$AK$39,0)&lt;=ROUND(COUNT($AK$5:$AK$39)/3,0),"top",IF(RANK(AK12,$AK$5:$AK$39,1)&lt;=ROUND(COUNT($AK$5:$AK$39)/3,0),"bottom","middle")))</f>
        <v/>
      </c>
    </row>
    <row r="13">
      <c r="A13" t="n">
        <v>9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>
        <f>IF(COUNT(B13:AJ13)=0,"",SUM(B13:AJ13))</f>
        <v/>
      </c>
      <c r="AL13">
        <f>COUNT(B13:AJ13)</f>
        <v/>
      </c>
      <c r="AM13">
        <f>IF(OR(AK13="",COUNT($AK$5:$AK$39)&lt;3),"",IF(RANK(AK13,$AK$5:$AK$39,0)&lt;=ROUND(COUNT($AK$5:$AK$39)/3,0),"top",IF(RANK(AK13,$AK$5:$AK$39,1)&lt;=ROUND(COUNT($AK$5:$AK$39)/3,0),"bottom","middle")))</f>
        <v/>
      </c>
    </row>
    <row r="14">
      <c r="A14" t="n">
        <v>10</v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>
        <f>IF(COUNT(B14:AJ14)=0,"",SUM(B14:AJ14))</f>
        <v/>
      </c>
      <c r="AL14">
        <f>COUNT(B14:AJ14)</f>
        <v/>
      </c>
      <c r="AM14">
        <f>IF(OR(AK14="",COUNT($AK$5:$AK$39)&lt;3),"",IF(RANK(AK14,$AK$5:$AK$39,0)&lt;=ROUND(COUNT($AK$5:$AK$39)/3,0),"top",IF(RANK(AK14,$AK$5:$AK$39,1)&lt;=ROUND(COUNT($AK$5:$AK$39)/3,0),"bottom","middle")))</f>
        <v/>
      </c>
    </row>
    <row r="15">
      <c r="A15" t="n">
        <v>11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>
        <f>IF(COUNT(B15:AJ15)=0,"",SUM(B15:AJ15))</f>
        <v/>
      </c>
      <c r="AL15">
        <f>COUNT(B15:AJ15)</f>
        <v/>
      </c>
      <c r="AM15">
        <f>IF(OR(AK15="",COUNT($AK$5:$AK$39)&lt;3),"",IF(RANK(AK15,$AK$5:$AK$39,0)&lt;=ROUND(COUNT($AK$5:$AK$39)/3,0),"top",IF(RANK(AK15,$AK$5:$AK$39,1)&lt;=ROUND(COUNT($AK$5:$AK$39)/3,0),"bottom","middle")))</f>
        <v/>
      </c>
    </row>
    <row r="16">
      <c r="A16" t="n">
        <v>12</v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>
        <f>IF(COUNT(B16:AJ16)=0,"",SUM(B16:AJ16))</f>
        <v/>
      </c>
      <c r="AL16">
        <f>COUNT(B16:AJ16)</f>
        <v/>
      </c>
      <c r="AM16">
        <f>IF(OR(AK16="",COUNT($AK$5:$AK$39)&lt;3),"",IF(RANK(AK16,$AK$5:$AK$39,0)&lt;=ROUND(COUNT($AK$5:$AK$39)/3,0),"top",IF(RANK(AK16,$AK$5:$AK$39,1)&lt;=ROUND(COUNT($AK$5:$AK$39)/3,0),"bottom","middle")))</f>
        <v/>
      </c>
    </row>
    <row r="17">
      <c r="A17" t="n">
        <v>13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>
        <f>IF(COUNT(B17:AJ17)=0,"",SUM(B17:AJ17))</f>
        <v/>
      </c>
      <c r="AL17">
        <f>COUNT(B17:AJ17)</f>
        <v/>
      </c>
      <c r="AM17">
        <f>IF(OR(AK17="",COUNT($AK$5:$AK$39)&lt;3),"",IF(RANK(AK17,$AK$5:$AK$39,0)&lt;=ROUND(COUNT($AK$5:$AK$39)/3,0),"top",IF(RANK(AK17,$AK$5:$AK$39,1)&lt;=ROUND(COUNT($AK$5:$AK$39)/3,0),"bottom","middle")))</f>
        <v/>
      </c>
    </row>
    <row r="18">
      <c r="A18" t="n">
        <v>14</v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>
        <f>IF(COUNT(B18:AJ18)=0,"",SUM(B18:AJ18))</f>
        <v/>
      </c>
      <c r="AL18">
        <f>COUNT(B18:AJ18)</f>
        <v/>
      </c>
      <c r="AM18">
        <f>IF(OR(AK18="",COUNT($AK$5:$AK$39)&lt;3),"",IF(RANK(AK18,$AK$5:$AK$39,0)&lt;=ROUND(COUNT($AK$5:$AK$39)/3,0),"top",IF(RANK(AK18,$AK$5:$AK$39,1)&lt;=ROUND(COUNT($AK$5:$AK$39)/3,0),"bottom","middle")))</f>
        <v/>
      </c>
    </row>
    <row r="19">
      <c r="A19" t="n">
        <v>15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>
        <f>IF(COUNT(B19:AJ19)=0,"",SUM(B19:AJ19))</f>
        <v/>
      </c>
      <c r="AL19">
        <f>COUNT(B19:AJ19)</f>
        <v/>
      </c>
      <c r="AM19">
        <f>IF(OR(AK19="",COUNT($AK$5:$AK$39)&lt;3),"",IF(RANK(AK19,$AK$5:$AK$39,0)&lt;=ROUND(COUNT($AK$5:$AK$39)/3,0),"top",IF(RANK(AK19,$AK$5:$AK$39,1)&lt;=ROUND(COUNT($AK$5:$AK$39)/3,0),"bottom","middle")))</f>
        <v/>
      </c>
    </row>
    <row r="20">
      <c r="A20" t="n">
        <v>16</v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>
        <f>IF(COUNT(B20:AJ20)=0,"",SUM(B20:AJ20))</f>
        <v/>
      </c>
      <c r="AL20">
        <f>COUNT(B20:AJ20)</f>
        <v/>
      </c>
      <c r="AM20">
        <f>IF(OR(AK20="",COUNT($AK$5:$AK$39)&lt;3),"",IF(RANK(AK20,$AK$5:$AK$39,0)&lt;=ROUND(COUNT($AK$5:$AK$39)/3,0),"top",IF(RANK(AK20,$AK$5:$AK$39,1)&lt;=ROUND(COUNT($AK$5:$AK$39)/3,0),"bottom","middle")))</f>
        <v/>
      </c>
    </row>
    <row r="21">
      <c r="A21" t="n">
        <v>17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>
        <f>IF(COUNT(B21:AJ21)=0,"",SUM(B21:AJ21))</f>
        <v/>
      </c>
      <c r="AL21">
        <f>COUNT(B21:AJ21)</f>
        <v/>
      </c>
      <c r="AM21">
        <f>IF(OR(AK21="",COUNT($AK$5:$AK$39)&lt;3),"",IF(RANK(AK21,$AK$5:$AK$39,0)&lt;=ROUND(COUNT($AK$5:$AK$39)/3,0),"top",IF(RANK(AK21,$AK$5:$AK$39,1)&lt;=ROUND(COUNT($AK$5:$AK$39)/3,0),"bottom","middle")))</f>
        <v/>
      </c>
    </row>
    <row r="22">
      <c r="A22" t="n">
        <v>18</v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>
        <f>IF(COUNT(B22:AJ22)=0,"",SUM(B22:AJ22))</f>
        <v/>
      </c>
      <c r="AL22">
        <f>COUNT(B22:AJ22)</f>
        <v/>
      </c>
      <c r="AM22">
        <f>IF(OR(AK22="",COUNT($AK$5:$AK$39)&lt;3),"",IF(RANK(AK22,$AK$5:$AK$39,0)&lt;=ROUND(COUNT($AK$5:$AK$39)/3,0),"top",IF(RANK(AK22,$AK$5:$AK$39,1)&lt;=ROUND(COUNT($AK$5:$AK$39)/3,0),"bottom","middle")))</f>
        <v/>
      </c>
    </row>
    <row r="23">
      <c r="A23" t="n">
        <v>19</v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>
        <f>IF(COUNT(B23:AJ23)=0,"",SUM(B23:AJ23))</f>
        <v/>
      </c>
      <c r="AL23">
        <f>COUNT(B23:AJ23)</f>
        <v/>
      </c>
      <c r="AM23">
        <f>IF(OR(AK23="",COUNT($AK$5:$AK$39)&lt;3),"",IF(RANK(AK23,$AK$5:$AK$39,0)&lt;=ROUND(COUNT($AK$5:$AK$39)/3,0),"top",IF(RANK(AK23,$AK$5:$AK$39,1)&lt;=ROUND(COUNT($AK$5:$AK$39)/3,0),"bottom","middle")))</f>
        <v/>
      </c>
    </row>
    <row r="24">
      <c r="A24" t="n">
        <v>20</v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>
        <f>IF(COUNT(B24:AJ24)=0,"",SUM(B24:AJ24))</f>
        <v/>
      </c>
      <c r="AL24">
        <f>COUNT(B24:AJ24)</f>
        <v/>
      </c>
      <c r="AM24">
        <f>IF(OR(AK24="",COUNT($AK$5:$AK$39)&lt;3),"",IF(RANK(AK24,$AK$5:$AK$39,0)&lt;=ROUND(COUNT($AK$5:$AK$39)/3,0),"top",IF(RANK(AK24,$AK$5:$AK$39,1)&lt;=ROUND(COUNT($AK$5:$AK$39)/3,0),"bottom","middle")))</f>
        <v/>
      </c>
    </row>
    <row r="25">
      <c r="A25" t="n">
        <v>21</v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>
        <f>IF(COUNT(B25:AJ25)=0,"",SUM(B25:AJ25))</f>
        <v/>
      </c>
      <c r="AL25">
        <f>COUNT(B25:AJ25)</f>
        <v/>
      </c>
      <c r="AM25">
        <f>IF(OR(AK25="",COUNT($AK$5:$AK$39)&lt;3),"",IF(RANK(AK25,$AK$5:$AK$39,0)&lt;=ROUND(COUNT($AK$5:$AK$39)/3,0),"top",IF(RANK(AK25,$AK$5:$AK$39,1)&lt;=ROUND(COUNT($AK$5:$AK$39)/3,0),"bottom","middle")))</f>
        <v/>
      </c>
    </row>
    <row r="26">
      <c r="A26" t="n">
        <v>22</v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>
        <f>IF(COUNT(B26:AJ26)=0,"",SUM(B26:AJ26))</f>
        <v/>
      </c>
      <c r="AL26">
        <f>COUNT(B26:AJ26)</f>
        <v/>
      </c>
      <c r="AM26">
        <f>IF(OR(AK26="",COUNT($AK$5:$AK$39)&lt;3),"",IF(RANK(AK26,$AK$5:$AK$39,0)&lt;=ROUND(COUNT($AK$5:$AK$39)/3,0),"top",IF(RANK(AK26,$AK$5:$AK$39,1)&lt;=ROUND(COUNT($AK$5:$AK$39)/3,0),"bottom","middle")))</f>
        <v/>
      </c>
    </row>
    <row r="27">
      <c r="A27" t="n">
        <v>23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>
        <f>IF(COUNT(B27:AJ27)=0,"",SUM(B27:AJ27))</f>
        <v/>
      </c>
      <c r="AL27">
        <f>COUNT(B27:AJ27)</f>
        <v/>
      </c>
      <c r="AM27">
        <f>IF(OR(AK27="",COUNT($AK$5:$AK$39)&lt;3),"",IF(RANK(AK27,$AK$5:$AK$39,0)&lt;=ROUND(COUNT($AK$5:$AK$39)/3,0),"top",IF(RANK(AK27,$AK$5:$AK$39,1)&lt;=ROUND(COUNT($AK$5:$AK$39)/3,0),"bottom","middle")))</f>
        <v/>
      </c>
    </row>
    <row r="28">
      <c r="A28" t="n">
        <v>24</v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>
        <f>IF(COUNT(B28:AJ28)=0,"",SUM(B28:AJ28))</f>
        <v/>
      </c>
      <c r="AL28">
        <f>COUNT(B28:AJ28)</f>
        <v/>
      </c>
      <c r="AM28">
        <f>IF(OR(AK28="",COUNT($AK$5:$AK$39)&lt;3),"",IF(RANK(AK28,$AK$5:$AK$39,0)&lt;=ROUND(COUNT($AK$5:$AK$39)/3,0),"top",IF(RANK(AK28,$AK$5:$AK$39,1)&lt;=ROUND(COUNT($AK$5:$AK$39)/3,0),"bottom","middle")))</f>
        <v/>
      </c>
    </row>
    <row r="29">
      <c r="A29" t="n">
        <v>25</v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>
        <f>IF(COUNT(B29:AJ29)=0,"",SUM(B29:AJ29))</f>
        <v/>
      </c>
      <c r="AL29">
        <f>COUNT(B29:AJ29)</f>
        <v/>
      </c>
      <c r="AM29">
        <f>IF(OR(AK29="",COUNT($AK$5:$AK$39)&lt;3),"",IF(RANK(AK29,$AK$5:$AK$39,0)&lt;=ROUND(COUNT($AK$5:$AK$39)/3,0),"top",IF(RANK(AK29,$AK$5:$AK$39,1)&lt;=ROUND(COUNT($AK$5:$AK$39)/3,0),"bottom","middle")))</f>
        <v/>
      </c>
    </row>
    <row r="30">
      <c r="A30" t="n">
        <v>26</v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>
        <f>IF(COUNT(B30:AJ30)=0,"",SUM(B30:AJ30))</f>
        <v/>
      </c>
      <c r="AL30">
        <f>COUNT(B30:AJ30)</f>
        <v/>
      </c>
      <c r="AM30">
        <f>IF(OR(AK30="",COUNT($AK$5:$AK$39)&lt;3),"",IF(RANK(AK30,$AK$5:$AK$39,0)&lt;=ROUND(COUNT($AK$5:$AK$39)/3,0),"top",IF(RANK(AK30,$AK$5:$AK$39,1)&lt;=ROUND(COUNT($AK$5:$AK$39)/3,0),"bottom","middle")))</f>
        <v/>
      </c>
    </row>
    <row r="31">
      <c r="A31" t="n">
        <v>27</v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>
        <f>IF(COUNT(B31:AJ31)=0,"",SUM(B31:AJ31))</f>
        <v/>
      </c>
      <c r="AL31">
        <f>COUNT(B31:AJ31)</f>
        <v/>
      </c>
      <c r="AM31">
        <f>IF(OR(AK31="",COUNT($AK$5:$AK$39)&lt;3),"",IF(RANK(AK31,$AK$5:$AK$39,0)&lt;=ROUND(COUNT($AK$5:$AK$39)/3,0),"top",IF(RANK(AK31,$AK$5:$AK$39,1)&lt;=ROUND(COUNT($AK$5:$AK$39)/3,0),"bottom","middle")))</f>
        <v/>
      </c>
    </row>
    <row r="32">
      <c r="A32" t="n">
        <v>28</v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>
        <f>IF(COUNT(B32:AJ32)=0,"",SUM(B32:AJ32))</f>
        <v/>
      </c>
      <c r="AL32">
        <f>COUNT(B32:AJ32)</f>
        <v/>
      </c>
      <c r="AM32">
        <f>IF(OR(AK32="",COUNT($AK$5:$AK$39)&lt;3),"",IF(RANK(AK32,$AK$5:$AK$39,0)&lt;=ROUND(COUNT($AK$5:$AK$39)/3,0),"top",IF(RANK(AK32,$AK$5:$AK$39,1)&lt;=ROUND(COUNT($AK$5:$AK$39)/3,0),"bottom","middle")))</f>
        <v/>
      </c>
    </row>
    <row r="33">
      <c r="A33" t="n">
        <v>29</v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>
        <f>IF(COUNT(B33:AJ33)=0,"",SUM(B33:AJ33))</f>
        <v/>
      </c>
      <c r="AL33">
        <f>COUNT(B33:AJ33)</f>
        <v/>
      </c>
      <c r="AM33">
        <f>IF(OR(AK33="",COUNT($AK$5:$AK$39)&lt;3),"",IF(RANK(AK33,$AK$5:$AK$39,0)&lt;=ROUND(COUNT($AK$5:$AK$39)/3,0),"top",IF(RANK(AK33,$AK$5:$AK$39,1)&lt;=ROUND(COUNT($AK$5:$AK$39)/3,0),"bottom","middle")))</f>
        <v/>
      </c>
    </row>
    <row r="34">
      <c r="A34" t="n">
        <v>30</v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>
        <f>IF(COUNT(B34:AJ34)=0,"",SUM(B34:AJ34))</f>
        <v/>
      </c>
      <c r="AL34">
        <f>COUNT(B34:AJ34)</f>
        <v/>
      </c>
      <c r="AM34">
        <f>IF(OR(AK34="",COUNT($AK$5:$AK$39)&lt;3),"",IF(RANK(AK34,$AK$5:$AK$39,0)&lt;=ROUND(COUNT($AK$5:$AK$39)/3,0),"top",IF(RANK(AK34,$AK$5:$AK$39,1)&lt;=ROUND(COUNT($AK$5:$AK$39)/3,0),"bottom","middle")))</f>
        <v/>
      </c>
    </row>
    <row r="35">
      <c r="A35" t="n">
        <v>31</v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>
        <f>IF(COUNT(B35:AJ35)=0,"",SUM(B35:AJ35))</f>
        <v/>
      </c>
      <c r="AL35">
        <f>COUNT(B35:AJ35)</f>
        <v/>
      </c>
      <c r="AM35">
        <f>IF(OR(AK35="",COUNT($AK$5:$AK$39)&lt;3),"",IF(RANK(AK35,$AK$5:$AK$39,0)&lt;=ROUND(COUNT($AK$5:$AK$39)/3,0),"top",IF(RANK(AK35,$AK$5:$AK$39,1)&lt;=ROUND(COUNT($AK$5:$AK$39)/3,0),"bottom","middle")))</f>
        <v/>
      </c>
    </row>
    <row r="36">
      <c r="A36" t="n">
        <v>32</v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>
        <f>IF(COUNT(B36:AJ36)=0,"",SUM(B36:AJ36))</f>
        <v/>
      </c>
      <c r="AL36">
        <f>COUNT(B36:AJ36)</f>
        <v/>
      </c>
      <c r="AM36">
        <f>IF(OR(AK36="",COUNT($AK$5:$AK$39)&lt;3),"",IF(RANK(AK36,$AK$5:$AK$39,0)&lt;=ROUND(COUNT($AK$5:$AK$39)/3,0),"top",IF(RANK(AK36,$AK$5:$AK$39,1)&lt;=ROUND(COUNT($AK$5:$AK$39)/3,0),"bottom","middle")))</f>
        <v/>
      </c>
    </row>
    <row r="37">
      <c r="A37" t="n">
        <v>33</v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>
        <f>IF(COUNT(B37:AJ37)=0,"",SUM(B37:AJ37))</f>
        <v/>
      </c>
      <c r="AL37">
        <f>COUNT(B37:AJ37)</f>
        <v/>
      </c>
      <c r="AM37">
        <f>IF(OR(AK37="",COUNT($AK$5:$AK$39)&lt;3),"",IF(RANK(AK37,$AK$5:$AK$39,0)&lt;=ROUND(COUNT($AK$5:$AK$39)/3,0),"top",IF(RANK(AK37,$AK$5:$AK$39,1)&lt;=ROUND(COUNT($AK$5:$AK$39)/3,0),"bottom","middle")))</f>
        <v/>
      </c>
    </row>
    <row r="38">
      <c r="A38" t="n">
        <v>34</v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>
        <f>IF(COUNT(B38:AJ38)=0,"",SUM(B38:AJ38))</f>
        <v/>
      </c>
      <c r="AL38">
        <f>COUNT(B38:AJ38)</f>
        <v/>
      </c>
      <c r="AM38">
        <f>IF(OR(AK38="",COUNT($AK$5:$AK$39)&lt;3),"",IF(RANK(AK38,$AK$5:$AK$39,0)&lt;=ROUND(COUNT($AK$5:$AK$39)/3,0),"top",IF(RANK(AK38,$AK$5:$AK$39,1)&lt;=ROUND(COUNT($AK$5:$AK$39)/3,0),"bottom","middle")))</f>
        <v/>
      </c>
    </row>
    <row r="39">
      <c r="A39" t="n">
        <v>35</v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>
        <f>IF(COUNT(B39:AJ39)=0,"",SUM(B39:AJ39))</f>
        <v/>
      </c>
      <c r="AL39">
        <f>COUNT(B39:AJ39)</f>
        <v/>
      </c>
      <c r="AM39">
        <f>IF(OR(AK39="",COUNT($AK$5:$AK$39)&lt;3),"",IF(RANK(AK39,$AK$5:$AK$39,0)&lt;=ROUND(COUNT($AK$5:$AK$39)/3,0),"top",IF(RANK(AK39,$AK$5:$AK$39,1)&lt;=ROUND(COUNT($AK$5:$AK$39)/3,0),"bottom","middle")))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52" customWidth="1" min="13" max="13"/>
  </cols>
  <sheetData>
    <row r="1">
      <c r="A1" s="3" t="inlineStr">
        <is>
          <t>Items: the room's rate, the thirds, and what to check</t>
        </is>
      </c>
    </row>
    <row r="4">
      <c r="A4" s="4" t="inlineStr">
        <is>
          <t>Q</t>
        </is>
      </c>
      <c r="B4" s="4" t="inlineStr">
        <is>
          <t>Part</t>
        </is>
      </c>
      <c r="C4" s="4" t="inlineStr">
        <is>
          <t>Type</t>
        </is>
      </c>
      <c r="D4" s="4" t="inlineStr">
        <is>
          <t>Level</t>
        </is>
      </c>
      <c r="E4" s="4" t="inlineStr">
        <is>
          <t>Tag</t>
        </is>
      </c>
      <c r="F4" s="4" t="inlineStr">
        <is>
          <t>Key</t>
        </is>
      </c>
      <c r="G4" s="4" t="inlineStr">
        <is>
          <t>Right</t>
        </is>
      </c>
      <c r="H4" s="4" t="inlineStr">
        <is>
          <t>Answered</t>
        </is>
      </c>
      <c r="I4" s="4" t="inlineStr">
        <is>
          <t>Right rate</t>
        </is>
      </c>
      <c r="J4" s="4" t="inlineStr">
        <is>
          <t>Top third rate</t>
        </is>
      </c>
      <c r="K4" s="4" t="inlineStr">
        <is>
          <t>Bottom third rate</t>
        </is>
      </c>
      <c r="L4" s="4" t="inlineStr">
        <is>
          <t>Top minus bottom</t>
        </is>
      </c>
      <c r="M4" s="4" t="inlineStr">
        <is>
          <t>Flag</t>
        </is>
      </c>
      <c r="N4" s="4" t="inlineStr">
        <is>
          <t>Order key</t>
        </is>
      </c>
    </row>
    <row r="5">
      <c r="A5" t="n">
        <v>1</v>
      </c>
      <c r="B5" t="n">
        <v>1</v>
      </c>
      <c r="C5" t="inlineStr">
        <is>
          <t>Applied maths</t>
        </is>
      </c>
      <c r="D5" t="inlineStr">
        <is>
          <t>Medium</t>
        </is>
      </c>
      <c r="E5" t="inlineStr">
        <is>
          <t>[S]</t>
        </is>
      </c>
      <c r="F5" t="inlineStr">
        <is>
          <t>Rs 11 crore (Rs 12 crore before discounts).</t>
        </is>
      </c>
      <c r="G5">
        <f>COUNTIF(Marks!B$5:B$39,1)</f>
        <v/>
      </c>
      <c r="H5">
        <f>COUNT(Marks!B$5:B$39)</f>
        <v/>
      </c>
      <c r="I5" s="6">
        <f>IF(H5=0,"",G5/H5)</f>
        <v/>
      </c>
      <c r="J5" s="6">
        <f>IF(SUMPRODUCT((Marks!$AM$5:$AM$39="top")*ISNUMBER(Marks!B$5:B$39))=0,"",SUMPRODUCT((Marks!$AM$5:$AM$39="top")*(Marks!B$5:B$39=1))/SUMPRODUCT((Marks!$AM$5:$AM$39="top")*ISNUMBER(Marks!B$5:B$39)))</f>
        <v/>
      </c>
      <c r="K5" s="6">
        <f>IF(SUMPRODUCT((Marks!$AM$5:$AM$39="bottom")*ISNUMBER(Marks!B$5:B$39))=0,"",SUMPRODUCT((Marks!$AM$5:$AM$39="bottom")*(Marks!B$5:B$39=1))/SUMPRODUCT((Marks!$AM$5:$AM$39="bottom")*ISNUMBER(Marks!B$5:B$39)))</f>
        <v/>
      </c>
      <c r="L5" s="6">
        <f>IF(OR(J5="",K5=""),"",J5-K5)</f>
        <v/>
      </c>
      <c r="M5">
        <f>IF(H5=0,"",IF(I5&lt;0.2,"Check the item: fewer than one in five got it right",IF(AND(L5&lt;&gt;"",N(L5)&lt;0),"Check the item: the bottom third beat the top third","")))</f>
        <v/>
      </c>
      <c r="N5">
        <f>IF(H5=0,"",I5+ROW()/1000000)</f>
        <v/>
      </c>
    </row>
    <row r="6">
      <c r="A6" t="n">
        <v>2</v>
      </c>
      <c r="B6" t="n">
        <v>1</v>
      </c>
      <c r="C6" t="inlineStr">
        <is>
          <t>One correct option</t>
        </is>
      </c>
      <c r="D6" t="inlineStr">
        <is>
          <t>Hard</t>
        </is>
      </c>
      <c r="E6" t="inlineStr">
        <is>
          <t>[F]</t>
        </is>
      </c>
      <c r="F6" t="inlineStr">
        <is>
          <t>c</t>
        </is>
      </c>
      <c r="G6">
        <f>COUNTIF(Marks!C$5:C$39,1)</f>
        <v/>
      </c>
      <c r="H6">
        <f>COUNT(Marks!C$5:C$39)</f>
        <v/>
      </c>
      <c r="I6" s="6">
        <f>IF(H6=0,"",G6/H6)</f>
        <v/>
      </c>
      <c r="J6" s="6">
        <f>IF(SUMPRODUCT((Marks!$AM$5:$AM$39="top")*ISNUMBER(Marks!C$5:C$39))=0,"",SUMPRODUCT((Marks!$AM$5:$AM$39="top")*(Marks!C$5:C$39=1))/SUMPRODUCT((Marks!$AM$5:$AM$39="top")*ISNUMBER(Marks!C$5:C$39)))</f>
        <v/>
      </c>
      <c r="K6" s="6">
        <f>IF(SUMPRODUCT((Marks!$AM$5:$AM$39="bottom")*ISNUMBER(Marks!C$5:C$39))=0,"",SUMPRODUCT((Marks!$AM$5:$AM$39="bottom")*(Marks!C$5:C$39=1))/SUMPRODUCT((Marks!$AM$5:$AM$39="bottom")*ISNUMBER(Marks!C$5:C$39)))</f>
        <v/>
      </c>
      <c r="L6" s="6">
        <f>IF(OR(J6="",K6=""),"",J6-K6)</f>
        <v/>
      </c>
      <c r="M6">
        <f>IF(H6=0,"",IF(I6&lt;0.2,"Check the item: fewer than one in five got it right",IF(AND(L6&lt;&gt;"",N(L6)&lt;0),"Check the item: the bottom third beat the top third","")))</f>
        <v/>
      </c>
      <c r="N6">
        <f>IF(H6=0,"",I6+ROW()/1000000)</f>
        <v/>
      </c>
    </row>
    <row r="7">
      <c r="A7" t="n">
        <v>3</v>
      </c>
      <c r="B7" t="n">
        <v>1</v>
      </c>
      <c r="C7" t="inlineStr">
        <is>
          <t>Applied maths</t>
        </is>
      </c>
      <c r="D7" t="inlineStr">
        <is>
          <t>Hard</t>
        </is>
      </c>
      <c r="E7" t="inlineStr">
        <is>
          <t>[S]</t>
        </is>
      </c>
      <c r="F7" t="inlineStr">
        <is>
          <t>Rs 2,060.</t>
        </is>
      </c>
      <c r="G7">
        <f>COUNTIF(Marks!D$5:D$39,1)</f>
        <v/>
      </c>
      <c r="H7">
        <f>COUNT(Marks!D$5:D$39)</f>
        <v/>
      </c>
      <c r="I7" s="6">
        <f>IF(H7=0,"",G7/H7)</f>
        <v/>
      </c>
      <c r="J7" s="6">
        <f>IF(SUMPRODUCT((Marks!$AM$5:$AM$39="top")*ISNUMBER(Marks!D$5:D$39))=0,"",SUMPRODUCT((Marks!$AM$5:$AM$39="top")*(Marks!D$5:D$39=1))/SUMPRODUCT((Marks!$AM$5:$AM$39="top")*ISNUMBER(Marks!D$5:D$39)))</f>
        <v/>
      </c>
      <c r="K7" s="6">
        <f>IF(SUMPRODUCT((Marks!$AM$5:$AM$39="bottom")*ISNUMBER(Marks!D$5:D$39))=0,"",SUMPRODUCT((Marks!$AM$5:$AM$39="bottom")*(Marks!D$5:D$39=1))/SUMPRODUCT((Marks!$AM$5:$AM$39="bottom")*ISNUMBER(Marks!D$5:D$39)))</f>
        <v/>
      </c>
      <c r="L7" s="6">
        <f>IF(OR(J7="",K7=""),"",J7-K7)</f>
        <v/>
      </c>
      <c r="M7">
        <f>IF(H7=0,"",IF(I7&lt;0.2,"Check the item: fewer than one in five got it right",IF(AND(L7&lt;&gt;"",N(L7)&lt;0),"Check the item: the bottom third beat the top third","")))</f>
        <v/>
      </c>
      <c r="N7">
        <f>IF(H7=0,"",I7+ROW()/1000000)</f>
        <v/>
      </c>
    </row>
    <row r="8">
      <c r="A8" t="n">
        <v>4</v>
      </c>
      <c r="B8" t="n">
        <v>1</v>
      </c>
      <c r="C8" t="inlineStr">
        <is>
          <t>One correct option</t>
        </is>
      </c>
      <c r="D8" t="inlineStr">
        <is>
          <t>Medium</t>
        </is>
      </c>
      <c r="E8" t="inlineStr">
        <is>
          <t>[S]</t>
        </is>
      </c>
      <c r="F8" t="inlineStr">
        <is>
          <t>d</t>
        </is>
      </c>
      <c r="G8">
        <f>COUNTIF(Marks!E$5:E$39,1)</f>
        <v/>
      </c>
      <c r="H8">
        <f>COUNT(Marks!E$5:E$39)</f>
        <v/>
      </c>
      <c r="I8" s="6">
        <f>IF(H8=0,"",G8/H8)</f>
        <v/>
      </c>
      <c r="J8" s="6">
        <f>IF(SUMPRODUCT((Marks!$AM$5:$AM$39="top")*ISNUMBER(Marks!E$5:E$39))=0,"",SUMPRODUCT((Marks!$AM$5:$AM$39="top")*(Marks!E$5:E$39=1))/SUMPRODUCT((Marks!$AM$5:$AM$39="top")*ISNUMBER(Marks!E$5:E$39)))</f>
        <v/>
      </c>
      <c r="K8" s="6">
        <f>IF(SUMPRODUCT((Marks!$AM$5:$AM$39="bottom")*ISNUMBER(Marks!E$5:E$39))=0,"",SUMPRODUCT((Marks!$AM$5:$AM$39="bottom")*(Marks!E$5:E$39=1))/SUMPRODUCT((Marks!$AM$5:$AM$39="bottom")*ISNUMBER(Marks!E$5:E$39)))</f>
        <v/>
      </c>
      <c r="L8" s="6">
        <f>IF(OR(J8="",K8=""),"",J8-K8)</f>
        <v/>
      </c>
      <c r="M8">
        <f>IF(H8=0,"",IF(I8&lt;0.2,"Check the item: fewer than one in five got it right",IF(AND(L8&lt;&gt;"",N(L8)&lt;0),"Check the item: the bottom third beat the top third","")))</f>
        <v/>
      </c>
      <c r="N8">
        <f>IF(H8=0,"",I8+ROW()/1000000)</f>
        <v/>
      </c>
    </row>
    <row r="9">
      <c r="A9" t="n">
        <v>5</v>
      </c>
      <c r="B9" t="n">
        <v>1</v>
      </c>
      <c r="C9" t="inlineStr">
        <is>
          <t>One correct option</t>
        </is>
      </c>
      <c r="D9" t="inlineStr">
        <is>
          <t>Easy</t>
        </is>
      </c>
      <c r="E9" t="inlineStr">
        <is>
          <t>[S]</t>
        </is>
      </c>
      <c r="F9" t="inlineStr">
        <is>
          <t>a</t>
        </is>
      </c>
      <c r="G9">
        <f>COUNTIF(Marks!F$5:F$39,1)</f>
        <v/>
      </c>
      <c r="H9">
        <f>COUNT(Marks!F$5:F$39)</f>
        <v/>
      </c>
      <c r="I9" s="6">
        <f>IF(H9=0,"",G9/H9)</f>
        <v/>
      </c>
      <c r="J9" s="6">
        <f>IF(SUMPRODUCT((Marks!$AM$5:$AM$39="top")*ISNUMBER(Marks!F$5:F$39))=0,"",SUMPRODUCT((Marks!$AM$5:$AM$39="top")*(Marks!F$5:F$39=1))/SUMPRODUCT((Marks!$AM$5:$AM$39="top")*ISNUMBER(Marks!F$5:F$39)))</f>
        <v/>
      </c>
      <c r="K9" s="6">
        <f>IF(SUMPRODUCT((Marks!$AM$5:$AM$39="bottom")*ISNUMBER(Marks!F$5:F$39))=0,"",SUMPRODUCT((Marks!$AM$5:$AM$39="bottom")*(Marks!F$5:F$39=1))/SUMPRODUCT((Marks!$AM$5:$AM$39="bottom")*ISNUMBER(Marks!F$5:F$39)))</f>
        <v/>
      </c>
      <c r="L9" s="6">
        <f>IF(OR(J9="",K9=""),"",J9-K9)</f>
        <v/>
      </c>
      <c r="M9">
        <f>IF(H9=0,"",IF(I9&lt;0.2,"Check the item: fewer than one in five got it right",IF(AND(L9&lt;&gt;"",N(L9)&lt;0),"Check the item: the bottom third beat the top third","")))</f>
        <v/>
      </c>
      <c r="N9">
        <f>IF(H9=0,"",I9+ROW()/1000000)</f>
        <v/>
      </c>
    </row>
    <row r="10">
      <c r="A10" t="n">
        <v>6</v>
      </c>
      <c r="B10" t="n">
        <v>1</v>
      </c>
      <c r="C10" t="inlineStr">
        <is>
          <t>One correct option</t>
        </is>
      </c>
      <c r="D10" t="inlineStr">
        <is>
          <t>Hard</t>
        </is>
      </c>
      <c r="E10" t="inlineStr">
        <is>
          <t>[D]</t>
        </is>
      </c>
      <c r="F10" t="inlineStr">
        <is>
          <t>c</t>
        </is>
      </c>
      <c r="G10">
        <f>COUNTIF(Marks!G$5:G$39,1)</f>
        <v/>
      </c>
      <c r="H10">
        <f>COUNT(Marks!G$5:G$39)</f>
        <v/>
      </c>
      <c r="I10" s="6">
        <f>IF(H10=0,"",G10/H10)</f>
        <v/>
      </c>
      <c r="J10" s="6">
        <f>IF(SUMPRODUCT((Marks!$AM$5:$AM$39="top")*ISNUMBER(Marks!G$5:G$39))=0,"",SUMPRODUCT((Marks!$AM$5:$AM$39="top")*(Marks!G$5:G$39=1))/SUMPRODUCT((Marks!$AM$5:$AM$39="top")*ISNUMBER(Marks!G$5:G$39)))</f>
        <v/>
      </c>
      <c r="K10" s="6">
        <f>IF(SUMPRODUCT((Marks!$AM$5:$AM$39="bottom")*ISNUMBER(Marks!G$5:G$39))=0,"",SUMPRODUCT((Marks!$AM$5:$AM$39="bottom")*(Marks!G$5:G$39=1))/SUMPRODUCT((Marks!$AM$5:$AM$39="bottom")*ISNUMBER(Marks!G$5:G$39)))</f>
        <v/>
      </c>
      <c r="L10" s="6">
        <f>IF(OR(J10="",K10=""),"",J10-K10)</f>
        <v/>
      </c>
      <c r="M10">
        <f>IF(H10=0,"",IF(I10&lt;0.2,"Check the item: fewer than one in five got it right",IF(AND(L10&lt;&gt;"",N(L10)&lt;0),"Check the item: the bottom third beat the top third","")))</f>
        <v/>
      </c>
      <c r="N10">
        <f>IF(H10=0,"",I10+ROW()/1000000)</f>
        <v/>
      </c>
    </row>
    <row r="11">
      <c r="A11" t="n">
        <v>7</v>
      </c>
      <c r="B11" t="n">
        <v>1</v>
      </c>
      <c r="C11" t="inlineStr">
        <is>
          <t>Order the steps</t>
        </is>
      </c>
      <c r="D11" t="inlineStr">
        <is>
          <t>Medium</t>
        </is>
      </c>
      <c r="E11" t="inlineStr">
        <is>
          <t>[S]</t>
        </is>
      </c>
      <c r="F11" t="inlineStr">
        <is>
          <t>b, d, e, a, c</t>
        </is>
      </c>
      <c r="G11">
        <f>COUNTIF(Marks!H$5:H$39,1)</f>
        <v/>
      </c>
      <c r="H11">
        <f>COUNT(Marks!H$5:H$39)</f>
        <v/>
      </c>
      <c r="I11" s="6">
        <f>IF(H11=0,"",G11/H11)</f>
        <v/>
      </c>
      <c r="J11" s="6">
        <f>IF(SUMPRODUCT((Marks!$AM$5:$AM$39="top")*ISNUMBER(Marks!H$5:H$39))=0,"",SUMPRODUCT((Marks!$AM$5:$AM$39="top")*(Marks!H$5:H$39=1))/SUMPRODUCT((Marks!$AM$5:$AM$39="top")*ISNUMBER(Marks!H$5:H$39)))</f>
        <v/>
      </c>
      <c r="K11" s="6">
        <f>IF(SUMPRODUCT((Marks!$AM$5:$AM$39="bottom")*ISNUMBER(Marks!H$5:H$39))=0,"",SUMPRODUCT((Marks!$AM$5:$AM$39="bottom")*(Marks!H$5:H$39=1))/SUMPRODUCT((Marks!$AM$5:$AM$39="bottom")*ISNUMBER(Marks!H$5:H$39)))</f>
        <v/>
      </c>
      <c r="L11" s="6">
        <f>IF(OR(J11="",K11=""),"",J11-K11)</f>
        <v/>
      </c>
      <c r="M11">
        <f>IF(H11=0,"",IF(I11&lt;0.2,"Check the item: fewer than one in five got it right",IF(AND(L11&lt;&gt;"",N(L11)&lt;0),"Check the item: the bottom third beat the top third","")))</f>
        <v/>
      </c>
      <c r="N11">
        <f>IF(H11=0,"",I11+ROW()/1000000)</f>
        <v/>
      </c>
    </row>
    <row r="12">
      <c r="A12" t="n">
        <v>8</v>
      </c>
      <c r="B12" t="n">
        <v>2</v>
      </c>
      <c r="C12" t="inlineStr">
        <is>
          <t>One correct option</t>
        </is>
      </c>
      <c r="D12" t="inlineStr">
        <is>
          <t>Hard</t>
        </is>
      </c>
      <c r="E12" t="inlineStr">
        <is>
          <t>[F]</t>
        </is>
      </c>
      <c r="F12" t="inlineStr">
        <is>
          <t>c</t>
        </is>
      </c>
      <c r="G12">
        <f>COUNTIF(Marks!I$5:I$39,1)</f>
        <v/>
      </c>
      <c r="H12">
        <f>COUNT(Marks!I$5:I$39)</f>
        <v/>
      </c>
      <c r="I12" s="6">
        <f>IF(H12=0,"",G12/H12)</f>
        <v/>
      </c>
      <c r="J12" s="6">
        <f>IF(SUMPRODUCT((Marks!$AM$5:$AM$39="top")*ISNUMBER(Marks!I$5:I$39))=0,"",SUMPRODUCT((Marks!$AM$5:$AM$39="top")*(Marks!I$5:I$39=1))/SUMPRODUCT((Marks!$AM$5:$AM$39="top")*ISNUMBER(Marks!I$5:I$39)))</f>
        <v/>
      </c>
      <c r="K12" s="6">
        <f>IF(SUMPRODUCT((Marks!$AM$5:$AM$39="bottom")*ISNUMBER(Marks!I$5:I$39))=0,"",SUMPRODUCT((Marks!$AM$5:$AM$39="bottom")*(Marks!I$5:I$39=1))/SUMPRODUCT((Marks!$AM$5:$AM$39="bottom")*ISNUMBER(Marks!I$5:I$39)))</f>
        <v/>
      </c>
      <c r="L12" s="6">
        <f>IF(OR(J12="",K12=""),"",J12-K12)</f>
        <v/>
      </c>
      <c r="M12">
        <f>IF(H12=0,"",IF(I12&lt;0.2,"Check the item: fewer than one in five got it right",IF(AND(L12&lt;&gt;"",N(L12)&lt;0),"Check the item: the bottom third beat the top third","")))</f>
        <v/>
      </c>
      <c r="N12">
        <f>IF(H12=0,"",I12+ROW()/1000000)</f>
        <v/>
      </c>
    </row>
    <row r="13">
      <c r="A13" t="n">
        <v>9</v>
      </c>
      <c r="B13" t="n">
        <v>2</v>
      </c>
      <c r="C13" t="inlineStr">
        <is>
          <t>True or false</t>
        </is>
      </c>
      <c r="D13" t="inlineStr">
        <is>
          <t>Medium</t>
        </is>
      </c>
      <c r="E13" t="inlineStr">
        <is>
          <t>[SV]</t>
        </is>
      </c>
      <c r="F13" t="inlineStr">
        <is>
          <t>d</t>
        </is>
      </c>
      <c r="G13">
        <f>COUNTIF(Marks!J$5:J$39,1)</f>
        <v/>
      </c>
      <c r="H13">
        <f>COUNT(Marks!J$5:J$39)</f>
        <v/>
      </c>
      <c r="I13" s="6">
        <f>IF(H13=0,"",G13/H13)</f>
        <v/>
      </c>
      <c r="J13" s="6">
        <f>IF(SUMPRODUCT((Marks!$AM$5:$AM$39="top")*ISNUMBER(Marks!J$5:J$39))=0,"",SUMPRODUCT((Marks!$AM$5:$AM$39="top")*(Marks!J$5:J$39=1))/SUMPRODUCT((Marks!$AM$5:$AM$39="top")*ISNUMBER(Marks!J$5:J$39)))</f>
        <v/>
      </c>
      <c r="K13" s="6">
        <f>IF(SUMPRODUCT((Marks!$AM$5:$AM$39="bottom")*ISNUMBER(Marks!J$5:J$39))=0,"",SUMPRODUCT((Marks!$AM$5:$AM$39="bottom")*(Marks!J$5:J$39=1))/SUMPRODUCT((Marks!$AM$5:$AM$39="bottom")*ISNUMBER(Marks!J$5:J$39)))</f>
        <v/>
      </c>
      <c r="L13" s="6">
        <f>IF(OR(J13="",K13=""),"",J13-K13)</f>
        <v/>
      </c>
      <c r="M13">
        <f>IF(H13=0,"",IF(I13&lt;0.2,"Check the item: fewer than one in five got it right",IF(AND(L13&lt;&gt;"",N(L13)&lt;0),"Check the item: the bottom third beat the top third","")))</f>
        <v/>
      </c>
      <c r="N13">
        <f>IF(H13=0,"",I13+ROW()/1000000)</f>
        <v/>
      </c>
    </row>
    <row r="14">
      <c r="A14" t="n">
        <v>10</v>
      </c>
      <c r="B14" t="n">
        <v>2</v>
      </c>
      <c r="C14" t="inlineStr">
        <is>
          <t>One correct option</t>
        </is>
      </c>
      <c r="D14" t="inlineStr">
        <is>
          <t>Hard</t>
        </is>
      </c>
      <c r="E14" t="inlineStr">
        <is>
          <t>[D]</t>
        </is>
      </c>
      <c r="F14" t="inlineStr">
        <is>
          <t>a</t>
        </is>
      </c>
      <c r="G14">
        <f>COUNTIF(Marks!K$5:K$39,1)</f>
        <v/>
      </c>
      <c r="H14">
        <f>COUNT(Marks!K$5:K$39)</f>
        <v/>
      </c>
      <c r="I14" s="6">
        <f>IF(H14=0,"",G14/H14)</f>
        <v/>
      </c>
      <c r="J14" s="6">
        <f>IF(SUMPRODUCT((Marks!$AM$5:$AM$39="top")*ISNUMBER(Marks!K$5:K$39))=0,"",SUMPRODUCT((Marks!$AM$5:$AM$39="top")*(Marks!K$5:K$39=1))/SUMPRODUCT((Marks!$AM$5:$AM$39="top")*ISNUMBER(Marks!K$5:K$39)))</f>
        <v/>
      </c>
      <c r="K14" s="6">
        <f>IF(SUMPRODUCT((Marks!$AM$5:$AM$39="bottom")*ISNUMBER(Marks!K$5:K$39))=0,"",SUMPRODUCT((Marks!$AM$5:$AM$39="bottom")*(Marks!K$5:K$39=1))/SUMPRODUCT((Marks!$AM$5:$AM$39="bottom")*ISNUMBER(Marks!K$5:K$39)))</f>
        <v/>
      </c>
      <c r="L14" s="6">
        <f>IF(OR(J14="",K14=""),"",J14-K14)</f>
        <v/>
      </c>
      <c r="M14">
        <f>IF(H14=0,"",IF(I14&lt;0.2,"Check the item: fewer than one in five got it right",IF(AND(L14&lt;&gt;"",N(L14)&lt;0),"Check the item: the bottom third beat the top third","")))</f>
        <v/>
      </c>
      <c r="N14">
        <f>IF(H14=0,"",I14+ROW()/1000000)</f>
        <v/>
      </c>
    </row>
    <row r="15">
      <c r="A15" t="n">
        <v>11</v>
      </c>
      <c r="B15" t="n">
        <v>2</v>
      </c>
      <c r="C15" t="inlineStr">
        <is>
          <t>More than one correct</t>
        </is>
      </c>
      <c r="D15" t="inlineStr">
        <is>
          <t>Hard</t>
        </is>
      </c>
      <c r="E15" t="inlineStr">
        <is>
          <t>[F]</t>
        </is>
      </c>
      <c r="F15" t="inlineStr">
        <is>
          <t>b, d</t>
        </is>
      </c>
      <c r="G15">
        <f>COUNTIF(Marks!L$5:L$39,1)</f>
        <v/>
      </c>
      <c r="H15">
        <f>COUNT(Marks!L$5:L$39)</f>
        <v/>
      </c>
      <c r="I15" s="6">
        <f>IF(H15=0,"",G15/H15)</f>
        <v/>
      </c>
      <c r="J15" s="6">
        <f>IF(SUMPRODUCT((Marks!$AM$5:$AM$39="top")*ISNUMBER(Marks!L$5:L$39))=0,"",SUMPRODUCT((Marks!$AM$5:$AM$39="top")*(Marks!L$5:L$39=1))/SUMPRODUCT((Marks!$AM$5:$AM$39="top")*ISNUMBER(Marks!L$5:L$39)))</f>
        <v/>
      </c>
      <c r="K15" s="6">
        <f>IF(SUMPRODUCT((Marks!$AM$5:$AM$39="bottom")*ISNUMBER(Marks!L$5:L$39))=0,"",SUMPRODUCT((Marks!$AM$5:$AM$39="bottom")*(Marks!L$5:L$39=1))/SUMPRODUCT((Marks!$AM$5:$AM$39="bottom")*ISNUMBER(Marks!L$5:L$39)))</f>
        <v/>
      </c>
      <c r="L15" s="6">
        <f>IF(OR(J15="",K15=""),"",J15-K15)</f>
        <v/>
      </c>
      <c r="M15">
        <f>IF(H15=0,"",IF(I15&lt;0.2,"Check the item: fewer than one in five got it right",IF(AND(L15&lt;&gt;"",N(L15)&lt;0),"Check the item: the bottom third beat the top third","")))</f>
        <v/>
      </c>
      <c r="N15">
        <f>IF(H15=0,"",I15+ROW()/1000000)</f>
        <v/>
      </c>
    </row>
    <row r="16">
      <c r="A16" t="n">
        <v>12</v>
      </c>
      <c r="B16" t="n">
        <v>2</v>
      </c>
      <c r="C16" t="inlineStr">
        <is>
          <t>Applied maths</t>
        </is>
      </c>
      <c r="D16" t="inlineStr">
        <is>
          <t>Hard</t>
        </is>
      </c>
      <c r="E16" t="inlineStr">
        <is>
          <t>[F]</t>
        </is>
      </c>
      <c r="F16" t="inlineStr">
        <is>
          <t>Q1 Rs 4,680 and Q2 Rs 7,410.</t>
        </is>
      </c>
      <c r="G16">
        <f>COUNTIF(Marks!M$5:M$39,1)</f>
        <v/>
      </c>
      <c r="H16">
        <f>COUNT(Marks!M$5:M$39)</f>
        <v/>
      </c>
      <c r="I16" s="6">
        <f>IF(H16=0,"",G16/H16)</f>
        <v/>
      </c>
      <c r="J16" s="6">
        <f>IF(SUMPRODUCT((Marks!$AM$5:$AM$39="top")*ISNUMBER(Marks!M$5:M$39))=0,"",SUMPRODUCT((Marks!$AM$5:$AM$39="top")*(Marks!M$5:M$39=1))/SUMPRODUCT((Marks!$AM$5:$AM$39="top")*ISNUMBER(Marks!M$5:M$39)))</f>
        <v/>
      </c>
      <c r="K16" s="6">
        <f>IF(SUMPRODUCT((Marks!$AM$5:$AM$39="bottom")*ISNUMBER(Marks!M$5:M$39))=0,"",SUMPRODUCT((Marks!$AM$5:$AM$39="bottom")*(Marks!M$5:M$39=1))/SUMPRODUCT((Marks!$AM$5:$AM$39="bottom")*ISNUMBER(Marks!M$5:M$39)))</f>
        <v/>
      </c>
      <c r="L16" s="6">
        <f>IF(OR(J16="",K16=""),"",J16-K16)</f>
        <v/>
      </c>
      <c r="M16">
        <f>IF(H16=0,"",IF(I16&lt;0.2,"Check the item: fewer than one in five got it right",IF(AND(L16&lt;&gt;"",N(L16)&lt;0),"Check the item: the bottom third beat the top third","")))</f>
        <v/>
      </c>
      <c r="N16">
        <f>IF(H16=0,"",I16+ROW()/1000000)</f>
        <v/>
      </c>
    </row>
    <row r="17">
      <c r="A17" t="n">
        <v>13</v>
      </c>
      <c r="B17" t="n">
        <v>2</v>
      </c>
      <c r="C17" t="inlineStr">
        <is>
          <t>Order the steps</t>
        </is>
      </c>
      <c r="D17" t="inlineStr">
        <is>
          <t>Medium</t>
        </is>
      </c>
      <c r="E17" t="inlineStr">
        <is>
          <t>[F]</t>
        </is>
      </c>
      <c r="F17" t="inlineStr">
        <is>
          <t>b, d, a, c</t>
        </is>
      </c>
      <c r="G17">
        <f>COUNTIF(Marks!N$5:N$39,1)</f>
        <v/>
      </c>
      <c r="H17">
        <f>COUNT(Marks!N$5:N$39)</f>
        <v/>
      </c>
      <c r="I17" s="6">
        <f>IF(H17=0,"",G17/H17)</f>
        <v/>
      </c>
      <c r="J17" s="6">
        <f>IF(SUMPRODUCT((Marks!$AM$5:$AM$39="top")*ISNUMBER(Marks!N$5:N$39))=0,"",SUMPRODUCT((Marks!$AM$5:$AM$39="top")*(Marks!N$5:N$39=1))/SUMPRODUCT((Marks!$AM$5:$AM$39="top")*ISNUMBER(Marks!N$5:N$39)))</f>
        <v/>
      </c>
      <c r="K17" s="6">
        <f>IF(SUMPRODUCT((Marks!$AM$5:$AM$39="bottom")*ISNUMBER(Marks!N$5:N$39))=0,"",SUMPRODUCT((Marks!$AM$5:$AM$39="bottom")*(Marks!N$5:N$39=1))/SUMPRODUCT((Marks!$AM$5:$AM$39="bottom")*ISNUMBER(Marks!N$5:N$39)))</f>
        <v/>
      </c>
      <c r="L17" s="6">
        <f>IF(OR(J17="",K17=""),"",J17-K17)</f>
        <v/>
      </c>
      <c r="M17">
        <f>IF(H17=0,"",IF(I17&lt;0.2,"Check the item: fewer than one in five got it right",IF(AND(L17&lt;&gt;"",N(L17)&lt;0),"Check the item: the bottom third beat the top third","")))</f>
        <v/>
      </c>
      <c r="N17">
        <f>IF(H17=0,"",I17+ROW()/1000000)</f>
        <v/>
      </c>
    </row>
    <row r="18">
      <c r="A18" t="n">
        <v>14</v>
      </c>
      <c r="B18" t="n">
        <v>2</v>
      </c>
      <c r="C18" t="inlineStr">
        <is>
          <t>Scenario set</t>
        </is>
      </c>
      <c r="D18" t="inlineStr">
        <is>
          <t>Hard</t>
        </is>
      </c>
      <c r="E18" t="inlineStr">
        <is>
          <t>[F]</t>
        </is>
      </c>
      <c r="F18" t="inlineStr">
        <is>
          <t>A fall of 1.6 percent (down 1.6, or -1.6).</t>
        </is>
      </c>
      <c r="G18">
        <f>COUNTIF(Marks!O$5:O$39,1)</f>
        <v/>
      </c>
      <c r="H18">
        <f>COUNT(Marks!O$5:O$39)</f>
        <v/>
      </c>
      <c r="I18" s="6">
        <f>IF(H18=0,"",G18/H18)</f>
        <v/>
      </c>
      <c r="J18" s="6">
        <f>IF(SUMPRODUCT((Marks!$AM$5:$AM$39="top")*ISNUMBER(Marks!O$5:O$39))=0,"",SUMPRODUCT((Marks!$AM$5:$AM$39="top")*(Marks!O$5:O$39=1))/SUMPRODUCT((Marks!$AM$5:$AM$39="top")*ISNUMBER(Marks!O$5:O$39)))</f>
        <v/>
      </c>
      <c r="K18" s="6">
        <f>IF(SUMPRODUCT((Marks!$AM$5:$AM$39="bottom")*ISNUMBER(Marks!O$5:O$39))=0,"",SUMPRODUCT((Marks!$AM$5:$AM$39="bottom")*(Marks!O$5:O$39=1))/SUMPRODUCT((Marks!$AM$5:$AM$39="bottom")*ISNUMBER(Marks!O$5:O$39)))</f>
        <v/>
      </c>
      <c r="L18" s="6">
        <f>IF(OR(J18="",K18=""),"",J18-K18)</f>
        <v/>
      </c>
      <c r="M18">
        <f>IF(H18=0,"",IF(I18&lt;0.2,"Check the item: fewer than one in five got it right",IF(AND(L18&lt;&gt;"",N(L18)&lt;0),"Check the item: the bottom third beat the top third","")))</f>
        <v/>
      </c>
      <c r="N18">
        <f>IF(H18=0,"",I18+ROW()/1000000)</f>
        <v/>
      </c>
    </row>
    <row r="19">
      <c r="A19" t="n">
        <v>15</v>
      </c>
      <c r="B19" t="n">
        <v>2</v>
      </c>
      <c r="C19" t="inlineStr">
        <is>
          <t>Scenario set</t>
        </is>
      </c>
      <c r="D19" t="inlineStr">
        <is>
          <t>Hard</t>
        </is>
      </c>
      <c r="E19" t="inlineStr">
        <is>
          <t>[S]</t>
        </is>
      </c>
      <c r="F19" t="inlineStr">
        <is>
          <t>a</t>
        </is>
      </c>
      <c r="G19">
        <f>COUNTIF(Marks!P$5:P$39,1)</f>
        <v/>
      </c>
      <c r="H19">
        <f>COUNT(Marks!P$5:P$39)</f>
        <v/>
      </c>
      <c r="I19" s="6">
        <f>IF(H19=0,"",G19/H19)</f>
        <v/>
      </c>
      <c r="J19" s="6">
        <f>IF(SUMPRODUCT((Marks!$AM$5:$AM$39="top")*ISNUMBER(Marks!P$5:P$39))=0,"",SUMPRODUCT((Marks!$AM$5:$AM$39="top")*(Marks!P$5:P$39=1))/SUMPRODUCT((Marks!$AM$5:$AM$39="top")*ISNUMBER(Marks!P$5:P$39)))</f>
        <v/>
      </c>
      <c r="K19" s="6">
        <f>IF(SUMPRODUCT((Marks!$AM$5:$AM$39="bottom")*ISNUMBER(Marks!P$5:P$39))=0,"",SUMPRODUCT((Marks!$AM$5:$AM$39="bottom")*(Marks!P$5:P$39=1))/SUMPRODUCT((Marks!$AM$5:$AM$39="bottom")*ISNUMBER(Marks!P$5:P$39)))</f>
        <v/>
      </c>
      <c r="L19" s="6">
        <f>IF(OR(J19="",K19=""),"",J19-K19)</f>
        <v/>
      </c>
      <c r="M19">
        <f>IF(H19=0,"",IF(I19&lt;0.2,"Check the item: fewer than one in five got it right",IF(AND(L19&lt;&gt;"",N(L19)&lt;0),"Check the item: the bottom third beat the top third","")))</f>
        <v/>
      </c>
      <c r="N19">
        <f>IF(H19=0,"",I19+ROW()/1000000)</f>
        <v/>
      </c>
    </row>
    <row r="20">
      <c r="A20" t="n">
        <v>16</v>
      </c>
      <c r="B20" t="n">
        <v>3</v>
      </c>
      <c r="C20" t="inlineStr">
        <is>
          <t>One correct option</t>
        </is>
      </c>
      <c r="D20" t="inlineStr">
        <is>
          <t>Hard</t>
        </is>
      </c>
      <c r="E20" t="inlineStr">
        <is>
          <t>[S]</t>
        </is>
      </c>
      <c r="F20" t="inlineStr">
        <is>
          <t>c</t>
        </is>
      </c>
      <c r="G20">
        <f>COUNTIF(Marks!Q$5:Q$39,1)</f>
        <v/>
      </c>
      <c r="H20">
        <f>COUNT(Marks!Q$5:Q$39)</f>
        <v/>
      </c>
      <c r="I20" s="6">
        <f>IF(H20=0,"",G20/H20)</f>
        <v/>
      </c>
      <c r="J20" s="6">
        <f>IF(SUMPRODUCT((Marks!$AM$5:$AM$39="top")*ISNUMBER(Marks!Q$5:Q$39))=0,"",SUMPRODUCT((Marks!$AM$5:$AM$39="top")*(Marks!Q$5:Q$39=1))/SUMPRODUCT((Marks!$AM$5:$AM$39="top")*ISNUMBER(Marks!Q$5:Q$39)))</f>
        <v/>
      </c>
      <c r="K20" s="6">
        <f>IF(SUMPRODUCT((Marks!$AM$5:$AM$39="bottom")*ISNUMBER(Marks!Q$5:Q$39))=0,"",SUMPRODUCT((Marks!$AM$5:$AM$39="bottom")*(Marks!Q$5:Q$39=1))/SUMPRODUCT((Marks!$AM$5:$AM$39="bottom")*ISNUMBER(Marks!Q$5:Q$39)))</f>
        <v/>
      </c>
      <c r="L20" s="6">
        <f>IF(OR(J20="",K20=""),"",J20-K20)</f>
        <v/>
      </c>
      <c r="M20">
        <f>IF(H20=0,"",IF(I20&lt;0.2,"Check the item: fewer than one in five got it right",IF(AND(L20&lt;&gt;"",N(L20)&lt;0),"Check the item: the bottom third beat the top third","")))</f>
        <v/>
      </c>
      <c r="N20">
        <f>IF(H20=0,"",I20+ROW()/1000000)</f>
        <v/>
      </c>
    </row>
    <row r="21">
      <c r="A21" t="n">
        <v>17</v>
      </c>
      <c r="B21" t="n">
        <v>3</v>
      </c>
      <c r="C21" t="inlineStr">
        <is>
          <t>True or false</t>
        </is>
      </c>
      <c r="D21" t="inlineStr">
        <is>
          <t>Hard</t>
        </is>
      </c>
      <c r="E21" t="inlineStr">
        <is>
          <t>[S]</t>
        </is>
      </c>
      <c r="F21" t="inlineStr">
        <is>
          <t>a</t>
        </is>
      </c>
      <c r="G21">
        <f>COUNTIF(Marks!R$5:R$39,1)</f>
        <v/>
      </c>
      <c r="H21">
        <f>COUNT(Marks!R$5:R$39)</f>
        <v/>
      </c>
      <c r="I21" s="6">
        <f>IF(H21=0,"",G21/H21)</f>
        <v/>
      </c>
      <c r="J21" s="6">
        <f>IF(SUMPRODUCT((Marks!$AM$5:$AM$39="top")*ISNUMBER(Marks!R$5:R$39))=0,"",SUMPRODUCT((Marks!$AM$5:$AM$39="top")*(Marks!R$5:R$39=1))/SUMPRODUCT((Marks!$AM$5:$AM$39="top")*ISNUMBER(Marks!R$5:R$39)))</f>
        <v/>
      </c>
      <c r="K21" s="6">
        <f>IF(SUMPRODUCT((Marks!$AM$5:$AM$39="bottom")*ISNUMBER(Marks!R$5:R$39))=0,"",SUMPRODUCT((Marks!$AM$5:$AM$39="bottom")*(Marks!R$5:R$39=1))/SUMPRODUCT((Marks!$AM$5:$AM$39="bottom")*ISNUMBER(Marks!R$5:R$39)))</f>
        <v/>
      </c>
      <c r="L21" s="6">
        <f>IF(OR(J21="",K21=""),"",J21-K21)</f>
        <v/>
      </c>
      <c r="M21">
        <f>IF(H21=0,"",IF(I21&lt;0.2,"Check the item: fewer than one in five got it right",IF(AND(L21&lt;&gt;"",N(L21)&lt;0),"Check the item: the bottom third beat the top third","")))</f>
        <v/>
      </c>
      <c r="N21">
        <f>IF(H21=0,"",I21+ROW()/1000000)</f>
        <v/>
      </c>
    </row>
    <row r="22">
      <c r="A22" t="n">
        <v>18</v>
      </c>
      <c r="B22" t="n">
        <v>3</v>
      </c>
      <c r="C22" t="inlineStr">
        <is>
          <t>More than one correct</t>
        </is>
      </c>
      <c r="D22" t="inlineStr">
        <is>
          <t>Medium</t>
        </is>
      </c>
      <c r="E22" t="inlineStr">
        <is>
          <t>[S]</t>
        </is>
      </c>
      <c r="F22" t="inlineStr">
        <is>
          <t>a, c, d</t>
        </is>
      </c>
      <c r="G22">
        <f>COUNTIF(Marks!S$5:S$39,1)</f>
        <v/>
      </c>
      <c r="H22">
        <f>COUNT(Marks!S$5:S$39)</f>
        <v/>
      </c>
      <c r="I22" s="6">
        <f>IF(H22=0,"",G22/H22)</f>
        <v/>
      </c>
      <c r="J22" s="6">
        <f>IF(SUMPRODUCT((Marks!$AM$5:$AM$39="top")*ISNUMBER(Marks!S$5:S$39))=0,"",SUMPRODUCT((Marks!$AM$5:$AM$39="top")*(Marks!S$5:S$39=1))/SUMPRODUCT((Marks!$AM$5:$AM$39="top")*ISNUMBER(Marks!S$5:S$39)))</f>
        <v/>
      </c>
      <c r="K22" s="6">
        <f>IF(SUMPRODUCT((Marks!$AM$5:$AM$39="bottom")*ISNUMBER(Marks!S$5:S$39))=0,"",SUMPRODUCT((Marks!$AM$5:$AM$39="bottom")*(Marks!S$5:S$39=1))/SUMPRODUCT((Marks!$AM$5:$AM$39="bottom")*ISNUMBER(Marks!S$5:S$39)))</f>
        <v/>
      </c>
      <c r="L22" s="6">
        <f>IF(OR(J22="",K22=""),"",J22-K22)</f>
        <v/>
      </c>
      <c r="M22">
        <f>IF(H22=0,"",IF(I22&lt;0.2,"Check the item: fewer than one in five got it right",IF(AND(L22&lt;&gt;"",N(L22)&lt;0),"Check the item: the bottom third beat the top third","")))</f>
        <v/>
      </c>
      <c r="N22">
        <f>IF(H22=0,"",I22+ROW()/1000000)</f>
        <v/>
      </c>
    </row>
    <row r="23">
      <c r="A23" t="n">
        <v>19</v>
      </c>
      <c r="B23" t="n">
        <v>3</v>
      </c>
      <c r="C23" t="inlineStr">
        <is>
          <t>One correct option</t>
        </is>
      </c>
      <c r="D23" t="inlineStr">
        <is>
          <t>Hard</t>
        </is>
      </c>
      <c r="E23" t="inlineStr">
        <is>
          <t>[S]</t>
        </is>
      </c>
      <c r="F23" t="inlineStr">
        <is>
          <t>d</t>
        </is>
      </c>
      <c r="G23">
        <f>COUNTIF(Marks!T$5:T$39,1)</f>
        <v/>
      </c>
      <c r="H23">
        <f>COUNT(Marks!T$5:T$39)</f>
        <v/>
      </c>
      <c r="I23" s="6">
        <f>IF(H23=0,"",G23/H23)</f>
        <v/>
      </c>
      <c r="J23" s="6">
        <f>IF(SUMPRODUCT((Marks!$AM$5:$AM$39="top")*ISNUMBER(Marks!T$5:T$39))=0,"",SUMPRODUCT((Marks!$AM$5:$AM$39="top")*(Marks!T$5:T$39=1))/SUMPRODUCT((Marks!$AM$5:$AM$39="top")*ISNUMBER(Marks!T$5:T$39)))</f>
        <v/>
      </c>
      <c r="K23" s="6">
        <f>IF(SUMPRODUCT((Marks!$AM$5:$AM$39="bottom")*ISNUMBER(Marks!T$5:T$39))=0,"",SUMPRODUCT((Marks!$AM$5:$AM$39="bottom")*(Marks!T$5:T$39=1))/SUMPRODUCT((Marks!$AM$5:$AM$39="bottom")*ISNUMBER(Marks!T$5:T$39)))</f>
        <v/>
      </c>
      <c r="L23" s="6">
        <f>IF(OR(J23="",K23=""),"",J23-K23)</f>
        <v/>
      </c>
      <c r="M23">
        <f>IF(H23=0,"",IF(I23&lt;0.2,"Check the item: fewer than one in five got it right",IF(AND(L23&lt;&gt;"",N(L23)&lt;0),"Check the item: the bottom third beat the top third","")))</f>
        <v/>
      </c>
      <c r="N23">
        <f>IF(H23=0,"",I23+ROW()/1000000)</f>
        <v/>
      </c>
    </row>
    <row r="24">
      <c r="A24" t="n">
        <v>20</v>
      </c>
      <c r="B24" t="n">
        <v>3</v>
      </c>
      <c r="C24" t="inlineStr">
        <is>
          <t>One correct option</t>
        </is>
      </c>
      <c r="D24" t="inlineStr">
        <is>
          <t>Hard</t>
        </is>
      </c>
      <c r="E24" t="inlineStr">
        <is>
          <t>[F]</t>
        </is>
      </c>
      <c r="F24" t="inlineStr">
        <is>
          <t>b</t>
        </is>
      </c>
      <c r="G24">
        <f>COUNTIF(Marks!U$5:U$39,1)</f>
        <v/>
      </c>
      <c r="H24">
        <f>COUNT(Marks!U$5:U$39)</f>
        <v/>
      </c>
      <c r="I24" s="6">
        <f>IF(H24=0,"",G24/H24)</f>
        <v/>
      </c>
      <c r="J24" s="6">
        <f>IF(SUMPRODUCT((Marks!$AM$5:$AM$39="top")*ISNUMBER(Marks!U$5:U$39))=0,"",SUMPRODUCT((Marks!$AM$5:$AM$39="top")*(Marks!U$5:U$39=1))/SUMPRODUCT((Marks!$AM$5:$AM$39="top")*ISNUMBER(Marks!U$5:U$39)))</f>
        <v/>
      </c>
      <c r="K24" s="6">
        <f>IF(SUMPRODUCT((Marks!$AM$5:$AM$39="bottom")*ISNUMBER(Marks!U$5:U$39))=0,"",SUMPRODUCT((Marks!$AM$5:$AM$39="bottom")*(Marks!U$5:U$39=1))/SUMPRODUCT((Marks!$AM$5:$AM$39="bottom")*ISNUMBER(Marks!U$5:U$39)))</f>
        <v/>
      </c>
      <c r="L24" s="6">
        <f>IF(OR(J24="",K24=""),"",J24-K24)</f>
        <v/>
      </c>
      <c r="M24">
        <f>IF(H24=0,"",IF(I24&lt;0.2,"Check the item: fewer than one in five got it right",IF(AND(L24&lt;&gt;"",N(L24)&lt;0),"Check the item: the bottom third beat the top third","")))</f>
        <v/>
      </c>
      <c r="N24">
        <f>IF(H24=0,"",I24+ROW()/1000000)</f>
        <v/>
      </c>
    </row>
    <row r="25">
      <c r="A25" t="n">
        <v>21</v>
      </c>
      <c r="B25" t="n">
        <v>3</v>
      </c>
      <c r="C25" t="inlineStr">
        <is>
          <t>One correct option</t>
        </is>
      </c>
      <c r="D25" t="inlineStr">
        <is>
          <t>Hard</t>
        </is>
      </c>
      <c r="E25" t="inlineStr">
        <is>
          <t>[F]</t>
        </is>
      </c>
      <c r="F25" t="inlineStr">
        <is>
          <t>c</t>
        </is>
      </c>
      <c r="G25">
        <f>COUNTIF(Marks!V$5:V$39,1)</f>
        <v/>
      </c>
      <c r="H25">
        <f>COUNT(Marks!V$5:V$39)</f>
        <v/>
      </c>
      <c r="I25" s="6">
        <f>IF(H25=0,"",G25/H25)</f>
        <v/>
      </c>
      <c r="J25" s="6">
        <f>IF(SUMPRODUCT((Marks!$AM$5:$AM$39="top")*ISNUMBER(Marks!V$5:V$39))=0,"",SUMPRODUCT((Marks!$AM$5:$AM$39="top")*(Marks!V$5:V$39=1))/SUMPRODUCT((Marks!$AM$5:$AM$39="top")*ISNUMBER(Marks!V$5:V$39)))</f>
        <v/>
      </c>
      <c r="K25" s="6">
        <f>IF(SUMPRODUCT((Marks!$AM$5:$AM$39="bottom")*ISNUMBER(Marks!V$5:V$39))=0,"",SUMPRODUCT((Marks!$AM$5:$AM$39="bottom")*(Marks!V$5:V$39=1))/SUMPRODUCT((Marks!$AM$5:$AM$39="bottom")*ISNUMBER(Marks!V$5:V$39)))</f>
        <v/>
      </c>
      <c r="L25" s="6">
        <f>IF(OR(J25="",K25=""),"",J25-K25)</f>
        <v/>
      </c>
      <c r="M25">
        <f>IF(H25=0,"",IF(I25&lt;0.2,"Check the item: fewer than one in five got it right",IF(AND(L25&lt;&gt;"",N(L25)&lt;0),"Check the item: the bottom third beat the top third","")))</f>
        <v/>
      </c>
      <c r="N25">
        <f>IF(H25=0,"",I25+ROW()/1000000)</f>
        <v/>
      </c>
    </row>
    <row r="26">
      <c r="A26" t="n">
        <v>22</v>
      </c>
      <c r="B26" t="n">
        <v>4</v>
      </c>
      <c r="C26" t="inlineStr">
        <is>
          <t>Scenario set</t>
        </is>
      </c>
      <c r="D26" t="inlineStr">
        <is>
          <t>Hard</t>
        </is>
      </c>
      <c r="E26" t="inlineStr">
        <is>
          <t>[S]</t>
        </is>
      </c>
      <c r="F26" t="inlineStr">
        <is>
          <t>d</t>
        </is>
      </c>
      <c r="G26">
        <f>COUNTIF(Marks!W$5:W$39,1)</f>
        <v/>
      </c>
      <c r="H26">
        <f>COUNT(Marks!W$5:W$39)</f>
        <v/>
      </c>
      <c r="I26" s="6">
        <f>IF(H26=0,"",G26/H26)</f>
        <v/>
      </c>
      <c r="J26" s="6">
        <f>IF(SUMPRODUCT((Marks!$AM$5:$AM$39="top")*ISNUMBER(Marks!W$5:W$39))=0,"",SUMPRODUCT((Marks!$AM$5:$AM$39="top")*(Marks!W$5:W$39=1))/SUMPRODUCT((Marks!$AM$5:$AM$39="top")*ISNUMBER(Marks!W$5:W$39)))</f>
        <v/>
      </c>
      <c r="K26" s="6">
        <f>IF(SUMPRODUCT((Marks!$AM$5:$AM$39="bottom")*ISNUMBER(Marks!W$5:W$39))=0,"",SUMPRODUCT((Marks!$AM$5:$AM$39="bottom")*(Marks!W$5:W$39=1))/SUMPRODUCT((Marks!$AM$5:$AM$39="bottom")*ISNUMBER(Marks!W$5:W$39)))</f>
        <v/>
      </c>
      <c r="L26" s="6">
        <f>IF(OR(J26="",K26=""),"",J26-K26)</f>
        <v/>
      </c>
      <c r="M26">
        <f>IF(H26=0,"",IF(I26&lt;0.2,"Check the item: fewer than one in five got it right",IF(AND(L26&lt;&gt;"",N(L26)&lt;0),"Check the item: the bottom third beat the top third","")))</f>
        <v/>
      </c>
      <c r="N26">
        <f>IF(H26=0,"",I26+ROW()/1000000)</f>
        <v/>
      </c>
    </row>
    <row r="27">
      <c r="A27" t="n">
        <v>23</v>
      </c>
      <c r="B27" t="n">
        <v>4</v>
      </c>
      <c r="C27" t="inlineStr">
        <is>
          <t>Scenario set</t>
        </is>
      </c>
      <c r="D27" t="inlineStr">
        <is>
          <t>Medium</t>
        </is>
      </c>
      <c r="E27" t="inlineStr">
        <is>
          <t>[F]</t>
        </is>
      </c>
      <c r="F27" t="inlineStr">
        <is>
          <t>d</t>
        </is>
      </c>
      <c r="G27">
        <f>COUNTIF(Marks!X$5:X$39,1)</f>
        <v/>
      </c>
      <c r="H27">
        <f>COUNT(Marks!X$5:X$39)</f>
        <v/>
      </c>
      <c r="I27" s="6">
        <f>IF(H27=0,"",G27/H27)</f>
        <v/>
      </c>
      <c r="J27" s="6">
        <f>IF(SUMPRODUCT((Marks!$AM$5:$AM$39="top")*ISNUMBER(Marks!X$5:X$39))=0,"",SUMPRODUCT((Marks!$AM$5:$AM$39="top")*(Marks!X$5:X$39=1))/SUMPRODUCT((Marks!$AM$5:$AM$39="top")*ISNUMBER(Marks!X$5:X$39)))</f>
        <v/>
      </c>
      <c r="K27" s="6">
        <f>IF(SUMPRODUCT((Marks!$AM$5:$AM$39="bottom")*ISNUMBER(Marks!X$5:X$39))=0,"",SUMPRODUCT((Marks!$AM$5:$AM$39="bottom")*(Marks!X$5:X$39=1))/SUMPRODUCT((Marks!$AM$5:$AM$39="bottom")*ISNUMBER(Marks!X$5:X$39)))</f>
        <v/>
      </c>
      <c r="L27" s="6">
        <f>IF(OR(J27="",K27=""),"",J27-K27)</f>
        <v/>
      </c>
      <c r="M27">
        <f>IF(H27=0,"",IF(I27&lt;0.2,"Check the item: fewer than one in five got it right",IF(AND(L27&lt;&gt;"",N(L27)&lt;0),"Check the item: the bottom third beat the top third","")))</f>
        <v/>
      </c>
      <c r="N27">
        <f>IF(H27=0,"",I27+ROW()/1000000)</f>
        <v/>
      </c>
    </row>
    <row r="28">
      <c r="A28" t="n">
        <v>24</v>
      </c>
      <c r="B28" t="n">
        <v>4</v>
      </c>
      <c r="C28" t="inlineStr">
        <is>
          <t>One correct option</t>
        </is>
      </c>
      <c r="D28" t="inlineStr">
        <is>
          <t>Medium</t>
        </is>
      </c>
      <c r="E28" t="inlineStr">
        <is>
          <t>[S]</t>
        </is>
      </c>
      <c r="F28" t="inlineStr">
        <is>
          <t>b</t>
        </is>
      </c>
      <c r="G28">
        <f>COUNTIF(Marks!Y$5:Y$39,1)</f>
        <v/>
      </c>
      <c r="H28">
        <f>COUNT(Marks!Y$5:Y$39)</f>
        <v/>
      </c>
      <c r="I28" s="6">
        <f>IF(H28=0,"",G28/H28)</f>
        <v/>
      </c>
      <c r="J28" s="6">
        <f>IF(SUMPRODUCT((Marks!$AM$5:$AM$39="top")*ISNUMBER(Marks!Y$5:Y$39))=0,"",SUMPRODUCT((Marks!$AM$5:$AM$39="top")*(Marks!Y$5:Y$39=1))/SUMPRODUCT((Marks!$AM$5:$AM$39="top")*ISNUMBER(Marks!Y$5:Y$39)))</f>
        <v/>
      </c>
      <c r="K28" s="6">
        <f>IF(SUMPRODUCT((Marks!$AM$5:$AM$39="bottom")*ISNUMBER(Marks!Y$5:Y$39))=0,"",SUMPRODUCT((Marks!$AM$5:$AM$39="bottom")*(Marks!Y$5:Y$39=1))/SUMPRODUCT((Marks!$AM$5:$AM$39="bottom")*ISNUMBER(Marks!Y$5:Y$39)))</f>
        <v/>
      </c>
      <c r="L28" s="6">
        <f>IF(OR(J28="",K28=""),"",J28-K28)</f>
        <v/>
      </c>
      <c r="M28">
        <f>IF(H28=0,"",IF(I28&lt;0.2,"Check the item: fewer than one in five got it right",IF(AND(L28&lt;&gt;"",N(L28)&lt;0),"Check the item: the bottom third beat the top third","")))</f>
        <v/>
      </c>
      <c r="N28">
        <f>IF(H28=0,"",I28+ROW()/1000000)</f>
        <v/>
      </c>
    </row>
    <row r="29">
      <c r="A29" t="n">
        <v>25</v>
      </c>
      <c r="B29" t="n">
        <v>4</v>
      </c>
      <c r="C29" t="inlineStr">
        <is>
          <t>More than one correct</t>
        </is>
      </c>
      <c r="D29" t="inlineStr">
        <is>
          <t>Medium</t>
        </is>
      </c>
      <c r="E29" t="inlineStr">
        <is>
          <t>[F]</t>
        </is>
      </c>
      <c r="F29" t="inlineStr">
        <is>
          <t>b, e</t>
        </is>
      </c>
      <c r="G29">
        <f>COUNTIF(Marks!Z$5:Z$39,1)</f>
        <v/>
      </c>
      <c r="H29">
        <f>COUNT(Marks!Z$5:Z$39)</f>
        <v/>
      </c>
      <c r="I29" s="6">
        <f>IF(H29=0,"",G29/H29)</f>
        <v/>
      </c>
      <c r="J29" s="6">
        <f>IF(SUMPRODUCT((Marks!$AM$5:$AM$39="top")*ISNUMBER(Marks!Z$5:Z$39))=0,"",SUMPRODUCT((Marks!$AM$5:$AM$39="top")*(Marks!Z$5:Z$39=1))/SUMPRODUCT((Marks!$AM$5:$AM$39="top")*ISNUMBER(Marks!Z$5:Z$39)))</f>
        <v/>
      </c>
      <c r="K29" s="6">
        <f>IF(SUMPRODUCT((Marks!$AM$5:$AM$39="bottom")*ISNUMBER(Marks!Z$5:Z$39))=0,"",SUMPRODUCT((Marks!$AM$5:$AM$39="bottom")*(Marks!Z$5:Z$39=1))/SUMPRODUCT((Marks!$AM$5:$AM$39="bottom")*ISNUMBER(Marks!Z$5:Z$39)))</f>
        <v/>
      </c>
      <c r="L29" s="6">
        <f>IF(OR(J29="",K29=""),"",J29-K29)</f>
        <v/>
      </c>
      <c r="M29">
        <f>IF(H29=0,"",IF(I29&lt;0.2,"Check the item: fewer than one in five got it right",IF(AND(L29&lt;&gt;"",N(L29)&lt;0),"Check the item: the bottom third beat the top third","")))</f>
        <v/>
      </c>
      <c r="N29">
        <f>IF(H29=0,"",I29+ROW()/1000000)</f>
        <v/>
      </c>
    </row>
    <row r="30">
      <c r="A30" t="n">
        <v>26</v>
      </c>
      <c r="B30" t="n">
        <v>4</v>
      </c>
      <c r="C30" t="inlineStr">
        <is>
          <t>One correct option</t>
        </is>
      </c>
      <c r="D30" t="inlineStr">
        <is>
          <t>Medium</t>
        </is>
      </c>
      <c r="E30" t="inlineStr">
        <is>
          <t>[S]</t>
        </is>
      </c>
      <c r="F30" t="inlineStr">
        <is>
          <t>b</t>
        </is>
      </c>
      <c r="G30">
        <f>COUNTIF(Marks!AA$5:AA$39,1)</f>
        <v/>
      </c>
      <c r="H30">
        <f>COUNT(Marks!AA$5:AA$39)</f>
        <v/>
      </c>
      <c r="I30" s="6">
        <f>IF(H30=0,"",G30/H30)</f>
        <v/>
      </c>
      <c r="J30" s="6">
        <f>IF(SUMPRODUCT((Marks!$AM$5:$AM$39="top")*ISNUMBER(Marks!AA$5:AA$39))=0,"",SUMPRODUCT((Marks!$AM$5:$AM$39="top")*(Marks!AA$5:AA$39=1))/SUMPRODUCT((Marks!$AM$5:$AM$39="top")*ISNUMBER(Marks!AA$5:AA$39)))</f>
        <v/>
      </c>
      <c r="K30" s="6">
        <f>IF(SUMPRODUCT((Marks!$AM$5:$AM$39="bottom")*ISNUMBER(Marks!AA$5:AA$39))=0,"",SUMPRODUCT((Marks!$AM$5:$AM$39="bottom")*(Marks!AA$5:AA$39=1))/SUMPRODUCT((Marks!$AM$5:$AM$39="bottom")*ISNUMBER(Marks!AA$5:AA$39)))</f>
        <v/>
      </c>
      <c r="L30" s="6">
        <f>IF(OR(J30="",K30=""),"",J30-K30)</f>
        <v/>
      </c>
      <c r="M30">
        <f>IF(H30=0,"",IF(I30&lt;0.2,"Check the item: fewer than one in five got it right",IF(AND(L30&lt;&gt;"",N(L30)&lt;0),"Check the item: the bottom third beat the top third","")))</f>
        <v/>
      </c>
      <c r="N30">
        <f>IF(H30=0,"",I30+ROW()/1000000)</f>
        <v/>
      </c>
    </row>
    <row r="31">
      <c r="A31" t="n">
        <v>27</v>
      </c>
      <c r="B31" t="n">
        <v>5</v>
      </c>
      <c r="C31" t="inlineStr">
        <is>
          <t>Scenario set</t>
        </is>
      </c>
      <c r="D31" t="inlineStr">
        <is>
          <t>Hard</t>
        </is>
      </c>
      <c r="E31" t="inlineStr">
        <is>
          <t>[D]</t>
        </is>
      </c>
      <c r="F31" t="inlineStr">
        <is>
          <t>A fall of Rs 12,500.</t>
        </is>
      </c>
      <c r="G31">
        <f>COUNTIF(Marks!AB$5:AB$39,1)</f>
        <v/>
      </c>
      <c r="H31">
        <f>COUNT(Marks!AB$5:AB$39)</f>
        <v/>
      </c>
      <c r="I31" s="6">
        <f>IF(H31=0,"",G31/H31)</f>
        <v/>
      </c>
      <c r="J31" s="6">
        <f>IF(SUMPRODUCT((Marks!$AM$5:$AM$39="top")*ISNUMBER(Marks!AB$5:AB$39))=0,"",SUMPRODUCT((Marks!$AM$5:$AM$39="top")*(Marks!AB$5:AB$39=1))/SUMPRODUCT((Marks!$AM$5:$AM$39="top")*ISNUMBER(Marks!AB$5:AB$39)))</f>
        <v/>
      </c>
      <c r="K31" s="6">
        <f>IF(SUMPRODUCT((Marks!$AM$5:$AM$39="bottom")*ISNUMBER(Marks!AB$5:AB$39))=0,"",SUMPRODUCT((Marks!$AM$5:$AM$39="bottom")*(Marks!AB$5:AB$39=1))/SUMPRODUCT((Marks!$AM$5:$AM$39="bottom")*ISNUMBER(Marks!AB$5:AB$39)))</f>
        <v/>
      </c>
      <c r="L31" s="6">
        <f>IF(OR(J31="",K31=""),"",J31-K31)</f>
        <v/>
      </c>
      <c r="M31">
        <f>IF(H31=0,"",IF(I31&lt;0.2,"Check the item: fewer than one in five got it right",IF(AND(L31&lt;&gt;"",N(L31)&lt;0),"Check the item: the bottom third beat the top third","")))</f>
        <v/>
      </c>
      <c r="N31">
        <f>IF(H31=0,"",I31+ROW()/1000000)</f>
        <v/>
      </c>
    </row>
    <row r="32">
      <c r="A32" t="n">
        <v>28</v>
      </c>
      <c r="B32" t="n">
        <v>5</v>
      </c>
      <c r="C32" t="inlineStr">
        <is>
          <t>Scenario set</t>
        </is>
      </c>
      <c r="D32" t="inlineStr">
        <is>
          <t>Hard</t>
        </is>
      </c>
      <c r="E32" t="inlineStr">
        <is>
          <t>[D]</t>
        </is>
      </c>
      <c r="F32" t="inlineStr">
        <is>
          <t>b</t>
        </is>
      </c>
      <c r="G32">
        <f>COUNTIF(Marks!AC$5:AC$39,1)</f>
        <v/>
      </c>
      <c r="H32">
        <f>COUNT(Marks!AC$5:AC$39)</f>
        <v/>
      </c>
      <c r="I32" s="6">
        <f>IF(H32=0,"",G32/H32)</f>
        <v/>
      </c>
      <c r="J32" s="6">
        <f>IF(SUMPRODUCT((Marks!$AM$5:$AM$39="top")*ISNUMBER(Marks!AC$5:AC$39))=0,"",SUMPRODUCT((Marks!$AM$5:$AM$39="top")*(Marks!AC$5:AC$39=1))/SUMPRODUCT((Marks!$AM$5:$AM$39="top")*ISNUMBER(Marks!AC$5:AC$39)))</f>
        <v/>
      </c>
      <c r="K32" s="6">
        <f>IF(SUMPRODUCT((Marks!$AM$5:$AM$39="bottom")*ISNUMBER(Marks!AC$5:AC$39))=0,"",SUMPRODUCT((Marks!$AM$5:$AM$39="bottom")*(Marks!AC$5:AC$39=1))/SUMPRODUCT((Marks!$AM$5:$AM$39="bottom")*ISNUMBER(Marks!AC$5:AC$39)))</f>
        <v/>
      </c>
      <c r="L32" s="6">
        <f>IF(OR(J32="",K32=""),"",J32-K32)</f>
        <v/>
      </c>
      <c r="M32">
        <f>IF(H32=0,"",IF(I32&lt;0.2,"Check the item: fewer than one in five got it right",IF(AND(L32&lt;&gt;"",N(L32)&lt;0),"Check the item: the bottom third beat the top third","")))</f>
        <v/>
      </c>
      <c r="N32">
        <f>IF(H32=0,"",I32+ROW()/1000000)</f>
        <v/>
      </c>
    </row>
    <row r="33">
      <c r="A33" t="n">
        <v>29</v>
      </c>
      <c r="B33" t="n">
        <v>5</v>
      </c>
      <c r="C33" t="inlineStr">
        <is>
          <t>One correct option</t>
        </is>
      </c>
      <c r="D33" t="inlineStr">
        <is>
          <t>Hard</t>
        </is>
      </c>
      <c r="E33" t="inlineStr">
        <is>
          <t>[F]</t>
        </is>
      </c>
      <c r="F33" t="inlineStr">
        <is>
          <t>c</t>
        </is>
      </c>
      <c r="G33">
        <f>COUNTIF(Marks!AD$5:AD$39,1)</f>
        <v/>
      </c>
      <c r="H33">
        <f>COUNT(Marks!AD$5:AD$39)</f>
        <v/>
      </c>
      <c r="I33" s="6">
        <f>IF(H33=0,"",G33/H33)</f>
        <v/>
      </c>
      <c r="J33" s="6">
        <f>IF(SUMPRODUCT((Marks!$AM$5:$AM$39="top")*ISNUMBER(Marks!AD$5:AD$39))=0,"",SUMPRODUCT((Marks!$AM$5:$AM$39="top")*(Marks!AD$5:AD$39=1))/SUMPRODUCT((Marks!$AM$5:$AM$39="top")*ISNUMBER(Marks!AD$5:AD$39)))</f>
        <v/>
      </c>
      <c r="K33" s="6">
        <f>IF(SUMPRODUCT((Marks!$AM$5:$AM$39="bottom")*ISNUMBER(Marks!AD$5:AD$39))=0,"",SUMPRODUCT((Marks!$AM$5:$AM$39="bottom")*(Marks!AD$5:AD$39=1))/SUMPRODUCT((Marks!$AM$5:$AM$39="bottom")*ISNUMBER(Marks!AD$5:AD$39)))</f>
        <v/>
      </c>
      <c r="L33" s="6">
        <f>IF(OR(J33="",K33=""),"",J33-K33)</f>
        <v/>
      </c>
      <c r="M33">
        <f>IF(H33=0,"",IF(I33&lt;0.2,"Check the item: fewer than one in five got it right",IF(AND(L33&lt;&gt;"",N(L33)&lt;0),"Check the item: the bottom third beat the top third","")))</f>
        <v/>
      </c>
      <c r="N33">
        <f>IF(H33=0,"",I33+ROW()/1000000)</f>
        <v/>
      </c>
    </row>
    <row r="34">
      <c r="A34" t="n">
        <v>30</v>
      </c>
      <c r="B34" t="n">
        <v>5</v>
      </c>
      <c r="C34" t="inlineStr">
        <is>
          <t>One correct option</t>
        </is>
      </c>
      <c r="D34" t="inlineStr">
        <is>
          <t>Hard</t>
        </is>
      </c>
      <c r="E34" t="inlineStr">
        <is>
          <t>[SV]</t>
        </is>
      </c>
      <c r="F34" t="inlineStr">
        <is>
          <t>a</t>
        </is>
      </c>
      <c r="G34">
        <f>COUNTIF(Marks!AE$5:AE$39,1)</f>
        <v/>
      </c>
      <c r="H34">
        <f>COUNT(Marks!AE$5:AE$39)</f>
        <v/>
      </c>
      <c r="I34" s="6">
        <f>IF(H34=0,"",G34/H34)</f>
        <v/>
      </c>
      <c r="J34" s="6">
        <f>IF(SUMPRODUCT((Marks!$AM$5:$AM$39="top")*ISNUMBER(Marks!AE$5:AE$39))=0,"",SUMPRODUCT((Marks!$AM$5:$AM$39="top")*(Marks!AE$5:AE$39=1))/SUMPRODUCT((Marks!$AM$5:$AM$39="top")*ISNUMBER(Marks!AE$5:AE$39)))</f>
        <v/>
      </c>
      <c r="K34" s="6">
        <f>IF(SUMPRODUCT((Marks!$AM$5:$AM$39="bottom")*ISNUMBER(Marks!AE$5:AE$39))=0,"",SUMPRODUCT((Marks!$AM$5:$AM$39="bottom")*(Marks!AE$5:AE$39=1))/SUMPRODUCT((Marks!$AM$5:$AM$39="bottom")*ISNUMBER(Marks!AE$5:AE$39)))</f>
        <v/>
      </c>
      <c r="L34" s="6">
        <f>IF(OR(J34="",K34=""),"",J34-K34)</f>
        <v/>
      </c>
      <c r="M34">
        <f>IF(H34=0,"",IF(I34&lt;0.2,"Check the item: fewer than one in five got it right",IF(AND(L34&lt;&gt;"",N(L34)&lt;0),"Check the item: the bottom third beat the top third","")))</f>
        <v/>
      </c>
      <c r="N34">
        <f>IF(H34=0,"",I34+ROW()/1000000)</f>
        <v/>
      </c>
    </row>
    <row r="35">
      <c r="A35" t="n">
        <v>31</v>
      </c>
      <c r="B35" t="n">
        <v>5</v>
      </c>
      <c r="C35" t="inlineStr">
        <is>
          <t>One correct option</t>
        </is>
      </c>
      <c r="D35" t="inlineStr">
        <is>
          <t>Hard</t>
        </is>
      </c>
      <c r="E35" t="inlineStr">
        <is>
          <t>[S]</t>
        </is>
      </c>
      <c r="F35" t="inlineStr">
        <is>
          <t>b</t>
        </is>
      </c>
      <c r="G35">
        <f>COUNTIF(Marks!AF$5:AF$39,1)</f>
        <v/>
      </c>
      <c r="H35">
        <f>COUNT(Marks!AF$5:AF$39)</f>
        <v/>
      </c>
      <c r="I35" s="6">
        <f>IF(H35=0,"",G35/H35)</f>
        <v/>
      </c>
      <c r="J35" s="6">
        <f>IF(SUMPRODUCT((Marks!$AM$5:$AM$39="top")*ISNUMBER(Marks!AF$5:AF$39))=0,"",SUMPRODUCT((Marks!$AM$5:$AM$39="top")*(Marks!AF$5:AF$39=1))/SUMPRODUCT((Marks!$AM$5:$AM$39="top")*ISNUMBER(Marks!AF$5:AF$39)))</f>
        <v/>
      </c>
      <c r="K35" s="6">
        <f>IF(SUMPRODUCT((Marks!$AM$5:$AM$39="bottom")*ISNUMBER(Marks!AF$5:AF$39))=0,"",SUMPRODUCT((Marks!$AM$5:$AM$39="bottom")*(Marks!AF$5:AF$39=1))/SUMPRODUCT((Marks!$AM$5:$AM$39="bottom")*ISNUMBER(Marks!AF$5:AF$39)))</f>
        <v/>
      </c>
      <c r="L35" s="6">
        <f>IF(OR(J35="",K35=""),"",J35-K35)</f>
        <v/>
      </c>
      <c r="M35">
        <f>IF(H35=0,"",IF(I35&lt;0.2,"Check the item: fewer than one in five got it right",IF(AND(L35&lt;&gt;"",N(L35)&lt;0),"Check the item: the bottom third beat the top third","")))</f>
        <v/>
      </c>
      <c r="N35">
        <f>IF(H35=0,"",I35+ROW()/1000000)</f>
        <v/>
      </c>
    </row>
    <row r="36">
      <c r="A36" t="n">
        <v>32</v>
      </c>
      <c r="B36" t="n">
        <v>5</v>
      </c>
      <c r="C36" t="inlineStr">
        <is>
          <t>One correct option</t>
        </is>
      </c>
      <c r="D36" t="inlineStr">
        <is>
          <t>Hard</t>
        </is>
      </c>
      <c r="E36" t="inlineStr">
        <is>
          <t>[S]</t>
        </is>
      </c>
      <c r="F36" t="inlineStr">
        <is>
          <t>a</t>
        </is>
      </c>
      <c r="G36">
        <f>COUNTIF(Marks!AG$5:AG$39,1)</f>
        <v/>
      </c>
      <c r="H36">
        <f>COUNT(Marks!AG$5:AG$39)</f>
        <v/>
      </c>
      <c r="I36" s="6">
        <f>IF(H36=0,"",G36/H36)</f>
        <v/>
      </c>
      <c r="J36" s="6">
        <f>IF(SUMPRODUCT((Marks!$AM$5:$AM$39="top")*ISNUMBER(Marks!AG$5:AG$39))=0,"",SUMPRODUCT((Marks!$AM$5:$AM$39="top")*(Marks!AG$5:AG$39=1))/SUMPRODUCT((Marks!$AM$5:$AM$39="top")*ISNUMBER(Marks!AG$5:AG$39)))</f>
        <v/>
      </c>
      <c r="K36" s="6">
        <f>IF(SUMPRODUCT((Marks!$AM$5:$AM$39="bottom")*ISNUMBER(Marks!AG$5:AG$39))=0,"",SUMPRODUCT((Marks!$AM$5:$AM$39="bottom")*(Marks!AG$5:AG$39=1))/SUMPRODUCT((Marks!$AM$5:$AM$39="bottom")*ISNUMBER(Marks!AG$5:AG$39)))</f>
        <v/>
      </c>
      <c r="L36" s="6">
        <f>IF(OR(J36="",K36=""),"",J36-K36)</f>
        <v/>
      </c>
      <c r="M36">
        <f>IF(H36=0,"",IF(I36&lt;0.2,"Check the item: fewer than one in five got it right",IF(AND(L36&lt;&gt;"",N(L36)&lt;0),"Check the item: the bottom third beat the top third","")))</f>
        <v/>
      </c>
      <c r="N36">
        <f>IF(H36=0,"",I36+ROW()/1000000)</f>
        <v/>
      </c>
    </row>
    <row r="37">
      <c r="A37" t="n">
        <v>33</v>
      </c>
      <c r="B37" t="n">
        <v>5</v>
      </c>
      <c r="C37" t="inlineStr">
        <is>
          <t>Match the following</t>
        </is>
      </c>
      <c r="D37" t="inlineStr">
        <is>
          <t>Medium</t>
        </is>
      </c>
      <c r="E37" t="inlineStr">
        <is>
          <t>[S]</t>
        </is>
      </c>
      <c r="F37" t="inlineStr">
        <is>
          <t>c</t>
        </is>
      </c>
      <c r="G37">
        <f>COUNTIF(Marks!AH$5:AH$39,1)</f>
        <v/>
      </c>
      <c r="H37">
        <f>COUNT(Marks!AH$5:AH$39)</f>
        <v/>
      </c>
      <c r="I37" s="6">
        <f>IF(H37=0,"",G37/H37)</f>
        <v/>
      </c>
      <c r="J37" s="6">
        <f>IF(SUMPRODUCT((Marks!$AM$5:$AM$39="top")*ISNUMBER(Marks!AH$5:AH$39))=0,"",SUMPRODUCT((Marks!$AM$5:$AM$39="top")*(Marks!AH$5:AH$39=1))/SUMPRODUCT((Marks!$AM$5:$AM$39="top")*ISNUMBER(Marks!AH$5:AH$39)))</f>
        <v/>
      </c>
      <c r="K37" s="6">
        <f>IF(SUMPRODUCT((Marks!$AM$5:$AM$39="bottom")*ISNUMBER(Marks!AH$5:AH$39))=0,"",SUMPRODUCT((Marks!$AM$5:$AM$39="bottom")*(Marks!AH$5:AH$39=1))/SUMPRODUCT((Marks!$AM$5:$AM$39="bottom")*ISNUMBER(Marks!AH$5:AH$39)))</f>
        <v/>
      </c>
      <c r="L37" s="6">
        <f>IF(OR(J37="",K37=""),"",J37-K37)</f>
        <v/>
      </c>
      <c r="M37">
        <f>IF(H37=0,"",IF(I37&lt;0.2,"Check the item: fewer than one in five got it right",IF(AND(L37&lt;&gt;"",N(L37)&lt;0),"Check the item: the bottom third beat the top third","")))</f>
        <v/>
      </c>
      <c r="N37">
        <f>IF(H37=0,"",I37+ROW()/1000000)</f>
        <v/>
      </c>
    </row>
    <row r="38">
      <c r="A38" t="n">
        <v>34</v>
      </c>
      <c r="B38" t="n">
        <v>5</v>
      </c>
      <c r="C38" t="inlineStr">
        <is>
          <t>Match the following</t>
        </is>
      </c>
      <c r="D38" t="inlineStr">
        <is>
          <t>Medium</t>
        </is>
      </c>
      <c r="E38" t="inlineStr">
        <is>
          <t>[S]</t>
        </is>
      </c>
      <c r="F38" t="inlineStr">
        <is>
          <t>f</t>
        </is>
      </c>
      <c r="G38">
        <f>COUNTIF(Marks!AI$5:AI$39,1)</f>
        <v/>
      </c>
      <c r="H38">
        <f>COUNT(Marks!AI$5:AI$39)</f>
        <v/>
      </c>
      <c r="I38" s="6">
        <f>IF(H38=0,"",G38/H38)</f>
        <v/>
      </c>
      <c r="J38" s="6">
        <f>IF(SUMPRODUCT((Marks!$AM$5:$AM$39="top")*ISNUMBER(Marks!AI$5:AI$39))=0,"",SUMPRODUCT((Marks!$AM$5:$AM$39="top")*(Marks!AI$5:AI$39=1))/SUMPRODUCT((Marks!$AM$5:$AM$39="top")*ISNUMBER(Marks!AI$5:AI$39)))</f>
        <v/>
      </c>
      <c r="K38" s="6">
        <f>IF(SUMPRODUCT((Marks!$AM$5:$AM$39="bottom")*ISNUMBER(Marks!AI$5:AI$39))=0,"",SUMPRODUCT((Marks!$AM$5:$AM$39="bottom")*(Marks!AI$5:AI$39=1))/SUMPRODUCT((Marks!$AM$5:$AM$39="bottom")*ISNUMBER(Marks!AI$5:AI$39)))</f>
        <v/>
      </c>
      <c r="L38" s="6">
        <f>IF(OR(J38="",K38=""),"",J38-K38)</f>
        <v/>
      </c>
      <c r="M38">
        <f>IF(H38=0,"",IF(I38&lt;0.2,"Check the item: fewer than one in five got it right",IF(AND(L38&lt;&gt;"",N(L38)&lt;0),"Check the item: the bottom third beat the top third","")))</f>
        <v/>
      </c>
      <c r="N38">
        <f>IF(H38=0,"",I38+ROW()/1000000)</f>
        <v/>
      </c>
    </row>
    <row r="39">
      <c r="A39" t="n">
        <v>35</v>
      </c>
      <c r="B39" t="n">
        <v>5</v>
      </c>
      <c r="C39" t="inlineStr">
        <is>
          <t>Match the following</t>
        </is>
      </c>
      <c r="D39" t="inlineStr">
        <is>
          <t>Medium</t>
        </is>
      </c>
      <c r="E39" t="inlineStr">
        <is>
          <t>[S]</t>
        </is>
      </c>
      <c r="F39" t="inlineStr">
        <is>
          <t>a</t>
        </is>
      </c>
      <c r="G39">
        <f>COUNTIF(Marks!AJ$5:AJ$39,1)</f>
        <v/>
      </c>
      <c r="H39">
        <f>COUNT(Marks!AJ$5:AJ$39)</f>
        <v/>
      </c>
      <c r="I39" s="6">
        <f>IF(H39=0,"",G39/H39)</f>
        <v/>
      </c>
      <c r="J39" s="6">
        <f>IF(SUMPRODUCT((Marks!$AM$5:$AM$39="top")*ISNUMBER(Marks!AJ$5:AJ$39))=0,"",SUMPRODUCT((Marks!$AM$5:$AM$39="top")*(Marks!AJ$5:AJ$39=1))/SUMPRODUCT((Marks!$AM$5:$AM$39="top")*ISNUMBER(Marks!AJ$5:AJ$39)))</f>
        <v/>
      </c>
      <c r="K39" s="6">
        <f>IF(SUMPRODUCT((Marks!$AM$5:$AM$39="bottom")*ISNUMBER(Marks!AJ$5:AJ$39))=0,"",SUMPRODUCT((Marks!$AM$5:$AM$39="bottom")*(Marks!AJ$5:AJ$39=1))/SUMPRODUCT((Marks!$AM$5:$AM$39="bottom")*ISNUMBER(Marks!AJ$5:AJ$39)))</f>
        <v/>
      </c>
      <c r="L39" s="6">
        <f>IF(OR(J39="",K39=""),"",J39-K39)</f>
        <v/>
      </c>
      <c r="M39">
        <f>IF(H39=0,"",IF(I39&lt;0.2,"Check the item: fewer than one in five got it right",IF(AND(L39&lt;&gt;"",N(L39)&lt;0),"Check the item: the bottom third beat the top third","")))</f>
        <v/>
      </c>
      <c r="N39">
        <f>IF(H39=0,"",I39+ROW()/1000000)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52" customWidth="1" min="6" max="6"/>
  </cols>
  <sheetData>
    <row r="1">
      <c r="A1" s="3" t="inlineStr">
        <is>
          <t>The solution discussion, from the most-missed item</t>
        </is>
      </c>
    </row>
    <row r="2">
      <c r="B2">
        <f>IF(SUM(Items!H5:H39)=0,"No marks entered yet.","Most-missed first: take the items from the top.")</f>
        <v/>
      </c>
    </row>
    <row r="4">
      <c r="A4" s="4" t="inlineStr">
        <is>
          <t>Order</t>
        </is>
      </c>
      <c r="B4" s="4" t="inlineStr">
        <is>
          <t>Q</t>
        </is>
      </c>
      <c r="C4" s="4" t="inlineStr">
        <is>
          <t>Right rate</t>
        </is>
      </c>
      <c r="D4" s="4" t="inlineStr">
        <is>
          <t>Part</t>
        </is>
      </c>
      <c r="E4" s="4" t="inlineStr">
        <is>
          <t>Tag</t>
        </is>
      </c>
      <c r="F4" s="4" t="inlineStr">
        <is>
          <t>Flag</t>
        </is>
      </c>
    </row>
    <row r="5">
      <c r="A5" t="n">
        <v>1</v>
      </c>
      <c r="B5">
        <f>IF(COUNT(Items!$N$5:$N$39)&lt;A5,"",INDEX(Items!$A$5:$A$39,MATCH(SMALL(Items!$N$5:$N$39,A5),Items!$N$5:$N$39,0)))</f>
        <v/>
      </c>
      <c r="C5" s="6">
        <f>IF(B5="","",INDEX(Items!$I$5:$I$39,MATCH(B5,Items!$A$5:$A$39,0)))</f>
        <v/>
      </c>
      <c r="D5">
        <f>IF(B5="","",INDEX(Items!$B$5:$B$39,MATCH(B5,Items!$A$5:$A$39,0)))</f>
        <v/>
      </c>
      <c r="E5">
        <f>IF(B5="","",INDEX(Items!$E$5:$E$39,MATCH(B5,Items!$A$5:$A$39,0)))</f>
        <v/>
      </c>
      <c r="F5">
        <f>IF(B5="","",INDEX(Items!$M$5:$M$39,MATCH(B5,Items!$A$5:$A$39,0)))</f>
        <v/>
      </c>
    </row>
    <row r="6">
      <c r="A6" t="n">
        <v>2</v>
      </c>
      <c r="B6">
        <f>IF(COUNT(Items!$N$5:$N$39)&lt;A6,"",INDEX(Items!$A$5:$A$39,MATCH(SMALL(Items!$N$5:$N$39,A6),Items!$N$5:$N$39,0)))</f>
        <v/>
      </c>
      <c r="C6" s="6">
        <f>IF(B6="","",INDEX(Items!$I$5:$I$39,MATCH(B6,Items!$A$5:$A$39,0)))</f>
        <v/>
      </c>
      <c r="D6">
        <f>IF(B6="","",INDEX(Items!$B$5:$B$39,MATCH(B6,Items!$A$5:$A$39,0)))</f>
        <v/>
      </c>
      <c r="E6">
        <f>IF(B6="","",INDEX(Items!$E$5:$E$39,MATCH(B6,Items!$A$5:$A$39,0)))</f>
        <v/>
      </c>
      <c r="F6">
        <f>IF(B6="","",INDEX(Items!$M$5:$M$39,MATCH(B6,Items!$A$5:$A$39,0)))</f>
        <v/>
      </c>
    </row>
    <row r="7">
      <c r="A7" t="n">
        <v>3</v>
      </c>
      <c r="B7">
        <f>IF(COUNT(Items!$N$5:$N$39)&lt;A7,"",INDEX(Items!$A$5:$A$39,MATCH(SMALL(Items!$N$5:$N$39,A7),Items!$N$5:$N$39,0)))</f>
        <v/>
      </c>
      <c r="C7" s="6">
        <f>IF(B7="","",INDEX(Items!$I$5:$I$39,MATCH(B7,Items!$A$5:$A$39,0)))</f>
        <v/>
      </c>
      <c r="D7">
        <f>IF(B7="","",INDEX(Items!$B$5:$B$39,MATCH(B7,Items!$A$5:$A$39,0)))</f>
        <v/>
      </c>
      <c r="E7">
        <f>IF(B7="","",INDEX(Items!$E$5:$E$39,MATCH(B7,Items!$A$5:$A$39,0)))</f>
        <v/>
      </c>
      <c r="F7">
        <f>IF(B7="","",INDEX(Items!$M$5:$M$39,MATCH(B7,Items!$A$5:$A$39,0)))</f>
        <v/>
      </c>
    </row>
    <row r="8">
      <c r="A8" t="n">
        <v>4</v>
      </c>
      <c r="B8">
        <f>IF(COUNT(Items!$N$5:$N$39)&lt;A8,"",INDEX(Items!$A$5:$A$39,MATCH(SMALL(Items!$N$5:$N$39,A8),Items!$N$5:$N$39,0)))</f>
        <v/>
      </c>
      <c r="C8" s="6">
        <f>IF(B8="","",INDEX(Items!$I$5:$I$39,MATCH(B8,Items!$A$5:$A$39,0)))</f>
        <v/>
      </c>
      <c r="D8">
        <f>IF(B8="","",INDEX(Items!$B$5:$B$39,MATCH(B8,Items!$A$5:$A$39,0)))</f>
        <v/>
      </c>
      <c r="E8">
        <f>IF(B8="","",INDEX(Items!$E$5:$E$39,MATCH(B8,Items!$A$5:$A$39,0)))</f>
        <v/>
      </c>
      <c r="F8">
        <f>IF(B8="","",INDEX(Items!$M$5:$M$39,MATCH(B8,Items!$A$5:$A$39,0)))</f>
        <v/>
      </c>
    </row>
    <row r="9">
      <c r="A9" t="n">
        <v>5</v>
      </c>
      <c r="B9">
        <f>IF(COUNT(Items!$N$5:$N$39)&lt;A9,"",INDEX(Items!$A$5:$A$39,MATCH(SMALL(Items!$N$5:$N$39,A9),Items!$N$5:$N$39,0)))</f>
        <v/>
      </c>
      <c r="C9" s="6">
        <f>IF(B9="","",INDEX(Items!$I$5:$I$39,MATCH(B9,Items!$A$5:$A$39,0)))</f>
        <v/>
      </c>
      <c r="D9">
        <f>IF(B9="","",INDEX(Items!$B$5:$B$39,MATCH(B9,Items!$A$5:$A$39,0)))</f>
        <v/>
      </c>
      <c r="E9">
        <f>IF(B9="","",INDEX(Items!$E$5:$E$39,MATCH(B9,Items!$A$5:$A$39,0)))</f>
        <v/>
      </c>
      <c r="F9">
        <f>IF(B9="","",INDEX(Items!$M$5:$M$39,MATCH(B9,Items!$A$5:$A$39,0)))</f>
        <v/>
      </c>
    </row>
    <row r="10">
      <c r="A10" t="n">
        <v>6</v>
      </c>
      <c r="B10">
        <f>IF(COUNT(Items!$N$5:$N$39)&lt;A10,"",INDEX(Items!$A$5:$A$39,MATCH(SMALL(Items!$N$5:$N$39,A10),Items!$N$5:$N$39,0)))</f>
        <v/>
      </c>
      <c r="C10" s="6">
        <f>IF(B10="","",INDEX(Items!$I$5:$I$39,MATCH(B10,Items!$A$5:$A$39,0)))</f>
        <v/>
      </c>
      <c r="D10">
        <f>IF(B10="","",INDEX(Items!$B$5:$B$39,MATCH(B10,Items!$A$5:$A$39,0)))</f>
        <v/>
      </c>
      <c r="E10">
        <f>IF(B10="","",INDEX(Items!$E$5:$E$39,MATCH(B10,Items!$A$5:$A$39,0)))</f>
        <v/>
      </c>
      <c r="F10">
        <f>IF(B10="","",INDEX(Items!$M$5:$M$39,MATCH(B10,Items!$A$5:$A$39,0)))</f>
        <v/>
      </c>
    </row>
    <row r="11">
      <c r="A11" t="n">
        <v>7</v>
      </c>
      <c r="B11">
        <f>IF(COUNT(Items!$N$5:$N$39)&lt;A11,"",INDEX(Items!$A$5:$A$39,MATCH(SMALL(Items!$N$5:$N$39,A11),Items!$N$5:$N$39,0)))</f>
        <v/>
      </c>
      <c r="C11" s="6">
        <f>IF(B11="","",INDEX(Items!$I$5:$I$39,MATCH(B11,Items!$A$5:$A$39,0)))</f>
        <v/>
      </c>
      <c r="D11">
        <f>IF(B11="","",INDEX(Items!$B$5:$B$39,MATCH(B11,Items!$A$5:$A$39,0)))</f>
        <v/>
      </c>
      <c r="E11">
        <f>IF(B11="","",INDEX(Items!$E$5:$E$39,MATCH(B11,Items!$A$5:$A$39,0)))</f>
        <v/>
      </c>
      <c r="F11">
        <f>IF(B11="","",INDEX(Items!$M$5:$M$39,MATCH(B11,Items!$A$5:$A$39,0)))</f>
        <v/>
      </c>
    </row>
    <row r="12">
      <c r="A12" t="n">
        <v>8</v>
      </c>
      <c r="B12">
        <f>IF(COUNT(Items!$N$5:$N$39)&lt;A12,"",INDEX(Items!$A$5:$A$39,MATCH(SMALL(Items!$N$5:$N$39,A12),Items!$N$5:$N$39,0)))</f>
        <v/>
      </c>
      <c r="C12" s="6">
        <f>IF(B12="","",INDEX(Items!$I$5:$I$39,MATCH(B12,Items!$A$5:$A$39,0)))</f>
        <v/>
      </c>
      <c r="D12">
        <f>IF(B12="","",INDEX(Items!$B$5:$B$39,MATCH(B12,Items!$A$5:$A$39,0)))</f>
        <v/>
      </c>
      <c r="E12">
        <f>IF(B12="","",INDEX(Items!$E$5:$E$39,MATCH(B12,Items!$A$5:$A$39,0)))</f>
        <v/>
      </c>
      <c r="F12">
        <f>IF(B12="","",INDEX(Items!$M$5:$M$39,MATCH(B12,Items!$A$5:$A$39,0)))</f>
        <v/>
      </c>
    </row>
    <row r="13">
      <c r="A13" t="n">
        <v>9</v>
      </c>
      <c r="B13">
        <f>IF(COUNT(Items!$N$5:$N$39)&lt;A13,"",INDEX(Items!$A$5:$A$39,MATCH(SMALL(Items!$N$5:$N$39,A13),Items!$N$5:$N$39,0)))</f>
        <v/>
      </c>
      <c r="C13" s="6">
        <f>IF(B13="","",INDEX(Items!$I$5:$I$39,MATCH(B13,Items!$A$5:$A$39,0)))</f>
        <v/>
      </c>
      <c r="D13">
        <f>IF(B13="","",INDEX(Items!$B$5:$B$39,MATCH(B13,Items!$A$5:$A$39,0)))</f>
        <v/>
      </c>
      <c r="E13">
        <f>IF(B13="","",INDEX(Items!$E$5:$E$39,MATCH(B13,Items!$A$5:$A$39,0)))</f>
        <v/>
      </c>
      <c r="F13">
        <f>IF(B13="","",INDEX(Items!$M$5:$M$39,MATCH(B13,Items!$A$5:$A$39,0)))</f>
        <v/>
      </c>
    </row>
    <row r="14">
      <c r="A14" t="n">
        <v>10</v>
      </c>
      <c r="B14">
        <f>IF(COUNT(Items!$N$5:$N$39)&lt;A14,"",INDEX(Items!$A$5:$A$39,MATCH(SMALL(Items!$N$5:$N$39,A14),Items!$N$5:$N$39,0)))</f>
        <v/>
      </c>
      <c r="C14" s="6">
        <f>IF(B14="","",INDEX(Items!$I$5:$I$39,MATCH(B14,Items!$A$5:$A$39,0)))</f>
        <v/>
      </c>
      <c r="D14">
        <f>IF(B14="","",INDEX(Items!$B$5:$B$39,MATCH(B14,Items!$A$5:$A$39,0)))</f>
        <v/>
      </c>
      <c r="E14">
        <f>IF(B14="","",INDEX(Items!$E$5:$E$39,MATCH(B14,Items!$A$5:$A$39,0)))</f>
        <v/>
      </c>
      <c r="F14">
        <f>IF(B14="","",INDEX(Items!$M$5:$M$39,MATCH(B14,Items!$A$5:$A$39,0)))</f>
        <v/>
      </c>
    </row>
    <row r="15">
      <c r="A15" t="n">
        <v>11</v>
      </c>
      <c r="B15">
        <f>IF(COUNT(Items!$N$5:$N$39)&lt;A15,"",INDEX(Items!$A$5:$A$39,MATCH(SMALL(Items!$N$5:$N$39,A15),Items!$N$5:$N$39,0)))</f>
        <v/>
      </c>
      <c r="C15" s="6">
        <f>IF(B15="","",INDEX(Items!$I$5:$I$39,MATCH(B15,Items!$A$5:$A$39,0)))</f>
        <v/>
      </c>
      <c r="D15">
        <f>IF(B15="","",INDEX(Items!$B$5:$B$39,MATCH(B15,Items!$A$5:$A$39,0)))</f>
        <v/>
      </c>
      <c r="E15">
        <f>IF(B15="","",INDEX(Items!$E$5:$E$39,MATCH(B15,Items!$A$5:$A$39,0)))</f>
        <v/>
      </c>
      <c r="F15">
        <f>IF(B15="","",INDEX(Items!$M$5:$M$39,MATCH(B15,Items!$A$5:$A$39,0)))</f>
        <v/>
      </c>
    </row>
    <row r="16">
      <c r="A16" t="n">
        <v>12</v>
      </c>
      <c r="B16">
        <f>IF(COUNT(Items!$N$5:$N$39)&lt;A16,"",INDEX(Items!$A$5:$A$39,MATCH(SMALL(Items!$N$5:$N$39,A16),Items!$N$5:$N$39,0)))</f>
        <v/>
      </c>
      <c r="C16" s="6">
        <f>IF(B16="","",INDEX(Items!$I$5:$I$39,MATCH(B16,Items!$A$5:$A$39,0)))</f>
        <v/>
      </c>
      <c r="D16">
        <f>IF(B16="","",INDEX(Items!$B$5:$B$39,MATCH(B16,Items!$A$5:$A$39,0)))</f>
        <v/>
      </c>
      <c r="E16">
        <f>IF(B16="","",INDEX(Items!$E$5:$E$39,MATCH(B16,Items!$A$5:$A$39,0)))</f>
        <v/>
      </c>
      <c r="F16">
        <f>IF(B16="","",INDEX(Items!$M$5:$M$39,MATCH(B16,Items!$A$5:$A$39,0)))</f>
        <v/>
      </c>
    </row>
    <row r="17">
      <c r="A17" t="n">
        <v>13</v>
      </c>
      <c r="B17">
        <f>IF(COUNT(Items!$N$5:$N$39)&lt;A17,"",INDEX(Items!$A$5:$A$39,MATCH(SMALL(Items!$N$5:$N$39,A17),Items!$N$5:$N$39,0)))</f>
        <v/>
      </c>
      <c r="C17" s="6">
        <f>IF(B17="","",INDEX(Items!$I$5:$I$39,MATCH(B17,Items!$A$5:$A$39,0)))</f>
        <v/>
      </c>
      <c r="D17">
        <f>IF(B17="","",INDEX(Items!$B$5:$B$39,MATCH(B17,Items!$A$5:$A$39,0)))</f>
        <v/>
      </c>
      <c r="E17">
        <f>IF(B17="","",INDEX(Items!$E$5:$E$39,MATCH(B17,Items!$A$5:$A$39,0)))</f>
        <v/>
      </c>
      <c r="F17">
        <f>IF(B17="","",INDEX(Items!$M$5:$M$39,MATCH(B17,Items!$A$5:$A$39,0)))</f>
        <v/>
      </c>
    </row>
    <row r="18">
      <c r="A18" t="n">
        <v>14</v>
      </c>
      <c r="B18">
        <f>IF(COUNT(Items!$N$5:$N$39)&lt;A18,"",INDEX(Items!$A$5:$A$39,MATCH(SMALL(Items!$N$5:$N$39,A18),Items!$N$5:$N$39,0)))</f>
        <v/>
      </c>
      <c r="C18" s="6">
        <f>IF(B18="","",INDEX(Items!$I$5:$I$39,MATCH(B18,Items!$A$5:$A$39,0)))</f>
        <v/>
      </c>
      <c r="D18">
        <f>IF(B18="","",INDEX(Items!$B$5:$B$39,MATCH(B18,Items!$A$5:$A$39,0)))</f>
        <v/>
      </c>
      <c r="E18">
        <f>IF(B18="","",INDEX(Items!$E$5:$E$39,MATCH(B18,Items!$A$5:$A$39,0)))</f>
        <v/>
      </c>
      <c r="F18">
        <f>IF(B18="","",INDEX(Items!$M$5:$M$39,MATCH(B18,Items!$A$5:$A$39,0)))</f>
        <v/>
      </c>
    </row>
    <row r="19">
      <c r="A19" t="n">
        <v>15</v>
      </c>
      <c r="B19">
        <f>IF(COUNT(Items!$N$5:$N$39)&lt;A19,"",INDEX(Items!$A$5:$A$39,MATCH(SMALL(Items!$N$5:$N$39,A19),Items!$N$5:$N$39,0)))</f>
        <v/>
      </c>
      <c r="C19" s="6">
        <f>IF(B19="","",INDEX(Items!$I$5:$I$39,MATCH(B19,Items!$A$5:$A$39,0)))</f>
        <v/>
      </c>
      <c r="D19">
        <f>IF(B19="","",INDEX(Items!$B$5:$B$39,MATCH(B19,Items!$A$5:$A$39,0)))</f>
        <v/>
      </c>
      <c r="E19">
        <f>IF(B19="","",INDEX(Items!$E$5:$E$39,MATCH(B19,Items!$A$5:$A$39,0)))</f>
        <v/>
      </c>
      <c r="F19">
        <f>IF(B19="","",INDEX(Items!$M$5:$M$39,MATCH(B19,Items!$A$5:$A$39,0)))</f>
        <v/>
      </c>
    </row>
    <row r="20">
      <c r="A20" t="n">
        <v>16</v>
      </c>
      <c r="B20">
        <f>IF(COUNT(Items!$N$5:$N$39)&lt;A20,"",INDEX(Items!$A$5:$A$39,MATCH(SMALL(Items!$N$5:$N$39,A20),Items!$N$5:$N$39,0)))</f>
        <v/>
      </c>
      <c r="C20" s="6">
        <f>IF(B20="","",INDEX(Items!$I$5:$I$39,MATCH(B20,Items!$A$5:$A$39,0)))</f>
        <v/>
      </c>
      <c r="D20">
        <f>IF(B20="","",INDEX(Items!$B$5:$B$39,MATCH(B20,Items!$A$5:$A$39,0)))</f>
        <v/>
      </c>
      <c r="E20">
        <f>IF(B20="","",INDEX(Items!$E$5:$E$39,MATCH(B20,Items!$A$5:$A$39,0)))</f>
        <v/>
      </c>
      <c r="F20">
        <f>IF(B20="","",INDEX(Items!$M$5:$M$39,MATCH(B20,Items!$A$5:$A$39,0)))</f>
        <v/>
      </c>
    </row>
    <row r="21">
      <c r="A21" t="n">
        <v>17</v>
      </c>
      <c r="B21">
        <f>IF(COUNT(Items!$N$5:$N$39)&lt;A21,"",INDEX(Items!$A$5:$A$39,MATCH(SMALL(Items!$N$5:$N$39,A21),Items!$N$5:$N$39,0)))</f>
        <v/>
      </c>
      <c r="C21" s="6">
        <f>IF(B21="","",INDEX(Items!$I$5:$I$39,MATCH(B21,Items!$A$5:$A$39,0)))</f>
        <v/>
      </c>
      <c r="D21">
        <f>IF(B21="","",INDEX(Items!$B$5:$B$39,MATCH(B21,Items!$A$5:$A$39,0)))</f>
        <v/>
      </c>
      <c r="E21">
        <f>IF(B21="","",INDEX(Items!$E$5:$E$39,MATCH(B21,Items!$A$5:$A$39,0)))</f>
        <v/>
      </c>
      <c r="F21">
        <f>IF(B21="","",INDEX(Items!$M$5:$M$39,MATCH(B21,Items!$A$5:$A$39,0)))</f>
        <v/>
      </c>
    </row>
    <row r="22">
      <c r="A22" t="n">
        <v>18</v>
      </c>
      <c r="B22">
        <f>IF(COUNT(Items!$N$5:$N$39)&lt;A22,"",INDEX(Items!$A$5:$A$39,MATCH(SMALL(Items!$N$5:$N$39,A22),Items!$N$5:$N$39,0)))</f>
        <v/>
      </c>
      <c r="C22" s="6">
        <f>IF(B22="","",INDEX(Items!$I$5:$I$39,MATCH(B22,Items!$A$5:$A$39,0)))</f>
        <v/>
      </c>
      <c r="D22">
        <f>IF(B22="","",INDEX(Items!$B$5:$B$39,MATCH(B22,Items!$A$5:$A$39,0)))</f>
        <v/>
      </c>
      <c r="E22">
        <f>IF(B22="","",INDEX(Items!$E$5:$E$39,MATCH(B22,Items!$A$5:$A$39,0)))</f>
        <v/>
      </c>
      <c r="F22">
        <f>IF(B22="","",INDEX(Items!$M$5:$M$39,MATCH(B22,Items!$A$5:$A$39,0)))</f>
        <v/>
      </c>
    </row>
    <row r="23">
      <c r="A23" t="n">
        <v>19</v>
      </c>
      <c r="B23">
        <f>IF(COUNT(Items!$N$5:$N$39)&lt;A23,"",INDEX(Items!$A$5:$A$39,MATCH(SMALL(Items!$N$5:$N$39,A23),Items!$N$5:$N$39,0)))</f>
        <v/>
      </c>
      <c r="C23" s="6">
        <f>IF(B23="","",INDEX(Items!$I$5:$I$39,MATCH(B23,Items!$A$5:$A$39,0)))</f>
        <v/>
      </c>
      <c r="D23">
        <f>IF(B23="","",INDEX(Items!$B$5:$B$39,MATCH(B23,Items!$A$5:$A$39,0)))</f>
        <v/>
      </c>
      <c r="E23">
        <f>IF(B23="","",INDEX(Items!$E$5:$E$39,MATCH(B23,Items!$A$5:$A$39,0)))</f>
        <v/>
      </c>
      <c r="F23">
        <f>IF(B23="","",INDEX(Items!$M$5:$M$39,MATCH(B23,Items!$A$5:$A$39,0)))</f>
        <v/>
      </c>
    </row>
    <row r="24">
      <c r="A24" t="n">
        <v>20</v>
      </c>
      <c r="B24">
        <f>IF(COUNT(Items!$N$5:$N$39)&lt;A24,"",INDEX(Items!$A$5:$A$39,MATCH(SMALL(Items!$N$5:$N$39,A24),Items!$N$5:$N$39,0)))</f>
        <v/>
      </c>
      <c r="C24" s="6">
        <f>IF(B24="","",INDEX(Items!$I$5:$I$39,MATCH(B24,Items!$A$5:$A$39,0)))</f>
        <v/>
      </c>
      <c r="D24">
        <f>IF(B24="","",INDEX(Items!$B$5:$B$39,MATCH(B24,Items!$A$5:$A$39,0)))</f>
        <v/>
      </c>
      <c r="E24">
        <f>IF(B24="","",INDEX(Items!$E$5:$E$39,MATCH(B24,Items!$A$5:$A$39,0)))</f>
        <v/>
      </c>
      <c r="F24">
        <f>IF(B24="","",INDEX(Items!$M$5:$M$39,MATCH(B24,Items!$A$5:$A$39,0)))</f>
        <v/>
      </c>
    </row>
    <row r="25">
      <c r="A25" t="n">
        <v>21</v>
      </c>
      <c r="B25">
        <f>IF(COUNT(Items!$N$5:$N$39)&lt;A25,"",INDEX(Items!$A$5:$A$39,MATCH(SMALL(Items!$N$5:$N$39,A25),Items!$N$5:$N$39,0)))</f>
        <v/>
      </c>
      <c r="C25" s="6">
        <f>IF(B25="","",INDEX(Items!$I$5:$I$39,MATCH(B25,Items!$A$5:$A$39,0)))</f>
        <v/>
      </c>
      <c r="D25">
        <f>IF(B25="","",INDEX(Items!$B$5:$B$39,MATCH(B25,Items!$A$5:$A$39,0)))</f>
        <v/>
      </c>
      <c r="E25">
        <f>IF(B25="","",INDEX(Items!$E$5:$E$39,MATCH(B25,Items!$A$5:$A$39,0)))</f>
        <v/>
      </c>
      <c r="F25">
        <f>IF(B25="","",INDEX(Items!$M$5:$M$39,MATCH(B25,Items!$A$5:$A$39,0)))</f>
        <v/>
      </c>
    </row>
    <row r="26">
      <c r="A26" t="n">
        <v>22</v>
      </c>
      <c r="B26">
        <f>IF(COUNT(Items!$N$5:$N$39)&lt;A26,"",INDEX(Items!$A$5:$A$39,MATCH(SMALL(Items!$N$5:$N$39,A26),Items!$N$5:$N$39,0)))</f>
        <v/>
      </c>
      <c r="C26" s="6">
        <f>IF(B26="","",INDEX(Items!$I$5:$I$39,MATCH(B26,Items!$A$5:$A$39,0)))</f>
        <v/>
      </c>
      <c r="D26">
        <f>IF(B26="","",INDEX(Items!$B$5:$B$39,MATCH(B26,Items!$A$5:$A$39,0)))</f>
        <v/>
      </c>
      <c r="E26">
        <f>IF(B26="","",INDEX(Items!$E$5:$E$39,MATCH(B26,Items!$A$5:$A$39,0)))</f>
        <v/>
      </c>
      <c r="F26">
        <f>IF(B26="","",INDEX(Items!$M$5:$M$39,MATCH(B26,Items!$A$5:$A$39,0)))</f>
        <v/>
      </c>
    </row>
    <row r="27">
      <c r="A27" t="n">
        <v>23</v>
      </c>
      <c r="B27">
        <f>IF(COUNT(Items!$N$5:$N$39)&lt;A27,"",INDEX(Items!$A$5:$A$39,MATCH(SMALL(Items!$N$5:$N$39,A27),Items!$N$5:$N$39,0)))</f>
        <v/>
      </c>
      <c r="C27" s="6">
        <f>IF(B27="","",INDEX(Items!$I$5:$I$39,MATCH(B27,Items!$A$5:$A$39,0)))</f>
        <v/>
      </c>
      <c r="D27">
        <f>IF(B27="","",INDEX(Items!$B$5:$B$39,MATCH(B27,Items!$A$5:$A$39,0)))</f>
        <v/>
      </c>
      <c r="E27">
        <f>IF(B27="","",INDEX(Items!$E$5:$E$39,MATCH(B27,Items!$A$5:$A$39,0)))</f>
        <v/>
      </c>
      <c r="F27">
        <f>IF(B27="","",INDEX(Items!$M$5:$M$39,MATCH(B27,Items!$A$5:$A$39,0)))</f>
        <v/>
      </c>
    </row>
    <row r="28">
      <c r="A28" t="n">
        <v>24</v>
      </c>
      <c r="B28">
        <f>IF(COUNT(Items!$N$5:$N$39)&lt;A28,"",INDEX(Items!$A$5:$A$39,MATCH(SMALL(Items!$N$5:$N$39,A28),Items!$N$5:$N$39,0)))</f>
        <v/>
      </c>
      <c r="C28" s="6">
        <f>IF(B28="","",INDEX(Items!$I$5:$I$39,MATCH(B28,Items!$A$5:$A$39,0)))</f>
        <v/>
      </c>
      <c r="D28">
        <f>IF(B28="","",INDEX(Items!$B$5:$B$39,MATCH(B28,Items!$A$5:$A$39,0)))</f>
        <v/>
      </c>
      <c r="E28">
        <f>IF(B28="","",INDEX(Items!$E$5:$E$39,MATCH(B28,Items!$A$5:$A$39,0)))</f>
        <v/>
      </c>
      <c r="F28">
        <f>IF(B28="","",INDEX(Items!$M$5:$M$39,MATCH(B28,Items!$A$5:$A$39,0)))</f>
        <v/>
      </c>
    </row>
    <row r="29">
      <c r="A29" t="n">
        <v>25</v>
      </c>
      <c r="B29">
        <f>IF(COUNT(Items!$N$5:$N$39)&lt;A29,"",INDEX(Items!$A$5:$A$39,MATCH(SMALL(Items!$N$5:$N$39,A29),Items!$N$5:$N$39,0)))</f>
        <v/>
      </c>
      <c r="C29" s="6">
        <f>IF(B29="","",INDEX(Items!$I$5:$I$39,MATCH(B29,Items!$A$5:$A$39,0)))</f>
        <v/>
      </c>
      <c r="D29">
        <f>IF(B29="","",INDEX(Items!$B$5:$B$39,MATCH(B29,Items!$A$5:$A$39,0)))</f>
        <v/>
      </c>
      <c r="E29">
        <f>IF(B29="","",INDEX(Items!$E$5:$E$39,MATCH(B29,Items!$A$5:$A$39,0)))</f>
        <v/>
      </c>
      <c r="F29">
        <f>IF(B29="","",INDEX(Items!$M$5:$M$39,MATCH(B29,Items!$A$5:$A$39,0)))</f>
        <v/>
      </c>
    </row>
    <row r="30">
      <c r="A30" t="n">
        <v>26</v>
      </c>
      <c r="B30">
        <f>IF(COUNT(Items!$N$5:$N$39)&lt;A30,"",INDEX(Items!$A$5:$A$39,MATCH(SMALL(Items!$N$5:$N$39,A30),Items!$N$5:$N$39,0)))</f>
        <v/>
      </c>
      <c r="C30" s="6">
        <f>IF(B30="","",INDEX(Items!$I$5:$I$39,MATCH(B30,Items!$A$5:$A$39,0)))</f>
        <v/>
      </c>
      <c r="D30">
        <f>IF(B30="","",INDEX(Items!$B$5:$B$39,MATCH(B30,Items!$A$5:$A$39,0)))</f>
        <v/>
      </c>
      <c r="E30">
        <f>IF(B30="","",INDEX(Items!$E$5:$E$39,MATCH(B30,Items!$A$5:$A$39,0)))</f>
        <v/>
      </c>
      <c r="F30">
        <f>IF(B30="","",INDEX(Items!$M$5:$M$39,MATCH(B30,Items!$A$5:$A$39,0)))</f>
        <v/>
      </c>
    </row>
    <row r="31">
      <c r="A31" t="n">
        <v>27</v>
      </c>
      <c r="B31">
        <f>IF(COUNT(Items!$N$5:$N$39)&lt;A31,"",INDEX(Items!$A$5:$A$39,MATCH(SMALL(Items!$N$5:$N$39,A31),Items!$N$5:$N$39,0)))</f>
        <v/>
      </c>
      <c r="C31" s="6">
        <f>IF(B31="","",INDEX(Items!$I$5:$I$39,MATCH(B31,Items!$A$5:$A$39,0)))</f>
        <v/>
      </c>
      <c r="D31">
        <f>IF(B31="","",INDEX(Items!$B$5:$B$39,MATCH(B31,Items!$A$5:$A$39,0)))</f>
        <v/>
      </c>
      <c r="E31">
        <f>IF(B31="","",INDEX(Items!$E$5:$E$39,MATCH(B31,Items!$A$5:$A$39,0)))</f>
        <v/>
      </c>
      <c r="F31">
        <f>IF(B31="","",INDEX(Items!$M$5:$M$39,MATCH(B31,Items!$A$5:$A$39,0)))</f>
        <v/>
      </c>
    </row>
    <row r="32">
      <c r="A32" t="n">
        <v>28</v>
      </c>
      <c r="B32">
        <f>IF(COUNT(Items!$N$5:$N$39)&lt;A32,"",INDEX(Items!$A$5:$A$39,MATCH(SMALL(Items!$N$5:$N$39,A32),Items!$N$5:$N$39,0)))</f>
        <v/>
      </c>
      <c r="C32" s="6">
        <f>IF(B32="","",INDEX(Items!$I$5:$I$39,MATCH(B32,Items!$A$5:$A$39,0)))</f>
        <v/>
      </c>
      <c r="D32">
        <f>IF(B32="","",INDEX(Items!$B$5:$B$39,MATCH(B32,Items!$A$5:$A$39,0)))</f>
        <v/>
      </c>
      <c r="E32">
        <f>IF(B32="","",INDEX(Items!$E$5:$E$39,MATCH(B32,Items!$A$5:$A$39,0)))</f>
        <v/>
      </c>
      <c r="F32">
        <f>IF(B32="","",INDEX(Items!$M$5:$M$39,MATCH(B32,Items!$A$5:$A$39,0)))</f>
        <v/>
      </c>
    </row>
    <row r="33">
      <c r="A33" t="n">
        <v>29</v>
      </c>
      <c r="B33">
        <f>IF(COUNT(Items!$N$5:$N$39)&lt;A33,"",INDEX(Items!$A$5:$A$39,MATCH(SMALL(Items!$N$5:$N$39,A33),Items!$N$5:$N$39,0)))</f>
        <v/>
      </c>
      <c r="C33" s="6">
        <f>IF(B33="","",INDEX(Items!$I$5:$I$39,MATCH(B33,Items!$A$5:$A$39,0)))</f>
        <v/>
      </c>
      <c r="D33">
        <f>IF(B33="","",INDEX(Items!$B$5:$B$39,MATCH(B33,Items!$A$5:$A$39,0)))</f>
        <v/>
      </c>
      <c r="E33">
        <f>IF(B33="","",INDEX(Items!$E$5:$E$39,MATCH(B33,Items!$A$5:$A$39,0)))</f>
        <v/>
      </c>
      <c r="F33">
        <f>IF(B33="","",INDEX(Items!$M$5:$M$39,MATCH(B33,Items!$A$5:$A$39,0)))</f>
        <v/>
      </c>
    </row>
    <row r="34">
      <c r="A34" t="n">
        <v>30</v>
      </c>
      <c r="B34">
        <f>IF(COUNT(Items!$N$5:$N$39)&lt;A34,"",INDEX(Items!$A$5:$A$39,MATCH(SMALL(Items!$N$5:$N$39,A34),Items!$N$5:$N$39,0)))</f>
        <v/>
      </c>
      <c r="C34" s="6">
        <f>IF(B34="","",INDEX(Items!$I$5:$I$39,MATCH(B34,Items!$A$5:$A$39,0)))</f>
        <v/>
      </c>
      <c r="D34">
        <f>IF(B34="","",INDEX(Items!$B$5:$B$39,MATCH(B34,Items!$A$5:$A$39,0)))</f>
        <v/>
      </c>
      <c r="E34">
        <f>IF(B34="","",INDEX(Items!$E$5:$E$39,MATCH(B34,Items!$A$5:$A$39,0)))</f>
        <v/>
      </c>
      <c r="F34">
        <f>IF(B34="","",INDEX(Items!$M$5:$M$39,MATCH(B34,Items!$A$5:$A$39,0)))</f>
        <v/>
      </c>
    </row>
    <row r="35">
      <c r="A35" t="n">
        <v>31</v>
      </c>
      <c r="B35">
        <f>IF(COUNT(Items!$N$5:$N$39)&lt;A35,"",INDEX(Items!$A$5:$A$39,MATCH(SMALL(Items!$N$5:$N$39,A35),Items!$N$5:$N$39,0)))</f>
        <v/>
      </c>
      <c r="C35" s="6">
        <f>IF(B35="","",INDEX(Items!$I$5:$I$39,MATCH(B35,Items!$A$5:$A$39,0)))</f>
        <v/>
      </c>
      <c r="D35">
        <f>IF(B35="","",INDEX(Items!$B$5:$B$39,MATCH(B35,Items!$A$5:$A$39,0)))</f>
        <v/>
      </c>
      <c r="E35">
        <f>IF(B35="","",INDEX(Items!$E$5:$E$39,MATCH(B35,Items!$A$5:$A$39,0)))</f>
        <v/>
      </c>
      <c r="F35">
        <f>IF(B35="","",INDEX(Items!$M$5:$M$39,MATCH(B35,Items!$A$5:$A$39,0)))</f>
        <v/>
      </c>
    </row>
    <row r="36">
      <c r="A36" t="n">
        <v>32</v>
      </c>
      <c r="B36">
        <f>IF(COUNT(Items!$N$5:$N$39)&lt;A36,"",INDEX(Items!$A$5:$A$39,MATCH(SMALL(Items!$N$5:$N$39,A36),Items!$N$5:$N$39,0)))</f>
        <v/>
      </c>
      <c r="C36" s="6">
        <f>IF(B36="","",INDEX(Items!$I$5:$I$39,MATCH(B36,Items!$A$5:$A$39,0)))</f>
        <v/>
      </c>
      <c r="D36">
        <f>IF(B36="","",INDEX(Items!$B$5:$B$39,MATCH(B36,Items!$A$5:$A$39,0)))</f>
        <v/>
      </c>
      <c r="E36">
        <f>IF(B36="","",INDEX(Items!$E$5:$E$39,MATCH(B36,Items!$A$5:$A$39,0)))</f>
        <v/>
      </c>
      <c r="F36">
        <f>IF(B36="","",INDEX(Items!$M$5:$M$39,MATCH(B36,Items!$A$5:$A$39,0)))</f>
        <v/>
      </c>
    </row>
    <row r="37">
      <c r="A37" t="n">
        <v>33</v>
      </c>
      <c r="B37">
        <f>IF(COUNT(Items!$N$5:$N$39)&lt;A37,"",INDEX(Items!$A$5:$A$39,MATCH(SMALL(Items!$N$5:$N$39,A37),Items!$N$5:$N$39,0)))</f>
        <v/>
      </c>
      <c r="C37" s="6">
        <f>IF(B37="","",INDEX(Items!$I$5:$I$39,MATCH(B37,Items!$A$5:$A$39,0)))</f>
        <v/>
      </c>
      <c r="D37">
        <f>IF(B37="","",INDEX(Items!$B$5:$B$39,MATCH(B37,Items!$A$5:$A$39,0)))</f>
        <v/>
      </c>
      <c r="E37">
        <f>IF(B37="","",INDEX(Items!$E$5:$E$39,MATCH(B37,Items!$A$5:$A$39,0)))</f>
        <v/>
      </c>
      <c r="F37">
        <f>IF(B37="","",INDEX(Items!$M$5:$M$39,MATCH(B37,Items!$A$5:$A$39,0)))</f>
        <v/>
      </c>
    </row>
    <row r="38">
      <c r="A38" t="n">
        <v>34</v>
      </c>
      <c r="B38">
        <f>IF(COUNT(Items!$N$5:$N$39)&lt;A38,"",INDEX(Items!$A$5:$A$39,MATCH(SMALL(Items!$N$5:$N$39,A38),Items!$N$5:$N$39,0)))</f>
        <v/>
      </c>
      <c r="C38" s="6">
        <f>IF(B38="","",INDEX(Items!$I$5:$I$39,MATCH(B38,Items!$A$5:$A$39,0)))</f>
        <v/>
      </c>
      <c r="D38">
        <f>IF(B38="","",INDEX(Items!$B$5:$B$39,MATCH(B38,Items!$A$5:$A$39,0)))</f>
        <v/>
      </c>
      <c r="E38">
        <f>IF(B38="","",INDEX(Items!$E$5:$E$39,MATCH(B38,Items!$A$5:$A$39,0)))</f>
        <v/>
      </c>
      <c r="F38">
        <f>IF(B38="","",INDEX(Items!$M$5:$M$39,MATCH(B38,Items!$A$5:$A$39,0)))</f>
        <v/>
      </c>
    </row>
    <row r="39">
      <c r="A39" t="n">
        <v>35</v>
      </c>
      <c r="B39">
        <f>IF(COUNT(Items!$N$5:$N$39)&lt;A39,"",INDEX(Items!$A$5:$A$39,MATCH(SMALL(Items!$N$5:$N$39,A39),Items!$N$5:$N$39,0)))</f>
        <v/>
      </c>
      <c r="C39" s="6">
        <f>IF(B39="","",INDEX(Items!$I$5:$I$39,MATCH(B39,Items!$A$5:$A$39,0)))</f>
        <v/>
      </c>
      <c r="D39">
        <f>IF(B39="","",INDEX(Items!$B$5:$B$39,MATCH(B39,Items!$A$5:$A$39,0)))</f>
        <v/>
      </c>
      <c r="E39">
        <f>IF(B39="","",INDEX(Items!$E$5:$E$39,MATCH(B39,Items!$A$5:$A$39,0)))</f>
        <v/>
      </c>
      <c r="F39">
        <f>IF(B39="","",INDEX(Items!$M$5:$M$39,MATCH(B39,Items!$A$5:$A$39,0)))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3" t="inlineStr">
        <is>
          <t>The room's rate by tag and by part</t>
        </is>
      </c>
    </row>
    <row r="4">
      <c r="A4" s="4" t="inlineStr">
        <is>
          <t>Tag or part</t>
        </is>
      </c>
      <c r="B4" s="4" t="inlineStr">
        <is>
          <t>Name</t>
        </is>
      </c>
      <c r="C4" s="4" t="inlineStr">
        <is>
          <t>Items</t>
        </is>
      </c>
      <c r="D4" s="4" t="inlineStr">
        <is>
          <t>Right rate</t>
        </is>
      </c>
    </row>
    <row r="5">
      <c r="A5" t="inlineStr">
        <is>
          <t>[S]</t>
        </is>
      </c>
      <c r="B5" t="inlineStr">
        <is>
          <t>tag</t>
        </is>
      </c>
      <c r="C5">
        <f>COUNTIF(Items!$E$5:$E$39,A5)</f>
        <v/>
      </c>
      <c r="D5" s="6">
        <f>IF(SUMPRODUCT((Items!$E$5:$E$39=A5)*Items!$H$5:$H$39)=0,"",SUMPRODUCT((Items!$E$5:$E$39=A5)*Items!$G$5:$G$39)/SUMPRODUCT((Items!$E$5:$E$39=A5)*Items!$H$5:$H$39))</f>
        <v/>
      </c>
    </row>
    <row r="6">
      <c r="A6" t="inlineStr">
        <is>
          <t>[F]</t>
        </is>
      </c>
      <c r="B6" t="inlineStr">
        <is>
          <t>tag</t>
        </is>
      </c>
      <c r="C6">
        <f>COUNTIF(Items!$E$5:$E$39,A6)</f>
        <v/>
      </c>
      <c r="D6" s="6">
        <f>IF(SUMPRODUCT((Items!$E$5:$E$39=A6)*Items!$H$5:$H$39)=0,"",SUMPRODUCT((Items!$E$5:$E$39=A6)*Items!$G$5:$G$39)/SUMPRODUCT((Items!$E$5:$E$39=A6)*Items!$H$5:$H$39))</f>
        <v/>
      </c>
    </row>
    <row r="7">
      <c r="A7" t="inlineStr">
        <is>
          <t>[SV]</t>
        </is>
      </c>
      <c r="B7" t="inlineStr">
        <is>
          <t>tag</t>
        </is>
      </c>
      <c r="C7">
        <f>COUNTIF(Items!$E$5:$E$39,A7)</f>
        <v/>
      </c>
      <c r="D7" s="6">
        <f>IF(SUMPRODUCT((Items!$E$5:$E$39=A7)*Items!$H$5:$H$39)=0,"",SUMPRODUCT((Items!$E$5:$E$39=A7)*Items!$G$5:$G$39)/SUMPRODUCT((Items!$E$5:$E$39=A7)*Items!$H$5:$H$39))</f>
        <v/>
      </c>
    </row>
    <row r="8">
      <c r="A8" t="inlineStr">
        <is>
          <t>[D]</t>
        </is>
      </c>
      <c r="B8" t="inlineStr">
        <is>
          <t>tag</t>
        </is>
      </c>
      <c r="C8">
        <f>COUNTIF(Items!$E$5:$E$39,A8)</f>
        <v/>
      </c>
      <c r="D8" s="6">
        <f>IF(SUMPRODUCT((Items!$E$5:$E$39=A8)*Items!$H$5:$H$39)=0,"",SUMPRODUCT((Items!$E$5:$E$39=A8)*Items!$G$5:$G$39)/SUMPRODUCT((Items!$E$5:$E$39=A8)*Items!$H$5:$H$39))</f>
        <v/>
      </c>
    </row>
    <row r="9">
      <c r="A9" t="n">
        <v>1</v>
      </c>
      <c r="B9" t="inlineStr">
        <is>
          <t>Part 1. Where did Kalpa's revenue go between the first quarter and the second?</t>
        </is>
      </c>
      <c r="C9">
        <f>COUNTIF(Items!$B$5:$B$39,A9)</f>
        <v/>
      </c>
      <c r="D9" s="6">
        <f>IF(SUMPRODUCT((Items!$B$5:$B$39=A9)*Items!$H$5:$H$39)=0,"",SUMPRODUCT((Items!$B$5:$B$39=A9)*Items!$G$5:$G$39)/SUMPRODUCT((Items!$B$5:$B$39=A9)*Items!$H$5:$H$39))</f>
        <v/>
      </c>
    </row>
    <row r="10">
      <c r="A10" t="n">
        <v>2</v>
      </c>
      <c r="B10" t="inlineStr">
        <is>
          <t>Part 2. Did Kalpa book Rs 2.1 crore in the first quarter, or Rs 1.9 crore?</t>
        </is>
      </c>
      <c r="C10">
        <f>COUNTIF(Items!$B$5:$B$39,A10)</f>
        <v/>
      </c>
      <c r="D10" s="6">
        <f>IF(SUMPRODUCT((Items!$B$5:$B$39=A10)*Items!$H$5:$H$39)=0,"",SUMPRODUCT((Items!$B$5:$B$39=A10)*Items!$G$5:$G$39)/SUMPRODUCT((Items!$B$5:$B$39=A10)*Items!$H$5:$H$39))</f>
        <v/>
      </c>
    </row>
    <row r="11">
      <c r="A11" t="n">
        <v>3</v>
      </c>
      <c r="B11" t="inlineStr">
        <is>
          <t>Part 3. Is the Retail-Plus fall more than chance, and what should Meera's note say?</t>
        </is>
      </c>
      <c r="C11">
        <f>COUNTIF(Items!$B$5:$B$39,A11)</f>
        <v/>
      </c>
      <c r="D11" s="6">
        <f>IF(SUMPRODUCT((Items!$B$5:$B$39=A11)*Items!$H$5:$H$39)=0,"",SUMPRODUCT((Items!$B$5:$B$39=A11)*Items!$G$5:$G$39)/SUMPRODUCT((Items!$B$5:$B$39=A11)*Items!$H$5:$H$39))</f>
        <v/>
      </c>
    </row>
    <row r="12">
      <c r="A12" t="n">
        <v>4</v>
      </c>
      <c r="B12" t="inlineStr">
        <is>
          <t>Part 4. Which check would have caught the misleading number in five public cases?</t>
        </is>
      </c>
      <c r="C12">
        <f>COUNTIF(Items!$B$5:$B$39,A12)</f>
        <v/>
      </c>
      <c r="D12" s="6">
        <f>IF(SUMPRODUCT((Items!$B$5:$B$39=A12)*Items!$H$5:$H$39)=0,"",SUMPRODUCT((Items!$B$5:$B$39=A12)*Items!$G$5:$G$39)/SUMPRODUCT((Items!$B$5:$B$39=A12)*Items!$H$5:$H$39))</f>
        <v/>
      </c>
    </row>
    <row r="13">
      <c r="A13" t="n">
        <v>5</v>
      </c>
      <c r="B13" t="inlineStr">
        <is>
          <t>Part 5. Did a delivery company's offer raise spending, and are its AI agent's numbers right?</t>
        </is>
      </c>
      <c r="C13">
        <f>COUNTIF(Items!$B$5:$B$39,A13)</f>
        <v/>
      </c>
      <c r="D13" s="6">
        <f>IF(SUMPRODUCT((Items!$B$5:$B$39=A13)*Items!$H$5:$H$39)=0,"",SUMPRODUCT((Items!$B$5:$B$39=A13)*Items!$G$5:$G$39)/SUMPRODUCT((Items!$B$5:$B$39=A13)*Items!$H$5:$H$39))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Each seat's rate by tag, for Monday's remediation read</t>
        </is>
      </c>
    </row>
    <row r="4">
      <c r="A4" s="4" t="inlineStr">
        <is>
          <t>Seat</t>
        </is>
      </c>
      <c r="B4" s="4" t="inlineStr">
        <is>
          <t>[S]</t>
        </is>
      </c>
      <c r="C4" s="4" t="inlineStr">
        <is>
          <t>[F]</t>
        </is>
      </c>
      <c r="D4" s="4" t="inlineStr">
        <is>
          <t>[SV]</t>
        </is>
      </c>
      <c r="E4" s="4" t="inlineStr">
        <is>
          <t>[D]</t>
        </is>
      </c>
    </row>
    <row r="5">
      <c r="A5" t="n">
        <v>1</v>
      </c>
      <c r="B5" s="6">
        <f>IF(SUMPRODUCT((Marks!$B$3:$AJ$3=B$4)*ISNUMBER(Marks!$B$5:$AJ$5))=0,"",SUMPRODUCT((Marks!$B$3:$AJ$3=B$4)*(Marks!$B$5:$AJ$5=1))/SUMPRODUCT((Marks!$B$3:$AJ$3=B$4)*ISNUMBER(Marks!$B$5:$AJ$5)))</f>
        <v/>
      </c>
      <c r="C5" s="6">
        <f>IF(SUMPRODUCT((Marks!$B$3:$AJ$3=C$4)*ISNUMBER(Marks!$B$5:$AJ$5))=0,"",SUMPRODUCT((Marks!$B$3:$AJ$3=C$4)*(Marks!$B$5:$AJ$5=1))/SUMPRODUCT((Marks!$B$3:$AJ$3=C$4)*ISNUMBER(Marks!$B$5:$AJ$5)))</f>
        <v/>
      </c>
      <c r="D5" s="6">
        <f>IF(SUMPRODUCT((Marks!$B$3:$AJ$3=D$4)*ISNUMBER(Marks!$B$5:$AJ$5))=0,"",SUMPRODUCT((Marks!$B$3:$AJ$3=D$4)*(Marks!$B$5:$AJ$5=1))/SUMPRODUCT((Marks!$B$3:$AJ$3=D$4)*ISNUMBER(Marks!$B$5:$AJ$5)))</f>
        <v/>
      </c>
      <c r="E5" s="6">
        <f>IF(SUMPRODUCT((Marks!$B$3:$AJ$3=E$4)*ISNUMBER(Marks!$B$5:$AJ$5))=0,"",SUMPRODUCT((Marks!$B$3:$AJ$3=E$4)*(Marks!$B$5:$AJ$5=1))/SUMPRODUCT((Marks!$B$3:$AJ$3=E$4)*ISNUMBER(Marks!$B$5:$AJ$5)))</f>
        <v/>
      </c>
    </row>
    <row r="6">
      <c r="A6" t="n">
        <v>2</v>
      </c>
      <c r="B6" s="6">
        <f>IF(SUMPRODUCT((Marks!$B$3:$AJ$3=B$4)*ISNUMBER(Marks!$B$6:$AJ$6))=0,"",SUMPRODUCT((Marks!$B$3:$AJ$3=B$4)*(Marks!$B$6:$AJ$6=1))/SUMPRODUCT((Marks!$B$3:$AJ$3=B$4)*ISNUMBER(Marks!$B$6:$AJ$6)))</f>
        <v/>
      </c>
      <c r="C6" s="6">
        <f>IF(SUMPRODUCT((Marks!$B$3:$AJ$3=C$4)*ISNUMBER(Marks!$B$6:$AJ$6))=0,"",SUMPRODUCT((Marks!$B$3:$AJ$3=C$4)*(Marks!$B$6:$AJ$6=1))/SUMPRODUCT((Marks!$B$3:$AJ$3=C$4)*ISNUMBER(Marks!$B$6:$AJ$6)))</f>
        <v/>
      </c>
      <c r="D6" s="6">
        <f>IF(SUMPRODUCT((Marks!$B$3:$AJ$3=D$4)*ISNUMBER(Marks!$B$6:$AJ$6))=0,"",SUMPRODUCT((Marks!$B$3:$AJ$3=D$4)*(Marks!$B$6:$AJ$6=1))/SUMPRODUCT((Marks!$B$3:$AJ$3=D$4)*ISNUMBER(Marks!$B$6:$AJ$6)))</f>
        <v/>
      </c>
      <c r="E6" s="6">
        <f>IF(SUMPRODUCT((Marks!$B$3:$AJ$3=E$4)*ISNUMBER(Marks!$B$6:$AJ$6))=0,"",SUMPRODUCT((Marks!$B$3:$AJ$3=E$4)*(Marks!$B$6:$AJ$6=1))/SUMPRODUCT((Marks!$B$3:$AJ$3=E$4)*ISNUMBER(Marks!$B$6:$AJ$6)))</f>
        <v/>
      </c>
    </row>
    <row r="7">
      <c r="A7" t="n">
        <v>3</v>
      </c>
      <c r="B7" s="6">
        <f>IF(SUMPRODUCT((Marks!$B$3:$AJ$3=B$4)*ISNUMBER(Marks!$B$7:$AJ$7))=0,"",SUMPRODUCT((Marks!$B$3:$AJ$3=B$4)*(Marks!$B$7:$AJ$7=1))/SUMPRODUCT((Marks!$B$3:$AJ$3=B$4)*ISNUMBER(Marks!$B$7:$AJ$7)))</f>
        <v/>
      </c>
      <c r="C7" s="6">
        <f>IF(SUMPRODUCT((Marks!$B$3:$AJ$3=C$4)*ISNUMBER(Marks!$B$7:$AJ$7))=0,"",SUMPRODUCT((Marks!$B$3:$AJ$3=C$4)*(Marks!$B$7:$AJ$7=1))/SUMPRODUCT((Marks!$B$3:$AJ$3=C$4)*ISNUMBER(Marks!$B$7:$AJ$7)))</f>
        <v/>
      </c>
      <c r="D7" s="6">
        <f>IF(SUMPRODUCT((Marks!$B$3:$AJ$3=D$4)*ISNUMBER(Marks!$B$7:$AJ$7))=0,"",SUMPRODUCT((Marks!$B$3:$AJ$3=D$4)*(Marks!$B$7:$AJ$7=1))/SUMPRODUCT((Marks!$B$3:$AJ$3=D$4)*ISNUMBER(Marks!$B$7:$AJ$7)))</f>
        <v/>
      </c>
      <c r="E7" s="6">
        <f>IF(SUMPRODUCT((Marks!$B$3:$AJ$3=E$4)*ISNUMBER(Marks!$B$7:$AJ$7))=0,"",SUMPRODUCT((Marks!$B$3:$AJ$3=E$4)*(Marks!$B$7:$AJ$7=1))/SUMPRODUCT((Marks!$B$3:$AJ$3=E$4)*ISNUMBER(Marks!$B$7:$AJ$7)))</f>
        <v/>
      </c>
    </row>
    <row r="8">
      <c r="A8" t="n">
        <v>4</v>
      </c>
      <c r="B8" s="6">
        <f>IF(SUMPRODUCT((Marks!$B$3:$AJ$3=B$4)*ISNUMBER(Marks!$B$8:$AJ$8))=0,"",SUMPRODUCT((Marks!$B$3:$AJ$3=B$4)*(Marks!$B$8:$AJ$8=1))/SUMPRODUCT((Marks!$B$3:$AJ$3=B$4)*ISNUMBER(Marks!$B$8:$AJ$8)))</f>
        <v/>
      </c>
      <c r="C8" s="6">
        <f>IF(SUMPRODUCT((Marks!$B$3:$AJ$3=C$4)*ISNUMBER(Marks!$B$8:$AJ$8))=0,"",SUMPRODUCT((Marks!$B$3:$AJ$3=C$4)*(Marks!$B$8:$AJ$8=1))/SUMPRODUCT((Marks!$B$3:$AJ$3=C$4)*ISNUMBER(Marks!$B$8:$AJ$8)))</f>
        <v/>
      </c>
      <c r="D8" s="6">
        <f>IF(SUMPRODUCT((Marks!$B$3:$AJ$3=D$4)*ISNUMBER(Marks!$B$8:$AJ$8))=0,"",SUMPRODUCT((Marks!$B$3:$AJ$3=D$4)*(Marks!$B$8:$AJ$8=1))/SUMPRODUCT((Marks!$B$3:$AJ$3=D$4)*ISNUMBER(Marks!$B$8:$AJ$8)))</f>
        <v/>
      </c>
      <c r="E8" s="6">
        <f>IF(SUMPRODUCT((Marks!$B$3:$AJ$3=E$4)*ISNUMBER(Marks!$B$8:$AJ$8))=0,"",SUMPRODUCT((Marks!$B$3:$AJ$3=E$4)*(Marks!$B$8:$AJ$8=1))/SUMPRODUCT((Marks!$B$3:$AJ$3=E$4)*ISNUMBER(Marks!$B$8:$AJ$8)))</f>
        <v/>
      </c>
    </row>
    <row r="9">
      <c r="A9" t="n">
        <v>5</v>
      </c>
      <c r="B9" s="6">
        <f>IF(SUMPRODUCT((Marks!$B$3:$AJ$3=B$4)*ISNUMBER(Marks!$B$9:$AJ$9))=0,"",SUMPRODUCT((Marks!$B$3:$AJ$3=B$4)*(Marks!$B$9:$AJ$9=1))/SUMPRODUCT((Marks!$B$3:$AJ$3=B$4)*ISNUMBER(Marks!$B$9:$AJ$9)))</f>
        <v/>
      </c>
      <c r="C9" s="6">
        <f>IF(SUMPRODUCT((Marks!$B$3:$AJ$3=C$4)*ISNUMBER(Marks!$B$9:$AJ$9))=0,"",SUMPRODUCT((Marks!$B$3:$AJ$3=C$4)*(Marks!$B$9:$AJ$9=1))/SUMPRODUCT((Marks!$B$3:$AJ$3=C$4)*ISNUMBER(Marks!$B$9:$AJ$9)))</f>
        <v/>
      </c>
      <c r="D9" s="6">
        <f>IF(SUMPRODUCT((Marks!$B$3:$AJ$3=D$4)*ISNUMBER(Marks!$B$9:$AJ$9))=0,"",SUMPRODUCT((Marks!$B$3:$AJ$3=D$4)*(Marks!$B$9:$AJ$9=1))/SUMPRODUCT((Marks!$B$3:$AJ$3=D$4)*ISNUMBER(Marks!$B$9:$AJ$9)))</f>
        <v/>
      </c>
      <c r="E9" s="6">
        <f>IF(SUMPRODUCT((Marks!$B$3:$AJ$3=E$4)*ISNUMBER(Marks!$B$9:$AJ$9))=0,"",SUMPRODUCT((Marks!$B$3:$AJ$3=E$4)*(Marks!$B$9:$AJ$9=1))/SUMPRODUCT((Marks!$B$3:$AJ$3=E$4)*ISNUMBER(Marks!$B$9:$AJ$9)))</f>
        <v/>
      </c>
    </row>
    <row r="10">
      <c r="A10" t="n">
        <v>6</v>
      </c>
      <c r="B10" s="6">
        <f>IF(SUMPRODUCT((Marks!$B$3:$AJ$3=B$4)*ISNUMBER(Marks!$B$10:$AJ$10))=0,"",SUMPRODUCT((Marks!$B$3:$AJ$3=B$4)*(Marks!$B$10:$AJ$10=1))/SUMPRODUCT((Marks!$B$3:$AJ$3=B$4)*ISNUMBER(Marks!$B$10:$AJ$10)))</f>
        <v/>
      </c>
      <c r="C10" s="6">
        <f>IF(SUMPRODUCT((Marks!$B$3:$AJ$3=C$4)*ISNUMBER(Marks!$B$10:$AJ$10))=0,"",SUMPRODUCT((Marks!$B$3:$AJ$3=C$4)*(Marks!$B$10:$AJ$10=1))/SUMPRODUCT((Marks!$B$3:$AJ$3=C$4)*ISNUMBER(Marks!$B$10:$AJ$10)))</f>
        <v/>
      </c>
      <c r="D10" s="6">
        <f>IF(SUMPRODUCT((Marks!$B$3:$AJ$3=D$4)*ISNUMBER(Marks!$B$10:$AJ$10))=0,"",SUMPRODUCT((Marks!$B$3:$AJ$3=D$4)*(Marks!$B$10:$AJ$10=1))/SUMPRODUCT((Marks!$B$3:$AJ$3=D$4)*ISNUMBER(Marks!$B$10:$AJ$10)))</f>
        <v/>
      </c>
      <c r="E10" s="6">
        <f>IF(SUMPRODUCT((Marks!$B$3:$AJ$3=E$4)*ISNUMBER(Marks!$B$10:$AJ$10))=0,"",SUMPRODUCT((Marks!$B$3:$AJ$3=E$4)*(Marks!$B$10:$AJ$10=1))/SUMPRODUCT((Marks!$B$3:$AJ$3=E$4)*ISNUMBER(Marks!$B$10:$AJ$10)))</f>
        <v/>
      </c>
    </row>
    <row r="11">
      <c r="A11" t="n">
        <v>7</v>
      </c>
      <c r="B11" s="6">
        <f>IF(SUMPRODUCT((Marks!$B$3:$AJ$3=B$4)*ISNUMBER(Marks!$B$11:$AJ$11))=0,"",SUMPRODUCT((Marks!$B$3:$AJ$3=B$4)*(Marks!$B$11:$AJ$11=1))/SUMPRODUCT((Marks!$B$3:$AJ$3=B$4)*ISNUMBER(Marks!$B$11:$AJ$11)))</f>
        <v/>
      </c>
      <c r="C11" s="6">
        <f>IF(SUMPRODUCT((Marks!$B$3:$AJ$3=C$4)*ISNUMBER(Marks!$B$11:$AJ$11))=0,"",SUMPRODUCT((Marks!$B$3:$AJ$3=C$4)*(Marks!$B$11:$AJ$11=1))/SUMPRODUCT((Marks!$B$3:$AJ$3=C$4)*ISNUMBER(Marks!$B$11:$AJ$11)))</f>
        <v/>
      </c>
      <c r="D11" s="6">
        <f>IF(SUMPRODUCT((Marks!$B$3:$AJ$3=D$4)*ISNUMBER(Marks!$B$11:$AJ$11))=0,"",SUMPRODUCT((Marks!$B$3:$AJ$3=D$4)*(Marks!$B$11:$AJ$11=1))/SUMPRODUCT((Marks!$B$3:$AJ$3=D$4)*ISNUMBER(Marks!$B$11:$AJ$11)))</f>
        <v/>
      </c>
      <c r="E11" s="6">
        <f>IF(SUMPRODUCT((Marks!$B$3:$AJ$3=E$4)*ISNUMBER(Marks!$B$11:$AJ$11))=0,"",SUMPRODUCT((Marks!$B$3:$AJ$3=E$4)*(Marks!$B$11:$AJ$11=1))/SUMPRODUCT((Marks!$B$3:$AJ$3=E$4)*ISNUMBER(Marks!$B$11:$AJ$11)))</f>
        <v/>
      </c>
    </row>
    <row r="12">
      <c r="A12" t="n">
        <v>8</v>
      </c>
      <c r="B12" s="6">
        <f>IF(SUMPRODUCT((Marks!$B$3:$AJ$3=B$4)*ISNUMBER(Marks!$B$12:$AJ$12))=0,"",SUMPRODUCT((Marks!$B$3:$AJ$3=B$4)*(Marks!$B$12:$AJ$12=1))/SUMPRODUCT((Marks!$B$3:$AJ$3=B$4)*ISNUMBER(Marks!$B$12:$AJ$12)))</f>
        <v/>
      </c>
      <c r="C12" s="6">
        <f>IF(SUMPRODUCT((Marks!$B$3:$AJ$3=C$4)*ISNUMBER(Marks!$B$12:$AJ$12))=0,"",SUMPRODUCT((Marks!$B$3:$AJ$3=C$4)*(Marks!$B$12:$AJ$12=1))/SUMPRODUCT((Marks!$B$3:$AJ$3=C$4)*ISNUMBER(Marks!$B$12:$AJ$12)))</f>
        <v/>
      </c>
      <c r="D12" s="6">
        <f>IF(SUMPRODUCT((Marks!$B$3:$AJ$3=D$4)*ISNUMBER(Marks!$B$12:$AJ$12))=0,"",SUMPRODUCT((Marks!$B$3:$AJ$3=D$4)*(Marks!$B$12:$AJ$12=1))/SUMPRODUCT((Marks!$B$3:$AJ$3=D$4)*ISNUMBER(Marks!$B$12:$AJ$12)))</f>
        <v/>
      </c>
      <c r="E12" s="6">
        <f>IF(SUMPRODUCT((Marks!$B$3:$AJ$3=E$4)*ISNUMBER(Marks!$B$12:$AJ$12))=0,"",SUMPRODUCT((Marks!$B$3:$AJ$3=E$4)*(Marks!$B$12:$AJ$12=1))/SUMPRODUCT((Marks!$B$3:$AJ$3=E$4)*ISNUMBER(Marks!$B$12:$AJ$12)))</f>
        <v/>
      </c>
    </row>
    <row r="13">
      <c r="A13" t="n">
        <v>9</v>
      </c>
      <c r="B13" s="6">
        <f>IF(SUMPRODUCT((Marks!$B$3:$AJ$3=B$4)*ISNUMBER(Marks!$B$13:$AJ$13))=0,"",SUMPRODUCT((Marks!$B$3:$AJ$3=B$4)*(Marks!$B$13:$AJ$13=1))/SUMPRODUCT((Marks!$B$3:$AJ$3=B$4)*ISNUMBER(Marks!$B$13:$AJ$13)))</f>
        <v/>
      </c>
      <c r="C13" s="6">
        <f>IF(SUMPRODUCT((Marks!$B$3:$AJ$3=C$4)*ISNUMBER(Marks!$B$13:$AJ$13))=0,"",SUMPRODUCT((Marks!$B$3:$AJ$3=C$4)*(Marks!$B$13:$AJ$13=1))/SUMPRODUCT((Marks!$B$3:$AJ$3=C$4)*ISNUMBER(Marks!$B$13:$AJ$13)))</f>
        <v/>
      </c>
      <c r="D13" s="6">
        <f>IF(SUMPRODUCT((Marks!$B$3:$AJ$3=D$4)*ISNUMBER(Marks!$B$13:$AJ$13))=0,"",SUMPRODUCT((Marks!$B$3:$AJ$3=D$4)*(Marks!$B$13:$AJ$13=1))/SUMPRODUCT((Marks!$B$3:$AJ$3=D$4)*ISNUMBER(Marks!$B$13:$AJ$13)))</f>
        <v/>
      </c>
      <c r="E13" s="6">
        <f>IF(SUMPRODUCT((Marks!$B$3:$AJ$3=E$4)*ISNUMBER(Marks!$B$13:$AJ$13))=0,"",SUMPRODUCT((Marks!$B$3:$AJ$3=E$4)*(Marks!$B$13:$AJ$13=1))/SUMPRODUCT((Marks!$B$3:$AJ$3=E$4)*ISNUMBER(Marks!$B$13:$AJ$13)))</f>
        <v/>
      </c>
    </row>
    <row r="14">
      <c r="A14" t="n">
        <v>10</v>
      </c>
      <c r="B14" s="6">
        <f>IF(SUMPRODUCT((Marks!$B$3:$AJ$3=B$4)*ISNUMBER(Marks!$B$14:$AJ$14))=0,"",SUMPRODUCT((Marks!$B$3:$AJ$3=B$4)*(Marks!$B$14:$AJ$14=1))/SUMPRODUCT((Marks!$B$3:$AJ$3=B$4)*ISNUMBER(Marks!$B$14:$AJ$14)))</f>
        <v/>
      </c>
      <c r="C14" s="6">
        <f>IF(SUMPRODUCT((Marks!$B$3:$AJ$3=C$4)*ISNUMBER(Marks!$B$14:$AJ$14))=0,"",SUMPRODUCT((Marks!$B$3:$AJ$3=C$4)*(Marks!$B$14:$AJ$14=1))/SUMPRODUCT((Marks!$B$3:$AJ$3=C$4)*ISNUMBER(Marks!$B$14:$AJ$14)))</f>
        <v/>
      </c>
      <c r="D14" s="6">
        <f>IF(SUMPRODUCT((Marks!$B$3:$AJ$3=D$4)*ISNUMBER(Marks!$B$14:$AJ$14))=0,"",SUMPRODUCT((Marks!$B$3:$AJ$3=D$4)*(Marks!$B$14:$AJ$14=1))/SUMPRODUCT((Marks!$B$3:$AJ$3=D$4)*ISNUMBER(Marks!$B$14:$AJ$14)))</f>
        <v/>
      </c>
      <c r="E14" s="6">
        <f>IF(SUMPRODUCT((Marks!$B$3:$AJ$3=E$4)*ISNUMBER(Marks!$B$14:$AJ$14))=0,"",SUMPRODUCT((Marks!$B$3:$AJ$3=E$4)*(Marks!$B$14:$AJ$14=1))/SUMPRODUCT((Marks!$B$3:$AJ$3=E$4)*ISNUMBER(Marks!$B$14:$AJ$14)))</f>
        <v/>
      </c>
    </row>
    <row r="15">
      <c r="A15" t="n">
        <v>11</v>
      </c>
      <c r="B15" s="6">
        <f>IF(SUMPRODUCT((Marks!$B$3:$AJ$3=B$4)*ISNUMBER(Marks!$B$15:$AJ$15))=0,"",SUMPRODUCT((Marks!$B$3:$AJ$3=B$4)*(Marks!$B$15:$AJ$15=1))/SUMPRODUCT((Marks!$B$3:$AJ$3=B$4)*ISNUMBER(Marks!$B$15:$AJ$15)))</f>
        <v/>
      </c>
      <c r="C15" s="6">
        <f>IF(SUMPRODUCT((Marks!$B$3:$AJ$3=C$4)*ISNUMBER(Marks!$B$15:$AJ$15))=0,"",SUMPRODUCT((Marks!$B$3:$AJ$3=C$4)*(Marks!$B$15:$AJ$15=1))/SUMPRODUCT((Marks!$B$3:$AJ$3=C$4)*ISNUMBER(Marks!$B$15:$AJ$15)))</f>
        <v/>
      </c>
      <c r="D15" s="6">
        <f>IF(SUMPRODUCT((Marks!$B$3:$AJ$3=D$4)*ISNUMBER(Marks!$B$15:$AJ$15))=0,"",SUMPRODUCT((Marks!$B$3:$AJ$3=D$4)*(Marks!$B$15:$AJ$15=1))/SUMPRODUCT((Marks!$B$3:$AJ$3=D$4)*ISNUMBER(Marks!$B$15:$AJ$15)))</f>
        <v/>
      </c>
      <c r="E15" s="6">
        <f>IF(SUMPRODUCT((Marks!$B$3:$AJ$3=E$4)*ISNUMBER(Marks!$B$15:$AJ$15))=0,"",SUMPRODUCT((Marks!$B$3:$AJ$3=E$4)*(Marks!$B$15:$AJ$15=1))/SUMPRODUCT((Marks!$B$3:$AJ$3=E$4)*ISNUMBER(Marks!$B$15:$AJ$15)))</f>
        <v/>
      </c>
    </row>
    <row r="16">
      <c r="A16" t="n">
        <v>12</v>
      </c>
      <c r="B16" s="6">
        <f>IF(SUMPRODUCT((Marks!$B$3:$AJ$3=B$4)*ISNUMBER(Marks!$B$16:$AJ$16))=0,"",SUMPRODUCT((Marks!$B$3:$AJ$3=B$4)*(Marks!$B$16:$AJ$16=1))/SUMPRODUCT((Marks!$B$3:$AJ$3=B$4)*ISNUMBER(Marks!$B$16:$AJ$16)))</f>
        <v/>
      </c>
      <c r="C16" s="6">
        <f>IF(SUMPRODUCT((Marks!$B$3:$AJ$3=C$4)*ISNUMBER(Marks!$B$16:$AJ$16))=0,"",SUMPRODUCT((Marks!$B$3:$AJ$3=C$4)*(Marks!$B$16:$AJ$16=1))/SUMPRODUCT((Marks!$B$3:$AJ$3=C$4)*ISNUMBER(Marks!$B$16:$AJ$16)))</f>
        <v/>
      </c>
      <c r="D16" s="6">
        <f>IF(SUMPRODUCT((Marks!$B$3:$AJ$3=D$4)*ISNUMBER(Marks!$B$16:$AJ$16))=0,"",SUMPRODUCT((Marks!$B$3:$AJ$3=D$4)*(Marks!$B$16:$AJ$16=1))/SUMPRODUCT((Marks!$B$3:$AJ$3=D$4)*ISNUMBER(Marks!$B$16:$AJ$16)))</f>
        <v/>
      </c>
      <c r="E16" s="6">
        <f>IF(SUMPRODUCT((Marks!$B$3:$AJ$3=E$4)*ISNUMBER(Marks!$B$16:$AJ$16))=0,"",SUMPRODUCT((Marks!$B$3:$AJ$3=E$4)*(Marks!$B$16:$AJ$16=1))/SUMPRODUCT((Marks!$B$3:$AJ$3=E$4)*ISNUMBER(Marks!$B$16:$AJ$16)))</f>
        <v/>
      </c>
    </row>
    <row r="17">
      <c r="A17" t="n">
        <v>13</v>
      </c>
      <c r="B17" s="6">
        <f>IF(SUMPRODUCT((Marks!$B$3:$AJ$3=B$4)*ISNUMBER(Marks!$B$17:$AJ$17))=0,"",SUMPRODUCT((Marks!$B$3:$AJ$3=B$4)*(Marks!$B$17:$AJ$17=1))/SUMPRODUCT((Marks!$B$3:$AJ$3=B$4)*ISNUMBER(Marks!$B$17:$AJ$17)))</f>
        <v/>
      </c>
      <c r="C17" s="6">
        <f>IF(SUMPRODUCT((Marks!$B$3:$AJ$3=C$4)*ISNUMBER(Marks!$B$17:$AJ$17))=0,"",SUMPRODUCT((Marks!$B$3:$AJ$3=C$4)*(Marks!$B$17:$AJ$17=1))/SUMPRODUCT((Marks!$B$3:$AJ$3=C$4)*ISNUMBER(Marks!$B$17:$AJ$17)))</f>
        <v/>
      </c>
      <c r="D17" s="6">
        <f>IF(SUMPRODUCT((Marks!$B$3:$AJ$3=D$4)*ISNUMBER(Marks!$B$17:$AJ$17))=0,"",SUMPRODUCT((Marks!$B$3:$AJ$3=D$4)*(Marks!$B$17:$AJ$17=1))/SUMPRODUCT((Marks!$B$3:$AJ$3=D$4)*ISNUMBER(Marks!$B$17:$AJ$17)))</f>
        <v/>
      </c>
      <c r="E17" s="6">
        <f>IF(SUMPRODUCT((Marks!$B$3:$AJ$3=E$4)*ISNUMBER(Marks!$B$17:$AJ$17))=0,"",SUMPRODUCT((Marks!$B$3:$AJ$3=E$4)*(Marks!$B$17:$AJ$17=1))/SUMPRODUCT((Marks!$B$3:$AJ$3=E$4)*ISNUMBER(Marks!$B$17:$AJ$17)))</f>
        <v/>
      </c>
    </row>
    <row r="18">
      <c r="A18" t="n">
        <v>14</v>
      </c>
      <c r="B18" s="6">
        <f>IF(SUMPRODUCT((Marks!$B$3:$AJ$3=B$4)*ISNUMBER(Marks!$B$18:$AJ$18))=0,"",SUMPRODUCT((Marks!$B$3:$AJ$3=B$4)*(Marks!$B$18:$AJ$18=1))/SUMPRODUCT((Marks!$B$3:$AJ$3=B$4)*ISNUMBER(Marks!$B$18:$AJ$18)))</f>
        <v/>
      </c>
      <c r="C18" s="6">
        <f>IF(SUMPRODUCT((Marks!$B$3:$AJ$3=C$4)*ISNUMBER(Marks!$B$18:$AJ$18))=0,"",SUMPRODUCT((Marks!$B$3:$AJ$3=C$4)*(Marks!$B$18:$AJ$18=1))/SUMPRODUCT((Marks!$B$3:$AJ$3=C$4)*ISNUMBER(Marks!$B$18:$AJ$18)))</f>
        <v/>
      </c>
      <c r="D18" s="6">
        <f>IF(SUMPRODUCT((Marks!$B$3:$AJ$3=D$4)*ISNUMBER(Marks!$B$18:$AJ$18))=0,"",SUMPRODUCT((Marks!$B$3:$AJ$3=D$4)*(Marks!$B$18:$AJ$18=1))/SUMPRODUCT((Marks!$B$3:$AJ$3=D$4)*ISNUMBER(Marks!$B$18:$AJ$18)))</f>
        <v/>
      </c>
      <c r="E18" s="6">
        <f>IF(SUMPRODUCT((Marks!$B$3:$AJ$3=E$4)*ISNUMBER(Marks!$B$18:$AJ$18))=0,"",SUMPRODUCT((Marks!$B$3:$AJ$3=E$4)*(Marks!$B$18:$AJ$18=1))/SUMPRODUCT((Marks!$B$3:$AJ$3=E$4)*ISNUMBER(Marks!$B$18:$AJ$18)))</f>
        <v/>
      </c>
    </row>
    <row r="19">
      <c r="A19" t="n">
        <v>15</v>
      </c>
      <c r="B19" s="6">
        <f>IF(SUMPRODUCT((Marks!$B$3:$AJ$3=B$4)*ISNUMBER(Marks!$B$19:$AJ$19))=0,"",SUMPRODUCT((Marks!$B$3:$AJ$3=B$4)*(Marks!$B$19:$AJ$19=1))/SUMPRODUCT((Marks!$B$3:$AJ$3=B$4)*ISNUMBER(Marks!$B$19:$AJ$19)))</f>
        <v/>
      </c>
      <c r="C19" s="6">
        <f>IF(SUMPRODUCT((Marks!$B$3:$AJ$3=C$4)*ISNUMBER(Marks!$B$19:$AJ$19))=0,"",SUMPRODUCT((Marks!$B$3:$AJ$3=C$4)*(Marks!$B$19:$AJ$19=1))/SUMPRODUCT((Marks!$B$3:$AJ$3=C$4)*ISNUMBER(Marks!$B$19:$AJ$19)))</f>
        <v/>
      </c>
      <c r="D19" s="6">
        <f>IF(SUMPRODUCT((Marks!$B$3:$AJ$3=D$4)*ISNUMBER(Marks!$B$19:$AJ$19))=0,"",SUMPRODUCT((Marks!$B$3:$AJ$3=D$4)*(Marks!$B$19:$AJ$19=1))/SUMPRODUCT((Marks!$B$3:$AJ$3=D$4)*ISNUMBER(Marks!$B$19:$AJ$19)))</f>
        <v/>
      </c>
      <c r="E19" s="6">
        <f>IF(SUMPRODUCT((Marks!$B$3:$AJ$3=E$4)*ISNUMBER(Marks!$B$19:$AJ$19))=0,"",SUMPRODUCT((Marks!$B$3:$AJ$3=E$4)*(Marks!$B$19:$AJ$19=1))/SUMPRODUCT((Marks!$B$3:$AJ$3=E$4)*ISNUMBER(Marks!$B$19:$AJ$19)))</f>
        <v/>
      </c>
    </row>
    <row r="20">
      <c r="A20" t="n">
        <v>16</v>
      </c>
      <c r="B20" s="6">
        <f>IF(SUMPRODUCT((Marks!$B$3:$AJ$3=B$4)*ISNUMBER(Marks!$B$20:$AJ$20))=0,"",SUMPRODUCT((Marks!$B$3:$AJ$3=B$4)*(Marks!$B$20:$AJ$20=1))/SUMPRODUCT((Marks!$B$3:$AJ$3=B$4)*ISNUMBER(Marks!$B$20:$AJ$20)))</f>
        <v/>
      </c>
      <c r="C20" s="6">
        <f>IF(SUMPRODUCT((Marks!$B$3:$AJ$3=C$4)*ISNUMBER(Marks!$B$20:$AJ$20))=0,"",SUMPRODUCT((Marks!$B$3:$AJ$3=C$4)*(Marks!$B$20:$AJ$20=1))/SUMPRODUCT((Marks!$B$3:$AJ$3=C$4)*ISNUMBER(Marks!$B$20:$AJ$20)))</f>
        <v/>
      </c>
      <c r="D20" s="6">
        <f>IF(SUMPRODUCT((Marks!$B$3:$AJ$3=D$4)*ISNUMBER(Marks!$B$20:$AJ$20))=0,"",SUMPRODUCT((Marks!$B$3:$AJ$3=D$4)*(Marks!$B$20:$AJ$20=1))/SUMPRODUCT((Marks!$B$3:$AJ$3=D$4)*ISNUMBER(Marks!$B$20:$AJ$20)))</f>
        <v/>
      </c>
      <c r="E20" s="6">
        <f>IF(SUMPRODUCT((Marks!$B$3:$AJ$3=E$4)*ISNUMBER(Marks!$B$20:$AJ$20))=0,"",SUMPRODUCT((Marks!$B$3:$AJ$3=E$4)*(Marks!$B$20:$AJ$20=1))/SUMPRODUCT((Marks!$B$3:$AJ$3=E$4)*ISNUMBER(Marks!$B$20:$AJ$20)))</f>
        <v/>
      </c>
    </row>
    <row r="21">
      <c r="A21" t="n">
        <v>17</v>
      </c>
      <c r="B21" s="6">
        <f>IF(SUMPRODUCT((Marks!$B$3:$AJ$3=B$4)*ISNUMBER(Marks!$B$21:$AJ$21))=0,"",SUMPRODUCT((Marks!$B$3:$AJ$3=B$4)*(Marks!$B$21:$AJ$21=1))/SUMPRODUCT((Marks!$B$3:$AJ$3=B$4)*ISNUMBER(Marks!$B$21:$AJ$21)))</f>
        <v/>
      </c>
      <c r="C21" s="6">
        <f>IF(SUMPRODUCT((Marks!$B$3:$AJ$3=C$4)*ISNUMBER(Marks!$B$21:$AJ$21))=0,"",SUMPRODUCT((Marks!$B$3:$AJ$3=C$4)*(Marks!$B$21:$AJ$21=1))/SUMPRODUCT((Marks!$B$3:$AJ$3=C$4)*ISNUMBER(Marks!$B$21:$AJ$21)))</f>
        <v/>
      </c>
      <c r="D21" s="6">
        <f>IF(SUMPRODUCT((Marks!$B$3:$AJ$3=D$4)*ISNUMBER(Marks!$B$21:$AJ$21))=0,"",SUMPRODUCT((Marks!$B$3:$AJ$3=D$4)*(Marks!$B$21:$AJ$21=1))/SUMPRODUCT((Marks!$B$3:$AJ$3=D$4)*ISNUMBER(Marks!$B$21:$AJ$21)))</f>
        <v/>
      </c>
      <c r="E21" s="6">
        <f>IF(SUMPRODUCT((Marks!$B$3:$AJ$3=E$4)*ISNUMBER(Marks!$B$21:$AJ$21))=0,"",SUMPRODUCT((Marks!$B$3:$AJ$3=E$4)*(Marks!$B$21:$AJ$21=1))/SUMPRODUCT((Marks!$B$3:$AJ$3=E$4)*ISNUMBER(Marks!$B$21:$AJ$21)))</f>
        <v/>
      </c>
    </row>
    <row r="22">
      <c r="A22" t="n">
        <v>18</v>
      </c>
      <c r="B22" s="6">
        <f>IF(SUMPRODUCT((Marks!$B$3:$AJ$3=B$4)*ISNUMBER(Marks!$B$22:$AJ$22))=0,"",SUMPRODUCT((Marks!$B$3:$AJ$3=B$4)*(Marks!$B$22:$AJ$22=1))/SUMPRODUCT((Marks!$B$3:$AJ$3=B$4)*ISNUMBER(Marks!$B$22:$AJ$22)))</f>
        <v/>
      </c>
      <c r="C22" s="6">
        <f>IF(SUMPRODUCT((Marks!$B$3:$AJ$3=C$4)*ISNUMBER(Marks!$B$22:$AJ$22))=0,"",SUMPRODUCT((Marks!$B$3:$AJ$3=C$4)*(Marks!$B$22:$AJ$22=1))/SUMPRODUCT((Marks!$B$3:$AJ$3=C$4)*ISNUMBER(Marks!$B$22:$AJ$22)))</f>
        <v/>
      </c>
      <c r="D22" s="6">
        <f>IF(SUMPRODUCT((Marks!$B$3:$AJ$3=D$4)*ISNUMBER(Marks!$B$22:$AJ$22))=0,"",SUMPRODUCT((Marks!$B$3:$AJ$3=D$4)*(Marks!$B$22:$AJ$22=1))/SUMPRODUCT((Marks!$B$3:$AJ$3=D$4)*ISNUMBER(Marks!$B$22:$AJ$22)))</f>
        <v/>
      </c>
      <c r="E22" s="6">
        <f>IF(SUMPRODUCT((Marks!$B$3:$AJ$3=E$4)*ISNUMBER(Marks!$B$22:$AJ$22))=0,"",SUMPRODUCT((Marks!$B$3:$AJ$3=E$4)*(Marks!$B$22:$AJ$22=1))/SUMPRODUCT((Marks!$B$3:$AJ$3=E$4)*ISNUMBER(Marks!$B$22:$AJ$22)))</f>
        <v/>
      </c>
    </row>
    <row r="23">
      <c r="A23" t="n">
        <v>19</v>
      </c>
      <c r="B23" s="6">
        <f>IF(SUMPRODUCT((Marks!$B$3:$AJ$3=B$4)*ISNUMBER(Marks!$B$23:$AJ$23))=0,"",SUMPRODUCT((Marks!$B$3:$AJ$3=B$4)*(Marks!$B$23:$AJ$23=1))/SUMPRODUCT((Marks!$B$3:$AJ$3=B$4)*ISNUMBER(Marks!$B$23:$AJ$23)))</f>
        <v/>
      </c>
      <c r="C23" s="6">
        <f>IF(SUMPRODUCT((Marks!$B$3:$AJ$3=C$4)*ISNUMBER(Marks!$B$23:$AJ$23))=0,"",SUMPRODUCT((Marks!$B$3:$AJ$3=C$4)*(Marks!$B$23:$AJ$23=1))/SUMPRODUCT((Marks!$B$3:$AJ$3=C$4)*ISNUMBER(Marks!$B$23:$AJ$23)))</f>
        <v/>
      </c>
      <c r="D23" s="6">
        <f>IF(SUMPRODUCT((Marks!$B$3:$AJ$3=D$4)*ISNUMBER(Marks!$B$23:$AJ$23))=0,"",SUMPRODUCT((Marks!$B$3:$AJ$3=D$4)*(Marks!$B$23:$AJ$23=1))/SUMPRODUCT((Marks!$B$3:$AJ$3=D$4)*ISNUMBER(Marks!$B$23:$AJ$23)))</f>
        <v/>
      </c>
      <c r="E23" s="6">
        <f>IF(SUMPRODUCT((Marks!$B$3:$AJ$3=E$4)*ISNUMBER(Marks!$B$23:$AJ$23))=0,"",SUMPRODUCT((Marks!$B$3:$AJ$3=E$4)*(Marks!$B$23:$AJ$23=1))/SUMPRODUCT((Marks!$B$3:$AJ$3=E$4)*ISNUMBER(Marks!$B$23:$AJ$23)))</f>
        <v/>
      </c>
    </row>
    <row r="24">
      <c r="A24" t="n">
        <v>20</v>
      </c>
      <c r="B24" s="6">
        <f>IF(SUMPRODUCT((Marks!$B$3:$AJ$3=B$4)*ISNUMBER(Marks!$B$24:$AJ$24))=0,"",SUMPRODUCT((Marks!$B$3:$AJ$3=B$4)*(Marks!$B$24:$AJ$24=1))/SUMPRODUCT((Marks!$B$3:$AJ$3=B$4)*ISNUMBER(Marks!$B$24:$AJ$24)))</f>
        <v/>
      </c>
      <c r="C24" s="6">
        <f>IF(SUMPRODUCT((Marks!$B$3:$AJ$3=C$4)*ISNUMBER(Marks!$B$24:$AJ$24))=0,"",SUMPRODUCT((Marks!$B$3:$AJ$3=C$4)*(Marks!$B$24:$AJ$24=1))/SUMPRODUCT((Marks!$B$3:$AJ$3=C$4)*ISNUMBER(Marks!$B$24:$AJ$24)))</f>
        <v/>
      </c>
      <c r="D24" s="6">
        <f>IF(SUMPRODUCT((Marks!$B$3:$AJ$3=D$4)*ISNUMBER(Marks!$B$24:$AJ$24))=0,"",SUMPRODUCT((Marks!$B$3:$AJ$3=D$4)*(Marks!$B$24:$AJ$24=1))/SUMPRODUCT((Marks!$B$3:$AJ$3=D$4)*ISNUMBER(Marks!$B$24:$AJ$24)))</f>
        <v/>
      </c>
      <c r="E24" s="6">
        <f>IF(SUMPRODUCT((Marks!$B$3:$AJ$3=E$4)*ISNUMBER(Marks!$B$24:$AJ$24))=0,"",SUMPRODUCT((Marks!$B$3:$AJ$3=E$4)*(Marks!$B$24:$AJ$24=1))/SUMPRODUCT((Marks!$B$3:$AJ$3=E$4)*ISNUMBER(Marks!$B$24:$AJ$24)))</f>
        <v/>
      </c>
    </row>
    <row r="25">
      <c r="A25" t="n">
        <v>21</v>
      </c>
      <c r="B25" s="6">
        <f>IF(SUMPRODUCT((Marks!$B$3:$AJ$3=B$4)*ISNUMBER(Marks!$B$25:$AJ$25))=0,"",SUMPRODUCT((Marks!$B$3:$AJ$3=B$4)*(Marks!$B$25:$AJ$25=1))/SUMPRODUCT((Marks!$B$3:$AJ$3=B$4)*ISNUMBER(Marks!$B$25:$AJ$25)))</f>
        <v/>
      </c>
      <c r="C25" s="6">
        <f>IF(SUMPRODUCT((Marks!$B$3:$AJ$3=C$4)*ISNUMBER(Marks!$B$25:$AJ$25))=0,"",SUMPRODUCT((Marks!$B$3:$AJ$3=C$4)*(Marks!$B$25:$AJ$25=1))/SUMPRODUCT((Marks!$B$3:$AJ$3=C$4)*ISNUMBER(Marks!$B$25:$AJ$25)))</f>
        <v/>
      </c>
      <c r="D25" s="6">
        <f>IF(SUMPRODUCT((Marks!$B$3:$AJ$3=D$4)*ISNUMBER(Marks!$B$25:$AJ$25))=0,"",SUMPRODUCT((Marks!$B$3:$AJ$3=D$4)*(Marks!$B$25:$AJ$25=1))/SUMPRODUCT((Marks!$B$3:$AJ$3=D$4)*ISNUMBER(Marks!$B$25:$AJ$25)))</f>
        <v/>
      </c>
      <c r="E25" s="6">
        <f>IF(SUMPRODUCT((Marks!$B$3:$AJ$3=E$4)*ISNUMBER(Marks!$B$25:$AJ$25))=0,"",SUMPRODUCT((Marks!$B$3:$AJ$3=E$4)*(Marks!$B$25:$AJ$25=1))/SUMPRODUCT((Marks!$B$3:$AJ$3=E$4)*ISNUMBER(Marks!$B$25:$AJ$25)))</f>
        <v/>
      </c>
    </row>
    <row r="26">
      <c r="A26" t="n">
        <v>22</v>
      </c>
      <c r="B26" s="6">
        <f>IF(SUMPRODUCT((Marks!$B$3:$AJ$3=B$4)*ISNUMBER(Marks!$B$26:$AJ$26))=0,"",SUMPRODUCT((Marks!$B$3:$AJ$3=B$4)*(Marks!$B$26:$AJ$26=1))/SUMPRODUCT((Marks!$B$3:$AJ$3=B$4)*ISNUMBER(Marks!$B$26:$AJ$26)))</f>
        <v/>
      </c>
      <c r="C26" s="6">
        <f>IF(SUMPRODUCT((Marks!$B$3:$AJ$3=C$4)*ISNUMBER(Marks!$B$26:$AJ$26))=0,"",SUMPRODUCT((Marks!$B$3:$AJ$3=C$4)*(Marks!$B$26:$AJ$26=1))/SUMPRODUCT((Marks!$B$3:$AJ$3=C$4)*ISNUMBER(Marks!$B$26:$AJ$26)))</f>
        <v/>
      </c>
      <c r="D26" s="6">
        <f>IF(SUMPRODUCT((Marks!$B$3:$AJ$3=D$4)*ISNUMBER(Marks!$B$26:$AJ$26))=0,"",SUMPRODUCT((Marks!$B$3:$AJ$3=D$4)*(Marks!$B$26:$AJ$26=1))/SUMPRODUCT((Marks!$B$3:$AJ$3=D$4)*ISNUMBER(Marks!$B$26:$AJ$26)))</f>
        <v/>
      </c>
      <c r="E26" s="6">
        <f>IF(SUMPRODUCT((Marks!$B$3:$AJ$3=E$4)*ISNUMBER(Marks!$B$26:$AJ$26))=0,"",SUMPRODUCT((Marks!$B$3:$AJ$3=E$4)*(Marks!$B$26:$AJ$26=1))/SUMPRODUCT((Marks!$B$3:$AJ$3=E$4)*ISNUMBER(Marks!$B$26:$AJ$26)))</f>
        <v/>
      </c>
    </row>
    <row r="27">
      <c r="A27" t="n">
        <v>23</v>
      </c>
      <c r="B27" s="6">
        <f>IF(SUMPRODUCT((Marks!$B$3:$AJ$3=B$4)*ISNUMBER(Marks!$B$27:$AJ$27))=0,"",SUMPRODUCT((Marks!$B$3:$AJ$3=B$4)*(Marks!$B$27:$AJ$27=1))/SUMPRODUCT((Marks!$B$3:$AJ$3=B$4)*ISNUMBER(Marks!$B$27:$AJ$27)))</f>
        <v/>
      </c>
      <c r="C27" s="6">
        <f>IF(SUMPRODUCT((Marks!$B$3:$AJ$3=C$4)*ISNUMBER(Marks!$B$27:$AJ$27))=0,"",SUMPRODUCT((Marks!$B$3:$AJ$3=C$4)*(Marks!$B$27:$AJ$27=1))/SUMPRODUCT((Marks!$B$3:$AJ$3=C$4)*ISNUMBER(Marks!$B$27:$AJ$27)))</f>
        <v/>
      </c>
      <c r="D27" s="6">
        <f>IF(SUMPRODUCT((Marks!$B$3:$AJ$3=D$4)*ISNUMBER(Marks!$B$27:$AJ$27))=0,"",SUMPRODUCT((Marks!$B$3:$AJ$3=D$4)*(Marks!$B$27:$AJ$27=1))/SUMPRODUCT((Marks!$B$3:$AJ$3=D$4)*ISNUMBER(Marks!$B$27:$AJ$27)))</f>
        <v/>
      </c>
      <c r="E27" s="6">
        <f>IF(SUMPRODUCT((Marks!$B$3:$AJ$3=E$4)*ISNUMBER(Marks!$B$27:$AJ$27))=0,"",SUMPRODUCT((Marks!$B$3:$AJ$3=E$4)*(Marks!$B$27:$AJ$27=1))/SUMPRODUCT((Marks!$B$3:$AJ$3=E$4)*ISNUMBER(Marks!$B$27:$AJ$27)))</f>
        <v/>
      </c>
    </row>
    <row r="28">
      <c r="A28" t="n">
        <v>24</v>
      </c>
      <c r="B28" s="6">
        <f>IF(SUMPRODUCT((Marks!$B$3:$AJ$3=B$4)*ISNUMBER(Marks!$B$28:$AJ$28))=0,"",SUMPRODUCT((Marks!$B$3:$AJ$3=B$4)*(Marks!$B$28:$AJ$28=1))/SUMPRODUCT((Marks!$B$3:$AJ$3=B$4)*ISNUMBER(Marks!$B$28:$AJ$28)))</f>
        <v/>
      </c>
      <c r="C28" s="6">
        <f>IF(SUMPRODUCT((Marks!$B$3:$AJ$3=C$4)*ISNUMBER(Marks!$B$28:$AJ$28))=0,"",SUMPRODUCT((Marks!$B$3:$AJ$3=C$4)*(Marks!$B$28:$AJ$28=1))/SUMPRODUCT((Marks!$B$3:$AJ$3=C$4)*ISNUMBER(Marks!$B$28:$AJ$28)))</f>
        <v/>
      </c>
      <c r="D28" s="6">
        <f>IF(SUMPRODUCT((Marks!$B$3:$AJ$3=D$4)*ISNUMBER(Marks!$B$28:$AJ$28))=0,"",SUMPRODUCT((Marks!$B$3:$AJ$3=D$4)*(Marks!$B$28:$AJ$28=1))/SUMPRODUCT((Marks!$B$3:$AJ$3=D$4)*ISNUMBER(Marks!$B$28:$AJ$28)))</f>
        <v/>
      </c>
      <c r="E28" s="6">
        <f>IF(SUMPRODUCT((Marks!$B$3:$AJ$3=E$4)*ISNUMBER(Marks!$B$28:$AJ$28))=0,"",SUMPRODUCT((Marks!$B$3:$AJ$3=E$4)*(Marks!$B$28:$AJ$28=1))/SUMPRODUCT((Marks!$B$3:$AJ$3=E$4)*ISNUMBER(Marks!$B$28:$AJ$28)))</f>
        <v/>
      </c>
    </row>
    <row r="29">
      <c r="A29" t="n">
        <v>25</v>
      </c>
      <c r="B29" s="6">
        <f>IF(SUMPRODUCT((Marks!$B$3:$AJ$3=B$4)*ISNUMBER(Marks!$B$29:$AJ$29))=0,"",SUMPRODUCT((Marks!$B$3:$AJ$3=B$4)*(Marks!$B$29:$AJ$29=1))/SUMPRODUCT((Marks!$B$3:$AJ$3=B$4)*ISNUMBER(Marks!$B$29:$AJ$29)))</f>
        <v/>
      </c>
      <c r="C29" s="6">
        <f>IF(SUMPRODUCT((Marks!$B$3:$AJ$3=C$4)*ISNUMBER(Marks!$B$29:$AJ$29))=0,"",SUMPRODUCT((Marks!$B$3:$AJ$3=C$4)*(Marks!$B$29:$AJ$29=1))/SUMPRODUCT((Marks!$B$3:$AJ$3=C$4)*ISNUMBER(Marks!$B$29:$AJ$29)))</f>
        <v/>
      </c>
      <c r="D29" s="6">
        <f>IF(SUMPRODUCT((Marks!$B$3:$AJ$3=D$4)*ISNUMBER(Marks!$B$29:$AJ$29))=0,"",SUMPRODUCT((Marks!$B$3:$AJ$3=D$4)*(Marks!$B$29:$AJ$29=1))/SUMPRODUCT((Marks!$B$3:$AJ$3=D$4)*ISNUMBER(Marks!$B$29:$AJ$29)))</f>
        <v/>
      </c>
      <c r="E29" s="6">
        <f>IF(SUMPRODUCT((Marks!$B$3:$AJ$3=E$4)*ISNUMBER(Marks!$B$29:$AJ$29))=0,"",SUMPRODUCT((Marks!$B$3:$AJ$3=E$4)*(Marks!$B$29:$AJ$29=1))/SUMPRODUCT((Marks!$B$3:$AJ$3=E$4)*ISNUMBER(Marks!$B$29:$AJ$29)))</f>
        <v/>
      </c>
    </row>
    <row r="30">
      <c r="A30" t="n">
        <v>26</v>
      </c>
      <c r="B30" s="6">
        <f>IF(SUMPRODUCT((Marks!$B$3:$AJ$3=B$4)*ISNUMBER(Marks!$B$30:$AJ$30))=0,"",SUMPRODUCT((Marks!$B$3:$AJ$3=B$4)*(Marks!$B$30:$AJ$30=1))/SUMPRODUCT((Marks!$B$3:$AJ$3=B$4)*ISNUMBER(Marks!$B$30:$AJ$30)))</f>
        <v/>
      </c>
      <c r="C30" s="6">
        <f>IF(SUMPRODUCT((Marks!$B$3:$AJ$3=C$4)*ISNUMBER(Marks!$B$30:$AJ$30))=0,"",SUMPRODUCT((Marks!$B$3:$AJ$3=C$4)*(Marks!$B$30:$AJ$30=1))/SUMPRODUCT((Marks!$B$3:$AJ$3=C$4)*ISNUMBER(Marks!$B$30:$AJ$30)))</f>
        <v/>
      </c>
      <c r="D30" s="6">
        <f>IF(SUMPRODUCT((Marks!$B$3:$AJ$3=D$4)*ISNUMBER(Marks!$B$30:$AJ$30))=0,"",SUMPRODUCT((Marks!$B$3:$AJ$3=D$4)*(Marks!$B$30:$AJ$30=1))/SUMPRODUCT((Marks!$B$3:$AJ$3=D$4)*ISNUMBER(Marks!$B$30:$AJ$30)))</f>
        <v/>
      </c>
      <c r="E30" s="6">
        <f>IF(SUMPRODUCT((Marks!$B$3:$AJ$3=E$4)*ISNUMBER(Marks!$B$30:$AJ$30))=0,"",SUMPRODUCT((Marks!$B$3:$AJ$3=E$4)*(Marks!$B$30:$AJ$30=1))/SUMPRODUCT((Marks!$B$3:$AJ$3=E$4)*ISNUMBER(Marks!$B$30:$AJ$30)))</f>
        <v/>
      </c>
    </row>
    <row r="31">
      <c r="A31" t="n">
        <v>27</v>
      </c>
      <c r="B31" s="6">
        <f>IF(SUMPRODUCT((Marks!$B$3:$AJ$3=B$4)*ISNUMBER(Marks!$B$31:$AJ$31))=0,"",SUMPRODUCT((Marks!$B$3:$AJ$3=B$4)*(Marks!$B$31:$AJ$31=1))/SUMPRODUCT((Marks!$B$3:$AJ$3=B$4)*ISNUMBER(Marks!$B$31:$AJ$31)))</f>
        <v/>
      </c>
      <c r="C31" s="6">
        <f>IF(SUMPRODUCT((Marks!$B$3:$AJ$3=C$4)*ISNUMBER(Marks!$B$31:$AJ$31))=0,"",SUMPRODUCT((Marks!$B$3:$AJ$3=C$4)*(Marks!$B$31:$AJ$31=1))/SUMPRODUCT((Marks!$B$3:$AJ$3=C$4)*ISNUMBER(Marks!$B$31:$AJ$31)))</f>
        <v/>
      </c>
      <c r="D31" s="6">
        <f>IF(SUMPRODUCT((Marks!$B$3:$AJ$3=D$4)*ISNUMBER(Marks!$B$31:$AJ$31))=0,"",SUMPRODUCT((Marks!$B$3:$AJ$3=D$4)*(Marks!$B$31:$AJ$31=1))/SUMPRODUCT((Marks!$B$3:$AJ$3=D$4)*ISNUMBER(Marks!$B$31:$AJ$31)))</f>
        <v/>
      </c>
      <c r="E31" s="6">
        <f>IF(SUMPRODUCT((Marks!$B$3:$AJ$3=E$4)*ISNUMBER(Marks!$B$31:$AJ$31))=0,"",SUMPRODUCT((Marks!$B$3:$AJ$3=E$4)*(Marks!$B$31:$AJ$31=1))/SUMPRODUCT((Marks!$B$3:$AJ$3=E$4)*ISNUMBER(Marks!$B$31:$AJ$31)))</f>
        <v/>
      </c>
    </row>
    <row r="32">
      <c r="A32" t="n">
        <v>28</v>
      </c>
      <c r="B32" s="6">
        <f>IF(SUMPRODUCT((Marks!$B$3:$AJ$3=B$4)*ISNUMBER(Marks!$B$32:$AJ$32))=0,"",SUMPRODUCT((Marks!$B$3:$AJ$3=B$4)*(Marks!$B$32:$AJ$32=1))/SUMPRODUCT((Marks!$B$3:$AJ$3=B$4)*ISNUMBER(Marks!$B$32:$AJ$32)))</f>
        <v/>
      </c>
      <c r="C32" s="6">
        <f>IF(SUMPRODUCT((Marks!$B$3:$AJ$3=C$4)*ISNUMBER(Marks!$B$32:$AJ$32))=0,"",SUMPRODUCT((Marks!$B$3:$AJ$3=C$4)*(Marks!$B$32:$AJ$32=1))/SUMPRODUCT((Marks!$B$3:$AJ$3=C$4)*ISNUMBER(Marks!$B$32:$AJ$32)))</f>
        <v/>
      </c>
      <c r="D32" s="6">
        <f>IF(SUMPRODUCT((Marks!$B$3:$AJ$3=D$4)*ISNUMBER(Marks!$B$32:$AJ$32))=0,"",SUMPRODUCT((Marks!$B$3:$AJ$3=D$4)*(Marks!$B$32:$AJ$32=1))/SUMPRODUCT((Marks!$B$3:$AJ$3=D$4)*ISNUMBER(Marks!$B$32:$AJ$32)))</f>
        <v/>
      </c>
      <c r="E32" s="6">
        <f>IF(SUMPRODUCT((Marks!$B$3:$AJ$3=E$4)*ISNUMBER(Marks!$B$32:$AJ$32))=0,"",SUMPRODUCT((Marks!$B$3:$AJ$3=E$4)*(Marks!$B$32:$AJ$32=1))/SUMPRODUCT((Marks!$B$3:$AJ$3=E$4)*ISNUMBER(Marks!$B$32:$AJ$32)))</f>
        <v/>
      </c>
    </row>
    <row r="33">
      <c r="A33" t="n">
        <v>29</v>
      </c>
      <c r="B33" s="6">
        <f>IF(SUMPRODUCT((Marks!$B$3:$AJ$3=B$4)*ISNUMBER(Marks!$B$33:$AJ$33))=0,"",SUMPRODUCT((Marks!$B$3:$AJ$3=B$4)*(Marks!$B$33:$AJ$33=1))/SUMPRODUCT((Marks!$B$3:$AJ$3=B$4)*ISNUMBER(Marks!$B$33:$AJ$33)))</f>
        <v/>
      </c>
      <c r="C33" s="6">
        <f>IF(SUMPRODUCT((Marks!$B$3:$AJ$3=C$4)*ISNUMBER(Marks!$B$33:$AJ$33))=0,"",SUMPRODUCT((Marks!$B$3:$AJ$3=C$4)*(Marks!$B$33:$AJ$33=1))/SUMPRODUCT((Marks!$B$3:$AJ$3=C$4)*ISNUMBER(Marks!$B$33:$AJ$33)))</f>
        <v/>
      </c>
      <c r="D33" s="6">
        <f>IF(SUMPRODUCT((Marks!$B$3:$AJ$3=D$4)*ISNUMBER(Marks!$B$33:$AJ$33))=0,"",SUMPRODUCT((Marks!$B$3:$AJ$3=D$4)*(Marks!$B$33:$AJ$33=1))/SUMPRODUCT((Marks!$B$3:$AJ$3=D$4)*ISNUMBER(Marks!$B$33:$AJ$33)))</f>
        <v/>
      </c>
      <c r="E33" s="6">
        <f>IF(SUMPRODUCT((Marks!$B$3:$AJ$3=E$4)*ISNUMBER(Marks!$B$33:$AJ$33))=0,"",SUMPRODUCT((Marks!$B$3:$AJ$3=E$4)*(Marks!$B$33:$AJ$33=1))/SUMPRODUCT((Marks!$B$3:$AJ$3=E$4)*ISNUMBER(Marks!$B$33:$AJ$33)))</f>
        <v/>
      </c>
    </row>
    <row r="34">
      <c r="A34" t="n">
        <v>30</v>
      </c>
      <c r="B34" s="6">
        <f>IF(SUMPRODUCT((Marks!$B$3:$AJ$3=B$4)*ISNUMBER(Marks!$B$34:$AJ$34))=0,"",SUMPRODUCT((Marks!$B$3:$AJ$3=B$4)*(Marks!$B$34:$AJ$34=1))/SUMPRODUCT((Marks!$B$3:$AJ$3=B$4)*ISNUMBER(Marks!$B$34:$AJ$34)))</f>
        <v/>
      </c>
      <c r="C34" s="6">
        <f>IF(SUMPRODUCT((Marks!$B$3:$AJ$3=C$4)*ISNUMBER(Marks!$B$34:$AJ$34))=0,"",SUMPRODUCT((Marks!$B$3:$AJ$3=C$4)*(Marks!$B$34:$AJ$34=1))/SUMPRODUCT((Marks!$B$3:$AJ$3=C$4)*ISNUMBER(Marks!$B$34:$AJ$34)))</f>
        <v/>
      </c>
      <c r="D34" s="6">
        <f>IF(SUMPRODUCT((Marks!$B$3:$AJ$3=D$4)*ISNUMBER(Marks!$B$34:$AJ$34))=0,"",SUMPRODUCT((Marks!$B$3:$AJ$3=D$4)*(Marks!$B$34:$AJ$34=1))/SUMPRODUCT((Marks!$B$3:$AJ$3=D$4)*ISNUMBER(Marks!$B$34:$AJ$34)))</f>
        <v/>
      </c>
      <c r="E34" s="6">
        <f>IF(SUMPRODUCT((Marks!$B$3:$AJ$3=E$4)*ISNUMBER(Marks!$B$34:$AJ$34))=0,"",SUMPRODUCT((Marks!$B$3:$AJ$3=E$4)*(Marks!$B$34:$AJ$34=1))/SUMPRODUCT((Marks!$B$3:$AJ$3=E$4)*ISNUMBER(Marks!$B$34:$AJ$34)))</f>
        <v/>
      </c>
    </row>
    <row r="35">
      <c r="A35" t="n">
        <v>31</v>
      </c>
      <c r="B35" s="6">
        <f>IF(SUMPRODUCT((Marks!$B$3:$AJ$3=B$4)*ISNUMBER(Marks!$B$35:$AJ$35))=0,"",SUMPRODUCT((Marks!$B$3:$AJ$3=B$4)*(Marks!$B$35:$AJ$35=1))/SUMPRODUCT((Marks!$B$3:$AJ$3=B$4)*ISNUMBER(Marks!$B$35:$AJ$35)))</f>
        <v/>
      </c>
      <c r="C35" s="6">
        <f>IF(SUMPRODUCT((Marks!$B$3:$AJ$3=C$4)*ISNUMBER(Marks!$B$35:$AJ$35))=0,"",SUMPRODUCT((Marks!$B$3:$AJ$3=C$4)*(Marks!$B$35:$AJ$35=1))/SUMPRODUCT((Marks!$B$3:$AJ$3=C$4)*ISNUMBER(Marks!$B$35:$AJ$35)))</f>
        <v/>
      </c>
      <c r="D35" s="6">
        <f>IF(SUMPRODUCT((Marks!$B$3:$AJ$3=D$4)*ISNUMBER(Marks!$B$35:$AJ$35))=0,"",SUMPRODUCT((Marks!$B$3:$AJ$3=D$4)*(Marks!$B$35:$AJ$35=1))/SUMPRODUCT((Marks!$B$3:$AJ$3=D$4)*ISNUMBER(Marks!$B$35:$AJ$35)))</f>
        <v/>
      </c>
      <c r="E35" s="6">
        <f>IF(SUMPRODUCT((Marks!$B$3:$AJ$3=E$4)*ISNUMBER(Marks!$B$35:$AJ$35))=0,"",SUMPRODUCT((Marks!$B$3:$AJ$3=E$4)*(Marks!$B$35:$AJ$35=1))/SUMPRODUCT((Marks!$B$3:$AJ$3=E$4)*ISNUMBER(Marks!$B$35:$AJ$35)))</f>
        <v/>
      </c>
    </row>
    <row r="36">
      <c r="A36" t="n">
        <v>32</v>
      </c>
      <c r="B36" s="6">
        <f>IF(SUMPRODUCT((Marks!$B$3:$AJ$3=B$4)*ISNUMBER(Marks!$B$36:$AJ$36))=0,"",SUMPRODUCT((Marks!$B$3:$AJ$3=B$4)*(Marks!$B$36:$AJ$36=1))/SUMPRODUCT((Marks!$B$3:$AJ$3=B$4)*ISNUMBER(Marks!$B$36:$AJ$36)))</f>
        <v/>
      </c>
      <c r="C36" s="6">
        <f>IF(SUMPRODUCT((Marks!$B$3:$AJ$3=C$4)*ISNUMBER(Marks!$B$36:$AJ$36))=0,"",SUMPRODUCT((Marks!$B$3:$AJ$3=C$4)*(Marks!$B$36:$AJ$36=1))/SUMPRODUCT((Marks!$B$3:$AJ$3=C$4)*ISNUMBER(Marks!$B$36:$AJ$36)))</f>
        <v/>
      </c>
      <c r="D36" s="6">
        <f>IF(SUMPRODUCT((Marks!$B$3:$AJ$3=D$4)*ISNUMBER(Marks!$B$36:$AJ$36))=0,"",SUMPRODUCT((Marks!$B$3:$AJ$3=D$4)*(Marks!$B$36:$AJ$36=1))/SUMPRODUCT((Marks!$B$3:$AJ$3=D$4)*ISNUMBER(Marks!$B$36:$AJ$36)))</f>
        <v/>
      </c>
      <c r="E36" s="6">
        <f>IF(SUMPRODUCT((Marks!$B$3:$AJ$3=E$4)*ISNUMBER(Marks!$B$36:$AJ$36))=0,"",SUMPRODUCT((Marks!$B$3:$AJ$3=E$4)*(Marks!$B$36:$AJ$36=1))/SUMPRODUCT((Marks!$B$3:$AJ$3=E$4)*ISNUMBER(Marks!$B$36:$AJ$36)))</f>
        <v/>
      </c>
    </row>
    <row r="37">
      <c r="A37" t="n">
        <v>33</v>
      </c>
      <c r="B37" s="6">
        <f>IF(SUMPRODUCT((Marks!$B$3:$AJ$3=B$4)*ISNUMBER(Marks!$B$37:$AJ$37))=0,"",SUMPRODUCT((Marks!$B$3:$AJ$3=B$4)*(Marks!$B$37:$AJ$37=1))/SUMPRODUCT((Marks!$B$3:$AJ$3=B$4)*ISNUMBER(Marks!$B$37:$AJ$37)))</f>
        <v/>
      </c>
      <c r="C37" s="6">
        <f>IF(SUMPRODUCT((Marks!$B$3:$AJ$3=C$4)*ISNUMBER(Marks!$B$37:$AJ$37))=0,"",SUMPRODUCT((Marks!$B$3:$AJ$3=C$4)*(Marks!$B$37:$AJ$37=1))/SUMPRODUCT((Marks!$B$3:$AJ$3=C$4)*ISNUMBER(Marks!$B$37:$AJ$37)))</f>
        <v/>
      </c>
      <c r="D37" s="6">
        <f>IF(SUMPRODUCT((Marks!$B$3:$AJ$3=D$4)*ISNUMBER(Marks!$B$37:$AJ$37))=0,"",SUMPRODUCT((Marks!$B$3:$AJ$3=D$4)*(Marks!$B$37:$AJ$37=1))/SUMPRODUCT((Marks!$B$3:$AJ$3=D$4)*ISNUMBER(Marks!$B$37:$AJ$37)))</f>
        <v/>
      </c>
      <c r="E37" s="6">
        <f>IF(SUMPRODUCT((Marks!$B$3:$AJ$3=E$4)*ISNUMBER(Marks!$B$37:$AJ$37))=0,"",SUMPRODUCT((Marks!$B$3:$AJ$3=E$4)*(Marks!$B$37:$AJ$37=1))/SUMPRODUCT((Marks!$B$3:$AJ$3=E$4)*ISNUMBER(Marks!$B$37:$AJ$37)))</f>
        <v/>
      </c>
    </row>
    <row r="38">
      <c r="A38" t="n">
        <v>34</v>
      </c>
      <c r="B38" s="6">
        <f>IF(SUMPRODUCT((Marks!$B$3:$AJ$3=B$4)*ISNUMBER(Marks!$B$38:$AJ$38))=0,"",SUMPRODUCT((Marks!$B$3:$AJ$3=B$4)*(Marks!$B$38:$AJ$38=1))/SUMPRODUCT((Marks!$B$3:$AJ$3=B$4)*ISNUMBER(Marks!$B$38:$AJ$38)))</f>
        <v/>
      </c>
      <c r="C38" s="6">
        <f>IF(SUMPRODUCT((Marks!$B$3:$AJ$3=C$4)*ISNUMBER(Marks!$B$38:$AJ$38))=0,"",SUMPRODUCT((Marks!$B$3:$AJ$3=C$4)*(Marks!$B$38:$AJ$38=1))/SUMPRODUCT((Marks!$B$3:$AJ$3=C$4)*ISNUMBER(Marks!$B$38:$AJ$38)))</f>
        <v/>
      </c>
      <c r="D38" s="6">
        <f>IF(SUMPRODUCT((Marks!$B$3:$AJ$3=D$4)*ISNUMBER(Marks!$B$38:$AJ$38))=0,"",SUMPRODUCT((Marks!$B$3:$AJ$3=D$4)*(Marks!$B$38:$AJ$38=1))/SUMPRODUCT((Marks!$B$3:$AJ$3=D$4)*ISNUMBER(Marks!$B$38:$AJ$38)))</f>
        <v/>
      </c>
      <c r="E38" s="6">
        <f>IF(SUMPRODUCT((Marks!$B$3:$AJ$3=E$4)*ISNUMBER(Marks!$B$38:$AJ$38))=0,"",SUMPRODUCT((Marks!$B$3:$AJ$3=E$4)*(Marks!$B$38:$AJ$38=1))/SUMPRODUCT((Marks!$B$3:$AJ$3=E$4)*ISNUMBER(Marks!$B$38:$AJ$38)))</f>
        <v/>
      </c>
    </row>
    <row r="39">
      <c r="A39" t="n">
        <v>35</v>
      </c>
      <c r="B39" s="6">
        <f>IF(SUMPRODUCT((Marks!$B$3:$AJ$3=B$4)*ISNUMBER(Marks!$B$39:$AJ$39))=0,"",SUMPRODUCT((Marks!$B$3:$AJ$3=B$4)*(Marks!$B$39:$AJ$39=1))/SUMPRODUCT((Marks!$B$3:$AJ$3=B$4)*ISNUMBER(Marks!$B$39:$AJ$39)))</f>
        <v/>
      </c>
      <c r="C39" s="6">
        <f>IF(SUMPRODUCT((Marks!$B$3:$AJ$3=C$4)*ISNUMBER(Marks!$B$39:$AJ$39))=0,"",SUMPRODUCT((Marks!$B$3:$AJ$3=C$4)*(Marks!$B$39:$AJ$39=1))/SUMPRODUCT((Marks!$B$3:$AJ$3=C$4)*ISNUMBER(Marks!$B$39:$AJ$39)))</f>
        <v/>
      </c>
      <c r="D39" s="6">
        <f>IF(SUMPRODUCT((Marks!$B$3:$AJ$3=D$4)*ISNUMBER(Marks!$B$39:$AJ$39))=0,"",SUMPRODUCT((Marks!$B$3:$AJ$3=D$4)*(Marks!$B$39:$AJ$39=1))/SUMPRODUCT((Marks!$B$3:$AJ$3=D$4)*ISNUMBER(Marks!$B$39:$AJ$39)))</f>
        <v/>
      </c>
      <c r="E39" s="6">
        <f>IF(SUMPRODUCT((Marks!$B$3:$AJ$3=E$4)*ISNUMBER(Marks!$B$39:$AJ$39))=0,"",SUMPRODUCT((Marks!$B$3:$AJ$3=E$4)*(Marks!$B$39:$AJ$39=1))/SUMPRODUCT((Marks!$B$3:$AJ$3=E$4)*ISNUMBER(Marks!$B$39:$AJ$39)))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</cols>
  <sheetData>
    <row r="1">
      <c r="A1" s="3" t="inlineStr">
        <is>
          <t>Step one: each part's rating beside its score</t>
        </is>
      </c>
    </row>
    <row r="2">
      <c r="A2" t="inlineStr">
        <is>
          <t>Type each seat's ratings, 1 to 4, from the answer sheet; the rates on the right are computed.</t>
        </is>
      </c>
    </row>
    <row r="3">
      <c r="B3" t="n">
        <v>1</v>
      </c>
      <c r="C3" t="n">
        <v>2</v>
      </c>
      <c r="D3" t="n">
        <v>3</v>
      </c>
      <c r="E3" t="n">
        <v>4</v>
      </c>
      <c r="F3" t="n">
        <v>5</v>
      </c>
      <c r="H3" t="n">
        <v>1</v>
      </c>
      <c r="I3" t="n">
        <v>2</v>
      </c>
      <c r="J3" t="n">
        <v>3</v>
      </c>
      <c r="K3" t="n">
        <v>4</v>
      </c>
      <c r="L3" t="n">
        <v>5</v>
      </c>
    </row>
    <row r="4">
      <c r="A4" s="4" t="inlineStr">
        <is>
          <t>Seat</t>
        </is>
      </c>
      <c r="B4" s="4" t="inlineStr">
        <is>
          <t>Rating, part 1</t>
        </is>
      </c>
      <c r="C4" s="4" t="inlineStr">
        <is>
          <t>Rating, part 2</t>
        </is>
      </c>
      <c r="D4" s="4" t="inlineStr">
        <is>
          <t>Rating, part 3</t>
        </is>
      </c>
      <c r="E4" s="4" t="inlineStr">
        <is>
          <t>Rating, part 4</t>
        </is>
      </c>
      <c r="F4" s="4" t="inlineStr">
        <is>
          <t>Rating, part 5</t>
        </is>
      </c>
      <c r="H4" s="4" t="inlineStr">
        <is>
          <t>Right rate, part 1</t>
        </is>
      </c>
      <c r="I4" s="4" t="inlineStr">
        <is>
          <t>Right rate, part 2</t>
        </is>
      </c>
      <c r="J4" s="4" t="inlineStr">
        <is>
          <t>Right rate, part 3</t>
        </is>
      </c>
      <c r="K4" s="4" t="inlineStr">
        <is>
          <t>Right rate, part 4</t>
        </is>
      </c>
      <c r="L4" s="4" t="inlineStr">
        <is>
          <t>Right rate, part 5</t>
        </is>
      </c>
    </row>
    <row r="5">
      <c r="A5" t="n">
        <v>1</v>
      </c>
      <c r="B5" s="5" t="n"/>
      <c r="C5" s="5" t="n"/>
      <c r="D5" s="5" t="n"/>
      <c r="E5" s="5" t="n"/>
      <c r="F5" s="5" t="n"/>
      <c r="H5" s="6">
        <f>IF(SUMPRODUCT((Marks!$B$2:$AJ$2=H$3)*ISNUMBER(Marks!$B$5:$AJ$5))=0,"",SUMPRODUCT((Marks!$B$2:$AJ$2=H$3)*(Marks!$B$5:$AJ$5=1))/SUMPRODUCT((Marks!$B$2:$AJ$2=H$3)*ISNUMBER(Marks!$B$5:$AJ$5)))</f>
        <v/>
      </c>
      <c r="I5" s="6">
        <f>IF(SUMPRODUCT((Marks!$B$2:$AJ$2=I$3)*ISNUMBER(Marks!$B$5:$AJ$5))=0,"",SUMPRODUCT((Marks!$B$2:$AJ$2=I$3)*(Marks!$B$5:$AJ$5=1))/SUMPRODUCT((Marks!$B$2:$AJ$2=I$3)*ISNUMBER(Marks!$B$5:$AJ$5)))</f>
        <v/>
      </c>
      <c r="J5" s="6">
        <f>IF(SUMPRODUCT((Marks!$B$2:$AJ$2=J$3)*ISNUMBER(Marks!$B$5:$AJ$5))=0,"",SUMPRODUCT((Marks!$B$2:$AJ$2=J$3)*(Marks!$B$5:$AJ$5=1))/SUMPRODUCT((Marks!$B$2:$AJ$2=J$3)*ISNUMBER(Marks!$B$5:$AJ$5)))</f>
        <v/>
      </c>
      <c r="K5" s="6">
        <f>IF(SUMPRODUCT((Marks!$B$2:$AJ$2=K$3)*ISNUMBER(Marks!$B$5:$AJ$5))=0,"",SUMPRODUCT((Marks!$B$2:$AJ$2=K$3)*(Marks!$B$5:$AJ$5=1))/SUMPRODUCT((Marks!$B$2:$AJ$2=K$3)*ISNUMBER(Marks!$B$5:$AJ$5)))</f>
        <v/>
      </c>
      <c r="L5" s="6">
        <f>IF(SUMPRODUCT((Marks!$B$2:$AJ$2=L$3)*ISNUMBER(Marks!$B$5:$AJ$5))=0,"",SUMPRODUCT((Marks!$B$2:$AJ$2=L$3)*(Marks!$B$5:$AJ$5=1))/SUMPRODUCT((Marks!$B$2:$AJ$2=L$3)*ISNUMBER(Marks!$B$5:$AJ$5)))</f>
        <v/>
      </c>
    </row>
    <row r="6">
      <c r="A6" t="n">
        <v>2</v>
      </c>
      <c r="B6" s="5" t="n"/>
      <c r="C6" s="5" t="n"/>
      <c r="D6" s="5" t="n"/>
      <c r="E6" s="5" t="n"/>
      <c r="F6" s="5" t="n"/>
      <c r="H6" s="6">
        <f>IF(SUMPRODUCT((Marks!$B$2:$AJ$2=H$3)*ISNUMBER(Marks!$B$6:$AJ$6))=0,"",SUMPRODUCT((Marks!$B$2:$AJ$2=H$3)*(Marks!$B$6:$AJ$6=1))/SUMPRODUCT((Marks!$B$2:$AJ$2=H$3)*ISNUMBER(Marks!$B$6:$AJ$6)))</f>
        <v/>
      </c>
      <c r="I6" s="6">
        <f>IF(SUMPRODUCT((Marks!$B$2:$AJ$2=I$3)*ISNUMBER(Marks!$B$6:$AJ$6))=0,"",SUMPRODUCT((Marks!$B$2:$AJ$2=I$3)*(Marks!$B$6:$AJ$6=1))/SUMPRODUCT((Marks!$B$2:$AJ$2=I$3)*ISNUMBER(Marks!$B$6:$AJ$6)))</f>
        <v/>
      </c>
      <c r="J6" s="6">
        <f>IF(SUMPRODUCT((Marks!$B$2:$AJ$2=J$3)*ISNUMBER(Marks!$B$6:$AJ$6))=0,"",SUMPRODUCT((Marks!$B$2:$AJ$2=J$3)*(Marks!$B$6:$AJ$6=1))/SUMPRODUCT((Marks!$B$2:$AJ$2=J$3)*ISNUMBER(Marks!$B$6:$AJ$6)))</f>
        <v/>
      </c>
      <c r="K6" s="6">
        <f>IF(SUMPRODUCT((Marks!$B$2:$AJ$2=K$3)*ISNUMBER(Marks!$B$6:$AJ$6))=0,"",SUMPRODUCT((Marks!$B$2:$AJ$2=K$3)*(Marks!$B$6:$AJ$6=1))/SUMPRODUCT((Marks!$B$2:$AJ$2=K$3)*ISNUMBER(Marks!$B$6:$AJ$6)))</f>
        <v/>
      </c>
      <c r="L6" s="6">
        <f>IF(SUMPRODUCT((Marks!$B$2:$AJ$2=L$3)*ISNUMBER(Marks!$B$6:$AJ$6))=0,"",SUMPRODUCT((Marks!$B$2:$AJ$2=L$3)*(Marks!$B$6:$AJ$6=1))/SUMPRODUCT((Marks!$B$2:$AJ$2=L$3)*ISNUMBER(Marks!$B$6:$AJ$6)))</f>
        <v/>
      </c>
    </row>
    <row r="7">
      <c r="A7" t="n">
        <v>3</v>
      </c>
      <c r="B7" s="5" t="n"/>
      <c r="C7" s="5" t="n"/>
      <c r="D7" s="5" t="n"/>
      <c r="E7" s="5" t="n"/>
      <c r="F7" s="5" t="n"/>
      <c r="H7" s="6">
        <f>IF(SUMPRODUCT((Marks!$B$2:$AJ$2=H$3)*ISNUMBER(Marks!$B$7:$AJ$7))=0,"",SUMPRODUCT((Marks!$B$2:$AJ$2=H$3)*(Marks!$B$7:$AJ$7=1))/SUMPRODUCT((Marks!$B$2:$AJ$2=H$3)*ISNUMBER(Marks!$B$7:$AJ$7)))</f>
        <v/>
      </c>
      <c r="I7" s="6">
        <f>IF(SUMPRODUCT((Marks!$B$2:$AJ$2=I$3)*ISNUMBER(Marks!$B$7:$AJ$7))=0,"",SUMPRODUCT((Marks!$B$2:$AJ$2=I$3)*(Marks!$B$7:$AJ$7=1))/SUMPRODUCT((Marks!$B$2:$AJ$2=I$3)*ISNUMBER(Marks!$B$7:$AJ$7)))</f>
        <v/>
      </c>
      <c r="J7" s="6">
        <f>IF(SUMPRODUCT((Marks!$B$2:$AJ$2=J$3)*ISNUMBER(Marks!$B$7:$AJ$7))=0,"",SUMPRODUCT((Marks!$B$2:$AJ$2=J$3)*(Marks!$B$7:$AJ$7=1))/SUMPRODUCT((Marks!$B$2:$AJ$2=J$3)*ISNUMBER(Marks!$B$7:$AJ$7)))</f>
        <v/>
      </c>
      <c r="K7" s="6">
        <f>IF(SUMPRODUCT((Marks!$B$2:$AJ$2=K$3)*ISNUMBER(Marks!$B$7:$AJ$7))=0,"",SUMPRODUCT((Marks!$B$2:$AJ$2=K$3)*(Marks!$B$7:$AJ$7=1))/SUMPRODUCT((Marks!$B$2:$AJ$2=K$3)*ISNUMBER(Marks!$B$7:$AJ$7)))</f>
        <v/>
      </c>
      <c r="L7" s="6">
        <f>IF(SUMPRODUCT((Marks!$B$2:$AJ$2=L$3)*ISNUMBER(Marks!$B$7:$AJ$7))=0,"",SUMPRODUCT((Marks!$B$2:$AJ$2=L$3)*(Marks!$B$7:$AJ$7=1))/SUMPRODUCT((Marks!$B$2:$AJ$2=L$3)*ISNUMBER(Marks!$B$7:$AJ$7)))</f>
        <v/>
      </c>
    </row>
    <row r="8">
      <c r="A8" t="n">
        <v>4</v>
      </c>
      <c r="B8" s="5" t="n"/>
      <c r="C8" s="5" t="n"/>
      <c r="D8" s="5" t="n"/>
      <c r="E8" s="5" t="n"/>
      <c r="F8" s="5" t="n"/>
      <c r="H8" s="6">
        <f>IF(SUMPRODUCT((Marks!$B$2:$AJ$2=H$3)*ISNUMBER(Marks!$B$8:$AJ$8))=0,"",SUMPRODUCT((Marks!$B$2:$AJ$2=H$3)*(Marks!$B$8:$AJ$8=1))/SUMPRODUCT((Marks!$B$2:$AJ$2=H$3)*ISNUMBER(Marks!$B$8:$AJ$8)))</f>
        <v/>
      </c>
      <c r="I8" s="6">
        <f>IF(SUMPRODUCT((Marks!$B$2:$AJ$2=I$3)*ISNUMBER(Marks!$B$8:$AJ$8))=0,"",SUMPRODUCT((Marks!$B$2:$AJ$2=I$3)*(Marks!$B$8:$AJ$8=1))/SUMPRODUCT((Marks!$B$2:$AJ$2=I$3)*ISNUMBER(Marks!$B$8:$AJ$8)))</f>
        <v/>
      </c>
      <c r="J8" s="6">
        <f>IF(SUMPRODUCT((Marks!$B$2:$AJ$2=J$3)*ISNUMBER(Marks!$B$8:$AJ$8))=0,"",SUMPRODUCT((Marks!$B$2:$AJ$2=J$3)*(Marks!$B$8:$AJ$8=1))/SUMPRODUCT((Marks!$B$2:$AJ$2=J$3)*ISNUMBER(Marks!$B$8:$AJ$8)))</f>
        <v/>
      </c>
      <c r="K8" s="6">
        <f>IF(SUMPRODUCT((Marks!$B$2:$AJ$2=K$3)*ISNUMBER(Marks!$B$8:$AJ$8))=0,"",SUMPRODUCT((Marks!$B$2:$AJ$2=K$3)*(Marks!$B$8:$AJ$8=1))/SUMPRODUCT((Marks!$B$2:$AJ$2=K$3)*ISNUMBER(Marks!$B$8:$AJ$8)))</f>
        <v/>
      </c>
      <c r="L8" s="6">
        <f>IF(SUMPRODUCT((Marks!$B$2:$AJ$2=L$3)*ISNUMBER(Marks!$B$8:$AJ$8))=0,"",SUMPRODUCT((Marks!$B$2:$AJ$2=L$3)*(Marks!$B$8:$AJ$8=1))/SUMPRODUCT((Marks!$B$2:$AJ$2=L$3)*ISNUMBER(Marks!$B$8:$AJ$8)))</f>
        <v/>
      </c>
    </row>
    <row r="9">
      <c r="A9" t="n">
        <v>5</v>
      </c>
      <c r="B9" s="5" t="n"/>
      <c r="C9" s="5" t="n"/>
      <c r="D9" s="5" t="n"/>
      <c r="E9" s="5" t="n"/>
      <c r="F9" s="5" t="n"/>
      <c r="H9" s="6">
        <f>IF(SUMPRODUCT((Marks!$B$2:$AJ$2=H$3)*ISNUMBER(Marks!$B$9:$AJ$9))=0,"",SUMPRODUCT((Marks!$B$2:$AJ$2=H$3)*(Marks!$B$9:$AJ$9=1))/SUMPRODUCT((Marks!$B$2:$AJ$2=H$3)*ISNUMBER(Marks!$B$9:$AJ$9)))</f>
        <v/>
      </c>
      <c r="I9" s="6">
        <f>IF(SUMPRODUCT((Marks!$B$2:$AJ$2=I$3)*ISNUMBER(Marks!$B$9:$AJ$9))=0,"",SUMPRODUCT((Marks!$B$2:$AJ$2=I$3)*(Marks!$B$9:$AJ$9=1))/SUMPRODUCT((Marks!$B$2:$AJ$2=I$3)*ISNUMBER(Marks!$B$9:$AJ$9)))</f>
        <v/>
      </c>
      <c r="J9" s="6">
        <f>IF(SUMPRODUCT((Marks!$B$2:$AJ$2=J$3)*ISNUMBER(Marks!$B$9:$AJ$9))=0,"",SUMPRODUCT((Marks!$B$2:$AJ$2=J$3)*(Marks!$B$9:$AJ$9=1))/SUMPRODUCT((Marks!$B$2:$AJ$2=J$3)*ISNUMBER(Marks!$B$9:$AJ$9)))</f>
        <v/>
      </c>
      <c r="K9" s="6">
        <f>IF(SUMPRODUCT((Marks!$B$2:$AJ$2=K$3)*ISNUMBER(Marks!$B$9:$AJ$9))=0,"",SUMPRODUCT((Marks!$B$2:$AJ$2=K$3)*(Marks!$B$9:$AJ$9=1))/SUMPRODUCT((Marks!$B$2:$AJ$2=K$3)*ISNUMBER(Marks!$B$9:$AJ$9)))</f>
        <v/>
      </c>
      <c r="L9" s="6">
        <f>IF(SUMPRODUCT((Marks!$B$2:$AJ$2=L$3)*ISNUMBER(Marks!$B$9:$AJ$9))=0,"",SUMPRODUCT((Marks!$B$2:$AJ$2=L$3)*(Marks!$B$9:$AJ$9=1))/SUMPRODUCT((Marks!$B$2:$AJ$2=L$3)*ISNUMBER(Marks!$B$9:$AJ$9)))</f>
        <v/>
      </c>
    </row>
    <row r="10">
      <c r="A10" t="n">
        <v>6</v>
      </c>
      <c r="B10" s="5" t="n"/>
      <c r="C10" s="5" t="n"/>
      <c r="D10" s="5" t="n"/>
      <c r="E10" s="5" t="n"/>
      <c r="F10" s="5" t="n"/>
      <c r="H10" s="6">
        <f>IF(SUMPRODUCT((Marks!$B$2:$AJ$2=H$3)*ISNUMBER(Marks!$B$10:$AJ$10))=0,"",SUMPRODUCT((Marks!$B$2:$AJ$2=H$3)*(Marks!$B$10:$AJ$10=1))/SUMPRODUCT((Marks!$B$2:$AJ$2=H$3)*ISNUMBER(Marks!$B$10:$AJ$10)))</f>
        <v/>
      </c>
      <c r="I10" s="6">
        <f>IF(SUMPRODUCT((Marks!$B$2:$AJ$2=I$3)*ISNUMBER(Marks!$B$10:$AJ$10))=0,"",SUMPRODUCT((Marks!$B$2:$AJ$2=I$3)*(Marks!$B$10:$AJ$10=1))/SUMPRODUCT((Marks!$B$2:$AJ$2=I$3)*ISNUMBER(Marks!$B$10:$AJ$10)))</f>
        <v/>
      </c>
      <c r="J10" s="6">
        <f>IF(SUMPRODUCT((Marks!$B$2:$AJ$2=J$3)*ISNUMBER(Marks!$B$10:$AJ$10))=0,"",SUMPRODUCT((Marks!$B$2:$AJ$2=J$3)*(Marks!$B$10:$AJ$10=1))/SUMPRODUCT((Marks!$B$2:$AJ$2=J$3)*ISNUMBER(Marks!$B$10:$AJ$10)))</f>
        <v/>
      </c>
      <c r="K10" s="6">
        <f>IF(SUMPRODUCT((Marks!$B$2:$AJ$2=K$3)*ISNUMBER(Marks!$B$10:$AJ$10))=0,"",SUMPRODUCT((Marks!$B$2:$AJ$2=K$3)*(Marks!$B$10:$AJ$10=1))/SUMPRODUCT((Marks!$B$2:$AJ$2=K$3)*ISNUMBER(Marks!$B$10:$AJ$10)))</f>
        <v/>
      </c>
      <c r="L10" s="6">
        <f>IF(SUMPRODUCT((Marks!$B$2:$AJ$2=L$3)*ISNUMBER(Marks!$B$10:$AJ$10))=0,"",SUMPRODUCT((Marks!$B$2:$AJ$2=L$3)*(Marks!$B$10:$AJ$10=1))/SUMPRODUCT((Marks!$B$2:$AJ$2=L$3)*ISNUMBER(Marks!$B$10:$AJ$10)))</f>
        <v/>
      </c>
    </row>
    <row r="11">
      <c r="A11" t="n">
        <v>7</v>
      </c>
      <c r="B11" s="5" t="n"/>
      <c r="C11" s="5" t="n"/>
      <c r="D11" s="5" t="n"/>
      <c r="E11" s="5" t="n"/>
      <c r="F11" s="5" t="n"/>
      <c r="H11" s="6">
        <f>IF(SUMPRODUCT((Marks!$B$2:$AJ$2=H$3)*ISNUMBER(Marks!$B$11:$AJ$11))=0,"",SUMPRODUCT((Marks!$B$2:$AJ$2=H$3)*(Marks!$B$11:$AJ$11=1))/SUMPRODUCT((Marks!$B$2:$AJ$2=H$3)*ISNUMBER(Marks!$B$11:$AJ$11)))</f>
        <v/>
      </c>
      <c r="I11" s="6">
        <f>IF(SUMPRODUCT((Marks!$B$2:$AJ$2=I$3)*ISNUMBER(Marks!$B$11:$AJ$11))=0,"",SUMPRODUCT((Marks!$B$2:$AJ$2=I$3)*(Marks!$B$11:$AJ$11=1))/SUMPRODUCT((Marks!$B$2:$AJ$2=I$3)*ISNUMBER(Marks!$B$11:$AJ$11)))</f>
        <v/>
      </c>
      <c r="J11" s="6">
        <f>IF(SUMPRODUCT((Marks!$B$2:$AJ$2=J$3)*ISNUMBER(Marks!$B$11:$AJ$11))=0,"",SUMPRODUCT((Marks!$B$2:$AJ$2=J$3)*(Marks!$B$11:$AJ$11=1))/SUMPRODUCT((Marks!$B$2:$AJ$2=J$3)*ISNUMBER(Marks!$B$11:$AJ$11)))</f>
        <v/>
      </c>
      <c r="K11" s="6">
        <f>IF(SUMPRODUCT((Marks!$B$2:$AJ$2=K$3)*ISNUMBER(Marks!$B$11:$AJ$11))=0,"",SUMPRODUCT((Marks!$B$2:$AJ$2=K$3)*(Marks!$B$11:$AJ$11=1))/SUMPRODUCT((Marks!$B$2:$AJ$2=K$3)*ISNUMBER(Marks!$B$11:$AJ$11)))</f>
        <v/>
      </c>
      <c r="L11" s="6">
        <f>IF(SUMPRODUCT((Marks!$B$2:$AJ$2=L$3)*ISNUMBER(Marks!$B$11:$AJ$11))=0,"",SUMPRODUCT((Marks!$B$2:$AJ$2=L$3)*(Marks!$B$11:$AJ$11=1))/SUMPRODUCT((Marks!$B$2:$AJ$2=L$3)*ISNUMBER(Marks!$B$11:$AJ$11)))</f>
        <v/>
      </c>
    </row>
    <row r="12">
      <c r="A12" t="n">
        <v>8</v>
      </c>
      <c r="B12" s="5" t="n"/>
      <c r="C12" s="5" t="n"/>
      <c r="D12" s="5" t="n"/>
      <c r="E12" s="5" t="n"/>
      <c r="F12" s="5" t="n"/>
      <c r="H12" s="6">
        <f>IF(SUMPRODUCT((Marks!$B$2:$AJ$2=H$3)*ISNUMBER(Marks!$B$12:$AJ$12))=0,"",SUMPRODUCT((Marks!$B$2:$AJ$2=H$3)*(Marks!$B$12:$AJ$12=1))/SUMPRODUCT((Marks!$B$2:$AJ$2=H$3)*ISNUMBER(Marks!$B$12:$AJ$12)))</f>
        <v/>
      </c>
      <c r="I12" s="6">
        <f>IF(SUMPRODUCT((Marks!$B$2:$AJ$2=I$3)*ISNUMBER(Marks!$B$12:$AJ$12))=0,"",SUMPRODUCT((Marks!$B$2:$AJ$2=I$3)*(Marks!$B$12:$AJ$12=1))/SUMPRODUCT((Marks!$B$2:$AJ$2=I$3)*ISNUMBER(Marks!$B$12:$AJ$12)))</f>
        <v/>
      </c>
      <c r="J12" s="6">
        <f>IF(SUMPRODUCT((Marks!$B$2:$AJ$2=J$3)*ISNUMBER(Marks!$B$12:$AJ$12))=0,"",SUMPRODUCT((Marks!$B$2:$AJ$2=J$3)*(Marks!$B$12:$AJ$12=1))/SUMPRODUCT((Marks!$B$2:$AJ$2=J$3)*ISNUMBER(Marks!$B$12:$AJ$12)))</f>
        <v/>
      </c>
      <c r="K12" s="6">
        <f>IF(SUMPRODUCT((Marks!$B$2:$AJ$2=K$3)*ISNUMBER(Marks!$B$12:$AJ$12))=0,"",SUMPRODUCT((Marks!$B$2:$AJ$2=K$3)*(Marks!$B$12:$AJ$12=1))/SUMPRODUCT((Marks!$B$2:$AJ$2=K$3)*ISNUMBER(Marks!$B$12:$AJ$12)))</f>
        <v/>
      </c>
      <c r="L12" s="6">
        <f>IF(SUMPRODUCT((Marks!$B$2:$AJ$2=L$3)*ISNUMBER(Marks!$B$12:$AJ$12))=0,"",SUMPRODUCT((Marks!$B$2:$AJ$2=L$3)*(Marks!$B$12:$AJ$12=1))/SUMPRODUCT((Marks!$B$2:$AJ$2=L$3)*ISNUMBER(Marks!$B$12:$AJ$12)))</f>
        <v/>
      </c>
    </row>
    <row r="13">
      <c r="A13" t="n">
        <v>9</v>
      </c>
      <c r="B13" s="5" t="n"/>
      <c r="C13" s="5" t="n"/>
      <c r="D13" s="5" t="n"/>
      <c r="E13" s="5" t="n"/>
      <c r="F13" s="5" t="n"/>
      <c r="H13" s="6">
        <f>IF(SUMPRODUCT((Marks!$B$2:$AJ$2=H$3)*ISNUMBER(Marks!$B$13:$AJ$13))=0,"",SUMPRODUCT((Marks!$B$2:$AJ$2=H$3)*(Marks!$B$13:$AJ$13=1))/SUMPRODUCT((Marks!$B$2:$AJ$2=H$3)*ISNUMBER(Marks!$B$13:$AJ$13)))</f>
        <v/>
      </c>
      <c r="I13" s="6">
        <f>IF(SUMPRODUCT((Marks!$B$2:$AJ$2=I$3)*ISNUMBER(Marks!$B$13:$AJ$13))=0,"",SUMPRODUCT((Marks!$B$2:$AJ$2=I$3)*(Marks!$B$13:$AJ$13=1))/SUMPRODUCT((Marks!$B$2:$AJ$2=I$3)*ISNUMBER(Marks!$B$13:$AJ$13)))</f>
        <v/>
      </c>
      <c r="J13" s="6">
        <f>IF(SUMPRODUCT((Marks!$B$2:$AJ$2=J$3)*ISNUMBER(Marks!$B$13:$AJ$13))=0,"",SUMPRODUCT((Marks!$B$2:$AJ$2=J$3)*(Marks!$B$13:$AJ$13=1))/SUMPRODUCT((Marks!$B$2:$AJ$2=J$3)*ISNUMBER(Marks!$B$13:$AJ$13)))</f>
        <v/>
      </c>
      <c r="K13" s="6">
        <f>IF(SUMPRODUCT((Marks!$B$2:$AJ$2=K$3)*ISNUMBER(Marks!$B$13:$AJ$13))=0,"",SUMPRODUCT((Marks!$B$2:$AJ$2=K$3)*(Marks!$B$13:$AJ$13=1))/SUMPRODUCT((Marks!$B$2:$AJ$2=K$3)*ISNUMBER(Marks!$B$13:$AJ$13)))</f>
        <v/>
      </c>
      <c r="L13" s="6">
        <f>IF(SUMPRODUCT((Marks!$B$2:$AJ$2=L$3)*ISNUMBER(Marks!$B$13:$AJ$13))=0,"",SUMPRODUCT((Marks!$B$2:$AJ$2=L$3)*(Marks!$B$13:$AJ$13=1))/SUMPRODUCT((Marks!$B$2:$AJ$2=L$3)*ISNUMBER(Marks!$B$13:$AJ$13)))</f>
        <v/>
      </c>
    </row>
    <row r="14">
      <c r="A14" t="n">
        <v>10</v>
      </c>
      <c r="B14" s="5" t="n"/>
      <c r="C14" s="5" t="n"/>
      <c r="D14" s="5" t="n"/>
      <c r="E14" s="5" t="n"/>
      <c r="F14" s="5" t="n"/>
      <c r="H14" s="6">
        <f>IF(SUMPRODUCT((Marks!$B$2:$AJ$2=H$3)*ISNUMBER(Marks!$B$14:$AJ$14))=0,"",SUMPRODUCT((Marks!$B$2:$AJ$2=H$3)*(Marks!$B$14:$AJ$14=1))/SUMPRODUCT((Marks!$B$2:$AJ$2=H$3)*ISNUMBER(Marks!$B$14:$AJ$14)))</f>
        <v/>
      </c>
      <c r="I14" s="6">
        <f>IF(SUMPRODUCT((Marks!$B$2:$AJ$2=I$3)*ISNUMBER(Marks!$B$14:$AJ$14))=0,"",SUMPRODUCT((Marks!$B$2:$AJ$2=I$3)*(Marks!$B$14:$AJ$14=1))/SUMPRODUCT((Marks!$B$2:$AJ$2=I$3)*ISNUMBER(Marks!$B$14:$AJ$14)))</f>
        <v/>
      </c>
      <c r="J14" s="6">
        <f>IF(SUMPRODUCT((Marks!$B$2:$AJ$2=J$3)*ISNUMBER(Marks!$B$14:$AJ$14))=0,"",SUMPRODUCT((Marks!$B$2:$AJ$2=J$3)*(Marks!$B$14:$AJ$14=1))/SUMPRODUCT((Marks!$B$2:$AJ$2=J$3)*ISNUMBER(Marks!$B$14:$AJ$14)))</f>
        <v/>
      </c>
      <c r="K14" s="6">
        <f>IF(SUMPRODUCT((Marks!$B$2:$AJ$2=K$3)*ISNUMBER(Marks!$B$14:$AJ$14))=0,"",SUMPRODUCT((Marks!$B$2:$AJ$2=K$3)*(Marks!$B$14:$AJ$14=1))/SUMPRODUCT((Marks!$B$2:$AJ$2=K$3)*ISNUMBER(Marks!$B$14:$AJ$14)))</f>
        <v/>
      </c>
      <c r="L14" s="6">
        <f>IF(SUMPRODUCT((Marks!$B$2:$AJ$2=L$3)*ISNUMBER(Marks!$B$14:$AJ$14))=0,"",SUMPRODUCT((Marks!$B$2:$AJ$2=L$3)*(Marks!$B$14:$AJ$14=1))/SUMPRODUCT((Marks!$B$2:$AJ$2=L$3)*ISNUMBER(Marks!$B$14:$AJ$14)))</f>
        <v/>
      </c>
    </row>
    <row r="15">
      <c r="A15" t="n">
        <v>11</v>
      </c>
      <c r="B15" s="5" t="n"/>
      <c r="C15" s="5" t="n"/>
      <c r="D15" s="5" t="n"/>
      <c r="E15" s="5" t="n"/>
      <c r="F15" s="5" t="n"/>
      <c r="H15" s="6">
        <f>IF(SUMPRODUCT((Marks!$B$2:$AJ$2=H$3)*ISNUMBER(Marks!$B$15:$AJ$15))=0,"",SUMPRODUCT((Marks!$B$2:$AJ$2=H$3)*(Marks!$B$15:$AJ$15=1))/SUMPRODUCT((Marks!$B$2:$AJ$2=H$3)*ISNUMBER(Marks!$B$15:$AJ$15)))</f>
        <v/>
      </c>
      <c r="I15" s="6">
        <f>IF(SUMPRODUCT((Marks!$B$2:$AJ$2=I$3)*ISNUMBER(Marks!$B$15:$AJ$15))=0,"",SUMPRODUCT((Marks!$B$2:$AJ$2=I$3)*(Marks!$B$15:$AJ$15=1))/SUMPRODUCT((Marks!$B$2:$AJ$2=I$3)*ISNUMBER(Marks!$B$15:$AJ$15)))</f>
        <v/>
      </c>
      <c r="J15" s="6">
        <f>IF(SUMPRODUCT((Marks!$B$2:$AJ$2=J$3)*ISNUMBER(Marks!$B$15:$AJ$15))=0,"",SUMPRODUCT((Marks!$B$2:$AJ$2=J$3)*(Marks!$B$15:$AJ$15=1))/SUMPRODUCT((Marks!$B$2:$AJ$2=J$3)*ISNUMBER(Marks!$B$15:$AJ$15)))</f>
        <v/>
      </c>
      <c r="K15" s="6">
        <f>IF(SUMPRODUCT((Marks!$B$2:$AJ$2=K$3)*ISNUMBER(Marks!$B$15:$AJ$15))=0,"",SUMPRODUCT((Marks!$B$2:$AJ$2=K$3)*(Marks!$B$15:$AJ$15=1))/SUMPRODUCT((Marks!$B$2:$AJ$2=K$3)*ISNUMBER(Marks!$B$15:$AJ$15)))</f>
        <v/>
      </c>
      <c r="L15" s="6">
        <f>IF(SUMPRODUCT((Marks!$B$2:$AJ$2=L$3)*ISNUMBER(Marks!$B$15:$AJ$15))=0,"",SUMPRODUCT((Marks!$B$2:$AJ$2=L$3)*(Marks!$B$15:$AJ$15=1))/SUMPRODUCT((Marks!$B$2:$AJ$2=L$3)*ISNUMBER(Marks!$B$15:$AJ$15)))</f>
        <v/>
      </c>
    </row>
    <row r="16">
      <c r="A16" t="n">
        <v>12</v>
      </c>
      <c r="B16" s="5" t="n"/>
      <c r="C16" s="5" t="n"/>
      <c r="D16" s="5" t="n"/>
      <c r="E16" s="5" t="n"/>
      <c r="F16" s="5" t="n"/>
      <c r="H16" s="6">
        <f>IF(SUMPRODUCT((Marks!$B$2:$AJ$2=H$3)*ISNUMBER(Marks!$B$16:$AJ$16))=0,"",SUMPRODUCT((Marks!$B$2:$AJ$2=H$3)*(Marks!$B$16:$AJ$16=1))/SUMPRODUCT((Marks!$B$2:$AJ$2=H$3)*ISNUMBER(Marks!$B$16:$AJ$16)))</f>
        <v/>
      </c>
      <c r="I16" s="6">
        <f>IF(SUMPRODUCT((Marks!$B$2:$AJ$2=I$3)*ISNUMBER(Marks!$B$16:$AJ$16))=0,"",SUMPRODUCT((Marks!$B$2:$AJ$2=I$3)*(Marks!$B$16:$AJ$16=1))/SUMPRODUCT((Marks!$B$2:$AJ$2=I$3)*ISNUMBER(Marks!$B$16:$AJ$16)))</f>
        <v/>
      </c>
      <c r="J16" s="6">
        <f>IF(SUMPRODUCT((Marks!$B$2:$AJ$2=J$3)*ISNUMBER(Marks!$B$16:$AJ$16))=0,"",SUMPRODUCT((Marks!$B$2:$AJ$2=J$3)*(Marks!$B$16:$AJ$16=1))/SUMPRODUCT((Marks!$B$2:$AJ$2=J$3)*ISNUMBER(Marks!$B$16:$AJ$16)))</f>
        <v/>
      </c>
      <c r="K16" s="6">
        <f>IF(SUMPRODUCT((Marks!$B$2:$AJ$2=K$3)*ISNUMBER(Marks!$B$16:$AJ$16))=0,"",SUMPRODUCT((Marks!$B$2:$AJ$2=K$3)*(Marks!$B$16:$AJ$16=1))/SUMPRODUCT((Marks!$B$2:$AJ$2=K$3)*ISNUMBER(Marks!$B$16:$AJ$16)))</f>
        <v/>
      </c>
      <c r="L16" s="6">
        <f>IF(SUMPRODUCT((Marks!$B$2:$AJ$2=L$3)*ISNUMBER(Marks!$B$16:$AJ$16))=0,"",SUMPRODUCT((Marks!$B$2:$AJ$2=L$3)*(Marks!$B$16:$AJ$16=1))/SUMPRODUCT((Marks!$B$2:$AJ$2=L$3)*ISNUMBER(Marks!$B$16:$AJ$16)))</f>
        <v/>
      </c>
    </row>
    <row r="17">
      <c r="A17" t="n">
        <v>13</v>
      </c>
      <c r="B17" s="5" t="n"/>
      <c r="C17" s="5" t="n"/>
      <c r="D17" s="5" t="n"/>
      <c r="E17" s="5" t="n"/>
      <c r="F17" s="5" t="n"/>
      <c r="H17" s="6">
        <f>IF(SUMPRODUCT((Marks!$B$2:$AJ$2=H$3)*ISNUMBER(Marks!$B$17:$AJ$17))=0,"",SUMPRODUCT((Marks!$B$2:$AJ$2=H$3)*(Marks!$B$17:$AJ$17=1))/SUMPRODUCT((Marks!$B$2:$AJ$2=H$3)*ISNUMBER(Marks!$B$17:$AJ$17)))</f>
        <v/>
      </c>
      <c r="I17" s="6">
        <f>IF(SUMPRODUCT((Marks!$B$2:$AJ$2=I$3)*ISNUMBER(Marks!$B$17:$AJ$17))=0,"",SUMPRODUCT((Marks!$B$2:$AJ$2=I$3)*(Marks!$B$17:$AJ$17=1))/SUMPRODUCT((Marks!$B$2:$AJ$2=I$3)*ISNUMBER(Marks!$B$17:$AJ$17)))</f>
        <v/>
      </c>
      <c r="J17" s="6">
        <f>IF(SUMPRODUCT((Marks!$B$2:$AJ$2=J$3)*ISNUMBER(Marks!$B$17:$AJ$17))=0,"",SUMPRODUCT((Marks!$B$2:$AJ$2=J$3)*(Marks!$B$17:$AJ$17=1))/SUMPRODUCT((Marks!$B$2:$AJ$2=J$3)*ISNUMBER(Marks!$B$17:$AJ$17)))</f>
        <v/>
      </c>
      <c r="K17" s="6">
        <f>IF(SUMPRODUCT((Marks!$B$2:$AJ$2=K$3)*ISNUMBER(Marks!$B$17:$AJ$17))=0,"",SUMPRODUCT((Marks!$B$2:$AJ$2=K$3)*(Marks!$B$17:$AJ$17=1))/SUMPRODUCT((Marks!$B$2:$AJ$2=K$3)*ISNUMBER(Marks!$B$17:$AJ$17)))</f>
        <v/>
      </c>
      <c r="L17" s="6">
        <f>IF(SUMPRODUCT((Marks!$B$2:$AJ$2=L$3)*ISNUMBER(Marks!$B$17:$AJ$17))=0,"",SUMPRODUCT((Marks!$B$2:$AJ$2=L$3)*(Marks!$B$17:$AJ$17=1))/SUMPRODUCT((Marks!$B$2:$AJ$2=L$3)*ISNUMBER(Marks!$B$17:$AJ$17)))</f>
        <v/>
      </c>
    </row>
    <row r="18">
      <c r="A18" t="n">
        <v>14</v>
      </c>
      <c r="B18" s="5" t="n"/>
      <c r="C18" s="5" t="n"/>
      <c r="D18" s="5" t="n"/>
      <c r="E18" s="5" t="n"/>
      <c r="F18" s="5" t="n"/>
      <c r="H18" s="6">
        <f>IF(SUMPRODUCT((Marks!$B$2:$AJ$2=H$3)*ISNUMBER(Marks!$B$18:$AJ$18))=0,"",SUMPRODUCT((Marks!$B$2:$AJ$2=H$3)*(Marks!$B$18:$AJ$18=1))/SUMPRODUCT((Marks!$B$2:$AJ$2=H$3)*ISNUMBER(Marks!$B$18:$AJ$18)))</f>
        <v/>
      </c>
      <c r="I18" s="6">
        <f>IF(SUMPRODUCT((Marks!$B$2:$AJ$2=I$3)*ISNUMBER(Marks!$B$18:$AJ$18))=0,"",SUMPRODUCT((Marks!$B$2:$AJ$2=I$3)*(Marks!$B$18:$AJ$18=1))/SUMPRODUCT((Marks!$B$2:$AJ$2=I$3)*ISNUMBER(Marks!$B$18:$AJ$18)))</f>
        <v/>
      </c>
      <c r="J18" s="6">
        <f>IF(SUMPRODUCT((Marks!$B$2:$AJ$2=J$3)*ISNUMBER(Marks!$B$18:$AJ$18))=0,"",SUMPRODUCT((Marks!$B$2:$AJ$2=J$3)*(Marks!$B$18:$AJ$18=1))/SUMPRODUCT((Marks!$B$2:$AJ$2=J$3)*ISNUMBER(Marks!$B$18:$AJ$18)))</f>
        <v/>
      </c>
      <c r="K18" s="6">
        <f>IF(SUMPRODUCT((Marks!$B$2:$AJ$2=K$3)*ISNUMBER(Marks!$B$18:$AJ$18))=0,"",SUMPRODUCT((Marks!$B$2:$AJ$2=K$3)*(Marks!$B$18:$AJ$18=1))/SUMPRODUCT((Marks!$B$2:$AJ$2=K$3)*ISNUMBER(Marks!$B$18:$AJ$18)))</f>
        <v/>
      </c>
      <c r="L18" s="6">
        <f>IF(SUMPRODUCT((Marks!$B$2:$AJ$2=L$3)*ISNUMBER(Marks!$B$18:$AJ$18))=0,"",SUMPRODUCT((Marks!$B$2:$AJ$2=L$3)*(Marks!$B$18:$AJ$18=1))/SUMPRODUCT((Marks!$B$2:$AJ$2=L$3)*ISNUMBER(Marks!$B$18:$AJ$18)))</f>
        <v/>
      </c>
    </row>
    <row r="19">
      <c r="A19" t="n">
        <v>15</v>
      </c>
      <c r="B19" s="5" t="n"/>
      <c r="C19" s="5" t="n"/>
      <c r="D19" s="5" t="n"/>
      <c r="E19" s="5" t="n"/>
      <c r="F19" s="5" t="n"/>
      <c r="H19" s="6">
        <f>IF(SUMPRODUCT((Marks!$B$2:$AJ$2=H$3)*ISNUMBER(Marks!$B$19:$AJ$19))=0,"",SUMPRODUCT((Marks!$B$2:$AJ$2=H$3)*(Marks!$B$19:$AJ$19=1))/SUMPRODUCT((Marks!$B$2:$AJ$2=H$3)*ISNUMBER(Marks!$B$19:$AJ$19)))</f>
        <v/>
      </c>
      <c r="I19" s="6">
        <f>IF(SUMPRODUCT((Marks!$B$2:$AJ$2=I$3)*ISNUMBER(Marks!$B$19:$AJ$19))=0,"",SUMPRODUCT((Marks!$B$2:$AJ$2=I$3)*(Marks!$B$19:$AJ$19=1))/SUMPRODUCT((Marks!$B$2:$AJ$2=I$3)*ISNUMBER(Marks!$B$19:$AJ$19)))</f>
        <v/>
      </c>
      <c r="J19" s="6">
        <f>IF(SUMPRODUCT((Marks!$B$2:$AJ$2=J$3)*ISNUMBER(Marks!$B$19:$AJ$19))=0,"",SUMPRODUCT((Marks!$B$2:$AJ$2=J$3)*(Marks!$B$19:$AJ$19=1))/SUMPRODUCT((Marks!$B$2:$AJ$2=J$3)*ISNUMBER(Marks!$B$19:$AJ$19)))</f>
        <v/>
      </c>
      <c r="K19" s="6">
        <f>IF(SUMPRODUCT((Marks!$B$2:$AJ$2=K$3)*ISNUMBER(Marks!$B$19:$AJ$19))=0,"",SUMPRODUCT((Marks!$B$2:$AJ$2=K$3)*(Marks!$B$19:$AJ$19=1))/SUMPRODUCT((Marks!$B$2:$AJ$2=K$3)*ISNUMBER(Marks!$B$19:$AJ$19)))</f>
        <v/>
      </c>
      <c r="L19" s="6">
        <f>IF(SUMPRODUCT((Marks!$B$2:$AJ$2=L$3)*ISNUMBER(Marks!$B$19:$AJ$19))=0,"",SUMPRODUCT((Marks!$B$2:$AJ$2=L$3)*(Marks!$B$19:$AJ$19=1))/SUMPRODUCT((Marks!$B$2:$AJ$2=L$3)*ISNUMBER(Marks!$B$19:$AJ$19)))</f>
        <v/>
      </c>
    </row>
    <row r="20">
      <c r="A20" t="n">
        <v>16</v>
      </c>
      <c r="B20" s="5" t="n"/>
      <c r="C20" s="5" t="n"/>
      <c r="D20" s="5" t="n"/>
      <c r="E20" s="5" t="n"/>
      <c r="F20" s="5" t="n"/>
      <c r="H20" s="6">
        <f>IF(SUMPRODUCT((Marks!$B$2:$AJ$2=H$3)*ISNUMBER(Marks!$B$20:$AJ$20))=0,"",SUMPRODUCT((Marks!$B$2:$AJ$2=H$3)*(Marks!$B$20:$AJ$20=1))/SUMPRODUCT((Marks!$B$2:$AJ$2=H$3)*ISNUMBER(Marks!$B$20:$AJ$20)))</f>
        <v/>
      </c>
      <c r="I20" s="6">
        <f>IF(SUMPRODUCT((Marks!$B$2:$AJ$2=I$3)*ISNUMBER(Marks!$B$20:$AJ$20))=0,"",SUMPRODUCT((Marks!$B$2:$AJ$2=I$3)*(Marks!$B$20:$AJ$20=1))/SUMPRODUCT((Marks!$B$2:$AJ$2=I$3)*ISNUMBER(Marks!$B$20:$AJ$20)))</f>
        <v/>
      </c>
      <c r="J20" s="6">
        <f>IF(SUMPRODUCT((Marks!$B$2:$AJ$2=J$3)*ISNUMBER(Marks!$B$20:$AJ$20))=0,"",SUMPRODUCT((Marks!$B$2:$AJ$2=J$3)*(Marks!$B$20:$AJ$20=1))/SUMPRODUCT((Marks!$B$2:$AJ$2=J$3)*ISNUMBER(Marks!$B$20:$AJ$20)))</f>
        <v/>
      </c>
      <c r="K20" s="6">
        <f>IF(SUMPRODUCT((Marks!$B$2:$AJ$2=K$3)*ISNUMBER(Marks!$B$20:$AJ$20))=0,"",SUMPRODUCT((Marks!$B$2:$AJ$2=K$3)*(Marks!$B$20:$AJ$20=1))/SUMPRODUCT((Marks!$B$2:$AJ$2=K$3)*ISNUMBER(Marks!$B$20:$AJ$20)))</f>
        <v/>
      </c>
      <c r="L20" s="6">
        <f>IF(SUMPRODUCT((Marks!$B$2:$AJ$2=L$3)*ISNUMBER(Marks!$B$20:$AJ$20))=0,"",SUMPRODUCT((Marks!$B$2:$AJ$2=L$3)*(Marks!$B$20:$AJ$20=1))/SUMPRODUCT((Marks!$B$2:$AJ$2=L$3)*ISNUMBER(Marks!$B$20:$AJ$20)))</f>
        <v/>
      </c>
    </row>
    <row r="21">
      <c r="A21" t="n">
        <v>17</v>
      </c>
      <c r="B21" s="5" t="n"/>
      <c r="C21" s="5" t="n"/>
      <c r="D21" s="5" t="n"/>
      <c r="E21" s="5" t="n"/>
      <c r="F21" s="5" t="n"/>
      <c r="H21" s="6">
        <f>IF(SUMPRODUCT((Marks!$B$2:$AJ$2=H$3)*ISNUMBER(Marks!$B$21:$AJ$21))=0,"",SUMPRODUCT((Marks!$B$2:$AJ$2=H$3)*(Marks!$B$21:$AJ$21=1))/SUMPRODUCT((Marks!$B$2:$AJ$2=H$3)*ISNUMBER(Marks!$B$21:$AJ$21)))</f>
        <v/>
      </c>
      <c r="I21" s="6">
        <f>IF(SUMPRODUCT((Marks!$B$2:$AJ$2=I$3)*ISNUMBER(Marks!$B$21:$AJ$21))=0,"",SUMPRODUCT((Marks!$B$2:$AJ$2=I$3)*(Marks!$B$21:$AJ$21=1))/SUMPRODUCT((Marks!$B$2:$AJ$2=I$3)*ISNUMBER(Marks!$B$21:$AJ$21)))</f>
        <v/>
      </c>
      <c r="J21" s="6">
        <f>IF(SUMPRODUCT((Marks!$B$2:$AJ$2=J$3)*ISNUMBER(Marks!$B$21:$AJ$21))=0,"",SUMPRODUCT((Marks!$B$2:$AJ$2=J$3)*(Marks!$B$21:$AJ$21=1))/SUMPRODUCT((Marks!$B$2:$AJ$2=J$3)*ISNUMBER(Marks!$B$21:$AJ$21)))</f>
        <v/>
      </c>
      <c r="K21" s="6">
        <f>IF(SUMPRODUCT((Marks!$B$2:$AJ$2=K$3)*ISNUMBER(Marks!$B$21:$AJ$21))=0,"",SUMPRODUCT((Marks!$B$2:$AJ$2=K$3)*(Marks!$B$21:$AJ$21=1))/SUMPRODUCT((Marks!$B$2:$AJ$2=K$3)*ISNUMBER(Marks!$B$21:$AJ$21)))</f>
        <v/>
      </c>
      <c r="L21" s="6">
        <f>IF(SUMPRODUCT((Marks!$B$2:$AJ$2=L$3)*ISNUMBER(Marks!$B$21:$AJ$21))=0,"",SUMPRODUCT((Marks!$B$2:$AJ$2=L$3)*(Marks!$B$21:$AJ$21=1))/SUMPRODUCT((Marks!$B$2:$AJ$2=L$3)*ISNUMBER(Marks!$B$21:$AJ$21)))</f>
        <v/>
      </c>
    </row>
    <row r="22">
      <c r="A22" t="n">
        <v>18</v>
      </c>
      <c r="B22" s="5" t="n"/>
      <c r="C22" s="5" t="n"/>
      <c r="D22" s="5" t="n"/>
      <c r="E22" s="5" t="n"/>
      <c r="F22" s="5" t="n"/>
      <c r="H22" s="6">
        <f>IF(SUMPRODUCT((Marks!$B$2:$AJ$2=H$3)*ISNUMBER(Marks!$B$22:$AJ$22))=0,"",SUMPRODUCT((Marks!$B$2:$AJ$2=H$3)*(Marks!$B$22:$AJ$22=1))/SUMPRODUCT((Marks!$B$2:$AJ$2=H$3)*ISNUMBER(Marks!$B$22:$AJ$22)))</f>
        <v/>
      </c>
      <c r="I22" s="6">
        <f>IF(SUMPRODUCT((Marks!$B$2:$AJ$2=I$3)*ISNUMBER(Marks!$B$22:$AJ$22))=0,"",SUMPRODUCT((Marks!$B$2:$AJ$2=I$3)*(Marks!$B$22:$AJ$22=1))/SUMPRODUCT((Marks!$B$2:$AJ$2=I$3)*ISNUMBER(Marks!$B$22:$AJ$22)))</f>
        <v/>
      </c>
      <c r="J22" s="6">
        <f>IF(SUMPRODUCT((Marks!$B$2:$AJ$2=J$3)*ISNUMBER(Marks!$B$22:$AJ$22))=0,"",SUMPRODUCT((Marks!$B$2:$AJ$2=J$3)*(Marks!$B$22:$AJ$22=1))/SUMPRODUCT((Marks!$B$2:$AJ$2=J$3)*ISNUMBER(Marks!$B$22:$AJ$22)))</f>
        <v/>
      </c>
      <c r="K22" s="6">
        <f>IF(SUMPRODUCT((Marks!$B$2:$AJ$2=K$3)*ISNUMBER(Marks!$B$22:$AJ$22))=0,"",SUMPRODUCT((Marks!$B$2:$AJ$2=K$3)*(Marks!$B$22:$AJ$22=1))/SUMPRODUCT((Marks!$B$2:$AJ$2=K$3)*ISNUMBER(Marks!$B$22:$AJ$22)))</f>
        <v/>
      </c>
      <c r="L22" s="6">
        <f>IF(SUMPRODUCT((Marks!$B$2:$AJ$2=L$3)*ISNUMBER(Marks!$B$22:$AJ$22))=0,"",SUMPRODUCT((Marks!$B$2:$AJ$2=L$3)*(Marks!$B$22:$AJ$22=1))/SUMPRODUCT((Marks!$B$2:$AJ$2=L$3)*ISNUMBER(Marks!$B$22:$AJ$22)))</f>
        <v/>
      </c>
    </row>
    <row r="23">
      <c r="A23" t="n">
        <v>19</v>
      </c>
      <c r="B23" s="5" t="n"/>
      <c r="C23" s="5" t="n"/>
      <c r="D23" s="5" t="n"/>
      <c r="E23" s="5" t="n"/>
      <c r="F23" s="5" t="n"/>
      <c r="H23" s="6">
        <f>IF(SUMPRODUCT((Marks!$B$2:$AJ$2=H$3)*ISNUMBER(Marks!$B$23:$AJ$23))=0,"",SUMPRODUCT((Marks!$B$2:$AJ$2=H$3)*(Marks!$B$23:$AJ$23=1))/SUMPRODUCT((Marks!$B$2:$AJ$2=H$3)*ISNUMBER(Marks!$B$23:$AJ$23)))</f>
        <v/>
      </c>
      <c r="I23" s="6">
        <f>IF(SUMPRODUCT((Marks!$B$2:$AJ$2=I$3)*ISNUMBER(Marks!$B$23:$AJ$23))=0,"",SUMPRODUCT((Marks!$B$2:$AJ$2=I$3)*(Marks!$B$23:$AJ$23=1))/SUMPRODUCT((Marks!$B$2:$AJ$2=I$3)*ISNUMBER(Marks!$B$23:$AJ$23)))</f>
        <v/>
      </c>
      <c r="J23" s="6">
        <f>IF(SUMPRODUCT((Marks!$B$2:$AJ$2=J$3)*ISNUMBER(Marks!$B$23:$AJ$23))=0,"",SUMPRODUCT((Marks!$B$2:$AJ$2=J$3)*(Marks!$B$23:$AJ$23=1))/SUMPRODUCT((Marks!$B$2:$AJ$2=J$3)*ISNUMBER(Marks!$B$23:$AJ$23)))</f>
        <v/>
      </c>
      <c r="K23" s="6">
        <f>IF(SUMPRODUCT((Marks!$B$2:$AJ$2=K$3)*ISNUMBER(Marks!$B$23:$AJ$23))=0,"",SUMPRODUCT((Marks!$B$2:$AJ$2=K$3)*(Marks!$B$23:$AJ$23=1))/SUMPRODUCT((Marks!$B$2:$AJ$2=K$3)*ISNUMBER(Marks!$B$23:$AJ$23)))</f>
        <v/>
      </c>
      <c r="L23" s="6">
        <f>IF(SUMPRODUCT((Marks!$B$2:$AJ$2=L$3)*ISNUMBER(Marks!$B$23:$AJ$23))=0,"",SUMPRODUCT((Marks!$B$2:$AJ$2=L$3)*(Marks!$B$23:$AJ$23=1))/SUMPRODUCT((Marks!$B$2:$AJ$2=L$3)*ISNUMBER(Marks!$B$23:$AJ$23)))</f>
        <v/>
      </c>
    </row>
    <row r="24">
      <c r="A24" t="n">
        <v>20</v>
      </c>
      <c r="B24" s="5" t="n"/>
      <c r="C24" s="5" t="n"/>
      <c r="D24" s="5" t="n"/>
      <c r="E24" s="5" t="n"/>
      <c r="F24" s="5" t="n"/>
      <c r="H24" s="6">
        <f>IF(SUMPRODUCT((Marks!$B$2:$AJ$2=H$3)*ISNUMBER(Marks!$B$24:$AJ$24))=0,"",SUMPRODUCT((Marks!$B$2:$AJ$2=H$3)*(Marks!$B$24:$AJ$24=1))/SUMPRODUCT((Marks!$B$2:$AJ$2=H$3)*ISNUMBER(Marks!$B$24:$AJ$24)))</f>
        <v/>
      </c>
      <c r="I24" s="6">
        <f>IF(SUMPRODUCT((Marks!$B$2:$AJ$2=I$3)*ISNUMBER(Marks!$B$24:$AJ$24))=0,"",SUMPRODUCT((Marks!$B$2:$AJ$2=I$3)*(Marks!$B$24:$AJ$24=1))/SUMPRODUCT((Marks!$B$2:$AJ$2=I$3)*ISNUMBER(Marks!$B$24:$AJ$24)))</f>
        <v/>
      </c>
      <c r="J24" s="6">
        <f>IF(SUMPRODUCT((Marks!$B$2:$AJ$2=J$3)*ISNUMBER(Marks!$B$24:$AJ$24))=0,"",SUMPRODUCT((Marks!$B$2:$AJ$2=J$3)*(Marks!$B$24:$AJ$24=1))/SUMPRODUCT((Marks!$B$2:$AJ$2=J$3)*ISNUMBER(Marks!$B$24:$AJ$24)))</f>
        <v/>
      </c>
      <c r="K24" s="6">
        <f>IF(SUMPRODUCT((Marks!$B$2:$AJ$2=K$3)*ISNUMBER(Marks!$B$24:$AJ$24))=0,"",SUMPRODUCT((Marks!$B$2:$AJ$2=K$3)*(Marks!$B$24:$AJ$24=1))/SUMPRODUCT((Marks!$B$2:$AJ$2=K$3)*ISNUMBER(Marks!$B$24:$AJ$24)))</f>
        <v/>
      </c>
      <c r="L24" s="6">
        <f>IF(SUMPRODUCT((Marks!$B$2:$AJ$2=L$3)*ISNUMBER(Marks!$B$24:$AJ$24))=0,"",SUMPRODUCT((Marks!$B$2:$AJ$2=L$3)*(Marks!$B$24:$AJ$24=1))/SUMPRODUCT((Marks!$B$2:$AJ$2=L$3)*ISNUMBER(Marks!$B$24:$AJ$24)))</f>
        <v/>
      </c>
    </row>
    <row r="25">
      <c r="A25" t="n">
        <v>21</v>
      </c>
      <c r="B25" s="5" t="n"/>
      <c r="C25" s="5" t="n"/>
      <c r="D25" s="5" t="n"/>
      <c r="E25" s="5" t="n"/>
      <c r="F25" s="5" t="n"/>
      <c r="H25" s="6">
        <f>IF(SUMPRODUCT((Marks!$B$2:$AJ$2=H$3)*ISNUMBER(Marks!$B$25:$AJ$25))=0,"",SUMPRODUCT((Marks!$B$2:$AJ$2=H$3)*(Marks!$B$25:$AJ$25=1))/SUMPRODUCT((Marks!$B$2:$AJ$2=H$3)*ISNUMBER(Marks!$B$25:$AJ$25)))</f>
        <v/>
      </c>
      <c r="I25" s="6">
        <f>IF(SUMPRODUCT((Marks!$B$2:$AJ$2=I$3)*ISNUMBER(Marks!$B$25:$AJ$25))=0,"",SUMPRODUCT((Marks!$B$2:$AJ$2=I$3)*(Marks!$B$25:$AJ$25=1))/SUMPRODUCT((Marks!$B$2:$AJ$2=I$3)*ISNUMBER(Marks!$B$25:$AJ$25)))</f>
        <v/>
      </c>
      <c r="J25" s="6">
        <f>IF(SUMPRODUCT((Marks!$B$2:$AJ$2=J$3)*ISNUMBER(Marks!$B$25:$AJ$25))=0,"",SUMPRODUCT((Marks!$B$2:$AJ$2=J$3)*(Marks!$B$25:$AJ$25=1))/SUMPRODUCT((Marks!$B$2:$AJ$2=J$3)*ISNUMBER(Marks!$B$25:$AJ$25)))</f>
        <v/>
      </c>
      <c r="K25" s="6">
        <f>IF(SUMPRODUCT((Marks!$B$2:$AJ$2=K$3)*ISNUMBER(Marks!$B$25:$AJ$25))=0,"",SUMPRODUCT((Marks!$B$2:$AJ$2=K$3)*(Marks!$B$25:$AJ$25=1))/SUMPRODUCT((Marks!$B$2:$AJ$2=K$3)*ISNUMBER(Marks!$B$25:$AJ$25)))</f>
        <v/>
      </c>
      <c r="L25" s="6">
        <f>IF(SUMPRODUCT((Marks!$B$2:$AJ$2=L$3)*ISNUMBER(Marks!$B$25:$AJ$25))=0,"",SUMPRODUCT((Marks!$B$2:$AJ$2=L$3)*(Marks!$B$25:$AJ$25=1))/SUMPRODUCT((Marks!$B$2:$AJ$2=L$3)*ISNUMBER(Marks!$B$25:$AJ$25)))</f>
        <v/>
      </c>
    </row>
    <row r="26">
      <c r="A26" t="n">
        <v>22</v>
      </c>
      <c r="B26" s="5" t="n"/>
      <c r="C26" s="5" t="n"/>
      <c r="D26" s="5" t="n"/>
      <c r="E26" s="5" t="n"/>
      <c r="F26" s="5" t="n"/>
      <c r="H26" s="6">
        <f>IF(SUMPRODUCT((Marks!$B$2:$AJ$2=H$3)*ISNUMBER(Marks!$B$26:$AJ$26))=0,"",SUMPRODUCT((Marks!$B$2:$AJ$2=H$3)*(Marks!$B$26:$AJ$26=1))/SUMPRODUCT((Marks!$B$2:$AJ$2=H$3)*ISNUMBER(Marks!$B$26:$AJ$26)))</f>
        <v/>
      </c>
      <c r="I26" s="6">
        <f>IF(SUMPRODUCT((Marks!$B$2:$AJ$2=I$3)*ISNUMBER(Marks!$B$26:$AJ$26))=0,"",SUMPRODUCT((Marks!$B$2:$AJ$2=I$3)*(Marks!$B$26:$AJ$26=1))/SUMPRODUCT((Marks!$B$2:$AJ$2=I$3)*ISNUMBER(Marks!$B$26:$AJ$26)))</f>
        <v/>
      </c>
      <c r="J26" s="6">
        <f>IF(SUMPRODUCT((Marks!$B$2:$AJ$2=J$3)*ISNUMBER(Marks!$B$26:$AJ$26))=0,"",SUMPRODUCT((Marks!$B$2:$AJ$2=J$3)*(Marks!$B$26:$AJ$26=1))/SUMPRODUCT((Marks!$B$2:$AJ$2=J$3)*ISNUMBER(Marks!$B$26:$AJ$26)))</f>
        <v/>
      </c>
      <c r="K26" s="6">
        <f>IF(SUMPRODUCT((Marks!$B$2:$AJ$2=K$3)*ISNUMBER(Marks!$B$26:$AJ$26))=0,"",SUMPRODUCT((Marks!$B$2:$AJ$2=K$3)*(Marks!$B$26:$AJ$26=1))/SUMPRODUCT((Marks!$B$2:$AJ$2=K$3)*ISNUMBER(Marks!$B$26:$AJ$26)))</f>
        <v/>
      </c>
      <c r="L26" s="6">
        <f>IF(SUMPRODUCT((Marks!$B$2:$AJ$2=L$3)*ISNUMBER(Marks!$B$26:$AJ$26))=0,"",SUMPRODUCT((Marks!$B$2:$AJ$2=L$3)*(Marks!$B$26:$AJ$26=1))/SUMPRODUCT((Marks!$B$2:$AJ$2=L$3)*ISNUMBER(Marks!$B$26:$AJ$26)))</f>
        <v/>
      </c>
    </row>
    <row r="27">
      <c r="A27" t="n">
        <v>23</v>
      </c>
      <c r="B27" s="5" t="n"/>
      <c r="C27" s="5" t="n"/>
      <c r="D27" s="5" t="n"/>
      <c r="E27" s="5" t="n"/>
      <c r="F27" s="5" t="n"/>
      <c r="H27" s="6">
        <f>IF(SUMPRODUCT((Marks!$B$2:$AJ$2=H$3)*ISNUMBER(Marks!$B$27:$AJ$27))=0,"",SUMPRODUCT((Marks!$B$2:$AJ$2=H$3)*(Marks!$B$27:$AJ$27=1))/SUMPRODUCT((Marks!$B$2:$AJ$2=H$3)*ISNUMBER(Marks!$B$27:$AJ$27)))</f>
        <v/>
      </c>
      <c r="I27" s="6">
        <f>IF(SUMPRODUCT((Marks!$B$2:$AJ$2=I$3)*ISNUMBER(Marks!$B$27:$AJ$27))=0,"",SUMPRODUCT((Marks!$B$2:$AJ$2=I$3)*(Marks!$B$27:$AJ$27=1))/SUMPRODUCT((Marks!$B$2:$AJ$2=I$3)*ISNUMBER(Marks!$B$27:$AJ$27)))</f>
        <v/>
      </c>
      <c r="J27" s="6">
        <f>IF(SUMPRODUCT((Marks!$B$2:$AJ$2=J$3)*ISNUMBER(Marks!$B$27:$AJ$27))=0,"",SUMPRODUCT((Marks!$B$2:$AJ$2=J$3)*(Marks!$B$27:$AJ$27=1))/SUMPRODUCT((Marks!$B$2:$AJ$2=J$3)*ISNUMBER(Marks!$B$27:$AJ$27)))</f>
        <v/>
      </c>
      <c r="K27" s="6">
        <f>IF(SUMPRODUCT((Marks!$B$2:$AJ$2=K$3)*ISNUMBER(Marks!$B$27:$AJ$27))=0,"",SUMPRODUCT((Marks!$B$2:$AJ$2=K$3)*(Marks!$B$27:$AJ$27=1))/SUMPRODUCT((Marks!$B$2:$AJ$2=K$3)*ISNUMBER(Marks!$B$27:$AJ$27)))</f>
        <v/>
      </c>
      <c r="L27" s="6">
        <f>IF(SUMPRODUCT((Marks!$B$2:$AJ$2=L$3)*ISNUMBER(Marks!$B$27:$AJ$27))=0,"",SUMPRODUCT((Marks!$B$2:$AJ$2=L$3)*(Marks!$B$27:$AJ$27=1))/SUMPRODUCT((Marks!$B$2:$AJ$2=L$3)*ISNUMBER(Marks!$B$27:$AJ$27)))</f>
        <v/>
      </c>
    </row>
    <row r="28">
      <c r="A28" t="n">
        <v>24</v>
      </c>
      <c r="B28" s="5" t="n"/>
      <c r="C28" s="5" t="n"/>
      <c r="D28" s="5" t="n"/>
      <c r="E28" s="5" t="n"/>
      <c r="F28" s="5" t="n"/>
      <c r="H28" s="6">
        <f>IF(SUMPRODUCT((Marks!$B$2:$AJ$2=H$3)*ISNUMBER(Marks!$B$28:$AJ$28))=0,"",SUMPRODUCT((Marks!$B$2:$AJ$2=H$3)*(Marks!$B$28:$AJ$28=1))/SUMPRODUCT((Marks!$B$2:$AJ$2=H$3)*ISNUMBER(Marks!$B$28:$AJ$28)))</f>
        <v/>
      </c>
      <c r="I28" s="6">
        <f>IF(SUMPRODUCT((Marks!$B$2:$AJ$2=I$3)*ISNUMBER(Marks!$B$28:$AJ$28))=0,"",SUMPRODUCT((Marks!$B$2:$AJ$2=I$3)*(Marks!$B$28:$AJ$28=1))/SUMPRODUCT((Marks!$B$2:$AJ$2=I$3)*ISNUMBER(Marks!$B$28:$AJ$28)))</f>
        <v/>
      </c>
      <c r="J28" s="6">
        <f>IF(SUMPRODUCT((Marks!$B$2:$AJ$2=J$3)*ISNUMBER(Marks!$B$28:$AJ$28))=0,"",SUMPRODUCT((Marks!$B$2:$AJ$2=J$3)*(Marks!$B$28:$AJ$28=1))/SUMPRODUCT((Marks!$B$2:$AJ$2=J$3)*ISNUMBER(Marks!$B$28:$AJ$28)))</f>
        <v/>
      </c>
      <c r="K28" s="6">
        <f>IF(SUMPRODUCT((Marks!$B$2:$AJ$2=K$3)*ISNUMBER(Marks!$B$28:$AJ$28))=0,"",SUMPRODUCT((Marks!$B$2:$AJ$2=K$3)*(Marks!$B$28:$AJ$28=1))/SUMPRODUCT((Marks!$B$2:$AJ$2=K$3)*ISNUMBER(Marks!$B$28:$AJ$28)))</f>
        <v/>
      </c>
      <c r="L28" s="6">
        <f>IF(SUMPRODUCT((Marks!$B$2:$AJ$2=L$3)*ISNUMBER(Marks!$B$28:$AJ$28))=0,"",SUMPRODUCT((Marks!$B$2:$AJ$2=L$3)*(Marks!$B$28:$AJ$28=1))/SUMPRODUCT((Marks!$B$2:$AJ$2=L$3)*ISNUMBER(Marks!$B$28:$AJ$28)))</f>
        <v/>
      </c>
    </row>
    <row r="29">
      <c r="A29" t="n">
        <v>25</v>
      </c>
      <c r="B29" s="5" t="n"/>
      <c r="C29" s="5" t="n"/>
      <c r="D29" s="5" t="n"/>
      <c r="E29" s="5" t="n"/>
      <c r="F29" s="5" t="n"/>
      <c r="H29" s="6">
        <f>IF(SUMPRODUCT((Marks!$B$2:$AJ$2=H$3)*ISNUMBER(Marks!$B$29:$AJ$29))=0,"",SUMPRODUCT((Marks!$B$2:$AJ$2=H$3)*(Marks!$B$29:$AJ$29=1))/SUMPRODUCT((Marks!$B$2:$AJ$2=H$3)*ISNUMBER(Marks!$B$29:$AJ$29)))</f>
        <v/>
      </c>
      <c r="I29" s="6">
        <f>IF(SUMPRODUCT((Marks!$B$2:$AJ$2=I$3)*ISNUMBER(Marks!$B$29:$AJ$29))=0,"",SUMPRODUCT((Marks!$B$2:$AJ$2=I$3)*(Marks!$B$29:$AJ$29=1))/SUMPRODUCT((Marks!$B$2:$AJ$2=I$3)*ISNUMBER(Marks!$B$29:$AJ$29)))</f>
        <v/>
      </c>
      <c r="J29" s="6">
        <f>IF(SUMPRODUCT((Marks!$B$2:$AJ$2=J$3)*ISNUMBER(Marks!$B$29:$AJ$29))=0,"",SUMPRODUCT((Marks!$B$2:$AJ$2=J$3)*(Marks!$B$29:$AJ$29=1))/SUMPRODUCT((Marks!$B$2:$AJ$2=J$3)*ISNUMBER(Marks!$B$29:$AJ$29)))</f>
        <v/>
      </c>
      <c r="K29" s="6">
        <f>IF(SUMPRODUCT((Marks!$B$2:$AJ$2=K$3)*ISNUMBER(Marks!$B$29:$AJ$29))=0,"",SUMPRODUCT((Marks!$B$2:$AJ$2=K$3)*(Marks!$B$29:$AJ$29=1))/SUMPRODUCT((Marks!$B$2:$AJ$2=K$3)*ISNUMBER(Marks!$B$29:$AJ$29)))</f>
        <v/>
      </c>
      <c r="L29" s="6">
        <f>IF(SUMPRODUCT((Marks!$B$2:$AJ$2=L$3)*ISNUMBER(Marks!$B$29:$AJ$29))=0,"",SUMPRODUCT((Marks!$B$2:$AJ$2=L$3)*(Marks!$B$29:$AJ$29=1))/SUMPRODUCT((Marks!$B$2:$AJ$2=L$3)*ISNUMBER(Marks!$B$29:$AJ$29)))</f>
        <v/>
      </c>
    </row>
    <row r="30">
      <c r="A30" t="n">
        <v>26</v>
      </c>
      <c r="B30" s="5" t="n"/>
      <c r="C30" s="5" t="n"/>
      <c r="D30" s="5" t="n"/>
      <c r="E30" s="5" t="n"/>
      <c r="F30" s="5" t="n"/>
      <c r="H30" s="6">
        <f>IF(SUMPRODUCT((Marks!$B$2:$AJ$2=H$3)*ISNUMBER(Marks!$B$30:$AJ$30))=0,"",SUMPRODUCT((Marks!$B$2:$AJ$2=H$3)*(Marks!$B$30:$AJ$30=1))/SUMPRODUCT((Marks!$B$2:$AJ$2=H$3)*ISNUMBER(Marks!$B$30:$AJ$30)))</f>
        <v/>
      </c>
      <c r="I30" s="6">
        <f>IF(SUMPRODUCT((Marks!$B$2:$AJ$2=I$3)*ISNUMBER(Marks!$B$30:$AJ$30))=0,"",SUMPRODUCT((Marks!$B$2:$AJ$2=I$3)*(Marks!$B$30:$AJ$30=1))/SUMPRODUCT((Marks!$B$2:$AJ$2=I$3)*ISNUMBER(Marks!$B$30:$AJ$30)))</f>
        <v/>
      </c>
      <c r="J30" s="6">
        <f>IF(SUMPRODUCT((Marks!$B$2:$AJ$2=J$3)*ISNUMBER(Marks!$B$30:$AJ$30))=0,"",SUMPRODUCT((Marks!$B$2:$AJ$2=J$3)*(Marks!$B$30:$AJ$30=1))/SUMPRODUCT((Marks!$B$2:$AJ$2=J$3)*ISNUMBER(Marks!$B$30:$AJ$30)))</f>
        <v/>
      </c>
      <c r="K30" s="6">
        <f>IF(SUMPRODUCT((Marks!$B$2:$AJ$2=K$3)*ISNUMBER(Marks!$B$30:$AJ$30))=0,"",SUMPRODUCT((Marks!$B$2:$AJ$2=K$3)*(Marks!$B$30:$AJ$30=1))/SUMPRODUCT((Marks!$B$2:$AJ$2=K$3)*ISNUMBER(Marks!$B$30:$AJ$30)))</f>
        <v/>
      </c>
      <c r="L30" s="6">
        <f>IF(SUMPRODUCT((Marks!$B$2:$AJ$2=L$3)*ISNUMBER(Marks!$B$30:$AJ$30))=0,"",SUMPRODUCT((Marks!$B$2:$AJ$2=L$3)*(Marks!$B$30:$AJ$30=1))/SUMPRODUCT((Marks!$B$2:$AJ$2=L$3)*ISNUMBER(Marks!$B$30:$AJ$30)))</f>
        <v/>
      </c>
    </row>
    <row r="31">
      <c r="A31" t="n">
        <v>27</v>
      </c>
      <c r="B31" s="5" t="n"/>
      <c r="C31" s="5" t="n"/>
      <c r="D31" s="5" t="n"/>
      <c r="E31" s="5" t="n"/>
      <c r="F31" s="5" t="n"/>
      <c r="H31" s="6">
        <f>IF(SUMPRODUCT((Marks!$B$2:$AJ$2=H$3)*ISNUMBER(Marks!$B$31:$AJ$31))=0,"",SUMPRODUCT((Marks!$B$2:$AJ$2=H$3)*(Marks!$B$31:$AJ$31=1))/SUMPRODUCT((Marks!$B$2:$AJ$2=H$3)*ISNUMBER(Marks!$B$31:$AJ$31)))</f>
        <v/>
      </c>
      <c r="I31" s="6">
        <f>IF(SUMPRODUCT((Marks!$B$2:$AJ$2=I$3)*ISNUMBER(Marks!$B$31:$AJ$31))=0,"",SUMPRODUCT((Marks!$B$2:$AJ$2=I$3)*(Marks!$B$31:$AJ$31=1))/SUMPRODUCT((Marks!$B$2:$AJ$2=I$3)*ISNUMBER(Marks!$B$31:$AJ$31)))</f>
        <v/>
      </c>
      <c r="J31" s="6">
        <f>IF(SUMPRODUCT((Marks!$B$2:$AJ$2=J$3)*ISNUMBER(Marks!$B$31:$AJ$31))=0,"",SUMPRODUCT((Marks!$B$2:$AJ$2=J$3)*(Marks!$B$31:$AJ$31=1))/SUMPRODUCT((Marks!$B$2:$AJ$2=J$3)*ISNUMBER(Marks!$B$31:$AJ$31)))</f>
        <v/>
      </c>
      <c r="K31" s="6">
        <f>IF(SUMPRODUCT((Marks!$B$2:$AJ$2=K$3)*ISNUMBER(Marks!$B$31:$AJ$31))=0,"",SUMPRODUCT((Marks!$B$2:$AJ$2=K$3)*(Marks!$B$31:$AJ$31=1))/SUMPRODUCT((Marks!$B$2:$AJ$2=K$3)*ISNUMBER(Marks!$B$31:$AJ$31)))</f>
        <v/>
      </c>
      <c r="L31" s="6">
        <f>IF(SUMPRODUCT((Marks!$B$2:$AJ$2=L$3)*ISNUMBER(Marks!$B$31:$AJ$31))=0,"",SUMPRODUCT((Marks!$B$2:$AJ$2=L$3)*(Marks!$B$31:$AJ$31=1))/SUMPRODUCT((Marks!$B$2:$AJ$2=L$3)*ISNUMBER(Marks!$B$31:$AJ$31)))</f>
        <v/>
      </c>
    </row>
    <row r="32">
      <c r="A32" t="n">
        <v>28</v>
      </c>
      <c r="B32" s="5" t="n"/>
      <c r="C32" s="5" t="n"/>
      <c r="D32" s="5" t="n"/>
      <c r="E32" s="5" t="n"/>
      <c r="F32" s="5" t="n"/>
      <c r="H32" s="6">
        <f>IF(SUMPRODUCT((Marks!$B$2:$AJ$2=H$3)*ISNUMBER(Marks!$B$32:$AJ$32))=0,"",SUMPRODUCT((Marks!$B$2:$AJ$2=H$3)*(Marks!$B$32:$AJ$32=1))/SUMPRODUCT((Marks!$B$2:$AJ$2=H$3)*ISNUMBER(Marks!$B$32:$AJ$32)))</f>
        <v/>
      </c>
      <c r="I32" s="6">
        <f>IF(SUMPRODUCT((Marks!$B$2:$AJ$2=I$3)*ISNUMBER(Marks!$B$32:$AJ$32))=0,"",SUMPRODUCT((Marks!$B$2:$AJ$2=I$3)*(Marks!$B$32:$AJ$32=1))/SUMPRODUCT((Marks!$B$2:$AJ$2=I$3)*ISNUMBER(Marks!$B$32:$AJ$32)))</f>
        <v/>
      </c>
      <c r="J32" s="6">
        <f>IF(SUMPRODUCT((Marks!$B$2:$AJ$2=J$3)*ISNUMBER(Marks!$B$32:$AJ$32))=0,"",SUMPRODUCT((Marks!$B$2:$AJ$2=J$3)*(Marks!$B$32:$AJ$32=1))/SUMPRODUCT((Marks!$B$2:$AJ$2=J$3)*ISNUMBER(Marks!$B$32:$AJ$32)))</f>
        <v/>
      </c>
      <c r="K32" s="6">
        <f>IF(SUMPRODUCT((Marks!$B$2:$AJ$2=K$3)*ISNUMBER(Marks!$B$32:$AJ$32))=0,"",SUMPRODUCT((Marks!$B$2:$AJ$2=K$3)*(Marks!$B$32:$AJ$32=1))/SUMPRODUCT((Marks!$B$2:$AJ$2=K$3)*ISNUMBER(Marks!$B$32:$AJ$32)))</f>
        <v/>
      </c>
      <c r="L32" s="6">
        <f>IF(SUMPRODUCT((Marks!$B$2:$AJ$2=L$3)*ISNUMBER(Marks!$B$32:$AJ$32))=0,"",SUMPRODUCT((Marks!$B$2:$AJ$2=L$3)*(Marks!$B$32:$AJ$32=1))/SUMPRODUCT((Marks!$B$2:$AJ$2=L$3)*ISNUMBER(Marks!$B$32:$AJ$32)))</f>
        <v/>
      </c>
    </row>
    <row r="33">
      <c r="A33" t="n">
        <v>29</v>
      </c>
      <c r="B33" s="5" t="n"/>
      <c r="C33" s="5" t="n"/>
      <c r="D33" s="5" t="n"/>
      <c r="E33" s="5" t="n"/>
      <c r="F33" s="5" t="n"/>
      <c r="H33" s="6">
        <f>IF(SUMPRODUCT((Marks!$B$2:$AJ$2=H$3)*ISNUMBER(Marks!$B$33:$AJ$33))=0,"",SUMPRODUCT((Marks!$B$2:$AJ$2=H$3)*(Marks!$B$33:$AJ$33=1))/SUMPRODUCT((Marks!$B$2:$AJ$2=H$3)*ISNUMBER(Marks!$B$33:$AJ$33)))</f>
        <v/>
      </c>
      <c r="I33" s="6">
        <f>IF(SUMPRODUCT((Marks!$B$2:$AJ$2=I$3)*ISNUMBER(Marks!$B$33:$AJ$33))=0,"",SUMPRODUCT((Marks!$B$2:$AJ$2=I$3)*(Marks!$B$33:$AJ$33=1))/SUMPRODUCT((Marks!$B$2:$AJ$2=I$3)*ISNUMBER(Marks!$B$33:$AJ$33)))</f>
        <v/>
      </c>
      <c r="J33" s="6">
        <f>IF(SUMPRODUCT((Marks!$B$2:$AJ$2=J$3)*ISNUMBER(Marks!$B$33:$AJ$33))=0,"",SUMPRODUCT((Marks!$B$2:$AJ$2=J$3)*(Marks!$B$33:$AJ$33=1))/SUMPRODUCT((Marks!$B$2:$AJ$2=J$3)*ISNUMBER(Marks!$B$33:$AJ$33)))</f>
        <v/>
      </c>
      <c r="K33" s="6">
        <f>IF(SUMPRODUCT((Marks!$B$2:$AJ$2=K$3)*ISNUMBER(Marks!$B$33:$AJ$33))=0,"",SUMPRODUCT((Marks!$B$2:$AJ$2=K$3)*(Marks!$B$33:$AJ$33=1))/SUMPRODUCT((Marks!$B$2:$AJ$2=K$3)*ISNUMBER(Marks!$B$33:$AJ$33)))</f>
        <v/>
      </c>
      <c r="L33" s="6">
        <f>IF(SUMPRODUCT((Marks!$B$2:$AJ$2=L$3)*ISNUMBER(Marks!$B$33:$AJ$33))=0,"",SUMPRODUCT((Marks!$B$2:$AJ$2=L$3)*(Marks!$B$33:$AJ$33=1))/SUMPRODUCT((Marks!$B$2:$AJ$2=L$3)*ISNUMBER(Marks!$B$33:$AJ$33)))</f>
        <v/>
      </c>
    </row>
    <row r="34">
      <c r="A34" t="n">
        <v>30</v>
      </c>
      <c r="B34" s="5" t="n"/>
      <c r="C34" s="5" t="n"/>
      <c r="D34" s="5" t="n"/>
      <c r="E34" s="5" t="n"/>
      <c r="F34" s="5" t="n"/>
      <c r="H34" s="6">
        <f>IF(SUMPRODUCT((Marks!$B$2:$AJ$2=H$3)*ISNUMBER(Marks!$B$34:$AJ$34))=0,"",SUMPRODUCT((Marks!$B$2:$AJ$2=H$3)*(Marks!$B$34:$AJ$34=1))/SUMPRODUCT((Marks!$B$2:$AJ$2=H$3)*ISNUMBER(Marks!$B$34:$AJ$34)))</f>
        <v/>
      </c>
      <c r="I34" s="6">
        <f>IF(SUMPRODUCT((Marks!$B$2:$AJ$2=I$3)*ISNUMBER(Marks!$B$34:$AJ$34))=0,"",SUMPRODUCT((Marks!$B$2:$AJ$2=I$3)*(Marks!$B$34:$AJ$34=1))/SUMPRODUCT((Marks!$B$2:$AJ$2=I$3)*ISNUMBER(Marks!$B$34:$AJ$34)))</f>
        <v/>
      </c>
      <c r="J34" s="6">
        <f>IF(SUMPRODUCT((Marks!$B$2:$AJ$2=J$3)*ISNUMBER(Marks!$B$34:$AJ$34))=0,"",SUMPRODUCT((Marks!$B$2:$AJ$2=J$3)*(Marks!$B$34:$AJ$34=1))/SUMPRODUCT((Marks!$B$2:$AJ$2=J$3)*ISNUMBER(Marks!$B$34:$AJ$34)))</f>
        <v/>
      </c>
      <c r="K34" s="6">
        <f>IF(SUMPRODUCT((Marks!$B$2:$AJ$2=K$3)*ISNUMBER(Marks!$B$34:$AJ$34))=0,"",SUMPRODUCT((Marks!$B$2:$AJ$2=K$3)*(Marks!$B$34:$AJ$34=1))/SUMPRODUCT((Marks!$B$2:$AJ$2=K$3)*ISNUMBER(Marks!$B$34:$AJ$34)))</f>
        <v/>
      </c>
      <c r="L34" s="6">
        <f>IF(SUMPRODUCT((Marks!$B$2:$AJ$2=L$3)*ISNUMBER(Marks!$B$34:$AJ$34))=0,"",SUMPRODUCT((Marks!$B$2:$AJ$2=L$3)*(Marks!$B$34:$AJ$34=1))/SUMPRODUCT((Marks!$B$2:$AJ$2=L$3)*ISNUMBER(Marks!$B$34:$AJ$34)))</f>
        <v/>
      </c>
    </row>
    <row r="35">
      <c r="A35" t="n">
        <v>31</v>
      </c>
      <c r="B35" s="5" t="n"/>
      <c r="C35" s="5" t="n"/>
      <c r="D35" s="5" t="n"/>
      <c r="E35" s="5" t="n"/>
      <c r="F35" s="5" t="n"/>
      <c r="H35" s="6">
        <f>IF(SUMPRODUCT((Marks!$B$2:$AJ$2=H$3)*ISNUMBER(Marks!$B$35:$AJ$35))=0,"",SUMPRODUCT((Marks!$B$2:$AJ$2=H$3)*(Marks!$B$35:$AJ$35=1))/SUMPRODUCT((Marks!$B$2:$AJ$2=H$3)*ISNUMBER(Marks!$B$35:$AJ$35)))</f>
        <v/>
      </c>
      <c r="I35" s="6">
        <f>IF(SUMPRODUCT((Marks!$B$2:$AJ$2=I$3)*ISNUMBER(Marks!$B$35:$AJ$35))=0,"",SUMPRODUCT((Marks!$B$2:$AJ$2=I$3)*(Marks!$B$35:$AJ$35=1))/SUMPRODUCT((Marks!$B$2:$AJ$2=I$3)*ISNUMBER(Marks!$B$35:$AJ$35)))</f>
        <v/>
      </c>
      <c r="J35" s="6">
        <f>IF(SUMPRODUCT((Marks!$B$2:$AJ$2=J$3)*ISNUMBER(Marks!$B$35:$AJ$35))=0,"",SUMPRODUCT((Marks!$B$2:$AJ$2=J$3)*(Marks!$B$35:$AJ$35=1))/SUMPRODUCT((Marks!$B$2:$AJ$2=J$3)*ISNUMBER(Marks!$B$35:$AJ$35)))</f>
        <v/>
      </c>
      <c r="K35" s="6">
        <f>IF(SUMPRODUCT((Marks!$B$2:$AJ$2=K$3)*ISNUMBER(Marks!$B$35:$AJ$35))=0,"",SUMPRODUCT((Marks!$B$2:$AJ$2=K$3)*(Marks!$B$35:$AJ$35=1))/SUMPRODUCT((Marks!$B$2:$AJ$2=K$3)*ISNUMBER(Marks!$B$35:$AJ$35)))</f>
        <v/>
      </c>
      <c r="L35" s="6">
        <f>IF(SUMPRODUCT((Marks!$B$2:$AJ$2=L$3)*ISNUMBER(Marks!$B$35:$AJ$35))=0,"",SUMPRODUCT((Marks!$B$2:$AJ$2=L$3)*(Marks!$B$35:$AJ$35=1))/SUMPRODUCT((Marks!$B$2:$AJ$2=L$3)*ISNUMBER(Marks!$B$35:$AJ$35)))</f>
        <v/>
      </c>
    </row>
    <row r="36">
      <c r="A36" t="n">
        <v>32</v>
      </c>
      <c r="B36" s="5" t="n"/>
      <c r="C36" s="5" t="n"/>
      <c r="D36" s="5" t="n"/>
      <c r="E36" s="5" t="n"/>
      <c r="F36" s="5" t="n"/>
      <c r="H36" s="6">
        <f>IF(SUMPRODUCT((Marks!$B$2:$AJ$2=H$3)*ISNUMBER(Marks!$B$36:$AJ$36))=0,"",SUMPRODUCT((Marks!$B$2:$AJ$2=H$3)*(Marks!$B$36:$AJ$36=1))/SUMPRODUCT((Marks!$B$2:$AJ$2=H$3)*ISNUMBER(Marks!$B$36:$AJ$36)))</f>
        <v/>
      </c>
      <c r="I36" s="6">
        <f>IF(SUMPRODUCT((Marks!$B$2:$AJ$2=I$3)*ISNUMBER(Marks!$B$36:$AJ$36))=0,"",SUMPRODUCT((Marks!$B$2:$AJ$2=I$3)*(Marks!$B$36:$AJ$36=1))/SUMPRODUCT((Marks!$B$2:$AJ$2=I$3)*ISNUMBER(Marks!$B$36:$AJ$36)))</f>
        <v/>
      </c>
      <c r="J36" s="6">
        <f>IF(SUMPRODUCT((Marks!$B$2:$AJ$2=J$3)*ISNUMBER(Marks!$B$36:$AJ$36))=0,"",SUMPRODUCT((Marks!$B$2:$AJ$2=J$3)*(Marks!$B$36:$AJ$36=1))/SUMPRODUCT((Marks!$B$2:$AJ$2=J$3)*ISNUMBER(Marks!$B$36:$AJ$36)))</f>
        <v/>
      </c>
      <c r="K36" s="6">
        <f>IF(SUMPRODUCT((Marks!$B$2:$AJ$2=K$3)*ISNUMBER(Marks!$B$36:$AJ$36))=0,"",SUMPRODUCT((Marks!$B$2:$AJ$2=K$3)*(Marks!$B$36:$AJ$36=1))/SUMPRODUCT((Marks!$B$2:$AJ$2=K$3)*ISNUMBER(Marks!$B$36:$AJ$36)))</f>
        <v/>
      </c>
      <c r="L36" s="6">
        <f>IF(SUMPRODUCT((Marks!$B$2:$AJ$2=L$3)*ISNUMBER(Marks!$B$36:$AJ$36))=0,"",SUMPRODUCT((Marks!$B$2:$AJ$2=L$3)*(Marks!$B$36:$AJ$36=1))/SUMPRODUCT((Marks!$B$2:$AJ$2=L$3)*ISNUMBER(Marks!$B$36:$AJ$36)))</f>
        <v/>
      </c>
    </row>
    <row r="37">
      <c r="A37" t="n">
        <v>33</v>
      </c>
      <c r="B37" s="5" t="n"/>
      <c r="C37" s="5" t="n"/>
      <c r="D37" s="5" t="n"/>
      <c r="E37" s="5" t="n"/>
      <c r="F37" s="5" t="n"/>
      <c r="H37" s="6">
        <f>IF(SUMPRODUCT((Marks!$B$2:$AJ$2=H$3)*ISNUMBER(Marks!$B$37:$AJ$37))=0,"",SUMPRODUCT((Marks!$B$2:$AJ$2=H$3)*(Marks!$B$37:$AJ$37=1))/SUMPRODUCT((Marks!$B$2:$AJ$2=H$3)*ISNUMBER(Marks!$B$37:$AJ$37)))</f>
        <v/>
      </c>
      <c r="I37" s="6">
        <f>IF(SUMPRODUCT((Marks!$B$2:$AJ$2=I$3)*ISNUMBER(Marks!$B$37:$AJ$37))=0,"",SUMPRODUCT((Marks!$B$2:$AJ$2=I$3)*(Marks!$B$37:$AJ$37=1))/SUMPRODUCT((Marks!$B$2:$AJ$2=I$3)*ISNUMBER(Marks!$B$37:$AJ$37)))</f>
        <v/>
      </c>
      <c r="J37" s="6">
        <f>IF(SUMPRODUCT((Marks!$B$2:$AJ$2=J$3)*ISNUMBER(Marks!$B$37:$AJ$37))=0,"",SUMPRODUCT((Marks!$B$2:$AJ$2=J$3)*(Marks!$B$37:$AJ$37=1))/SUMPRODUCT((Marks!$B$2:$AJ$2=J$3)*ISNUMBER(Marks!$B$37:$AJ$37)))</f>
        <v/>
      </c>
      <c r="K37" s="6">
        <f>IF(SUMPRODUCT((Marks!$B$2:$AJ$2=K$3)*ISNUMBER(Marks!$B$37:$AJ$37))=0,"",SUMPRODUCT((Marks!$B$2:$AJ$2=K$3)*(Marks!$B$37:$AJ$37=1))/SUMPRODUCT((Marks!$B$2:$AJ$2=K$3)*ISNUMBER(Marks!$B$37:$AJ$37)))</f>
        <v/>
      </c>
      <c r="L37" s="6">
        <f>IF(SUMPRODUCT((Marks!$B$2:$AJ$2=L$3)*ISNUMBER(Marks!$B$37:$AJ$37))=0,"",SUMPRODUCT((Marks!$B$2:$AJ$2=L$3)*(Marks!$B$37:$AJ$37=1))/SUMPRODUCT((Marks!$B$2:$AJ$2=L$3)*ISNUMBER(Marks!$B$37:$AJ$37)))</f>
        <v/>
      </c>
    </row>
    <row r="38">
      <c r="A38" t="n">
        <v>34</v>
      </c>
      <c r="B38" s="5" t="n"/>
      <c r="C38" s="5" t="n"/>
      <c r="D38" s="5" t="n"/>
      <c r="E38" s="5" t="n"/>
      <c r="F38" s="5" t="n"/>
      <c r="H38" s="6">
        <f>IF(SUMPRODUCT((Marks!$B$2:$AJ$2=H$3)*ISNUMBER(Marks!$B$38:$AJ$38))=0,"",SUMPRODUCT((Marks!$B$2:$AJ$2=H$3)*(Marks!$B$38:$AJ$38=1))/SUMPRODUCT((Marks!$B$2:$AJ$2=H$3)*ISNUMBER(Marks!$B$38:$AJ$38)))</f>
        <v/>
      </c>
      <c r="I38" s="6">
        <f>IF(SUMPRODUCT((Marks!$B$2:$AJ$2=I$3)*ISNUMBER(Marks!$B$38:$AJ$38))=0,"",SUMPRODUCT((Marks!$B$2:$AJ$2=I$3)*(Marks!$B$38:$AJ$38=1))/SUMPRODUCT((Marks!$B$2:$AJ$2=I$3)*ISNUMBER(Marks!$B$38:$AJ$38)))</f>
        <v/>
      </c>
      <c r="J38" s="6">
        <f>IF(SUMPRODUCT((Marks!$B$2:$AJ$2=J$3)*ISNUMBER(Marks!$B$38:$AJ$38))=0,"",SUMPRODUCT((Marks!$B$2:$AJ$2=J$3)*(Marks!$B$38:$AJ$38=1))/SUMPRODUCT((Marks!$B$2:$AJ$2=J$3)*ISNUMBER(Marks!$B$38:$AJ$38)))</f>
        <v/>
      </c>
      <c r="K38" s="6">
        <f>IF(SUMPRODUCT((Marks!$B$2:$AJ$2=K$3)*ISNUMBER(Marks!$B$38:$AJ$38))=0,"",SUMPRODUCT((Marks!$B$2:$AJ$2=K$3)*(Marks!$B$38:$AJ$38=1))/SUMPRODUCT((Marks!$B$2:$AJ$2=K$3)*ISNUMBER(Marks!$B$38:$AJ$38)))</f>
        <v/>
      </c>
      <c r="L38" s="6">
        <f>IF(SUMPRODUCT((Marks!$B$2:$AJ$2=L$3)*ISNUMBER(Marks!$B$38:$AJ$38))=0,"",SUMPRODUCT((Marks!$B$2:$AJ$2=L$3)*(Marks!$B$38:$AJ$38=1))/SUMPRODUCT((Marks!$B$2:$AJ$2=L$3)*ISNUMBER(Marks!$B$38:$AJ$38)))</f>
        <v/>
      </c>
    </row>
    <row r="39">
      <c r="A39" t="n">
        <v>35</v>
      </c>
      <c r="B39" s="5" t="n"/>
      <c r="C39" s="5" t="n"/>
      <c r="D39" s="5" t="n"/>
      <c r="E39" s="5" t="n"/>
      <c r="F39" s="5" t="n"/>
      <c r="H39" s="6">
        <f>IF(SUMPRODUCT((Marks!$B$2:$AJ$2=H$3)*ISNUMBER(Marks!$B$39:$AJ$39))=0,"",SUMPRODUCT((Marks!$B$2:$AJ$2=H$3)*(Marks!$B$39:$AJ$39=1))/SUMPRODUCT((Marks!$B$2:$AJ$2=H$3)*ISNUMBER(Marks!$B$39:$AJ$39)))</f>
        <v/>
      </c>
      <c r="I39" s="6">
        <f>IF(SUMPRODUCT((Marks!$B$2:$AJ$2=I$3)*ISNUMBER(Marks!$B$39:$AJ$39))=0,"",SUMPRODUCT((Marks!$B$2:$AJ$2=I$3)*(Marks!$B$39:$AJ$39=1))/SUMPRODUCT((Marks!$B$2:$AJ$2=I$3)*ISNUMBER(Marks!$B$39:$AJ$39)))</f>
        <v/>
      </c>
      <c r="J39" s="6">
        <f>IF(SUMPRODUCT((Marks!$B$2:$AJ$2=J$3)*ISNUMBER(Marks!$B$39:$AJ$39))=0,"",SUMPRODUCT((Marks!$B$2:$AJ$2=J$3)*(Marks!$B$39:$AJ$39=1))/SUMPRODUCT((Marks!$B$2:$AJ$2=J$3)*ISNUMBER(Marks!$B$39:$AJ$39)))</f>
        <v/>
      </c>
      <c r="K39" s="6">
        <f>IF(SUMPRODUCT((Marks!$B$2:$AJ$2=K$3)*ISNUMBER(Marks!$B$39:$AJ$39))=0,"",SUMPRODUCT((Marks!$B$2:$AJ$2=K$3)*(Marks!$B$39:$AJ$39=1))/SUMPRODUCT((Marks!$B$2:$AJ$2=K$3)*ISNUMBER(Marks!$B$39:$AJ$39)))</f>
        <v/>
      </c>
      <c r="L39" s="6">
        <f>IF(SUMPRODUCT((Marks!$B$2:$AJ$2=L$3)*ISNUMBER(Marks!$B$39:$AJ$39))=0,"",SUMPRODUCT((Marks!$B$2:$AJ$2=L$3)*(Marks!$B$39:$AJ$39=1))/SUMPRODUCT((Marks!$B$2:$AJ$2=L$3)*ISNUMBER(Marks!$B$39:$AJ$39)))</f>
        <v/>
      </c>
    </row>
    <row r="41">
      <c r="A41" s="3" t="inlineStr">
        <is>
          <t>The room</t>
        </is>
      </c>
    </row>
    <row r="42">
      <c r="A42" s="4" t="inlineStr">
        <is>
          <t>Part</t>
        </is>
      </c>
      <c r="B42" s="4" t="inlineStr">
        <is>
          <t>Mean rating</t>
        </is>
      </c>
      <c r="C42" s="4" t="inlineStr">
        <is>
          <t>Right rate</t>
        </is>
      </c>
      <c r="D42" s="4" t="inlineStr">
        <is>
          <t>Rated 3 or 4, under half right</t>
        </is>
      </c>
    </row>
    <row r="43">
      <c r="A43" t="inlineStr">
        <is>
          <t>Part 1. Where did Kalpa's revenue go between the first quarter and the second?</t>
        </is>
      </c>
      <c r="B43" s="7">
        <f>IF(COUNT(B5:B39)=0,"",AVERAGE(B5:B39))</f>
        <v/>
      </c>
      <c r="C43" s="6">
        <f>IFERROR(INDEX(Tags!$D$5:$D$13,MATCH(1,Tags!$A$5:$A$13,0)),"")</f>
        <v/>
      </c>
      <c r="D43">
        <f>SUMPRODUCT((B5:B39&gt;=3)*ISNUMBER(H5:H39)*(H5:H39&lt;0.5))</f>
        <v/>
      </c>
    </row>
    <row r="44">
      <c r="A44" t="inlineStr">
        <is>
          <t>Part 2. Did Kalpa book Rs 2.1 crore in the first quarter, or Rs 1.9 crore?</t>
        </is>
      </c>
      <c r="B44" s="7">
        <f>IF(COUNT(C5:C39)=0,"",AVERAGE(C5:C39))</f>
        <v/>
      </c>
      <c r="C44" s="6">
        <f>IFERROR(INDEX(Tags!$D$5:$D$13,MATCH(2,Tags!$A$5:$A$13,0)),"")</f>
        <v/>
      </c>
      <c r="D44">
        <f>SUMPRODUCT((C5:C39&gt;=3)*ISNUMBER(I5:I39)*(I5:I39&lt;0.5))</f>
        <v/>
      </c>
    </row>
    <row r="45">
      <c r="A45" t="inlineStr">
        <is>
          <t>Part 3. Is the Retail-Plus fall more than chance, and what should Meera's note say?</t>
        </is>
      </c>
      <c r="B45" s="7">
        <f>IF(COUNT(D5:D39)=0,"",AVERAGE(D5:D39))</f>
        <v/>
      </c>
      <c r="C45" s="6">
        <f>IFERROR(INDEX(Tags!$D$5:$D$13,MATCH(3,Tags!$A$5:$A$13,0)),"")</f>
        <v/>
      </c>
      <c r="D45">
        <f>SUMPRODUCT((D5:D39&gt;=3)*ISNUMBER(J5:J39)*(J5:J39&lt;0.5))</f>
        <v/>
      </c>
    </row>
    <row r="46">
      <c r="A46" t="inlineStr">
        <is>
          <t>Part 4. Which check would have caught the misleading number in five public cases?</t>
        </is>
      </c>
      <c r="B46" s="7">
        <f>IF(COUNT(E5:E39)=0,"",AVERAGE(E5:E39))</f>
        <v/>
      </c>
      <c r="C46" s="6">
        <f>IFERROR(INDEX(Tags!$D$5:$D$13,MATCH(4,Tags!$A$5:$A$13,0)),"")</f>
        <v/>
      </c>
      <c r="D46">
        <f>SUMPRODUCT((E5:E39&gt;=3)*ISNUMBER(K5:K39)*(K5:K39&lt;0.5))</f>
        <v/>
      </c>
    </row>
    <row r="47">
      <c r="A47" t="inlineStr">
        <is>
          <t>Part 5. Did a delivery company's offer raise spending, and are its AI agent's numbers right?</t>
        </is>
      </c>
      <c r="B47" s="7">
        <f>IF(COUNT(F5:F39)=0,"",AVERAGE(F5:F39))</f>
        <v/>
      </c>
      <c r="C47" s="6">
        <f>IFERROR(INDEX(Tags!$D$5:$D$13,MATCH(5,Tags!$A$5:$A$13,0)),"")</f>
        <v/>
      </c>
      <c r="D47">
        <f>SUMPRODUCT((F5:F39&gt;=3)*ISNUMBER(L5:L39)*(L5:L39&lt;0.5))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2026-09-30T15:46:48Z</dcterms:created>
  <dcterms:modified xmlns:dcterms="http://purl.org/dc/terms/" xmlns:xsi="http://www.w3.org/2001/XMLSchema-instance" xsi:type="dcterms:W3CDTF">2026-09-30T15:46:48Z</dcterms:modified>
</cp:coreProperties>
</file>