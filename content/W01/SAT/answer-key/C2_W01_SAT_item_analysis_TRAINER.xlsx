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2</v>
      </c>
      <c r="S2" t="n">
        <v>2</v>
      </c>
      <c r="T2" t="n">
        <v>2</v>
      </c>
      <c r="U2" t="n">
        <v>2</v>
      </c>
      <c r="V2" t="n">
        <v>2</v>
      </c>
      <c r="W2" t="n">
        <v>3</v>
      </c>
      <c r="X2" t="n">
        <v>3</v>
      </c>
      <c r="Y2" t="n">
        <v>3</v>
      </c>
      <c r="Z2" t="n">
        <v>3</v>
      </c>
      <c r="AA2" t="n">
        <v>3</v>
      </c>
      <c r="AB2" t="n">
        <v>3</v>
      </c>
      <c r="AC2" t="n">
        <v>3</v>
      </c>
      <c r="AD2" t="n">
        <v>3</v>
      </c>
      <c r="AE2" t="n">
        <v>3</v>
      </c>
      <c r="AF2" t="n">
        <v>3</v>
      </c>
      <c r="AG2" t="n">
        <v>4</v>
      </c>
      <c r="AH2" t="n">
        <v>4</v>
      </c>
      <c r="AI2" t="n">
        <v>4</v>
      </c>
      <c r="AJ2" t="n">
        <v>4</v>
      </c>
      <c r="AK2" t="n">
        <v>4</v>
      </c>
      <c r="AL2" t="n">
        <v>4</v>
      </c>
      <c r="AM2" t="n">
        <v>4</v>
      </c>
      <c r="AN2" t="n">
        <v>5</v>
      </c>
      <c r="AO2" t="n">
        <v>5</v>
      </c>
      <c r="AP2" t="n">
        <v>5</v>
      </c>
      <c r="AQ2" t="n">
        <v>5</v>
      </c>
      <c r="AR2" t="n">
        <v>5</v>
      </c>
      <c r="AS2" t="n">
        <v>5</v>
      </c>
      <c r="AT2" t="n">
        <v>5</v>
      </c>
      <c r="AU2" t="n">
        <v>6</v>
      </c>
      <c r="AV2" t="n">
        <v>6</v>
      </c>
      <c r="AW2" t="n">
        <v>6</v>
      </c>
      <c r="AX2" t="n">
        <v>6</v>
      </c>
      <c r="AY2" t="n">
        <v>6</v>
      </c>
      <c r="AZ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[F]</t>
        </is>
      </c>
      <c r="J3" t="inlineStr">
        <is>
          <t>[D]</t>
        </is>
      </c>
      <c r="K3" t="inlineStr">
        <is>
          <t>[S]</t>
        </is>
      </c>
      <c r="L3" t="inlineStr">
        <is>
          <t>[S]</t>
        </is>
      </c>
      <c r="M3" t="inlineStr">
        <is>
          <t>[S]</t>
        </is>
      </c>
      <c r="N3" t="inlineStr">
        <is>
          <t>[F]</t>
        </is>
      </c>
      <c r="O3" t="inlineStr">
        <is>
          <t>[D]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[F]</t>
        </is>
      </c>
      <c r="Y3" t="inlineStr">
        <is>
          <t>[F]</t>
        </is>
      </c>
      <c r="Z3" t="inlineStr">
        <is>
          <t>[S]</t>
        </is>
      </c>
      <c r="AA3" t="inlineStr">
        <is>
          <t>[S]</t>
        </is>
      </c>
      <c r="AB3" t="inlineStr">
        <is>
          <t>[F]</t>
        </is>
      </c>
      <c r="AC3" t="inlineStr">
        <is>
          <t>[F]</t>
        </is>
      </c>
      <c r="AD3" t="inlineStr">
        <is>
          <t>[F]</t>
        </is>
      </c>
      <c r="AE3" t="inlineStr">
        <is>
          <t>[S]</t>
        </is>
      </c>
      <c r="AF3" t="inlineStr">
        <is>
          <t>[F]</t>
        </is>
      </c>
      <c r="AG3" t="inlineStr">
        <is>
          <t>[SV]</t>
        </is>
      </c>
      <c r="AH3" t="inlineStr">
        <is>
          <t>[F]</t>
        </is>
      </c>
      <c r="AI3" t="inlineStr">
        <is>
          <t>[S]</t>
        </is>
      </c>
      <c r="AJ3" t="inlineStr">
        <is>
          <t>[S]</t>
        </is>
      </c>
      <c r="AK3" t="inlineStr">
        <is>
          <t>[D]</t>
        </is>
      </c>
      <c r="AL3" t="inlineStr">
        <is>
          <t>[F]</t>
        </is>
      </c>
      <c r="AM3" t="inlineStr">
        <is>
          <t>[D]</t>
        </is>
      </c>
      <c r="AN3" t="inlineStr">
        <is>
          <t>[S]</t>
        </is>
      </c>
      <c r="AO3" t="inlineStr">
        <is>
          <t>[F]</t>
        </is>
      </c>
      <c r="AP3" t="inlineStr">
        <is>
          <t>[F]</t>
        </is>
      </c>
      <c r="AQ3" t="inlineStr">
        <is>
          <t>[S]</t>
        </is>
      </c>
      <c r="AR3" t="inlineStr">
        <is>
          <t>[D]</t>
        </is>
      </c>
      <c r="AS3" t="inlineStr">
        <is>
          <t>[F]</t>
        </is>
      </c>
      <c r="AT3" t="inlineStr">
        <is>
          <t>[D]</t>
        </is>
      </c>
      <c r="AU3" t="inlineStr">
        <is>
          <t>[S]</t>
        </is>
      </c>
      <c r="AV3" t="inlineStr">
        <is>
          <t>[F]</t>
        </is>
      </c>
      <c r="AW3" t="inlineStr">
        <is>
          <t>[S]</t>
        </is>
      </c>
      <c r="AX3" t="inlineStr">
        <is>
          <t>[S]</t>
        </is>
      </c>
      <c r="AY3" t="inlineStr">
        <is>
          <t>[S]</t>
        </is>
      </c>
      <c r="AZ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Q40</t>
        </is>
      </c>
      <c r="AP4" s="4" t="inlineStr">
        <is>
          <t>Q41</t>
        </is>
      </c>
      <c r="AQ4" s="4" t="inlineStr">
        <is>
          <t>Q42</t>
        </is>
      </c>
      <c r="AR4" s="4" t="inlineStr">
        <is>
          <t>Q43</t>
        </is>
      </c>
      <c r="AS4" s="4" t="inlineStr">
        <is>
          <t>Q44</t>
        </is>
      </c>
      <c r="AT4" s="4" t="inlineStr">
        <is>
          <t>Q45</t>
        </is>
      </c>
      <c r="AU4" s="4" t="inlineStr">
        <is>
          <t>Q46</t>
        </is>
      </c>
      <c r="AV4" s="4" t="inlineStr">
        <is>
          <t>Q47</t>
        </is>
      </c>
      <c r="AW4" s="4" t="inlineStr">
        <is>
          <t>Q48</t>
        </is>
      </c>
      <c r="AX4" s="4" t="inlineStr">
        <is>
          <t>Q49</t>
        </is>
      </c>
      <c r="AY4" s="4" t="inlineStr">
        <is>
          <t>Q50</t>
        </is>
      </c>
      <c r="AZ4" s="4" t="inlineStr">
        <is>
          <t>Q51</t>
        </is>
      </c>
      <c r="BA4" s="4" t="inlineStr">
        <is>
          <t>Total</t>
        </is>
      </c>
      <c r="BB4" s="4" t="inlineStr">
        <is>
          <t>Answered</t>
        </is>
      </c>
      <c r="BC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>
        <f>IF(COUNT(B5:AZ5)=0,"",SUM(B5:AZ5))</f>
        <v/>
      </c>
      <c r="BB5">
        <f>COUNT(B5:AZ5)</f>
        <v/>
      </c>
      <c r="BC5">
        <f>IF(OR(BA5="",COUNT($BA$5:$BA$39)&lt;3),"",IF(RANK(BA5,$BA$5:$BA$39,0)&lt;=ROUND(COUNT($BA$5:$BA$39)/3,0),"top",IF(RANK(BA5,$BA$5:$BA$39,1)&lt;=ROUND(COUNT($BA$5:$BA$39)/3,0),"bottom","middle")))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>
        <f>IF(COUNT(B6:AZ6)=0,"",SUM(B6:AZ6))</f>
        <v/>
      </c>
      <c r="BB6">
        <f>COUNT(B6:AZ6)</f>
        <v/>
      </c>
      <c r="BC6">
        <f>IF(OR(BA6="",COUNT($BA$5:$BA$39)&lt;3),"",IF(RANK(BA6,$BA$5:$BA$39,0)&lt;=ROUND(COUNT($BA$5:$BA$39)/3,0),"top",IF(RANK(BA6,$BA$5:$BA$39,1)&lt;=ROUND(COUNT($BA$5:$BA$39)/3,0),"bottom","middle")))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>
        <f>IF(COUNT(B7:AZ7)=0,"",SUM(B7:AZ7))</f>
        <v/>
      </c>
      <c r="BB7">
        <f>COUNT(B7:AZ7)</f>
        <v/>
      </c>
      <c r="BC7">
        <f>IF(OR(BA7="",COUNT($BA$5:$BA$39)&lt;3),"",IF(RANK(BA7,$BA$5:$BA$39,0)&lt;=ROUND(COUNT($BA$5:$BA$39)/3,0),"top",IF(RANK(BA7,$BA$5:$BA$39,1)&lt;=ROUND(COUNT($BA$5:$BA$39)/3,0),"bottom","middle")))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>
        <f>IF(COUNT(B8:AZ8)=0,"",SUM(B8:AZ8))</f>
        <v/>
      </c>
      <c r="BB8">
        <f>COUNT(B8:AZ8)</f>
        <v/>
      </c>
      <c r="BC8">
        <f>IF(OR(BA8="",COUNT($BA$5:$BA$39)&lt;3),"",IF(RANK(BA8,$BA$5:$BA$39,0)&lt;=ROUND(COUNT($BA$5:$BA$39)/3,0),"top",IF(RANK(BA8,$BA$5:$BA$39,1)&lt;=ROUND(COUNT($BA$5:$BA$39)/3,0),"bottom","middle")))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>
        <f>IF(COUNT(B9:AZ9)=0,"",SUM(B9:AZ9))</f>
        <v/>
      </c>
      <c r="BB9">
        <f>COUNT(B9:AZ9)</f>
        <v/>
      </c>
      <c r="BC9">
        <f>IF(OR(BA9="",COUNT($BA$5:$BA$39)&lt;3),"",IF(RANK(BA9,$BA$5:$BA$39,0)&lt;=ROUND(COUNT($BA$5:$BA$39)/3,0),"top",IF(RANK(BA9,$BA$5:$BA$39,1)&lt;=ROUND(COUNT($BA$5:$BA$39)/3,0),"bottom","middle")))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>
        <f>IF(COUNT(B10:AZ10)=0,"",SUM(B10:AZ10))</f>
        <v/>
      </c>
      <c r="BB10">
        <f>COUNT(B10:AZ10)</f>
        <v/>
      </c>
      <c r="BC10">
        <f>IF(OR(BA10="",COUNT($BA$5:$BA$39)&lt;3),"",IF(RANK(BA10,$BA$5:$BA$39,0)&lt;=ROUND(COUNT($BA$5:$BA$39)/3,0),"top",IF(RANK(BA10,$BA$5:$BA$39,1)&lt;=ROUND(COUNT($BA$5:$BA$39)/3,0),"bottom","middle")))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>
        <f>IF(COUNT(B11:AZ11)=0,"",SUM(B11:AZ11))</f>
        <v/>
      </c>
      <c r="BB11">
        <f>COUNT(B11:AZ11)</f>
        <v/>
      </c>
      <c r="BC11">
        <f>IF(OR(BA11="",COUNT($BA$5:$BA$39)&lt;3),"",IF(RANK(BA11,$BA$5:$BA$39,0)&lt;=ROUND(COUNT($BA$5:$BA$39)/3,0),"top",IF(RANK(BA11,$BA$5:$BA$39,1)&lt;=ROUND(COUNT($BA$5:$BA$39)/3,0),"bottom","middle")))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>
        <f>IF(COUNT(B12:AZ12)=0,"",SUM(B12:AZ12))</f>
        <v/>
      </c>
      <c r="BB12">
        <f>COUNT(B12:AZ12)</f>
        <v/>
      </c>
      <c r="BC12">
        <f>IF(OR(BA12="",COUNT($BA$5:$BA$39)&lt;3),"",IF(RANK(BA12,$BA$5:$BA$39,0)&lt;=ROUND(COUNT($BA$5:$BA$39)/3,0),"top",IF(RANK(BA12,$BA$5:$BA$39,1)&lt;=ROUND(COUNT($BA$5:$BA$39)/3,0),"bottom","middle")))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>
        <f>IF(COUNT(B13:AZ13)=0,"",SUM(B13:AZ13))</f>
        <v/>
      </c>
      <c r="BB13">
        <f>COUNT(B13:AZ13)</f>
        <v/>
      </c>
      <c r="BC13">
        <f>IF(OR(BA13="",COUNT($BA$5:$BA$39)&lt;3),"",IF(RANK(BA13,$BA$5:$BA$39,0)&lt;=ROUND(COUNT($BA$5:$BA$39)/3,0),"top",IF(RANK(BA13,$BA$5:$BA$39,1)&lt;=ROUND(COUNT($BA$5:$BA$39)/3,0),"bottom","middle")))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>
        <f>IF(COUNT(B14:AZ14)=0,"",SUM(B14:AZ14))</f>
        <v/>
      </c>
      <c r="BB14">
        <f>COUNT(B14:AZ14)</f>
        <v/>
      </c>
      <c r="BC14">
        <f>IF(OR(BA14="",COUNT($BA$5:$BA$39)&lt;3),"",IF(RANK(BA14,$BA$5:$BA$39,0)&lt;=ROUND(COUNT($BA$5:$BA$39)/3,0),"top",IF(RANK(BA14,$BA$5:$BA$39,1)&lt;=ROUND(COUNT($BA$5:$BA$39)/3,0),"bottom","middle")))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>
        <f>IF(COUNT(B15:AZ15)=0,"",SUM(B15:AZ15))</f>
        <v/>
      </c>
      <c r="BB15">
        <f>COUNT(B15:AZ15)</f>
        <v/>
      </c>
      <c r="BC15">
        <f>IF(OR(BA15="",COUNT($BA$5:$BA$39)&lt;3),"",IF(RANK(BA15,$BA$5:$BA$39,0)&lt;=ROUND(COUNT($BA$5:$BA$39)/3,0),"top",IF(RANK(BA15,$BA$5:$BA$39,1)&lt;=ROUND(COUNT($BA$5:$BA$39)/3,0),"bottom","middle")))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>
        <f>IF(COUNT(B16:AZ16)=0,"",SUM(B16:AZ16))</f>
        <v/>
      </c>
      <c r="BB16">
        <f>COUNT(B16:AZ16)</f>
        <v/>
      </c>
      <c r="BC16">
        <f>IF(OR(BA16="",COUNT($BA$5:$BA$39)&lt;3),"",IF(RANK(BA16,$BA$5:$BA$39,0)&lt;=ROUND(COUNT($BA$5:$BA$39)/3,0),"top",IF(RANK(BA16,$BA$5:$BA$39,1)&lt;=ROUND(COUNT($BA$5:$BA$39)/3,0),"bottom","middle")))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>
        <f>IF(COUNT(B17:AZ17)=0,"",SUM(B17:AZ17))</f>
        <v/>
      </c>
      <c r="BB17">
        <f>COUNT(B17:AZ17)</f>
        <v/>
      </c>
      <c r="BC17">
        <f>IF(OR(BA17="",COUNT($BA$5:$BA$39)&lt;3),"",IF(RANK(BA17,$BA$5:$BA$39,0)&lt;=ROUND(COUNT($BA$5:$BA$39)/3,0),"top",IF(RANK(BA17,$BA$5:$BA$39,1)&lt;=ROUND(COUNT($BA$5:$BA$39)/3,0),"bottom","middle")))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>
        <f>IF(COUNT(B18:AZ18)=0,"",SUM(B18:AZ18))</f>
        <v/>
      </c>
      <c r="BB18">
        <f>COUNT(B18:AZ18)</f>
        <v/>
      </c>
      <c r="BC18">
        <f>IF(OR(BA18="",COUNT($BA$5:$BA$39)&lt;3),"",IF(RANK(BA18,$BA$5:$BA$39,0)&lt;=ROUND(COUNT($BA$5:$BA$39)/3,0),"top",IF(RANK(BA18,$BA$5:$BA$39,1)&lt;=ROUND(COUNT($BA$5:$BA$39)/3,0),"bottom","middle")))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>
        <f>IF(COUNT(B19:AZ19)=0,"",SUM(B19:AZ19))</f>
        <v/>
      </c>
      <c r="BB19">
        <f>COUNT(B19:AZ19)</f>
        <v/>
      </c>
      <c r="BC19">
        <f>IF(OR(BA19="",COUNT($BA$5:$BA$39)&lt;3),"",IF(RANK(BA19,$BA$5:$BA$39,0)&lt;=ROUND(COUNT($BA$5:$BA$39)/3,0),"top",IF(RANK(BA19,$BA$5:$BA$39,1)&lt;=ROUND(COUNT($BA$5:$BA$39)/3,0),"bottom","middle")))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>
        <f>IF(COUNT(B20:AZ20)=0,"",SUM(B20:AZ20))</f>
        <v/>
      </c>
      <c r="BB20">
        <f>COUNT(B20:AZ20)</f>
        <v/>
      </c>
      <c r="BC20">
        <f>IF(OR(BA20="",COUNT($BA$5:$BA$39)&lt;3),"",IF(RANK(BA20,$BA$5:$BA$39,0)&lt;=ROUND(COUNT($BA$5:$BA$39)/3,0),"top",IF(RANK(BA20,$BA$5:$BA$39,1)&lt;=ROUND(COUNT($BA$5:$BA$39)/3,0),"bottom","middle")))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>
        <f>IF(COUNT(B21:AZ21)=0,"",SUM(B21:AZ21))</f>
        <v/>
      </c>
      <c r="BB21">
        <f>COUNT(B21:AZ21)</f>
        <v/>
      </c>
      <c r="BC21">
        <f>IF(OR(BA21="",COUNT($BA$5:$BA$39)&lt;3),"",IF(RANK(BA21,$BA$5:$BA$39,0)&lt;=ROUND(COUNT($BA$5:$BA$39)/3,0),"top",IF(RANK(BA21,$BA$5:$BA$39,1)&lt;=ROUND(COUNT($BA$5:$BA$39)/3,0),"bottom","middle")))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>
        <f>IF(COUNT(B22:AZ22)=0,"",SUM(B22:AZ22))</f>
        <v/>
      </c>
      <c r="BB22">
        <f>COUNT(B22:AZ22)</f>
        <v/>
      </c>
      <c r="BC22">
        <f>IF(OR(BA22="",COUNT($BA$5:$BA$39)&lt;3),"",IF(RANK(BA22,$BA$5:$BA$39,0)&lt;=ROUND(COUNT($BA$5:$BA$39)/3,0),"top",IF(RANK(BA22,$BA$5:$BA$39,1)&lt;=ROUND(COUNT($BA$5:$BA$39)/3,0),"bottom","middle")))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>
        <f>IF(COUNT(B23:AZ23)=0,"",SUM(B23:AZ23))</f>
        <v/>
      </c>
      <c r="BB23">
        <f>COUNT(B23:AZ23)</f>
        <v/>
      </c>
      <c r="BC23">
        <f>IF(OR(BA23="",COUNT($BA$5:$BA$39)&lt;3),"",IF(RANK(BA23,$BA$5:$BA$39,0)&lt;=ROUND(COUNT($BA$5:$BA$39)/3,0),"top",IF(RANK(BA23,$BA$5:$BA$39,1)&lt;=ROUND(COUNT($BA$5:$BA$39)/3,0),"bottom","middle")))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>
        <f>IF(COUNT(B24:AZ24)=0,"",SUM(B24:AZ24))</f>
        <v/>
      </c>
      <c r="BB24">
        <f>COUNT(B24:AZ24)</f>
        <v/>
      </c>
      <c r="BC24">
        <f>IF(OR(BA24="",COUNT($BA$5:$BA$39)&lt;3),"",IF(RANK(BA24,$BA$5:$BA$39,0)&lt;=ROUND(COUNT($BA$5:$BA$39)/3,0),"top",IF(RANK(BA24,$BA$5:$BA$39,1)&lt;=ROUND(COUNT($BA$5:$BA$39)/3,0),"bottom","middle")))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>
        <f>IF(COUNT(B25:AZ25)=0,"",SUM(B25:AZ25))</f>
        <v/>
      </c>
      <c r="BB25">
        <f>COUNT(B25:AZ25)</f>
        <v/>
      </c>
      <c r="BC25">
        <f>IF(OR(BA25="",COUNT($BA$5:$BA$39)&lt;3),"",IF(RANK(BA25,$BA$5:$BA$39,0)&lt;=ROUND(COUNT($BA$5:$BA$39)/3,0),"top",IF(RANK(BA25,$BA$5:$BA$39,1)&lt;=ROUND(COUNT($BA$5:$BA$39)/3,0),"bottom","middle")))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>
        <f>IF(COUNT(B26:AZ26)=0,"",SUM(B26:AZ26))</f>
        <v/>
      </c>
      <c r="BB26">
        <f>COUNT(B26:AZ26)</f>
        <v/>
      </c>
      <c r="BC26">
        <f>IF(OR(BA26="",COUNT($BA$5:$BA$39)&lt;3),"",IF(RANK(BA26,$BA$5:$BA$39,0)&lt;=ROUND(COUNT($BA$5:$BA$39)/3,0),"top",IF(RANK(BA26,$BA$5:$BA$39,1)&lt;=ROUND(COUNT($BA$5:$BA$39)/3,0),"bottom","middle")))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>
        <f>IF(COUNT(B27:AZ27)=0,"",SUM(B27:AZ27))</f>
        <v/>
      </c>
      <c r="BB27">
        <f>COUNT(B27:AZ27)</f>
        <v/>
      </c>
      <c r="BC27">
        <f>IF(OR(BA27="",COUNT($BA$5:$BA$39)&lt;3),"",IF(RANK(BA27,$BA$5:$BA$39,0)&lt;=ROUND(COUNT($BA$5:$BA$39)/3,0),"top",IF(RANK(BA27,$BA$5:$BA$39,1)&lt;=ROUND(COUNT($BA$5:$BA$39)/3,0),"bottom","middle")))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>
        <f>IF(COUNT(B28:AZ28)=0,"",SUM(B28:AZ28))</f>
        <v/>
      </c>
      <c r="BB28">
        <f>COUNT(B28:AZ28)</f>
        <v/>
      </c>
      <c r="BC28">
        <f>IF(OR(BA28="",COUNT($BA$5:$BA$39)&lt;3),"",IF(RANK(BA28,$BA$5:$BA$39,0)&lt;=ROUND(COUNT($BA$5:$BA$39)/3,0),"top",IF(RANK(BA28,$BA$5:$BA$39,1)&lt;=ROUND(COUNT($BA$5:$BA$39)/3,0),"bottom","middle")))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>
        <f>IF(COUNT(B29:AZ29)=0,"",SUM(B29:AZ29))</f>
        <v/>
      </c>
      <c r="BB29">
        <f>COUNT(B29:AZ29)</f>
        <v/>
      </c>
      <c r="BC29">
        <f>IF(OR(BA29="",COUNT($BA$5:$BA$39)&lt;3),"",IF(RANK(BA29,$BA$5:$BA$39,0)&lt;=ROUND(COUNT($BA$5:$BA$39)/3,0),"top",IF(RANK(BA29,$BA$5:$BA$39,1)&lt;=ROUND(COUNT($BA$5:$BA$39)/3,0),"bottom","middle")))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>
        <f>IF(COUNT(B30:AZ30)=0,"",SUM(B30:AZ30))</f>
        <v/>
      </c>
      <c r="BB30">
        <f>COUNT(B30:AZ30)</f>
        <v/>
      </c>
      <c r="BC30">
        <f>IF(OR(BA30="",COUNT($BA$5:$BA$39)&lt;3),"",IF(RANK(BA30,$BA$5:$BA$39,0)&lt;=ROUND(COUNT($BA$5:$BA$39)/3,0),"top",IF(RANK(BA30,$BA$5:$BA$39,1)&lt;=ROUND(COUNT($BA$5:$BA$39)/3,0),"bottom","middle")))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>
        <f>IF(COUNT(B31:AZ31)=0,"",SUM(B31:AZ31))</f>
        <v/>
      </c>
      <c r="BB31">
        <f>COUNT(B31:AZ31)</f>
        <v/>
      </c>
      <c r="BC31">
        <f>IF(OR(BA31="",COUNT($BA$5:$BA$39)&lt;3),"",IF(RANK(BA31,$BA$5:$BA$39,0)&lt;=ROUND(COUNT($BA$5:$BA$39)/3,0),"top",IF(RANK(BA31,$BA$5:$BA$39,1)&lt;=ROUND(COUNT($BA$5:$BA$39)/3,0),"bottom","middle")))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>
        <f>IF(COUNT(B32:AZ32)=0,"",SUM(B32:AZ32))</f>
        <v/>
      </c>
      <c r="BB32">
        <f>COUNT(B32:AZ32)</f>
        <v/>
      </c>
      <c r="BC32">
        <f>IF(OR(BA32="",COUNT($BA$5:$BA$39)&lt;3),"",IF(RANK(BA32,$BA$5:$BA$39,0)&lt;=ROUND(COUNT($BA$5:$BA$39)/3,0),"top",IF(RANK(BA32,$BA$5:$BA$39,1)&lt;=ROUND(COUNT($BA$5:$BA$39)/3,0),"bottom","middle")))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>
        <f>IF(COUNT(B33:AZ33)=0,"",SUM(B33:AZ33))</f>
        <v/>
      </c>
      <c r="BB33">
        <f>COUNT(B33:AZ33)</f>
        <v/>
      </c>
      <c r="BC33">
        <f>IF(OR(BA33="",COUNT($BA$5:$BA$39)&lt;3),"",IF(RANK(BA33,$BA$5:$BA$39,0)&lt;=ROUND(COUNT($BA$5:$BA$39)/3,0),"top",IF(RANK(BA33,$BA$5:$BA$39,1)&lt;=ROUND(COUNT($BA$5:$BA$39)/3,0),"bottom","middle")))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>
        <f>IF(COUNT(B34:AZ34)=0,"",SUM(B34:AZ34))</f>
        <v/>
      </c>
      <c r="BB34">
        <f>COUNT(B34:AZ34)</f>
        <v/>
      </c>
      <c r="BC34">
        <f>IF(OR(BA34="",COUNT($BA$5:$BA$39)&lt;3),"",IF(RANK(BA34,$BA$5:$BA$39,0)&lt;=ROUND(COUNT($BA$5:$BA$39)/3,0),"top",IF(RANK(BA34,$BA$5:$BA$39,1)&lt;=ROUND(COUNT($BA$5:$BA$39)/3,0),"bottom","middle")))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>
        <f>IF(COUNT(B35:AZ35)=0,"",SUM(B35:AZ35))</f>
        <v/>
      </c>
      <c r="BB35">
        <f>COUNT(B35:AZ35)</f>
        <v/>
      </c>
      <c r="BC35">
        <f>IF(OR(BA35="",COUNT($BA$5:$BA$39)&lt;3),"",IF(RANK(BA35,$BA$5:$BA$39,0)&lt;=ROUND(COUNT($BA$5:$BA$39)/3,0),"top",IF(RANK(BA35,$BA$5:$BA$39,1)&lt;=ROUND(COUNT($BA$5:$BA$39)/3,0),"bottom","middle")))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>
        <f>IF(COUNT(B36:AZ36)=0,"",SUM(B36:AZ36))</f>
        <v/>
      </c>
      <c r="BB36">
        <f>COUNT(B36:AZ36)</f>
        <v/>
      </c>
      <c r="BC36">
        <f>IF(OR(BA36="",COUNT($BA$5:$BA$39)&lt;3),"",IF(RANK(BA36,$BA$5:$BA$39,0)&lt;=ROUND(COUNT($BA$5:$BA$39)/3,0),"top",IF(RANK(BA36,$BA$5:$BA$39,1)&lt;=ROUND(COUNT($BA$5:$BA$39)/3,0),"bottom","middle")))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>
        <f>IF(COUNT(B37:AZ37)=0,"",SUM(B37:AZ37))</f>
        <v/>
      </c>
      <c r="BB37">
        <f>COUNT(B37:AZ37)</f>
        <v/>
      </c>
      <c r="BC37">
        <f>IF(OR(BA37="",COUNT($BA$5:$BA$39)&lt;3),"",IF(RANK(BA37,$BA$5:$BA$39,0)&lt;=ROUND(COUNT($BA$5:$BA$39)/3,0),"top",IF(RANK(BA37,$BA$5:$BA$39,1)&lt;=ROUND(COUNT($BA$5:$BA$39)/3,0),"bottom","middle")))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>
        <f>IF(COUNT(B38:AZ38)=0,"",SUM(B38:AZ38))</f>
        <v/>
      </c>
      <c r="BB38">
        <f>COUNT(B38:AZ38)</f>
        <v/>
      </c>
      <c r="BC38">
        <f>IF(OR(BA38="",COUNT($BA$5:$BA$39)&lt;3),"",IF(RANK(BA38,$BA$5:$BA$39,0)&lt;=ROUND(COUNT($BA$5:$BA$39)/3,0),"top",IF(RANK(BA38,$BA$5:$BA$39,1)&lt;=ROUND(COUNT($BA$5:$BA$39)/3,0),"bottom","middle")))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>
        <f>IF(COUNT(B39:AZ39)=0,"",SUM(B39:AZ39))</f>
        <v/>
      </c>
      <c r="BB39">
        <f>COUNT(B39:AZ39)</f>
        <v/>
      </c>
      <c r="BC39">
        <f>IF(OR(BA39="",COUNT($BA$5:$BA$39)&lt;3),"",IF(RANK(BA39,$BA$5:$BA$39,0)&lt;=ROUND(COUNT($BA$5:$BA$39)/3,0),"top",IF(RANK(BA39,$BA$5:$BA$39,1)&lt;=ROUND(COUNT($BA$5:$BA$39)/3,0),"bottom","middle")))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Medium</t>
        </is>
      </c>
      <c r="E5" t="inlineStr">
        <is>
          <t>[S]</t>
        </is>
      </c>
      <c r="F5" t="inlineStr">
        <is>
          <t>large (or extreme)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IF(SUMPRODUCT((Marks!$BC$5:$BC$39="top")*ISNUMBER(Marks!B$5:B$39))=0,"",SUMPRODUCT((Marks!$BC$5:$BC$39="top")*(Marks!B$5:B$39=1))/SUMPRODUCT((Marks!$BC$5:$BC$39="top")*ISNUMBER(Marks!B$5:B$39)))</f>
        <v/>
      </c>
      <c r="K5" s="6">
        <f>IF(SUMPRODUCT((Marks!$BC$5:$BC$39="bottom")*ISNUMBER(Marks!B$5:B$39))=0,"",SUMPRODUCT((Marks!$BC$5:$BC$39="bottom")*(Marks!B$5:B$39=1))/SUMPRODUCT((Marks!$BC$5:$BC$39="bottom")*ISNUMBER(Marks!B$5:B$39)))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confounder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IF(SUMPRODUCT((Marks!$BC$5:$BC$39="top")*ISNUMBER(Marks!C$5:C$39))=0,"",SUMPRODUCT((Marks!$BC$5:$BC$39="top")*(Marks!C$5:C$39=1))/SUMPRODUCT((Marks!$BC$5:$BC$39="top")*ISNUMBER(Marks!C$5:C$39)))</f>
        <v/>
      </c>
      <c r="K6" s="6">
        <f>IF(SUMPRODUCT((Marks!$BC$5:$BC$39="bottom")*ISNUMBER(Marks!C$5:C$39))=0,"",SUMPRODUCT((Marks!$BC$5:$BC$39="bottom")*(Marks!C$5:C$39=1))/SUMPRODUCT((Marks!$BC$5:$BC$39="bottom")*ISNUMBER(Marks!C$5:C$39)))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Medium</t>
        </is>
      </c>
      <c r="E7" t="inlineStr">
        <is>
          <t>[S]</t>
        </is>
      </c>
      <c r="F7" t="inlineStr">
        <is>
          <t>False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IF(SUMPRODUCT((Marks!$BC$5:$BC$39="top")*ISNUMBER(Marks!D$5:D$39))=0,"",SUMPRODUCT((Marks!$BC$5:$BC$39="top")*(Marks!D$5:D$39=1))/SUMPRODUCT((Marks!$BC$5:$BC$39="top")*ISNUMBER(Marks!D$5:D$39)))</f>
        <v/>
      </c>
      <c r="K7" s="6">
        <f>IF(SUMPRODUCT((Marks!$BC$5:$BC$39="bottom")*ISNUMBER(Marks!D$5:D$39))=0,"",SUMPRODUCT((Marks!$BC$5:$BC$39="bottom")*(Marks!D$5:D$39=1))/SUMPRODUCT((Marks!$BC$5:$BC$39="bottom")*ISNUMBER(Marks!D$5:D$39)))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Easy</t>
        </is>
      </c>
      <c r="E8" t="inlineStr">
        <is>
          <t>[S]</t>
        </is>
      </c>
      <c r="F8" t="inlineStr">
        <is>
          <t>True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IF(SUMPRODUCT((Marks!$BC$5:$BC$39="top")*ISNUMBER(Marks!E$5:E$39))=0,"",SUMPRODUCT((Marks!$BC$5:$BC$39="top")*(Marks!E$5:E$39=1))/SUMPRODUCT((Marks!$BC$5:$BC$39="top")*ISNUMBER(Marks!E$5:E$39)))</f>
        <v/>
      </c>
      <c r="K8" s="6">
        <f>IF(SUMPRODUCT((Marks!$BC$5:$BC$39="bottom")*ISNUMBER(Marks!E$5:E$39))=0,"",SUMPRODUCT((Marks!$BC$5:$BC$39="bottom")*(Marks!E$5:E$39=1))/SUMPRODUCT((Marks!$BC$5:$BC$39="bottom")*ISNUMBER(Marks!E$5:E$39)))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Easy</t>
        </is>
      </c>
      <c r="E9" t="inlineStr">
        <is>
          <t>[F]</t>
        </is>
      </c>
      <c r="F9" t="inlineStr">
        <is>
          <t>True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IF(SUMPRODUCT((Marks!$BC$5:$BC$39="top")*ISNUMBER(Marks!F$5:F$39))=0,"",SUMPRODUCT((Marks!$BC$5:$BC$39="top")*(Marks!F$5:F$39=1))/SUMPRODUCT((Marks!$BC$5:$BC$39="top")*ISNUMBER(Marks!F$5:F$39)))</f>
        <v/>
      </c>
      <c r="K9" s="6">
        <f>IF(SUMPRODUCT((Marks!$BC$5:$BC$39="bottom")*ISNUMBER(Marks!F$5:F$39))=0,"",SUMPRODUCT((Marks!$BC$5:$BC$39="bottom")*(Marks!F$5:F$39=1))/SUMPRODUCT((Marks!$BC$5:$BC$39="bottom")*ISNUMBER(Marks!F$5:F$39)))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True or false</t>
        </is>
      </c>
      <c r="D10" t="inlineStr">
        <is>
          <t>Easy</t>
        </is>
      </c>
      <c r="E10" t="inlineStr">
        <is>
          <t>[F]</t>
        </is>
      </c>
      <c r="F10" t="inlineStr">
        <is>
          <t>True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IF(SUMPRODUCT((Marks!$BC$5:$BC$39="top")*ISNUMBER(Marks!G$5:G$39))=0,"",SUMPRODUCT((Marks!$BC$5:$BC$39="top")*(Marks!G$5:G$39=1))/SUMPRODUCT((Marks!$BC$5:$BC$39="top")*ISNUMBER(Marks!G$5:G$39)))</f>
        <v/>
      </c>
      <c r="K10" s="6">
        <f>IF(SUMPRODUCT((Marks!$BC$5:$BC$39="bottom")*ISNUMBER(Marks!G$5:G$39))=0,"",SUMPRODUCT((Marks!$BC$5:$BC$39="bottom")*(Marks!G$5:G$39=1))/SUMPRODUCT((Marks!$BC$5:$BC$39="bottom")*ISNUMBER(Marks!G$5:G$39)))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True or false</t>
        </is>
      </c>
      <c r="D11" t="inlineStr">
        <is>
          <t>Easy</t>
        </is>
      </c>
      <c r="E11" t="inlineStr">
        <is>
          <t>[F]</t>
        </is>
      </c>
      <c r="F11" t="inlineStr">
        <is>
          <t>False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IF(SUMPRODUCT((Marks!$BC$5:$BC$39="top")*ISNUMBER(Marks!H$5:H$39))=0,"",SUMPRODUCT((Marks!$BC$5:$BC$39="top")*(Marks!H$5:H$39=1))/SUMPRODUCT((Marks!$BC$5:$BC$39="top")*ISNUMBER(Marks!H$5:H$39)))</f>
        <v/>
      </c>
      <c r="K11" s="6">
        <f>IF(SUMPRODUCT((Marks!$BC$5:$BC$39="bottom")*ISNUMBER(Marks!H$5:H$39))=0,"",SUMPRODUCT((Marks!$BC$5:$BC$39="bottom")*(Marks!H$5:H$39=1))/SUMPRODUCT((Marks!$BC$5:$BC$39="bottom")*ISNUMBER(Marks!H$5:H$39)))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True or false</t>
        </is>
      </c>
      <c r="D12" t="inlineStr">
        <is>
          <t>Easy</t>
        </is>
      </c>
      <c r="E12" t="inlineStr">
        <is>
          <t>[F]</t>
        </is>
      </c>
      <c r="F12" t="inlineStr">
        <is>
          <t>False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IF(SUMPRODUCT((Marks!$BC$5:$BC$39="top")*ISNUMBER(Marks!I$5:I$39))=0,"",SUMPRODUCT((Marks!$BC$5:$BC$39="top")*(Marks!I$5:I$39=1))/SUMPRODUCT((Marks!$BC$5:$BC$39="top")*ISNUMBER(Marks!I$5:I$39)))</f>
        <v/>
      </c>
      <c r="K12" s="6">
        <f>IF(SUMPRODUCT((Marks!$BC$5:$BC$39="bottom")*ISNUMBER(Marks!I$5:I$39))=0,"",SUMPRODUCT((Marks!$BC$5:$BC$39="bottom")*(Marks!I$5:I$39=1))/SUMPRODUCT((Marks!$BC$5:$BC$39="bottom")*ISNUMBER(Marks!I$5:I$39)))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1</v>
      </c>
      <c r="C13" t="inlineStr">
        <is>
          <t>True or false</t>
        </is>
      </c>
      <c r="D13" t="inlineStr">
        <is>
          <t>Hard</t>
        </is>
      </c>
      <c r="E13" t="inlineStr">
        <is>
          <t>[D]</t>
        </is>
      </c>
      <c r="F13" t="inlineStr">
        <is>
          <t>True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IF(SUMPRODUCT((Marks!$BC$5:$BC$39="top")*ISNUMBER(Marks!J$5:J$39))=0,"",SUMPRODUCT((Marks!$BC$5:$BC$39="top")*(Marks!J$5:J$39=1))/SUMPRODUCT((Marks!$BC$5:$BC$39="top")*ISNUMBER(Marks!J$5:J$39)))</f>
        <v/>
      </c>
      <c r="K13" s="6">
        <f>IF(SUMPRODUCT((Marks!$BC$5:$BC$39="bottom")*ISNUMBER(Marks!J$5:J$39))=0,"",SUMPRODUCT((Marks!$BC$5:$BC$39="bottom")*(Marks!J$5:J$39=1))/SUMPRODUCT((Marks!$BC$5:$BC$39="bottom")*ISNUMBER(Marks!J$5:J$39)))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Easy</t>
        </is>
      </c>
      <c r="E14" t="inlineStr">
        <is>
          <t>[S]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IF(SUMPRODUCT((Marks!$BC$5:$BC$39="top")*ISNUMBER(Marks!K$5:K$39))=0,"",SUMPRODUCT((Marks!$BC$5:$BC$39="top")*(Marks!K$5:K$39=1))/SUMPRODUCT((Marks!$BC$5:$BC$39="top")*ISNUMBER(Marks!K$5:K$39)))</f>
        <v/>
      </c>
      <c r="K14" s="6">
        <f>IF(SUMPRODUCT((Marks!$BC$5:$BC$39="bottom")*ISNUMBER(Marks!K$5:K$39))=0,"",SUMPRODUCT((Marks!$BC$5:$BC$39="bottom")*(Marks!K$5:K$39=1))/SUMPRODUCT((Marks!$BC$5:$BC$39="bottom")*ISNUMBER(Marks!K$5:K$39)))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One correct option</t>
        </is>
      </c>
      <c r="D15" t="inlineStr">
        <is>
          <t>Easy</t>
        </is>
      </c>
      <c r="E15" t="inlineStr">
        <is>
          <t>[S]</t>
        </is>
      </c>
      <c r="F15" t="inlineStr">
        <is>
          <t>a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IF(SUMPRODUCT((Marks!$BC$5:$BC$39="top")*ISNUMBER(Marks!L$5:L$39))=0,"",SUMPRODUCT((Marks!$BC$5:$BC$39="top")*(Marks!L$5:L$39=1))/SUMPRODUCT((Marks!$BC$5:$BC$39="top")*ISNUMBER(Marks!L$5:L$39)))</f>
        <v/>
      </c>
      <c r="K15" s="6">
        <f>IF(SUMPRODUCT((Marks!$BC$5:$BC$39="bottom")*ISNUMBER(Marks!L$5:L$39))=0,"",SUMPRODUCT((Marks!$BC$5:$BC$39="bottom")*(Marks!L$5:L$39=1))/SUMPRODUCT((Marks!$BC$5:$BC$39="bottom")*ISNUMBER(Marks!L$5:L$39)))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One correct option</t>
        </is>
      </c>
      <c r="D16" t="inlineStr">
        <is>
          <t>Easy</t>
        </is>
      </c>
      <c r="E16" t="inlineStr">
        <is>
          <t>[S]</t>
        </is>
      </c>
      <c r="F16" t="inlineStr">
        <is>
          <t>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IF(SUMPRODUCT((Marks!$BC$5:$BC$39="top")*ISNUMBER(Marks!M$5:M$39))=0,"",SUMPRODUCT((Marks!$BC$5:$BC$39="top")*(Marks!M$5:M$39=1))/SUMPRODUCT((Marks!$BC$5:$BC$39="top")*ISNUMBER(Marks!M$5:M$39)))</f>
        <v/>
      </c>
      <c r="K16" s="6">
        <f>IF(SUMPRODUCT((Marks!$BC$5:$BC$39="bottom")*ISNUMBER(Marks!M$5:M$39))=0,"",SUMPRODUCT((Marks!$BC$5:$BC$39="bottom")*(Marks!M$5:M$39=1))/SUMPRODUCT((Marks!$BC$5:$BC$39="bottom")*ISNUMBER(Marks!M$5:M$39)))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IF(SUMPRODUCT((Marks!$BC$5:$BC$39="top")*ISNUMBER(Marks!N$5:N$39))=0,"",SUMPRODUCT((Marks!$BC$5:$BC$39="top")*(Marks!N$5:N$39=1))/SUMPRODUCT((Marks!$BC$5:$BC$39="top")*ISNUMBER(Marks!N$5:N$39)))</f>
        <v/>
      </c>
      <c r="K17" s="6">
        <f>IF(SUMPRODUCT((Marks!$BC$5:$BC$39="bottom")*ISNUMBER(Marks!N$5:N$39))=0,"",SUMPRODUCT((Marks!$BC$5:$BC$39="bottom")*(Marks!N$5:N$39=1))/SUMPRODUCT((Marks!$BC$5:$BC$39="bottom")*ISNUMBER(Marks!N$5:N$39)))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[D]</t>
        </is>
      </c>
      <c r="F18" t="inlineStr">
        <is>
          <t>c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IF(SUMPRODUCT((Marks!$BC$5:$BC$39="top")*ISNUMBER(Marks!O$5:O$39))=0,"",SUMPRODUCT((Marks!$BC$5:$BC$39="top")*(Marks!O$5:O$39=1))/SUMPRODUCT((Marks!$BC$5:$BC$39="top")*ISNUMBER(Marks!O$5:O$39)))</f>
        <v/>
      </c>
      <c r="K18" s="6">
        <f>IF(SUMPRODUCT((Marks!$BC$5:$BC$39="bottom")*ISNUMBER(Marks!O$5:O$39))=0,"",SUMPRODUCT((Marks!$BC$5:$BC$39="bottom")*(Marks!O$5:O$39=1))/SUMPRODUCT((Marks!$BC$5:$BC$39="bottom")*ISNUMBER(Marks!O$5:O$39)))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More than one correct</t>
        </is>
      </c>
      <c r="D19" t="inlineStr">
        <is>
          <t>Easy</t>
        </is>
      </c>
      <c r="E19" t="inlineStr">
        <is>
          <t>[S]</t>
        </is>
      </c>
      <c r="F19" t="inlineStr">
        <is>
          <t>a, b, d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IF(SUMPRODUCT((Marks!$BC$5:$BC$39="top")*ISNUMBER(Marks!P$5:P$39))=0,"",SUMPRODUCT((Marks!$BC$5:$BC$39="top")*(Marks!P$5:P$39=1))/SUMPRODUCT((Marks!$BC$5:$BC$39="top")*ISNUMBER(Marks!P$5:P$39)))</f>
        <v/>
      </c>
      <c r="K19" s="6">
        <f>IF(SUMPRODUCT((Marks!$BC$5:$BC$39="bottom")*ISNUMBER(Marks!P$5:P$39))=0,"",SUMPRODUCT((Marks!$BC$5:$BC$39="bottom")*(Marks!P$5:P$39=1))/SUMPRODUCT((Marks!$BC$5:$BC$39="bottom")*ISNUMBER(Marks!P$5:P$39)))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More than one correct</t>
        </is>
      </c>
      <c r="D20" t="inlineStr">
        <is>
          <t>Medium</t>
        </is>
      </c>
      <c r="E20" t="inlineStr">
        <is>
          <t>[S]</t>
        </is>
      </c>
      <c r="F20" t="inlineStr">
        <is>
          <t>a, b, 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IF(SUMPRODUCT((Marks!$BC$5:$BC$39="top")*ISNUMBER(Marks!Q$5:Q$39))=0,"",SUMPRODUCT((Marks!$BC$5:$BC$39="top")*(Marks!Q$5:Q$39=1))/SUMPRODUCT((Marks!$BC$5:$BC$39="top")*ISNUMBER(Marks!Q$5:Q$39)))</f>
        <v/>
      </c>
      <c r="K20" s="6">
        <f>IF(SUMPRODUCT((Marks!$BC$5:$BC$39="bottom")*ISNUMBER(Marks!Q$5:Q$39))=0,"",SUMPRODUCT((Marks!$BC$5:$BC$39="bottom")*(Marks!Q$5:Q$39=1))/SUMPRODUCT((Marks!$BC$5:$BC$39="bottom")*ISNUMBER(Marks!Q$5:Q$39)))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2</v>
      </c>
      <c r="C21" t="inlineStr">
        <is>
          <t>Scenario set</t>
        </is>
      </c>
      <c r="D21" t="inlineStr">
        <is>
          <t>Easy</t>
        </is>
      </c>
      <c r="E21" t="inlineStr">
        <is>
          <t>[S]</t>
        </is>
      </c>
      <c r="F21" t="inlineStr">
        <is>
          <t>b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IF(SUMPRODUCT((Marks!$BC$5:$BC$39="top")*ISNUMBER(Marks!R$5:R$39))=0,"",SUMPRODUCT((Marks!$BC$5:$BC$39="top")*(Marks!R$5:R$39=1))/SUMPRODUCT((Marks!$BC$5:$BC$39="top")*ISNUMBER(Marks!R$5:R$39)))</f>
        <v/>
      </c>
      <c r="K21" s="6">
        <f>IF(SUMPRODUCT((Marks!$BC$5:$BC$39="bottom")*ISNUMBER(Marks!R$5:R$39))=0,"",SUMPRODUCT((Marks!$BC$5:$BC$39="bottom")*(Marks!R$5:R$39=1))/SUMPRODUCT((Marks!$BC$5:$BC$39="bottom")*ISNUMBER(Marks!R$5:R$39)))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2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b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IF(SUMPRODUCT((Marks!$BC$5:$BC$39="top")*ISNUMBER(Marks!S$5:S$39))=0,"",SUMPRODUCT((Marks!$BC$5:$BC$39="top")*(Marks!S$5:S$39=1))/SUMPRODUCT((Marks!$BC$5:$BC$39="top")*ISNUMBER(Marks!S$5:S$39)))</f>
        <v/>
      </c>
      <c r="K22" s="6">
        <f>IF(SUMPRODUCT((Marks!$BC$5:$BC$39="bottom")*ISNUMBER(Marks!S$5:S$39))=0,"",SUMPRODUCT((Marks!$BC$5:$BC$39="bottom")*(Marks!S$5:S$39=1))/SUMPRODUCT((Marks!$BC$5:$BC$39="bottom")*ISNUMBER(Marks!S$5:S$39)))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2</v>
      </c>
      <c r="C23" t="inlineStr">
        <is>
          <t>Scenario set</t>
        </is>
      </c>
      <c r="D23" t="inlineStr">
        <is>
          <t>Medium</t>
        </is>
      </c>
      <c r="E23" t="inlineStr">
        <is>
          <t>[F]</t>
        </is>
      </c>
      <c r="F23" t="inlineStr">
        <is>
          <t>True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IF(SUMPRODUCT((Marks!$BC$5:$BC$39="top")*ISNUMBER(Marks!T$5:T$39))=0,"",SUMPRODUCT((Marks!$BC$5:$BC$39="top")*(Marks!T$5:T$39=1))/SUMPRODUCT((Marks!$BC$5:$BC$39="top")*ISNUMBER(Marks!T$5:T$39)))</f>
        <v/>
      </c>
      <c r="K23" s="6">
        <f>IF(SUMPRODUCT((Marks!$BC$5:$BC$39="bottom")*ISNUMBER(Marks!T$5:T$39))=0,"",SUMPRODUCT((Marks!$BC$5:$BC$39="bottom")*(Marks!T$5:T$39=1))/SUMPRODUCT((Marks!$BC$5:$BC$39="bottom")*ISNUMBER(Marks!T$5:T$39)))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2</v>
      </c>
      <c r="C24" t="inlineStr">
        <is>
          <t>Scenario set</t>
        </is>
      </c>
      <c r="D24" t="inlineStr">
        <is>
          <t>Hard</t>
        </is>
      </c>
      <c r="E24" t="inlineStr">
        <is>
          <t>[D]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IF(SUMPRODUCT((Marks!$BC$5:$BC$39="top")*ISNUMBER(Marks!U$5:U$39))=0,"",SUMPRODUCT((Marks!$BC$5:$BC$39="top")*(Marks!U$5:U$39=1))/SUMPRODUCT((Marks!$BC$5:$BC$39="top")*ISNUMBER(Marks!U$5:U$39)))</f>
        <v/>
      </c>
      <c r="K24" s="6">
        <f>IF(SUMPRODUCT((Marks!$BC$5:$BC$39="bottom")*ISNUMBER(Marks!U$5:U$39))=0,"",SUMPRODUCT((Marks!$BC$5:$BC$39="bottom")*(Marks!U$5:U$39=1))/SUMPRODUCT((Marks!$BC$5:$BC$39="bottom")*ISNUMBER(Marks!U$5:U$39)))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2</v>
      </c>
      <c r="C25" t="inlineStr">
        <is>
          <t>Order the steps</t>
        </is>
      </c>
      <c r="D25" t="inlineStr">
        <is>
          <t>Medium</t>
        </is>
      </c>
      <c r="E25" t="inlineStr">
        <is>
          <t>[S]</t>
        </is>
      </c>
      <c r="F25" t="inlineStr">
        <is>
          <t>b, d, e, a, 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IF(SUMPRODUCT((Marks!$BC$5:$BC$39="top")*ISNUMBER(Marks!V$5:V$39))=0,"",SUMPRODUCT((Marks!$BC$5:$BC$39="top")*(Marks!V$5:V$39=1))/SUMPRODUCT((Marks!$BC$5:$BC$39="top")*ISNUMBER(Marks!V$5:V$39)))</f>
        <v/>
      </c>
      <c r="K25" s="6">
        <f>IF(SUMPRODUCT((Marks!$BC$5:$BC$39="bottom")*ISNUMBER(Marks!V$5:V$39))=0,"",SUMPRODUCT((Marks!$BC$5:$BC$39="bottom")*(Marks!V$5:V$39=1))/SUMPRODUCT((Marks!$BC$5:$BC$39="bottom")*ISNUMBER(Marks!V$5:V$39)))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One correct option</t>
        </is>
      </c>
      <c r="D26" t="inlineStr">
        <is>
          <t>Medium</t>
        </is>
      </c>
      <c r="E26" t="inlineStr">
        <is>
          <t>[F]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IF(SUMPRODUCT((Marks!$BC$5:$BC$39="top")*ISNUMBER(Marks!W$5:W$39))=0,"",SUMPRODUCT((Marks!$BC$5:$BC$39="top")*(Marks!W$5:W$39=1))/SUMPRODUCT((Marks!$BC$5:$BC$39="top")*ISNUMBER(Marks!W$5:W$39)))</f>
        <v/>
      </c>
      <c r="K26" s="6">
        <f>IF(SUMPRODUCT((Marks!$BC$5:$BC$39="bottom")*ISNUMBER(Marks!W$5:W$39))=0,"",SUMPRODUCT((Marks!$BC$5:$BC$39="bottom")*(Marks!W$5:W$39=1))/SUMPRODUCT((Marks!$BC$5:$BC$39="bottom")*ISNUMBER(Marks!W$5:W$39)))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3</v>
      </c>
      <c r="C27" t="inlineStr">
        <is>
          <t>One correct option</t>
        </is>
      </c>
      <c r="D27" t="inlineStr">
        <is>
          <t>Medium</t>
        </is>
      </c>
      <c r="E27" t="inlineStr">
        <is>
          <t>[F]</t>
        </is>
      </c>
      <c r="F27" t="inlineStr">
        <is>
          <t>b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IF(SUMPRODUCT((Marks!$BC$5:$BC$39="top")*ISNUMBER(Marks!X$5:X$39))=0,"",SUMPRODUCT((Marks!$BC$5:$BC$39="top")*(Marks!X$5:X$39=1))/SUMPRODUCT((Marks!$BC$5:$BC$39="top")*ISNUMBER(Marks!X$5:X$39)))</f>
        <v/>
      </c>
      <c r="K27" s="6">
        <f>IF(SUMPRODUCT((Marks!$BC$5:$BC$39="bottom")*ISNUMBER(Marks!X$5:X$39))=0,"",SUMPRODUCT((Marks!$BC$5:$BC$39="bottom")*(Marks!X$5:X$39=1))/SUMPRODUCT((Marks!$BC$5:$BC$39="bottom")*ISNUMBER(Marks!X$5:X$39)))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3</v>
      </c>
      <c r="C28" t="inlineStr">
        <is>
          <t>One correct option</t>
        </is>
      </c>
      <c r="D28" t="inlineStr">
        <is>
          <t>Medium</t>
        </is>
      </c>
      <c r="E28" t="inlineStr">
        <is>
          <t>[F]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IF(SUMPRODUCT((Marks!$BC$5:$BC$39="top")*ISNUMBER(Marks!Y$5:Y$39))=0,"",SUMPRODUCT((Marks!$BC$5:$BC$39="top")*(Marks!Y$5:Y$39=1))/SUMPRODUCT((Marks!$BC$5:$BC$39="top")*ISNUMBER(Marks!Y$5:Y$39)))</f>
        <v/>
      </c>
      <c r="K28" s="6">
        <f>IF(SUMPRODUCT((Marks!$BC$5:$BC$39="bottom")*ISNUMBER(Marks!Y$5:Y$39))=0,"",SUMPRODUCT((Marks!$BC$5:$BC$39="bottom")*(Marks!Y$5:Y$39=1))/SUMPRODUCT((Marks!$BC$5:$BC$39="bottom")*ISNUMBER(Marks!Y$5:Y$39)))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3</v>
      </c>
      <c r="C29" t="inlineStr">
        <is>
          <t>One correct option</t>
        </is>
      </c>
      <c r="D29" t="inlineStr">
        <is>
          <t>Medium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IF(SUMPRODUCT((Marks!$BC$5:$BC$39="top")*ISNUMBER(Marks!Z$5:Z$39))=0,"",SUMPRODUCT((Marks!$BC$5:$BC$39="top")*(Marks!Z$5:Z$39=1))/SUMPRODUCT((Marks!$BC$5:$BC$39="top")*ISNUMBER(Marks!Z$5:Z$39)))</f>
        <v/>
      </c>
      <c r="K29" s="6">
        <f>IF(SUMPRODUCT((Marks!$BC$5:$BC$39="bottom")*ISNUMBER(Marks!Z$5:Z$39))=0,"",SUMPRODUCT((Marks!$BC$5:$BC$39="bottom")*(Marks!Z$5:Z$39=1))/SUMPRODUCT((Marks!$BC$5:$BC$39="bottom")*ISNUMBER(Marks!Z$5:Z$39)))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3</v>
      </c>
      <c r="C30" t="inlineStr">
        <is>
          <t>More than one correct</t>
        </is>
      </c>
      <c r="D30" t="inlineStr">
        <is>
          <t>Easy</t>
        </is>
      </c>
      <c r="E30" t="inlineStr">
        <is>
          <t>[S]</t>
        </is>
      </c>
      <c r="F30" t="inlineStr">
        <is>
          <t>a, b, c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IF(SUMPRODUCT((Marks!$BC$5:$BC$39="top")*ISNUMBER(Marks!AA$5:AA$39))=0,"",SUMPRODUCT((Marks!$BC$5:$BC$39="top")*(Marks!AA$5:AA$39=1))/SUMPRODUCT((Marks!$BC$5:$BC$39="top")*ISNUMBER(Marks!AA$5:AA$39)))</f>
        <v/>
      </c>
      <c r="K30" s="6">
        <f>IF(SUMPRODUCT((Marks!$BC$5:$BC$39="bottom")*ISNUMBER(Marks!AA$5:AA$39))=0,"",SUMPRODUCT((Marks!$BC$5:$BC$39="bottom")*(Marks!AA$5:AA$39=1))/SUMPRODUCT((Marks!$BC$5:$BC$39="bottom")*ISNUMBER(Marks!AA$5:AA$39)))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3</v>
      </c>
      <c r="C31" t="inlineStr">
        <is>
          <t>More than one correct</t>
        </is>
      </c>
      <c r="D31" t="inlineStr">
        <is>
          <t>Easy</t>
        </is>
      </c>
      <c r="E31" t="inlineStr">
        <is>
          <t>[F]</t>
        </is>
      </c>
      <c r="F31" t="inlineStr">
        <is>
          <t>a, b, c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IF(SUMPRODUCT((Marks!$BC$5:$BC$39="top")*ISNUMBER(Marks!AB$5:AB$39))=0,"",SUMPRODUCT((Marks!$BC$5:$BC$39="top")*(Marks!AB$5:AB$39=1))/SUMPRODUCT((Marks!$BC$5:$BC$39="top")*ISNUMBER(Marks!AB$5:AB$39)))</f>
        <v/>
      </c>
      <c r="K31" s="6">
        <f>IF(SUMPRODUCT((Marks!$BC$5:$BC$39="bottom")*ISNUMBER(Marks!AB$5:AB$39))=0,"",SUMPRODUCT((Marks!$BC$5:$BC$39="bottom")*(Marks!AB$5:AB$39=1))/SUMPRODUCT((Marks!$BC$5:$BC$39="bottom")*ISNUMBER(Marks!AB$5:AB$39)))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3</v>
      </c>
      <c r="C32" t="inlineStr">
        <is>
          <t>Scenario set</t>
        </is>
      </c>
      <c r="D32" t="inlineStr">
        <is>
          <t>Easy</t>
        </is>
      </c>
      <c r="E32" t="inlineStr">
        <is>
          <t>[F]</t>
        </is>
      </c>
      <c r="F32" t="inlineStr">
        <is>
          <t>197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IF(SUMPRODUCT((Marks!$BC$5:$BC$39="top")*ISNUMBER(Marks!AC$5:AC$39))=0,"",SUMPRODUCT((Marks!$BC$5:$BC$39="top")*(Marks!AC$5:AC$39=1))/SUMPRODUCT((Marks!$BC$5:$BC$39="top")*ISNUMBER(Marks!AC$5:AC$39)))</f>
        <v/>
      </c>
      <c r="K32" s="6">
        <f>IF(SUMPRODUCT((Marks!$BC$5:$BC$39="bottom")*ISNUMBER(Marks!AC$5:AC$39))=0,"",SUMPRODUCT((Marks!$BC$5:$BC$39="bottom")*(Marks!AC$5:AC$39=1))/SUMPRODUCT((Marks!$BC$5:$BC$39="bottom")*ISNUMBER(Marks!AC$5:AC$39)))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3</v>
      </c>
      <c r="C33" t="inlineStr">
        <is>
          <t>Scenario set</t>
        </is>
      </c>
      <c r="D33" t="inlineStr">
        <is>
          <t>Medium</t>
        </is>
      </c>
      <c r="E33" t="inlineStr">
        <is>
          <t>[F]</t>
        </is>
      </c>
      <c r="F33" t="inlineStr">
        <is>
          <t>17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IF(SUMPRODUCT((Marks!$BC$5:$BC$39="top")*ISNUMBER(Marks!AD$5:AD$39))=0,"",SUMPRODUCT((Marks!$BC$5:$BC$39="top")*(Marks!AD$5:AD$39=1))/SUMPRODUCT((Marks!$BC$5:$BC$39="top")*ISNUMBER(Marks!AD$5:AD$39)))</f>
        <v/>
      </c>
      <c r="K33" s="6">
        <f>IF(SUMPRODUCT((Marks!$BC$5:$BC$39="bottom")*ISNUMBER(Marks!AD$5:AD$39))=0,"",SUMPRODUCT((Marks!$BC$5:$BC$39="bottom")*(Marks!AD$5:AD$39=1))/SUMPRODUCT((Marks!$BC$5:$BC$39="bottom")*ISNUMBER(Marks!AD$5:AD$39)))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3</v>
      </c>
      <c r="C34" t="inlineStr">
        <is>
          <t>Scenario set</t>
        </is>
      </c>
      <c r="D34" t="inlineStr">
        <is>
          <t>Hard</t>
        </is>
      </c>
      <c r="E34" t="inlineStr">
        <is>
          <t>[S]</t>
        </is>
      </c>
      <c r="F34" t="inlineStr">
        <is>
          <t>c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IF(SUMPRODUCT((Marks!$BC$5:$BC$39="top")*ISNUMBER(Marks!AE$5:AE$39))=0,"",SUMPRODUCT((Marks!$BC$5:$BC$39="top")*(Marks!AE$5:AE$39=1))/SUMPRODUCT((Marks!$BC$5:$BC$39="top")*ISNUMBER(Marks!AE$5:AE$39)))</f>
        <v/>
      </c>
      <c r="K34" s="6">
        <f>IF(SUMPRODUCT((Marks!$BC$5:$BC$39="bottom")*ISNUMBER(Marks!AE$5:AE$39))=0,"",SUMPRODUCT((Marks!$BC$5:$BC$39="bottom")*(Marks!AE$5:AE$39=1))/SUMPRODUCT((Marks!$BC$5:$BC$39="bottom")*ISNUMBER(Marks!AE$5:AE$39)))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3</v>
      </c>
      <c r="C35" t="inlineStr">
        <is>
          <t>Order the steps</t>
        </is>
      </c>
      <c r="D35" t="inlineStr">
        <is>
          <t>Medium</t>
        </is>
      </c>
      <c r="E35" t="inlineStr">
        <is>
          <t>[F]</t>
        </is>
      </c>
      <c r="F35" t="inlineStr">
        <is>
          <t>b, d, a, c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IF(SUMPRODUCT((Marks!$BC$5:$BC$39="top")*ISNUMBER(Marks!AF$5:AF$39))=0,"",SUMPRODUCT((Marks!$BC$5:$BC$39="top")*(Marks!AF$5:AF$39=1))/SUMPRODUCT((Marks!$BC$5:$BC$39="top")*ISNUMBER(Marks!AF$5:AF$39)))</f>
        <v/>
      </c>
      <c r="K35" s="6">
        <f>IF(SUMPRODUCT((Marks!$BC$5:$BC$39="bottom")*ISNUMBER(Marks!AF$5:AF$39))=0,"",SUMPRODUCT((Marks!$BC$5:$BC$39="bottom")*(Marks!AF$5:AF$39=1))/SUMPRODUCT((Marks!$BC$5:$BC$39="bottom")*ISNUMBER(Marks!AF$5:AF$39)))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4</v>
      </c>
      <c r="C36" t="inlineStr">
        <is>
          <t>True or false</t>
        </is>
      </c>
      <c r="D36" t="inlineStr">
        <is>
          <t>Medium</t>
        </is>
      </c>
      <c r="E36" t="inlineStr">
        <is>
          <t>[SV]</t>
        </is>
      </c>
      <c r="F36" t="inlineStr">
        <is>
          <t>False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IF(SUMPRODUCT((Marks!$BC$5:$BC$39="top")*ISNUMBER(Marks!AG$5:AG$39))=0,"",SUMPRODUCT((Marks!$BC$5:$BC$39="top")*(Marks!AG$5:AG$39=1))/SUMPRODUCT((Marks!$BC$5:$BC$39="top")*ISNUMBER(Marks!AG$5:AG$39)))</f>
        <v/>
      </c>
      <c r="K36" s="6">
        <f>IF(SUMPRODUCT((Marks!$BC$5:$BC$39="bottom")*ISNUMBER(Marks!AG$5:AG$39))=0,"",SUMPRODUCT((Marks!$BC$5:$BC$39="bottom")*(Marks!AG$5:AG$39=1))/SUMPRODUCT((Marks!$BC$5:$BC$39="bottom")*ISNUMBER(Marks!AG$5:AG$39)))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4</v>
      </c>
      <c r="C37" t="inlineStr">
        <is>
          <t>One correct option</t>
        </is>
      </c>
      <c r="D37" t="inlineStr">
        <is>
          <t>Easy</t>
        </is>
      </c>
      <c r="E37" t="inlineStr">
        <is>
          <t>[F]</t>
        </is>
      </c>
      <c r="F37" t="inlineStr">
        <is>
          <t>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IF(SUMPRODUCT((Marks!$BC$5:$BC$39="top")*ISNUMBER(Marks!AH$5:AH$39))=0,"",SUMPRODUCT((Marks!$BC$5:$BC$39="top")*(Marks!AH$5:AH$39=1))/SUMPRODUCT((Marks!$BC$5:$BC$39="top")*ISNUMBER(Marks!AH$5:AH$39)))</f>
        <v/>
      </c>
      <c r="K37" s="6">
        <f>IF(SUMPRODUCT((Marks!$BC$5:$BC$39="bottom")*ISNUMBER(Marks!AH$5:AH$39))=0,"",SUMPRODUCT((Marks!$BC$5:$BC$39="bottom")*(Marks!AH$5:AH$39=1))/SUMPRODUCT((Marks!$BC$5:$BC$39="bottom")*ISNUMBER(Marks!AH$5:AH$39)))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4</v>
      </c>
      <c r="C38" t="inlineStr">
        <is>
          <t>Scenario set</t>
        </is>
      </c>
      <c r="D38" t="inlineStr">
        <is>
          <t>Easy</t>
        </is>
      </c>
      <c r="E38" t="inlineStr">
        <is>
          <t>[S]</t>
        </is>
      </c>
      <c r="F38" t="inlineStr">
        <is>
          <t>2.00 (or 2)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IF(SUMPRODUCT((Marks!$BC$5:$BC$39="top")*ISNUMBER(Marks!AI$5:AI$39))=0,"",SUMPRODUCT((Marks!$BC$5:$BC$39="top")*(Marks!AI$5:AI$39=1))/SUMPRODUCT((Marks!$BC$5:$BC$39="top")*ISNUMBER(Marks!AI$5:AI$39)))</f>
        <v/>
      </c>
      <c r="K38" s="6">
        <f>IF(SUMPRODUCT((Marks!$BC$5:$BC$39="bottom")*ISNUMBER(Marks!AI$5:AI$39))=0,"",SUMPRODUCT((Marks!$BC$5:$BC$39="bottom")*(Marks!AI$5:AI$39=1))/SUMPRODUCT((Marks!$BC$5:$BC$39="bottom")*ISNUMBER(Marks!AI$5:AI$39)))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4</v>
      </c>
      <c r="C39" t="inlineStr">
        <is>
          <t>Scenario set</t>
        </is>
      </c>
      <c r="D39" t="inlineStr">
        <is>
          <t>Medium</t>
        </is>
      </c>
      <c r="E39" t="inlineStr">
        <is>
          <t>[S]</t>
        </is>
      </c>
      <c r="F39" t="inlineStr">
        <is>
          <t>4,000 (Rs 4,000)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IF(SUMPRODUCT((Marks!$BC$5:$BC$39="top")*ISNUMBER(Marks!AJ$5:AJ$39))=0,"",SUMPRODUCT((Marks!$BC$5:$BC$39="top")*(Marks!AJ$5:AJ$39=1))/SUMPRODUCT((Marks!$BC$5:$BC$39="top")*ISNUMBER(Marks!AJ$5:AJ$39)))</f>
        <v/>
      </c>
      <c r="K39" s="6">
        <f>IF(SUMPRODUCT((Marks!$BC$5:$BC$39="bottom")*ISNUMBER(Marks!AJ$5:AJ$39))=0,"",SUMPRODUCT((Marks!$BC$5:$BC$39="bottom")*(Marks!AJ$5:AJ$39=1))/SUMPRODUCT((Marks!$BC$5:$BC$39="bottom")*ISNUMBER(Marks!AJ$5:AJ$39)))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4</v>
      </c>
      <c r="C40" t="inlineStr">
        <is>
          <t>Scenario set</t>
        </is>
      </c>
      <c r="D40" t="inlineStr">
        <is>
          <t>Hard</t>
        </is>
      </c>
      <c r="E40" t="inlineStr">
        <is>
          <t>[D]</t>
        </is>
      </c>
      <c r="F40" t="inlineStr">
        <is>
          <t>c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IF(SUMPRODUCT((Marks!$BC$5:$BC$39="top")*ISNUMBER(Marks!AK$5:AK$39))=0,"",SUMPRODUCT((Marks!$BC$5:$BC$39="top")*(Marks!AK$5:AK$39=1))/SUMPRODUCT((Marks!$BC$5:$BC$39="top")*ISNUMBER(Marks!AK$5:AK$39)))</f>
        <v/>
      </c>
      <c r="K40" s="6">
        <f>IF(SUMPRODUCT((Marks!$BC$5:$BC$39="bottom")*ISNUMBER(Marks!AK$5:AK$39))=0,"",SUMPRODUCT((Marks!$BC$5:$BC$39="bottom")*(Marks!AK$5:AK$39=1))/SUMPRODUCT((Marks!$BC$5:$BC$39="bottom")*ISNUMBER(Marks!AK$5:AK$39)))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4</v>
      </c>
      <c r="C41" t="inlineStr">
        <is>
          <t>Scenario set</t>
        </is>
      </c>
      <c r="D41" t="inlineStr">
        <is>
          <t>Medium</t>
        </is>
      </c>
      <c r="E41" t="inlineStr">
        <is>
          <t>[F]</t>
        </is>
      </c>
      <c r="F41" t="inlineStr">
        <is>
          <t>d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IF(SUMPRODUCT((Marks!$BC$5:$BC$39="top")*ISNUMBER(Marks!AL$5:AL$39))=0,"",SUMPRODUCT((Marks!$BC$5:$BC$39="top")*(Marks!AL$5:AL$39=1))/SUMPRODUCT((Marks!$BC$5:$BC$39="top")*ISNUMBER(Marks!AL$5:AL$39)))</f>
        <v/>
      </c>
      <c r="K41" s="6">
        <f>IF(SUMPRODUCT((Marks!$BC$5:$BC$39="bottom")*ISNUMBER(Marks!AL$5:AL$39))=0,"",SUMPRODUCT((Marks!$BC$5:$BC$39="bottom")*(Marks!AL$5:AL$39=1))/SUMPRODUCT((Marks!$BC$5:$BC$39="bottom")*ISNUMBER(Marks!AL$5:AL$39)))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4</v>
      </c>
      <c r="C42" t="inlineStr">
        <is>
          <t>Scenario set</t>
        </is>
      </c>
      <c r="D42" t="inlineStr">
        <is>
          <t>Hard</t>
        </is>
      </c>
      <c r="E42" t="inlineStr">
        <is>
          <t>[D]</t>
        </is>
      </c>
      <c r="F42" t="inlineStr">
        <is>
          <t>b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IF(SUMPRODUCT((Marks!$BC$5:$BC$39="top")*ISNUMBER(Marks!AM$5:AM$39))=0,"",SUMPRODUCT((Marks!$BC$5:$BC$39="top")*(Marks!AM$5:AM$39=1))/SUMPRODUCT((Marks!$BC$5:$BC$39="top")*ISNUMBER(Marks!AM$5:AM$39)))</f>
        <v/>
      </c>
      <c r="K42" s="6">
        <f>IF(SUMPRODUCT((Marks!$BC$5:$BC$39="bottom")*ISNUMBER(Marks!AM$5:AM$39))=0,"",SUMPRODUCT((Marks!$BC$5:$BC$39="bottom")*(Marks!AM$5:AM$39=1))/SUMPRODUCT((Marks!$BC$5:$BC$39="bottom")*ISNUMBER(Marks!AM$5:AM$39)))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5</v>
      </c>
      <c r="C43" t="inlineStr">
        <is>
          <t>One correct option</t>
        </is>
      </c>
      <c r="D43" t="inlineStr">
        <is>
          <t>Hard</t>
        </is>
      </c>
      <c r="E43" t="inlineStr">
        <is>
          <t>[S]</t>
        </is>
      </c>
      <c r="F43" t="inlineStr">
        <is>
          <t>c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IF(SUMPRODUCT((Marks!$BC$5:$BC$39="top")*ISNUMBER(Marks!AN$5:AN$39))=0,"",SUMPRODUCT((Marks!$BC$5:$BC$39="top")*(Marks!AN$5:AN$39=1))/SUMPRODUCT((Marks!$BC$5:$BC$39="top")*ISNUMBER(Marks!AN$5:AN$39)))</f>
        <v/>
      </c>
      <c r="K43" s="6">
        <f>IF(SUMPRODUCT((Marks!$BC$5:$BC$39="bottom")*ISNUMBER(Marks!AN$5:AN$39))=0,"",SUMPRODUCT((Marks!$BC$5:$BC$39="bottom")*(Marks!AN$5:AN$39=1))/SUMPRODUCT((Marks!$BC$5:$BC$39="bottom")*ISNUMBER(Marks!AN$5:AN$39)))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  <row r="44">
      <c r="A44" t="n">
        <v>40</v>
      </c>
      <c r="B44" t="n">
        <v>5</v>
      </c>
      <c r="C44" t="inlineStr">
        <is>
          <t>One correct option</t>
        </is>
      </c>
      <c r="D44" t="inlineStr">
        <is>
          <t>Easy</t>
        </is>
      </c>
      <c r="E44" t="inlineStr">
        <is>
          <t>[F]</t>
        </is>
      </c>
      <c r="F44" t="inlineStr">
        <is>
          <t>b</t>
        </is>
      </c>
      <c r="G44">
        <f>COUNTIF(Marks!AO$5:AO$39,1)</f>
        <v/>
      </c>
      <c r="H44">
        <f>COUNT(Marks!AO$5:AO$39)</f>
        <v/>
      </c>
      <c r="I44" s="6">
        <f>IF(H44=0,"",G44/H44)</f>
        <v/>
      </c>
      <c r="J44" s="6">
        <f>IF(SUMPRODUCT((Marks!$BC$5:$BC$39="top")*ISNUMBER(Marks!AO$5:AO$39))=0,"",SUMPRODUCT((Marks!$BC$5:$BC$39="top")*(Marks!AO$5:AO$39=1))/SUMPRODUCT((Marks!$BC$5:$BC$39="top")*ISNUMBER(Marks!AO$5:AO$39)))</f>
        <v/>
      </c>
      <c r="K44" s="6">
        <f>IF(SUMPRODUCT((Marks!$BC$5:$BC$39="bottom")*ISNUMBER(Marks!AO$5:AO$39))=0,"",SUMPRODUCT((Marks!$BC$5:$BC$39="bottom")*(Marks!AO$5:AO$39=1))/SUMPRODUCT((Marks!$BC$5:$BC$39="bottom")*ISNUMBER(Marks!AO$5:AO$39)))</f>
        <v/>
      </c>
      <c r="L44" s="6">
        <f>IF(OR(J44="",K44=""),"",J44-K44)</f>
        <v/>
      </c>
      <c r="M44">
        <f>IF(H44=0,"",IF(I44&lt;0.2,"Check the item: fewer than one in five got it right",IF(AND(L44&lt;&gt;"",N(L44)&lt;0),"Check the item: the bottom third beat the top third","")))</f>
        <v/>
      </c>
      <c r="N44">
        <f>IF(H44=0,"",I44+ROW()/1000000)</f>
        <v/>
      </c>
    </row>
    <row r="45">
      <c r="A45" t="n">
        <v>41</v>
      </c>
      <c r="B45" t="n">
        <v>5</v>
      </c>
      <c r="C45" t="inlineStr">
        <is>
          <t>More than one correct</t>
        </is>
      </c>
      <c r="D45" t="inlineStr">
        <is>
          <t>Medium</t>
        </is>
      </c>
      <c r="E45" t="inlineStr">
        <is>
          <t>[F]</t>
        </is>
      </c>
      <c r="F45" t="inlineStr">
        <is>
          <t>a, b, c</t>
        </is>
      </c>
      <c r="G45">
        <f>COUNTIF(Marks!AP$5:AP$39,1)</f>
        <v/>
      </c>
      <c r="H45">
        <f>COUNT(Marks!AP$5:AP$39)</f>
        <v/>
      </c>
      <c r="I45" s="6">
        <f>IF(H45=0,"",G45/H45)</f>
        <v/>
      </c>
      <c r="J45" s="6">
        <f>IF(SUMPRODUCT((Marks!$BC$5:$BC$39="top")*ISNUMBER(Marks!AP$5:AP$39))=0,"",SUMPRODUCT((Marks!$BC$5:$BC$39="top")*(Marks!AP$5:AP$39=1))/SUMPRODUCT((Marks!$BC$5:$BC$39="top")*ISNUMBER(Marks!AP$5:AP$39)))</f>
        <v/>
      </c>
      <c r="K45" s="6">
        <f>IF(SUMPRODUCT((Marks!$BC$5:$BC$39="bottom")*ISNUMBER(Marks!AP$5:AP$39))=0,"",SUMPRODUCT((Marks!$BC$5:$BC$39="bottom")*(Marks!AP$5:AP$39=1))/SUMPRODUCT((Marks!$BC$5:$BC$39="bottom")*ISNUMBER(Marks!AP$5:AP$39)))</f>
        <v/>
      </c>
      <c r="L45" s="6">
        <f>IF(OR(J45="",K45=""),"",J45-K45)</f>
        <v/>
      </c>
      <c r="M45">
        <f>IF(H45=0,"",IF(I45&lt;0.2,"Check the item: fewer than one in five got it right",IF(AND(L45&lt;&gt;"",N(L45)&lt;0),"Check the item: the bottom third beat the top third","")))</f>
        <v/>
      </c>
      <c r="N45">
        <f>IF(H45=0,"",I45+ROW()/1000000)</f>
        <v/>
      </c>
    </row>
    <row r="46">
      <c r="A46" t="n">
        <v>42</v>
      </c>
      <c r="B46" t="n">
        <v>5</v>
      </c>
      <c r="C46" t="inlineStr">
        <is>
          <t>More than one correct</t>
        </is>
      </c>
      <c r="D46" t="inlineStr">
        <is>
          <t>Hard</t>
        </is>
      </c>
      <c r="E46" t="inlineStr">
        <is>
          <t>[S]</t>
        </is>
      </c>
      <c r="F46" t="inlineStr">
        <is>
          <t>a, b, d</t>
        </is>
      </c>
      <c r="G46">
        <f>COUNTIF(Marks!AQ$5:AQ$39,1)</f>
        <v/>
      </c>
      <c r="H46">
        <f>COUNT(Marks!AQ$5:AQ$39)</f>
        <v/>
      </c>
      <c r="I46" s="6">
        <f>IF(H46=0,"",G46/H46)</f>
        <v/>
      </c>
      <c r="J46" s="6">
        <f>IF(SUMPRODUCT((Marks!$BC$5:$BC$39="top")*ISNUMBER(Marks!AQ$5:AQ$39))=0,"",SUMPRODUCT((Marks!$BC$5:$BC$39="top")*(Marks!AQ$5:AQ$39=1))/SUMPRODUCT((Marks!$BC$5:$BC$39="top")*ISNUMBER(Marks!AQ$5:AQ$39)))</f>
        <v/>
      </c>
      <c r="K46" s="6">
        <f>IF(SUMPRODUCT((Marks!$BC$5:$BC$39="bottom")*ISNUMBER(Marks!AQ$5:AQ$39))=0,"",SUMPRODUCT((Marks!$BC$5:$BC$39="bottom")*(Marks!AQ$5:AQ$39=1))/SUMPRODUCT((Marks!$BC$5:$BC$39="bottom")*ISNUMBER(Marks!AQ$5:AQ$39)))</f>
        <v/>
      </c>
      <c r="L46" s="6">
        <f>IF(OR(J46="",K46=""),"",J46-K46)</f>
        <v/>
      </c>
      <c r="M46">
        <f>IF(H46=0,"",IF(I46&lt;0.2,"Check the item: fewer than one in five got it right",IF(AND(L46&lt;&gt;"",N(L46)&lt;0),"Check the item: the bottom third beat the top third","")))</f>
        <v/>
      </c>
      <c r="N46">
        <f>IF(H46=0,"",I46+ROW()/1000000)</f>
        <v/>
      </c>
    </row>
    <row r="47">
      <c r="A47" t="n">
        <v>43</v>
      </c>
      <c r="B47" t="n">
        <v>5</v>
      </c>
      <c r="C47" t="inlineStr">
        <is>
          <t>Scenario set</t>
        </is>
      </c>
      <c r="D47" t="inlineStr">
        <is>
          <t>Hard</t>
        </is>
      </c>
      <c r="E47" t="inlineStr">
        <is>
          <t>[D]</t>
        </is>
      </c>
      <c r="F47" t="inlineStr">
        <is>
          <t>a</t>
        </is>
      </c>
      <c r="G47">
        <f>COUNTIF(Marks!AR$5:AR$39,1)</f>
        <v/>
      </c>
      <c r="H47">
        <f>COUNT(Marks!AR$5:AR$39)</f>
        <v/>
      </c>
      <c r="I47" s="6">
        <f>IF(H47=0,"",G47/H47)</f>
        <v/>
      </c>
      <c r="J47" s="6">
        <f>IF(SUMPRODUCT((Marks!$BC$5:$BC$39="top")*ISNUMBER(Marks!AR$5:AR$39))=0,"",SUMPRODUCT((Marks!$BC$5:$BC$39="top")*(Marks!AR$5:AR$39=1))/SUMPRODUCT((Marks!$BC$5:$BC$39="top")*ISNUMBER(Marks!AR$5:AR$39)))</f>
        <v/>
      </c>
      <c r="K47" s="6">
        <f>IF(SUMPRODUCT((Marks!$BC$5:$BC$39="bottom")*ISNUMBER(Marks!AR$5:AR$39))=0,"",SUMPRODUCT((Marks!$BC$5:$BC$39="bottom")*(Marks!AR$5:AR$39=1))/SUMPRODUCT((Marks!$BC$5:$BC$39="bottom")*ISNUMBER(Marks!AR$5:AR$39)))</f>
        <v/>
      </c>
      <c r="L47" s="6">
        <f>IF(OR(J47="",K47=""),"",J47-K47)</f>
        <v/>
      </c>
      <c r="M47">
        <f>IF(H47=0,"",IF(I47&lt;0.2,"Check the item: fewer than one in five got it right",IF(AND(L47&lt;&gt;"",N(L47)&lt;0),"Check the item: the bottom third beat the top third","")))</f>
        <v/>
      </c>
      <c r="N47">
        <f>IF(H47=0,"",I47+ROW()/1000000)</f>
        <v/>
      </c>
    </row>
    <row r="48">
      <c r="A48" t="n">
        <v>44</v>
      </c>
      <c r="B48" t="n">
        <v>5</v>
      </c>
      <c r="C48" t="inlineStr">
        <is>
          <t>Scenario set</t>
        </is>
      </c>
      <c r="D48" t="inlineStr">
        <is>
          <t>Medium</t>
        </is>
      </c>
      <c r="E48" t="inlineStr">
        <is>
          <t>[F]</t>
        </is>
      </c>
      <c r="F48" t="inlineStr">
        <is>
          <t>True</t>
        </is>
      </c>
      <c r="G48">
        <f>COUNTIF(Marks!AS$5:AS$39,1)</f>
        <v/>
      </c>
      <c r="H48">
        <f>COUNT(Marks!AS$5:AS$39)</f>
        <v/>
      </c>
      <c r="I48" s="6">
        <f>IF(H48=0,"",G48/H48)</f>
        <v/>
      </c>
      <c r="J48" s="6">
        <f>IF(SUMPRODUCT((Marks!$BC$5:$BC$39="top")*ISNUMBER(Marks!AS$5:AS$39))=0,"",SUMPRODUCT((Marks!$BC$5:$BC$39="top")*(Marks!AS$5:AS$39=1))/SUMPRODUCT((Marks!$BC$5:$BC$39="top")*ISNUMBER(Marks!AS$5:AS$39)))</f>
        <v/>
      </c>
      <c r="K48" s="6">
        <f>IF(SUMPRODUCT((Marks!$BC$5:$BC$39="bottom")*ISNUMBER(Marks!AS$5:AS$39))=0,"",SUMPRODUCT((Marks!$BC$5:$BC$39="bottom")*(Marks!AS$5:AS$39=1))/SUMPRODUCT((Marks!$BC$5:$BC$39="bottom")*ISNUMBER(Marks!AS$5:AS$39)))</f>
        <v/>
      </c>
      <c r="L48" s="6">
        <f>IF(OR(J48="",K48=""),"",J48-K48)</f>
        <v/>
      </c>
      <c r="M48">
        <f>IF(H48=0,"",IF(I48&lt;0.2,"Check the item: fewer than one in five got it right",IF(AND(L48&lt;&gt;"",N(L48)&lt;0),"Check the item: the bottom third beat the top third","")))</f>
        <v/>
      </c>
      <c r="N48">
        <f>IF(H48=0,"",I48+ROW()/1000000)</f>
        <v/>
      </c>
    </row>
    <row r="49">
      <c r="A49" t="n">
        <v>45</v>
      </c>
      <c r="B49" t="n">
        <v>5</v>
      </c>
      <c r="C49" t="inlineStr">
        <is>
          <t>Scenario set</t>
        </is>
      </c>
      <c r="D49" t="inlineStr">
        <is>
          <t>Hard</t>
        </is>
      </c>
      <c r="E49" t="inlineStr">
        <is>
          <t>[D]</t>
        </is>
      </c>
      <c r="F49" t="inlineStr">
        <is>
          <t>d</t>
        </is>
      </c>
      <c r="G49">
        <f>COUNTIF(Marks!AT$5:AT$39,1)</f>
        <v/>
      </c>
      <c r="H49">
        <f>COUNT(Marks!AT$5:AT$39)</f>
        <v/>
      </c>
      <c r="I49" s="6">
        <f>IF(H49=0,"",G49/H49)</f>
        <v/>
      </c>
      <c r="J49" s="6">
        <f>IF(SUMPRODUCT((Marks!$BC$5:$BC$39="top")*ISNUMBER(Marks!AT$5:AT$39))=0,"",SUMPRODUCT((Marks!$BC$5:$BC$39="top")*(Marks!AT$5:AT$39=1))/SUMPRODUCT((Marks!$BC$5:$BC$39="top")*ISNUMBER(Marks!AT$5:AT$39)))</f>
        <v/>
      </c>
      <c r="K49" s="6">
        <f>IF(SUMPRODUCT((Marks!$BC$5:$BC$39="bottom")*ISNUMBER(Marks!AT$5:AT$39))=0,"",SUMPRODUCT((Marks!$BC$5:$BC$39="bottom")*(Marks!AT$5:AT$39=1))/SUMPRODUCT((Marks!$BC$5:$BC$39="bottom")*ISNUMBER(Marks!AT$5:AT$39)))</f>
        <v/>
      </c>
      <c r="L49" s="6">
        <f>IF(OR(J49="",K49=""),"",J49-K49)</f>
        <v/>
      </c>
      <c r="M49">
        <f>IF(H49=0,"",IF(I49&lt;0.2,"Check the item: fewer than one in five got it right",IF(AND(L49&lt;&gt;"",N(L49)&lt;0),"Check the item: the bottom third beat the top third","")))</f>
        <v/>
      </c>
      <c r="N49">
        <f>IF(H49=0,"",I49+ROW()/1000000)</f>
        <v/>
      </c>
    </row>
    <row r="50">
      <c r="A50" t="n">
        <v>46</v>
      </c>
      <c r="B50" t="n">
        <v>6</v>
      </c>
      <c r="C50" t="inlineStr">
        <is>
          <t>One correct option</t>
        </is>
      </c>
      <c r="D50" t="inlineStr">
        <is>
          <t>Easy</t>
        </is>
      </c>
      <c r="E50" t="inlineStr">
        <is>
          <t>[S]</t>
        </is>
      </c>
      <c r="F50" t="inlineStr">
        <is>
          <t>d</t>
        </is>
      </c>
      <c r="G50">
        <f>COUNTIF(Marks!AU$5:AU$39,1)</f>
        <v/>
      </c>
      <c r="H50">
        <f>COUNT(Marks!AU$5:AU$39)</f>
        <v/>
      </c>
      <c r="I50" s="6">
        <f>IF(H50=0,"",G50/H50)</f>
        <v/>
      </c>
      <c r="J50" s="6">
        <f>IF(SUMPRODUCT((Marks!$BC$5:$BC$39="top")*ISNUMBER(Marks!AU$5:AU$39))=0,"",SUMPRODUCT((Marks!$BC$5:$BC$39="top")*(Marks!AU$5:AU$39=1))/SUMPRODUCT((Marks!$BC$5:$BC$39="top")*ISNUMBER(Marks!AU$5:AU$39)))</f>
        <v/>
      </c>
      <c r="K50" s="6">
        <f>IF(SUMPRODUCT((Marks!$BC$5:$BC$39="bottom")*ISNUMBER(Marks!AU$5:AU$39))=0,"",SUMPRODUCT((Marks!$BC$5:$BC$39="bottom")*(Marks!AU$5:AU$39=1))/SUMPRODUCT((Marks!$BC$5:$BC$39="bottom")*ISNUMBER(Marks!AU$5:AU$39)))</f>
        <v/>
      </c>
      <c r="L50" s="6">
        <f>IF(OR(J50="",K50=""),"",J50-K50)</f>
        <v/>
      </c>
      <c r="M50">
        <f>IF(H50=0,"",IF(I50&lt;0.2,"Check the item: fewer than one in five got it right",IF(AND(L50&lt;&gt;"",N(L50)&lt;0),"Check the item: the bottom third beat the top third","")))</f>
        <v/>
      </c>
      <c r="N50">
        <f>IF(H50=0,"",I50+ROW()/1000000)</f>
        <v/>
      </c>
    </row>
    <row r="51">
      <c r="A51" t="n">
        <v>47</v>
      </c>
      <c r="B51" t="n">
        <v>6</v>
      </c>
      <c r="C51" t="inlineStr">
        <is>
          <t>Applied maths</t>
        </is>
      </c>
      <c r="D51" t="inlineStr">
        <is>
          <t>Hard</t>
        </is>
      </c>
      <c r="E51" t="inlineStr">
        <is>
          <t>[F]</t>
        </is>
      </c>
      <c r="F51" t="inlineStr">
        <is>
          <t>Revenue falls by 6.5 percent (1.10 x 0.85 = 0.935).</t>
        </is>
      </c>
      <c r="G51">
        <f>COUNTIF(Marks!AV$5:AV$39,1)</f>
        <v/>
      </c>
      <c r="H51">
        <f>COUNT(Marks!AV$5:AV$39)</f>
        <v/>
      </c>
      <c r="I51" s="6">
        <f>IF(H51=0,"",G51/H51)</f>
        <v/>
      </c>
      <c r="J51" s="6">
        <f>IF(SUMPRODUCT((Marks!$BC$5:$BC$39="top")*ISNUMBER(Marks!AV$5:AV$39))=0,"",SUMPRODUCT((Marks!$BC$5:$BC$39="top")*(Marks!AV$5:AV$39=1))/SUMPRODUCT((Marks!$BC$5:$BC$39="top")*ISNUMBER(Marks!AV$5:AV$39)))</f>
        <v/>
      </c>
      <c r="K51" s="6">
        <f>IF(SUMPRODUCT((Marks!$BC$5:$BC$39="bottom")*ISNUMBER(Marks!AV$5:AV$39))=0,"",SUMPRODUCT((Marks!$BC$5:$BC$39="bottom")*(Marks!AV$5:AV$39=1))/SUMPRODUCT((Marks!$BC$5:$BC$39="bottom")*ISNUMBER(Marks!AV$5:AV$39)))</f>
        <v/>
      </c>
      <c r="L51" s="6">
        <f>IF(OR(J51="",K51=""),"",J51-K51)</f>
        <v/>
      </c>
      <c r="M51">
        <f>IF(H51=0,"",IF(I51&lt;0.2,"Check the item: fewer than one in five got it right",IF(AND(L51&lt;&gt;"",N(L51)&lt;0),"Check the item: the bottom third beat the top third","")))</f>
        <v/>
      </c>
      <c r="N51">
        <f>IF(H51=0,"",I51+ROW()/1000000)</f>
        <v/>
      </c>
    </row>
    <row r="52">
      <c r="A52" t="n">
        <v>48</v>
      </c>
      <c r="B52" t="n">
        <v>6</v>
      </c>
      <c r="C52" t="inlineStr">
        <is>
          <t>Applied maths</t>
        </is>
      </c>
      <c r="D52" t="inlineStr">
        <is>
          <t>Easy</t>
        </is>
      </c>
      <c r="E52" t="inlineStr">
        <is>
          <t>[S]</t>
        </is>
      </c>
      <c r="F52" t="inlineStr">
        <is>
          <t>Median Rs 1,400; mean Rs 97,080.</t>
        </is>
      </c>
      <c r="G52">
        <f>COUNTIF(Marks!AW$5:AW$39,1)</f>
        <v/>
      </c>
      <c r="H52">
        <f>COUNT(Marks!AW$5:AW$39)</f>
        <v/>
      </c>
      <c r="I52" s="6">
        <f>IF(H52=0,"",G52/H52)</f>
        <v/>
      </c>
      <c r="J52" s="6">
        <f>IF(SUMPRODUCT((Marks!$BC$5:$BC$39="top")*ISNUMBER(Marks!AW$5:AW$39))=0,"",SUMPRODUCT((Marks!$BC$5:$BC$39="top")*(Marks!AW$5:AW$39=1))/SUMPRODUCT((Marks!$BC$5:$BC$39="top")*ISNUMBER(Marks!AW$5:AW$39)))</f>
        <v/>
      </c>
      <c r="K52" s="6">
        <f>IF(SUMPRODUCT((Marks!$BC$5:$BC$39="bottom")*ISNUMBER(Marks!AW$5:AW$39))=0,"",SUMPRODUCT((Marks!$BC$5:$BC$39="bottom")*(Marks!AW$5:AW$39=1))/SUMPRODUCT((Marks!$BC$5:$BC$39="bottom")*ISNUMBER(Marks!AW$5:AW$39)))</f>
        <v/>
      </c>
      <c r="L52" s="6">
        <f>IF(OR(J52="",K52=""),"",J52-K52)</f>
        <v/>
      </c>
      <c r="M52">
        <f>IF(H52=0,"",IF(I52&lt;0.2,"Check the item: fewer than one in five got it right",IF(AND(L52&lt;&gt;"",N(L52)&lt;0),"Check the item: the bottom third beat the top third","")))</f>
        <v/>
      </c>
      <c r="N52">
        <f>IF(H52=0,"",I52+ROW()/1000000)</f>
        <v/>
      </c>
    </row>
    <row r="53">
      <c r="A53" t="n">
        <v>49</v>
      </c>
      <c r="B53" t="n">
        <v>6</v>
      </c>
      <c r="C53" t="inlineStr">
        <is>
          <t>Applied maths</t>
        </is>
      </c>
      <c r="D53" t="inlineStr">
        <is>
          <t>Easy</t>
        </is>
      </c>
      <c r="E53" t="inlineStr">
        <is>
          <t>[S]</t>
        </is>
      </c>
      <c r="F53" t="inlineStr">
        <is>
          <t>A fall of 9.5 percent ((1.9 - 2.1) / 2.1).</t>
        </is>
      </c>
      <c r="G53">
        <f>COUNTIF(Marks!AX$5:AX$39,1)</f>
        <v/>
      </c>
      <c r="H53">
        <f>COUNT(Marks!AX$5:AX$39)</f>
        <v/>
      </c>
      <c r="I53" s="6">
        <f>IF(H53=0,"",G53/H53)</f>
        <v/>
      </c>
      <c r="J53" s="6">
        <f>IF(SUMPRODUCT((Marks!$BC$5:$BC$39="top")*ISNUMBER(Marks!AX$5:AX$39))=0,"",SUMPRODUCT((Marks!$BC$5:$BC$39="top")*(Marks!AX$5:AX$39=1))/SUMPRODUCT((Marks!$BC$5:$BC$39="top")*ISNUMBER(Marks!AX$5:AX$39)))</f>
        <v/>
      </c>
      <c r="K53" s="6">
        <f>IF(SUMPRODUCT((Marks!$BC$5:$BC$39="bottom")*ISNUMBER(Marks!AX$5:AX$39))=0,"",SUMPRODUCT((Marks!$BC$5:$BC$39="bottom")*(Marks!AX$5:AX$39=1))/SUMPRODUCT((Marks!$BC$5:$BC$39="bottom")*ISNUMBER(Marks!AX$5:AX$39)))</f>
        <v/>
      </c>
      <c r="L53" s="6">
        <f>IF(OR(J53="",K53=""),"",J53-K53)</f>
        <v/>
      </c>
      <c r="M53">
        <f>IF(H53=0,"",IF(I53&lt;0.2,"Check the item: fewer than one in five got it right",IF(AND(L53&lt;&gt;"",N(L53)&lt;0),"Check the item: the bottom third beat the top third","")))</f>
        <v/>
      </c>
      <c r="N53">
        <f>IF(H53=0,"",I53+ROW()/1000000)</f>
        <v/>
      </c>
    </row>
    <row r="54">
      <c r="A54" t="n">
        <v>50</v>
      </c>
      <c r="B54" t="n">
        <v>6</v>
      </c>
      <c r="C54" t="inlineStr">
        <is>
          <t>Applied maths</t>
        </is>
      </c>
      <c r="D54" t="inlineStr">
        <is>
          <t>Medium</t>
        </is>
      </c>
      <c r="E54" t="inlineStr">
        <is>
          <t>[S]</t>
        </is>
      </c>
      <c r="F54" t="inlineStr">
        <is>
          <t>0.028 (140 / 5,000).</t>
        </is>
      </c>
      <c r="G54">
        <f>COUNTIF(Marks!AY$5:AY$39,1)</f>
        <v/>
      </c>
      <c r="H54">
        <f>COUNT(Marks!AY$5:AY$39)</f>
        <v/>
      </c>
      <c r="I54" s="6">
        <f>IF(H54=0,"",G54/H54)</f>
        <v/>
      </c>
      <c r="J54" s="6">
        <f>IF(SUMPRODUCT((Marks!$BC$5:$BC$39="top")*ISNUMBER(Marks!AY$5:AY$39))=0,"",SUMPRODUCT((Marks!$BC$5:$BC$39="top")*(Marks!AY$5:AY$39=1))/SUMPRODUCT((Marks!$BC$5:$BC$39="top")*ISNUMBER(Marks!AY$5:AY$39)))</f>
        <v/>
      </c>
      <c r="K54" s="6">
        <f>IF(SUMPRODUCT((Marks!$BC$5:$BC$39="bottom")*ISNUMBER(Marks!AY$5:AY$39))=0,"",SUMPRODUCT((Marks!$BC$5:$BC$39="bottom")*(Marks!AY$5:AY$39=1))/SUMPRODUCT((Marks!$BC$5:$BC$39="bottom")*ISNUMBER(Marks!AY$5:AY$39)))</f>
        <v/>
      </c>
      <c r="L54" s="6">
        <f>IF(OR(J54="",K54=""),"",J54-K54)</f>
        <v/>
      </c>
      <c r="M54">
        <f>IF(H54=0,"",IF(I54&lt;0.2,"Check the item: fewer than one in five got it right",IF(AND(L54&lt;&gt;"",N(L54)&lt;0),"Check the item: the bottom third beat the top third","")))</f>
        <v/>
      </c>
      <c r="N54">
        <f>IF(H54=0,"",I54+ROW()/1000000)</f>
        <v/>
      </c>
    </row>
    <row r="55">
      <c r="A55" t="n">
        <v>51</v>
      </c>
      <c r="B55" t="n">
        <v>6</v>
      </c>
      <c r="C55" t="inlineStr">
        <is>
          <t>Applied maths</t>
        </is>
      </c>
      <c r="D55" t="inlineStr">
        <is>
          <t>Medium</t>
        </is>
      </c>
      <c r="E55" t="inlineStr">
        <is>
          <t>[S]</t>
        </is>
      </c>
      <c r="F55" t="inlineStr">
        <is>
          <t>Rs 11 crore (Rs 12 crore before discounts).</t>
        </is>
      </c>
      <c r="G55">
        <f>COUNTIF(Marks!AZ$5:AZ$39,1)</f>
        <v/>
      </c>
      <c r="H55">
        <f>COUNT(Marks!AZ$5:AZ$39)</f>
        <v/>
      </c>
      <c r="I55" s="6">
        <f>IF(H55=0,"",G55/H55)</f>
        <v/>
      </c>
      <c r="J55" s="6">
        <f>IF(SUMPRODUCT((Marks!$BC$5:$BC$39="top")*ISNUMBER(Marks!AZ$5:AZ$39))=0,"",SUMPRODUCT((Marks!$BC$5:$BC$39="top")*(Marks!AZ$5:AZ$39=1))/SUMPRODUCT((Marks!$BC$5:$BC$39="top")*ISNUMBER(Marks!AZ$5:AZ$39)))</f>
        <v/>
      </c>
      <c r="K55" s="6">
        <f>IF(SUMPRODUCT((Marks!$BC$5:$BC$39="bottom")*ISNUMBER(Marks!AZ$5:AZ$39))=0,"",SUMPRODUCT((Marks!$BC$5:$BC$39="bottom")*(Marks!AZ$5:AZ$39=1))/SUMPRODUCT((Marks!$BC$5:$BC$39="bottom")*ISNUMBER(Marks!AZ$5:AZ$39)))</f>
        <v/>
      </c>
      <c r="L55" s="6">
        <f>IF(OR(J55="",K55=""),"",J55-K55)</f>
        <v/>
      </c>
      <c r="M55">
        <f>IF(H55=0,"",IF(I55&lt;0.2,"Check the item: fewer than one in five got it right",IF(AND(L55&lt;&gt;"",N(L55)&lt;0),"Check the item: the bottom third beat the top third","")))</f>
        <v/>
      </c>
      <c r="N55">
        <f>IF(H55=0,"",I55+ROW()/1000000)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IF(SUM(Items!H5:H55)=0,"No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IF(COUNT(Items!$N$5:$N$55)&lt;A5,"",INDEX(Items!$A$5:$A$55,MATCH(SMALL(Items!$N$5:$N$55,A5),Items!$N$5:$N$55,0)))</f>
        <v/>
      </c>
      <c r="C5" s="6">
        <f>IF(B5="","",INDEX(Items!$I$5:$I$55,MATCH(B5,Items!$A$5:$A$55,0)))</f>
        <v/>
      </c>
      <c r="D5">
        <f>IF(B5="","",INDEX(Items!$B$5:$B$55,MATCH(B5,Items!$A$5:$A$55,0)))</f>
        <v/>
      </c>
      <c r="E5">
        <f>IF(B5="","",INDEX(Items!$E$5:$E$55,MATCH(B5,Items!$A$5:$A$55,0)))</f>
        <v/>
      </c>
      <c r="F5">
        <f>IF(B5="","",INDEX(Items!$M$5:$M$55,MATCH(B5,Items!$A$5:$A$55,0)))</f>
        <v/>
      </c>
    </row>
    <row r="6">
      <c r="A6" t="n">
        <v>2</v>
      </c>
      <c r="B6">
        <f>IF(COUNT(Items!$N$5:$N$55)&lt;A6,"",INDEX(Items!$A$5:$A$55,MATCH(SMALL(Items!$N$5:$N$55,A6),Items!$N$5:$N$55,0)))</f>
        <v/>
      </c>
      <c r="C6" s="6">
        <f>IF(B6="","",INDEX(Items!$I$5:$I$55,MATCH(B6,Items!$A$5:$A$55,0)))</f>
        <v/>
      </c>
      <c r="D6">
        <f>IF(B6="","",INDEX(Items!$B$5:$B$55,MATCH(B6,Items!$A$5:$A$55,0)))</f>
        <v/>
      </c>
      <c r="E6">
        <f>IF(B6="","",INDEX(Items!$E$5:$E$55,MATCH(B6,Items!$A$5:$A$55,0)))</f>
        <v/>
      </c>
      <c r="F6">
        <f>IF(B6="","",INDEX(Items!$M$5:$M$55,MATCH(B6,Items!$A$5:$A$55,0)))</f>
        <v/>
      </c>
    </row>
    <row r="7">
      <c r="A7" t="n">
        <v>3</v>
      </c>
      <c r="B7">
        <f>IF(COUNT(Items!$N$5:$N$55)&lt;A7,"",INDEX(Items!$A$5:$A$55,MATCH(SMALL(Items!$N$5:$N$55,A7),Items!$N$5:$N$55,0)))</f>
        <v/>
      </c>
      <c r="C7" s="6">
        <f>IF(B7="","",INDEX(Items!$I$5:$I$55,MATCH(B7,Items!$A$5:$A$55,0)))</f>
        <v/>
      </c>
      <c r="D7">
        <f>IF(B7="","",INDEX(Items!$B$5:$B$55,MATCH(B7,Items!$A$5:$A$55,0)))</f>
        <v/>
      </c>
      <c r="E7">
        <f>IF(B7="","",INDEX(Items!$E$5:$E$55,MATCH(B7,Items!$A$5:$A$55,0)))</f>
        <v/>
      </c>
      <c r="F7">
        <f>IF(B7="","",INDEX(Items!$M$5:$M$55,MATCH(B7,Items!$A$5:$A$55,0)))</f>
        <v/>
      </c>
    </row>
    <row r="8">
      <c r="A8" t="n">
        <v>4</v>
      </c>
      <c r="B8">
        <f>IF(COUNT(Items!$N$5:$N$55)&lt;A8,"",INDEX(Items!$A$5:$A$55,MATCH(SMALL(Items!$N$5:$N$55,A8),Items!$N$5:$N$55,0)))</f>
        <v/>
      </c>
      <c r="C8" s="6">
        <f>IF(B8="","",INDEX(Items!$I$5:$I$55,MATCH(B8,Items!$A$5:$A$55,0)))</f>
        <v/>
      </c>
      <c r="D8">
        <f>IF(B8="","",INDEX(Items!$B$5:$B$55,MATCH(B8,Items!$A$5:$A$55,0)))</f>
        <v/>
      </c>
      <c r="E8">
        <f>IF(B8="","",INDEX(Items!$E$5:$E$55,MATCH(B8,Items!$A$5:$A$55,0)))</f>
        <v/>
      </c>
      <c r="F8">
        <f>IF(B8="","",INDEX(Items!$M$5:$M$55,MATCH(B8,Items!$A$5:$A$55,0)))</f>
        <v/>
      </c>
    </row>
    <row r="9">
      <c r="A9" t="n">
        <v>5</v>
      </c>
      <c r="B9">
        <f>IF(COUNT(Items!$N$5:$N$55)&lt;A9,"",INDEX(Items!$A$5:$A$55,MATCH(SMALL(Items!$N$5:$N$55,A9),Items!$N$5:$N$55,0)))</f>
        <v/>
      </c>
      <c r="C9" s="6">
        <f>IF(B9="","",INDEX(Items!$I$5:$I$55,MATCH(B9,Items!$A$5:$A$55,0)))</f>
        <v/>
      </c>
      <c r="D9">
        <f>IF(B9="","",INDEX(Items!$B$5:$B$55,MATCH(B9,Items!$A$5:$A$55,0)))</f>
        <v/>
      </c>
      <c r="E9">
        <f>IF(B9="","",INDEX(Items!$E$5:$E$55,MATCH(B9,Items!$A$5:$A$55,0)))</f>
        <v/>
      </c>
      <c r="F9">
        <f>IF(B9="","",INDEX(Items!$M$5:$M$55,MATCH(B9,Items!$A$5:$A$55,0)))</f>
        <v/>
      </c>
    </row>
    <row r="10">
      <c r="A10" t="n">
        <v>6</v>
      </c>
      <c r="B10">
        <f>IF(COUNT(Items!$N$5:$N$55)&lt;A10,"",INDEX(Items!$A$5:$A$55,MATCH(SMALL(Items!$N$5:$N$55,A10),Items!$N$5:$N$55,0)))</f>
        <v/>
      </c>
      <c r="C10" s="6">
        <f>IF(B10="","",INDEX(Items!$I$5:$I$55,MATCH(B10,Items!$A$5:$A$55,0)))</f>
        <v/>
      </c>
      <c r="D10">
        <f>IF(B10="","",INDEX(Items!$B$5:$B$55,MATCH(B10,Items!$A$5:$A$55,0)))</f>
        <v/>
      </c>
      <c r="E10">
        <f>IF(B10="","",INDEX(Items!$E$5:$E$55,MATCH(B10,Items!$A$5:$A$55,0)))</f>
        <v/>
      </c>
      <c r="F10">
        <f>IF(B10="","",INDEX(Items!$M$5:$M$55,MATCH(B10,Items!$A$5:$A$55,0)))</f>
        <v/>
      </c>
    </row>
    <row r="11">
      <c r="A11" t="n">
        <v>7</v>
      </c>
      <c r="B11">
        <f>IF(COUNT(Items!$N$5:$N$55)&lt;A11,"",INDEX(Items!$A$5:$A$55,MATCH(SMALL(Items!$N$5:$N$55,A11),Items!$N$5:$N$55,0)))</f>
        <v/>
      </c>
      <c r="C11" s="6">
        <f>IF(B11="","",INDEX(Items!$I$5:$I$55,MATCH(B11,Items!$A$5:$A$55,0)))</f>
        <v/>
      </c>
      <c r="D11">
        <f>IF(B11="","",INDEX(Items!$B$5:$B$55,MATCH(B11,Items!$A$5:$A$55,0)))</f>
        <v/>
      </c>
      <c r="E11">
        <f>IF(B11="","",INDEX(Items!$E$5:$E$55,MATCH(B11,Items!$A$5:$A$55,0)))</f>
        <v/>
      </c>
      <c r="F11">
        <f>IF(B11="","",INDEX(Items!$M$5:$M$55,MATCH(B11,Items!$A$5:$A$55,0)))</f>
        <v/>
      </c>
    </row>
    <row r="12">
      <c r="A12" t="n">
        <v>8</v>
      </c>
      <c r="B12">
        <f>IF(COUNT(Items!$N$5:$N$55)&lt;A12,"",INDEX(Items!$A$5:$A$55,MATCH(SMALL(Items!$N$5:$N$55,A12),Items!$N$5:$N$55,0)))</f>
        <v/>
      </c>
      <c r="C12" s="6">
        <f>IF(B12="","",INDEX(Items!$I$5:$I$55,MATCH(B12,Items!$A$5:$A$55,0)))</f>
        <v/>
      </c>
      <c r="D12">
        <f>IF(B12="","",INDEX(Items!$B$5:$B$55,MATCH(B12,Items!$A$5:$A$55,0)))</f>
        <v/>
      </c>
      <c r="E12">
        <f>IF(B12="","",INDEX(Items!$E$5:$E$55,MATCH(B12,Items!$A$5:$A$55,0)))</f>
        <v/>
      </c>
      <c r="F12">
        <f>IF(B12="","",INDEX(Items!$M$5:$M$55,MATCH(B12,Items!$A$5:$A$55,0)))</f>
        <v/>
      </c>
    </row>
    <row r="13">
      <c r="A13" t="n">
        <v>9</v>
      </c>
      <c r="B13">
        <f>IF(COUNT(Items!$N$5:$N$55)&lt;A13,"",INDEX(Items!$A$5:$A$55,MATCH(SMALL(Items!$N$5:$N$55,A13),Items!$N$5:$N$55,0)))</f>
        <v/>
      </c>
      <c r="C13" s="6">
        <f>IF(B13="","",INDEX(Items!$I$5:$I$55,MATCH(B13,Items!$A$5:$A$55,0)))</f>
        <v/>
      </c>
      <c r="D13">
        <f>IF(B13="","",INDEX(Items!$B$5:$B$55,MATCH(B13,Items!$A$5:$A$55,0)))</f>
        <v/>
      </c>
      <c r="E13">
        <f>IF(B13="","",INDEX(Items!$E$5:$E$55,MATCH(B13,Items!$A$5:$A$55,0)))</f>
        <v/>
      </c>
      <c r="F13">
        <f>IF(B13="","",INDEX(Items!$M$5:$M$55,MATCH(B13,Items!$A$5:$A$55,0)))</f>
        <v/>
      </c>
    </row>
    <row r="14">
      <c r="A14" t="n">
        <v>10</v>
      </c>
      <c r="B14">
        <f>IF(COUNT(Items!$N$5:$N$55)&lt;A14,"",INDEX(Items!$A$5:$A$55,MATCH(SMALL(Items!$N$5:$N$55,A14),Items!$N$5:$N$55,0)))</f>
        <v/>
      </c>
      <c r="C14" s="6">
        <f>IF(B14="","",INDEX(Items!$I$5:$I$55,MATCH(B14,Items!$A$5:$A$55,0)))</f>
        <v/>
      </c>
      <c r="D14">
        <f>IF(B14="","",INDEX(Items!$B$5:$B$55,MATCH(B14,Items!$A$5:$A$55,0)))</f>
        <v/>
      </c>
      <c r="E14">
        <f>IF(B14="","",INDEX(Items!$E$5:$E$55,MATCH(B14,Items!$A$5:$A$55,0)))</f>
        <v/>
      </c>
      <c r="F14">
        <f>IF(B14="","",INDEX(Items!$M$5:$M$55,MATCH(B14,Items!$A$5:$A$55,0)))</f>
        <v/>
      </c>
    </row>
    <row r="15">
      <c r="A15" t="n">
        <v>11</v>
      </c>
      <c r="B15">
        <f>IF(COUNT(Items!$N$5:$N$55)&lt;A15,"",INDEX(Items!$A$5:$A$55,MATCH(SMALL(Items!$N$5:$N$55,A15),Items!$N$5:$N$55,0)))</f>
        <v/>
      </c>
      <c r="C15" s="6">
        <f>IF(B15="","",INDEX(Items!$I$5:$I$55,MATCH(B15,Items!$A$5:$A$55,0)))</f>
        <v/>
      </c>
      <c r="D15">
        <f>IF(B15="","",INDEX(Items!$B$5:$B$55,MATCH(B15,Items!$A$5:$A$55,0)))</f>
        <v/>
      </c>
      <c r="E15">
        <f>IF(B15="","",INDEX(Items!$E$5:$E$55,MATCH(B15,Items!$A$5:$A$55,0)))</f>
        <v/>
      </c>
      <c r="F15">
        <f>IF(B15="","",INDEX(Items!$M$5:$M$55,MATCH(B15,Items!$A$5:$A$55,0)))</f>
        <v/>
      </c>
    </row>
    <row r="16">
      <c r="A16" t="n">
        <v>12</v>
      </c>
      <c r="B16">
        <f>IF(COUNT(Items!$N$5:$N$55)&lt;A16,"",INDEX(Items!$A$5:$A$55,MATCH(SMALL(Items!$N$5:$N$55,A16),Items!$N$5:$N$55,0)))</f>
        <v/>
      </c>
      <c r="C16" s="6">
        <f>IF(B16="","",INDEX(Items!$I$5:$I$55,MATCH(B16,Items!$A$5:$A$55,0)))</f>
        <v/>
      </c>
      <c r="D16">
        <f>IF(B16="","",INDEX(Items!$B$5:$B$55,MATCH(B16,Items!$A$5:$A$55,0)))</f>
        <v/>
      </c>
      <c r="E16">
        <f>IF(B16="","",INDEX(Items!$E$5:$E$55,MATCH(B16,Items!$A$5:$A$55,0)))</f>
        <v/>
      </c>
      <c r="F16">
        <f>IF(B16="","",INDEX(Items!$M$5:$M$55,MATCH(B16,Items!$A$5:$A$55,0)))</f>
        <v/>
      </c>
    </row>
    <row r="17">
      <c r="A17" t="n">
        <v>13</v>
      </c>
      <c r="B17">
        <f>IF(COUNT(Items!$N$5:$N$55)&lt;A17,"",INDEX(Items!$A$5:$A$55,MATCH(SMALL(Items!$N$5:$N$55,A17),Items!$N$5:$N$55,0)))</f>
        <v/>
      </c>
      <c r="C17" s="6">
        <f>IF(B17="","",INDEX(Items!$I$5:$I$55,MATCH(B17,Items!$A$5:$A$55,0)))</f>
        <v/>
      </c>
      <c r="D17">
        <f>IF(B17="","",INDEX(Items!$B$5:$B$55,MATCH(B17,Items!$A$5:$A$55,0)))</f>
        <v/>
      </c>
      <c r="E17">
        <f>IF(B17="","",INDEX(Items!$E$5:$E$55,MATCH(B17,Items!$A$5:$A$55,0)))</f>
        <v/>
      </c>
      <c r="F17">
        <f>IF(B17="","",INDEX(Items!$M$5:$M$55,MATCH(B17,Items!$A$5:$A$55,0)))</f>
        <v/>
      </c>
    </row>
    <row r="18">
      <c r="A18" t="n">
        <v>14</v>
      </c>
      <c r="B18">
        <f>IF(COUNT(Items!$N$5:$N$55)&lt;A18,"",INDEX(Items!$A$5:$A$55,MATCH(SMALL(Items!$N$5:$N$55,A18),Items!$N$5:$N$55,0)))</f>
        <v/>
      </c>
      <c r="C18" s="6">
        <f>IF(B18="","",INDEX(Items!$I$5:$I$55,MATCH(B18,Items!$A$5:$A$55,0)))</f>
        <v/>
      </c>
      <c r="D18">
        <f>IF(B18="","",INDEX(Items!$B$5:$B$55,MATCH(B18,Items!$A$5:$A$55,0)))</f>
        <v/>
      </c>
      <c r="E18">
        <f>IF(B18="","",INDEX(Items!$E$5:$E$55,MATCH(B18,Items!$A$5:$A$55,0)))</f>
        <v/>
      </c>
      <c r="F18">
        <f>IF(B18="","",INDEX(Items!$M$5:$M$55,MATCH(B18,Items!$A$5:$A$55,0)))</f>
        <v/>
      </c>
    </row>
    <row r="19">
      <c r="A19" t="n">
        <v>15</v>
      </c>
      <c r="B19">
        <f>IF(COUNT(Items!$N$5:$N$55)&lt;A19,"",INDEX(Items!$A$5:$A$55,MATCH(SMALL(Items!$N$5:$N$55,A19),Items!$N$5:$N$55,0)))</f>
        <v/>
      </c>
      <c r="C19" s="6">
        <f>IF(B19="","",INDEX(Items!$I$5:$I$55,MATCH(B19,Items!$A$5:$A$55,0)))</f>
        <v/>
      </c>
      <c r="D19">
        <f>IF(B19="","",INDEX(Items!$B$5:$B$55,MATCH(B19,Items!$A$5:$A$55,0)))</f>
        <v/>
      </c>
      <c r="E19">
        <f>IF(B19="","",INDEX(Items!$E$5:$E$55,MATCH(B19,Items!$A$5:$A$55,0)))</f>
        <v/>
      </c>
      <c r="F19">
        <f>IF(B19="","",INDEX(Items!$M$5:$M$55,MATCH(B19,Items!$A$5:$A$55,0)))</f>
        <v/>
      </c>
    </row>
    <row r="20">
      <c r="A20" t="n">
        <v>16</v>
      </c>
      <c r="B20">
        <f>IF(COUNT(Items!$N$5:$N$55)&lt;A20,"",INDEX(Items!$A$5:$A$55,MATCH(SMALL(Items!$N$5:$N$55,A20),Items!$N$5:$N$55,0)))</f>
        <v/>
      </c>
      <c r="C20" s="6">
        <f>IF(B20="","",INDEX(Items!$I$5:$I$55,MATCH(B20,Items!$A$5:$A$55,0)))</f>
        <v/>
      </c>
      <c r="D20">
        <f>IF(B20="","",INDEX(Items!$B$5:$B$55,MATCH(B20,Items!$A$5:$A$55,0)))</f>
        <v/>
      </c>
      <c r="E20">
        <f>IF(B20="","",INDEX(Items!$E$5:$E$55,MATCH(B20,Items!$A$5:$A$55,0)))</f>
        <v/>
      </c>
      <c r="F20">
        <f>IF(B20="","",INDEX(Items!$M$5:$M$55,MATCH(B20,Items!$A$5:$A$55,0)))</f>
        <v/>
      </c>
    </row>
    <row r="21">
      <c r="A21" t="n">
        <v>17</v>
      </c>
      <c r="B21">
        <f>IF(COUNT(Items!$N$5:$N$55)&lt;A21,"",INDEX(Items!$A$5:$A$55,MATCH(SMALL(Items!$N$5:$N$55,A21),Items!$N$5:$N$55,0)))</f>
        <v/>
      </c>
      <c r="C21" s="6">
        <f>IF(B21="","",INDEX(Items!$I$5:$I$55,MATCH(B21,Items!$A$5:$A$55,0)))</f>
        <v/>
      </c>
      <c r="D21">
        <f>IF(B21="","",INDEX(Items!$B$5:$B$55,MATCH(B21,Items!$A$5:$A$55,0)))</f>
        <v/>
      </c>
      <c r="E21">
        <f>IF(B21="","",INDEX(Items!$E$5:$E$55,MATCH(B21,Items!$A$5:$A$55,0)))</f>
        <v/>
      </c>
      <c r="F21">
        <f>IF(B21="","",INDEX(Items!$M$5:$M$55,MATCH(B21,Items!$A$5:$A$55,0)))</f>
        <v/>
      </c>
    </row>
    <row r="22">
      <c r="A22" t="n">
        <v>18</v>
      </c>
      <c r="B22">
        <f>IF(COUNT(Items!$N$5:$N$55)&lt;A22,"",INDEX(Items!$A$5:$A$55,MATCH(SMALL(Items!$N$5:$N$55,A22),Items!$N$5:$N$55,0)))</f>
        <v/>
      </c>
      <c r="C22" s="6">
        <f>IF(B22="","",INDEX(Items!$I$5:$I$55,MATCH(B22,Items!$A$5:$A$55,0)))</f>
        <v/>
      </c>
      <c r="D22">
        <f>IF(B22="","",INDEX(Items!$B$5:$B$55,MATCH(B22,Items!$A$5:$A$55,0)))</f>
        <v/>
      </c>
      <c r="E22">
        <f>IF(B22="","",INDEX(Items!$E$5:$E$55,MATCH(B22,Items!$A$5:$A$55,0)))</f>
        <v/>
      </c>
      <c r="F22">
        <f>IF(B22="","",INDEX(Items!$M$5:$M$55,MATCH(B22,Items!$A$5:$A$55,0)))</f>
        <v/>
      </c>
    </row>
    <row r="23">
      <c r="A23" t="n">
        <v>19</v>
      </c>
      <c r="B23">
        <f>IF(COUNT(Items!$N$5:$N$55)&lt;A23,"",INDEX(Items!$A$5:$A$55,MATCH(SMALL(Items!$N$5:$N$55,A23),Items!$N$5:$N$55,0)))</f>
        <v/>
      </c>
      <c r="C23" s="6">
        <f>IF(B23="","",INDEX(Items!$I$5:$I$55,MATCH(B23,Items!$A$5:$A$55,0)))</f>
        <v/>
      </c>
      <c r="D23">
        <f>IF(B23="","",INDEX(Items!$B$5:$B$55,MATCH(B23,Items!$A$5:$A$55,0)))</f>
        <v/>
      </c>
      <c r="E23">
        <f>IF(B23="","",INDEX(Items!$E$5:$E$55,MATCH(B23,Items!$A$5:$A$55,0)))</f>
        <v/>
      </c>
      <c r="F23">
        <f>IF(B23="","",INDEX(Items!$M$5:$M$55,MATCH(B23,Items!$A$5:$A$55,0)))</f>
        <v/>
      </c>
    </row>
    <row r="24">
      <c r="A24" t="n">
        <v>20</v>
      </c>
      <c r="B24">
        <f>IF(COUNT(Items!$N$5:$N$55)&lt;A24,"",INDEX(Items!$A$5:$A$55,MATCH(SMALL(Items!$N$5:$N$55,A24),Items!$N$5:$N$55,0)))</f>
        <v/>
      </c>
      <c r="C24" s="6">
        <f>IF(B24="","",INDEX(Items!$I$5:$I$55,MATCH(B24,Items!$A$5:$A$55,0)))</f>
        <v/>
      </c>
      <c r="D24">
        <f>IF(B24="","",INDEX(Items!$B$5:$B$55,MATCH(B24,Items!$A$5:$A$55,0)))</f>
        <v/>
      </c>
      <c r="E24">
        <f>IF(B24="","",INDEX(Items!$E$5:$E$55,MATCH(B24,Items!$A$5:$A$55,0)))</f>
        <v/>
      </c>
      <c r="F24">
        <f>IF(B24="","",INDEX(Items!$M$5:$M$55,MATCH(B24,Items!$A$5:$A$55,0)))</f>
        <v/>
      </c>
    </row>
    <row r="25">
      <c r="A25" t="n">
        <v>21</v>
      </c>
      <c r="B25">
        <f>IF(COUNT(Items!$N$5:$N$55)&lt;A25,"",INDEX(Items!$A$5:$A$55,MATCH(SMALL(Items!$N$5:$N$55,A25),Items!$N$5:$N$55,0)))</f>
        <v/>
      </c>
      <c r="C25" s="6">
        <f>IF(B25="","",INDEX(Items!$I$5:$I$55,MATCH(B25,Items!$A$5:$A$55,0)))</f>
        <v/>
      </c>
      <c r="D25">
        <f>IF(B25="","",INDEX(Items!$B$5:$B$55,MATCH(B25,Items!$A$5:$A$55,0)))</f>
        <v/>
      </c>
      <c r="E25">
        <f>IF(B25="","",INDEX(Items!$E$5:$E$55,MATCH(B25,Items!$A$5:$A$55,0)))</f>
        <v/>
      </c>
      <c r="F25">
        <f>IF(B25="","",INDEX(Items!$M$5:$M$55,MATCH(B25,Items!$A$5:$A$55,0)))</f>
        <v/>
      </c>
    </row>
    <row r="26">
      <c r="A26" t="n">
        <v>22</v>
      </c>
      <c r="B26">
        <f>IF(COUNT(Items!$N$5:$N$55)&lt;A26,"",INDEX(Items!$A$5:$A$55,MATCH(SMALL(Items!$N$5:$N$55,A26),Items!$N$5:$N$55,0)))</f>
        <v/>
      </c>
      <c r="C26" s="6">
        <f>IF(B26="","",INDEX(Items!$I$5:$I$55,MATCH(B26,Items!$A$5:$A$55,0)))</f>
        <v/>
      </c>
      <c r="D26">
        <f>IF(B26="","",INDEX(Items!$B$5:$B$55,MATCH(B26,Items!$A$5:$A$55,0)))</f>
        <v/>
      </c>
      <c r="E26">
        <f>IF(B26="","",INDEX(Items!$E$5:$E$55,MATCH(B26,Items!$A$5:$A$55,0)))</f>
        <v/>
      </c>
      <c r="F26">
        <f>IF(B26="","",INDEX(Items!$M$5:$M$55,MATCH(B26,Items!$A$5:$A$55,0)))</f>
        <v/>
      </c>
    </row>
    <row r="27">
      <c r="A27" t="n">
        <v>23</v>
      </c>
      <c r="B27">
        <f>IF(COUNT(Items!$N$5:$N$55)&lt;A27,"",INDEX(Items!$A$5:$A$55,MATCH(SMALL(Items!$N$5:$N$55,A27),Items!$N$5:$N$55,0)))</f>
        <v/>
      </c>
      <c r="C27" s="6">
        <f>IF(B27="","",INDEX(Items!$I$5:$I$55,MATCH(B27,Items!$A$5:$A$55,0)))</f>
        <v/>
      </c>
      <c r="D27">
        <f>IF(B27="","",INDEX(Items!$B$5:$B$55,MATCH(B27,Items!$A$5:$A$55,0)))</f>
        <v/>
      </c>
      <c r="E27">
        <f>IF(B27="","",INDEX(Items!$E$5:$E$55,MATCH(B27,Items!$A$5:$A$55,0)))</f>
        <v/>
      </c>
      <c r="F27">
        <f>IF(B27="","",INDEX(Items!$M$5:$M$55,MATCH(B27,Items!$A$5:$A$55,0)))</f>
        <v/>
      </c>
    </row>
    <row r="28">
      <c r="A28" t="n">
        <v>24</v>
      </c>
      <c r="B28">
        <f>IF(COUNT(Items!$N$5:$N$55)&lt;A28,"",INDEX(Items!$A$5:$A$55,MATCH(SMALL(Items!$N$5:$N$55,A28),Items!$N$5:$N$55,0)))</f>
        <v/>
      </c>
      <c r="C28" s="6">
        <f>IF(B28="","",INDEX(Items!$I$5:$I$55,MATCH(B28,Items!$A$5:$A$55,0)))</f>
        <v/>
      </c>
      <c r="D28">
        <f>IF(B28="","",INDEX(Items!$B$5:$B$55,MATCH(B28,Items!$A$5:$A$55,0)))</f>
        <v/>
      </c>
      <c r="E28">
        <f>IF(B28="","",INDEX(Items!$E$5:$E$55,MATCH(B28,Items!$A$5:$A$55,0)))</f>
        <v/>
      </c>
      <c r="F28">
        <f>IF(B28="","",INDEX(Items!$M$5:$M$55,MATCH(B28,Items!$A$5:$A$55,0)))</f>
        <v/>
      </c>
    </row>
    <row r="29">
      <c r="A29" t="n">
        <v>25</v>
      </c>
      <c r="B29">
        <f>IF(COUNT(Items!$N$5:$N$55)&lt;A29,"",INDEX(Items!$A$5:$A$55,MATCH(SMALL(Items!$N$5:$N$55,A29),Items!$N$5:$N$55,0)))</f>
        <v/>
      </c>
      <c r="C29" s="6">
        <f>IF(B29="","",INDEX(Items!$I$5:$I$55,MATCH(B29,Items!$A$5:$A$55,0)))</f>
        <v/>
      </c>
      <c r="D29">
        <f>IF(B29="","",INDEX(Items!$B$5:$B$55,MATCH(B29,Items!$A$5:$A$55,0)))</f>
        <v/>
      </c>
      <c r="E29">
        <f>IF(B29="","",INDEX(Items!$E$5:$E$55,MATCH(B29,Items!$A$5:$A$55,0)))</f>
        <v/>
      </c>
      <c r="F29">
        <f>IF(B29="","",INDEX(Items!$M$5:$M$55,MATCH(B29,Items!$A$5:$A$55,0)))</f>
        <v/>
      </c>
    </row>
    <row r="30">
      <c r="A30" t="n">
        <v>26</v>
      </c>
      <c r="B30">
        <f>IF(COUNT(Items!$N$5:$N$55)&lt;A30,"",INDEX(Items!$A$5:$A$55,MATCH(SMALL(Items!$N$5:$N$55,A30),Items!$N$5:$N$55,0)))</f>
        <v/>
      </c>
      <c r="C30" s="6">
        <f>IF(B30="","",INDEX(Items!$I$5:$I$55,MATCH(B30,Items!$A$5:$A$55,0)))</f>
        <v/>
      </c>
      <c r="D30">
        <f>IF(B30="","",INDEX(Items!$B$5:$B$55,MATCH(B30,Items!$A$5:$A$55,0)))</f>
        <v/>
      </c>
      <c r="E30">
        <f>IF(B30="","",INDEX(Items!$E$5:$E$55,MATCH(B30,Items!$A$5:$A$55,0)))</f>
        <v/>
      </c>
      <c r="F30">
        <f>IF(B30="","",INDEX(Items!$M$5:$M$55,MATCH(B30,Items!$A$5:$A$55,0)))</f>
        <v/>
      </c>
    </row>
    <row r="31">
      <c r="A31" t="n">
        <v>27</v>
      </c>
      <c r="B31">
        <f>IF(COUNT(Items!$N$5:$N$55)&lt;A31,"",INDEX(Items!$A$5:$A$55,MATCH(SMALL(Items!$N$5:$N$55,A31),Items!$N$5:$N$55,0)))</f>
        <v/>
      </c>
      <c r="C31" s="6">
        <f>IF(B31="","",INDEX(Items!$I$5:$I$55,MATCH(B31,Items!$A$5:$A$55,0)))</f>
        <v/>
      </c>
      <c r="D31">
        <f>IF(B31="","",INDEX(Items!$B$5:$B$55,MATCH(B31,Items!$A$5:$A$55,0)))</f>
        <v/>
      </c>
      <c r="E31">
        <f>IF(B31="","",INDEX(Items!$E$5:$E$55,MATCH(B31,Items!$A$5:$A$55,0)))</f>
        <v/>
      </c>
      <c r="F31">
        <f>IF(B31="","",INDEX(Items!$M$5:$M$55,MATCH(B31,Items!$A$5:$A$55,0)))</f>
        <v/>
      </c>
    </row>
    <row r="32">
      <c r="A32" t="n">
        <v>28</v>
      </c>
      <c r="B32">
        <f>IF(COUNT(Items!$N$5:$N$55)&lt;A32,"",INDEX(Items!$A$5:$A$55,MATCH(SMALL(Items!$N$5:$N$55,A32),Items!$N$5:$N$55,0)))</f>
        <v/>
      </c>
      <c r="C32" s="6">
        <f>IF(B32="","",INDEX(Items!$I$5:$I$55,MATCH(B32,Items!$A$5:$A$55,0)))</f>
        <v/>
      </c>
      <c r="D32">
        <f>IF(B32="","",INDEX(Items!$B$5:$B$55,MATCH(B32,Items!$A$5:$A$55,0)))</f>
        <v/>
      </c>
      <c r="E32">
        <f>IF(B32="","",INDEX(Items!$E$5:$E$55,MATCH(B32,Items!$A$5:$A$55,0)))</f>
        <v/>
      </c>
      <c r="F32">
        <f>IF(B32="","",INDEX(Items!$M$5:$M$55,MATCH(B32,Items!$A$5:$A$55,0)))</f>
        <v/>
      </c>
    </row>
    <row r="33">
      <c r="A33" t="n">
        <v>29</v>
      </c>
      <c r="B33">
        <f>IF(COUNT(Items!$N$5:$N$55)&lt;A33,"",INDEX(Items!$A$5:$A$55,MATCH(SMALL(Items!$N$5:$N$55,A33),Items!$N$5:$N$55,0)))</f>
        <v/>
      </c>
      <c r="C33" s="6">
        <f>IF(B33="","",INDEX(Items!$I$5:$I$55,MATCH(B33,Items!$A$5:$A$55,0)))</f>
        <v/>
      </c>
      <c r="D33">
        <f>IF(B33="","",INDEX(Items!$B$5:$B$55,MATCH(B33,Items!$A$5:$A$55,0)))</f>
        <v/>
      </c>
      <c r="E33">
        <f>IF(B33="","",INDEX(Items!$E$5:$E$55,MATCH(B33,Items!$A$5:$A$55,0)))</f>
        <v/>
      </c>
      <c r="F33">
        <f>IF(B33="","",INDEX(Items!$M$5:$M$55,MATCH(B33,Items!$A$5:$A$55,0)))</f>
        <v/>
      </c>
    </row>
    <row r="34">
      <c r="A34" t="n">
        <v>30</v>
      </c>
      <c r="B34">
        <f>IF(COUNT(Items!$N$5:$N$55)&lt;A34,"",INDEX(Items!$A$5:$A$55,MATCH(SMALL(Items!$N$5:$N$55,A34),Items!$N$5:$N$55,0)))</f>
        <v/>
      </c>
      <c r="C34" s="6">
        <f>IF(B34="","",INDEX(Items!$I$5:$I$55,MATCH(B34,Items!$A$5:$A$55,0)))</f>
        <v/>
      </c>
      <c r="D34">
        <f>IF(B34="","",INDEX(Items!$B$5:$B$55,MATCH(B34,Items!$A$5:$A$55,0)))</f>
        <v/>
      </c>
      <c r="E34">
        <f>IF(B34="","",INDEX(Items!$E$5:$E$55,MATCH(B34,Items!$A$5:$A$55,0)))</f>
        <v/>
      </c>
      <c r="F34">
        <f>IF(B34="","",INDEX(Items!$M$5:$M$55,MATCH(B34,Items!$A$5:$A$55,0)))</f>
        <v/>
      </c>
    </row>
    <row r="35">
      <c r="A35" t="n">
        <v>31</v>
      </c>
      <c r="B35">
        <f>IF(COUNT(Items!$N$5:$N$55)&lt;A35,"",INDEX(Items!$A$5:$A$55,MATCH(SMALL(Items!$N$5:$N$55,A35),Items!$N$5:$N$55,0)))</f>
        <v/>
      </c>
      <c r="C35" s="6">
        <f>IF(B35="","",INDEX(Items!$I$5:$I$55,MATCH(B35,Items!$A$5:$A$55,0)))</f>
        <v/>
      </c>
      <c r="D35">
        <f>IF(B35="","",INDEX(Items!$B$5:$B$55,MATCH(B35,Items!$A$5:$A$55,0)))</f>
        <v/>
      </c>
      <c r="E35">
        <f>IF(B35="","",INDEX(Items!$E$5:$E$55,MATCH(B35,Items!$A$5:$A$55,0)))</f>
        <v/>
      </c>
      <c r="F35">
        <f>IF(B35="","",INDEX(Items!$M$5:$M$55,MATCH(B35,Items!$A$5:$A$55,0)))</f>
        <v/>
      </c>
    </row>
    <row r="36">
      <c r="A36" t="n">
        <v>32</v>
      </c>
      <c r="B36">
        <f>IF(COUNT(Items!$N$5:$N$55)&lt;A36,"",INDEX(Items!$A$5:$A$55,MATCH(SMALL(Items!$N$5:$N$55,A36),Items!$N$5:$N$55,0)))</f>
        <v/>
      </c>
      <c r="C36" s="6">
        <f>IF(B36="","",INDEX(Items!$I$5:$I$55,MATCH(B36,Items!$A$5:$A$55,0)))</f>
        <v/>
      </c>
      <c r="D36">
        <f>IF(B36="","",INDEX(Items!$B$5:$B$55,MATCH(B36,Items!$A$5:$A$55,0)))</f>
        <v/>
      </c>
      <c r="E36">
        <f>IF(B36="","",INDEX(Items!$E$5:$E$55,MATCH(B36,Items!$A$5:$A$55,0)))</f>
        <v/>
      </c>
      <c r="F36">
        <f>IF(B36="","",INDEX(Items!$M$5:$M$55,MATCH(B36,Items!$A$5:$A$55,0)))</f>
        <v/>
      </c>
    </row>
    <row r="37">
      <c r="A37" t="n">
        <v>33</v>
      </c>
      <c r="B37">
        <f>IF(COUNT(Items!$N$5:$N$55)&lt;A37,"",INDEX(Items!$A$5:$A$55,MATCH(SMALL(Items!$N$5:$N$55,A37),Items!$N$5:$N$55,0)))</f>
        <v/>
      </c>
      <c r="C37" s="6">
        <f>IF(B37="","",INDEX(Items!$I$5:$I$55,MATCH(B37,Items!$A$5:$A$55,0)))</f>
        <v/>
      </c>
      <c r="D37">
        <f>IF(B37="","",INDEX(Items!$B$5:$B$55,MATCH(B37,Items!$A$5:$A$55,0)))</f>
        <v/>
      </c>
      <c r="E37">
        <f>IF(B37="","",INDEX(Items!$E$5:$E$55,MATCH(B37,Items!$A$5:$A$55,0)))</f>
        <v/>
      </c>
      <c r="F37">
        <f>IF(B37="","",INDEX(Items!$M$5:$M$55,MATCH(B37,Items!$A$5:$A$55,0)))</f>
        <v/>
      </c>
    </row>
    <row r="38">
      <c r="A38" t="n">
        <v>34</v>
      </c>
      <c r="B38">
        <f>IF(COUNT(Items!$N$5:$N$55)&lt;A38,"",INDEX(Items!$A$5:$A$55,MATCH(SMALL(Items!$N$5:$N$55,A38),Items!$N$5:$N$55,0)))</f>
        <v/>
      </c>
      <c r="C38" s="6">
        <f>IF(B38="","",INDEX(Items!$I$5:$I$55,MATCH(B38,Items!$A$5:$A$55,0)))</f>
        <v/>
      </c>
      <c r="D38">
        <f>IF(B38="","",INDEX(Items!$B$5:$B$55,MATCH(B38,Items!$A$5:$A$55,0)))</f>
        <v/>
      </c>
      <c r="E38">
        <f>IF(B38="","",INDEX(Items!$E$5:$E$55,MATCH(B38,Items!$A$5:$A$55,0)))</f>
        <v/>
      </c>
      <c r="F38">
        <f>IF(B38="","",INDEX(Items!$M$5:$M$55,MATCH(B38,Items!$A$5:$A$55,0)))</f>
        <v/>
      </c>
    </row>
    <row r="39">
      <c r="A39" t="n">
        <v>35</v>
      </c>
      <c r="B39">
        <f>IF(COUNT(Items!$N$5:$N$55)&lt;A39,"",INDEX(Items!$A$5:$A$55,MATCH(SMALL(Items!$N$5:$N$55,A39),Items!$N$5:$N$55,0)))</f>
        <v/>
      </c>
      <c r="C39" s="6">
        <f>IF(B39="","",INDEX(Items!$I$5:$I$55,MATCH(B39,Items!$A$5:$A$55,0)))</f>
        <v/>
      </c>
      <c r="D39">
        <f>IF(B39="","",INDEX(Items!$B$5:$B$55,MATCH(B39,Items!$A$5:$A$55,0)))</f>
        <v/>
      </c>
      <c r="E39">
        <f>IF(B39="","",INDEX(Items!$E$5:$E$55,MATCH(B39,Items!$A$5:$A$55,0)))</f>
        <v/>
      </c>
      <c r="F39">
        <f>IF(B39="","",INDEX(Items!$M$5:$M$55,MATCH(B39,Items!$A$5:$A$55,0)))</f>
        <v/>
      </c>
    </row>
    <row r="40">
      <c r="A40" t="n">
        <v>36</v>
      </c>
      <c r="B40">
        <f>IF(COUNT(Items!$N$5:$N$55)&lt;A40,"",INDEX(Items!$A$5:$A$55,MATCH(SMALL(Items!$N$5:$N$55,A40),Items!$N$5:$N$55,0)))</f>
        <v/>
      </c>
      <c r="C40" s="6">
        <f>IF(B40="","",INDEX(Items!$I$5:$I$55,MATCH(B40,Items!$A$5:$A$55,0)))</f>
        <v/>
      </c>
      <c r="D40">
        <f>IF(B40="","",INDEX(Items!$B$5:$B$55,MATCH(B40,Items!$A$5:$A$55,0)))</f>
        <v/>
      </c>
      <c r="E40">
        <f>IF(B40="","",INDEX(Items!$E$5:$E$55,MATCH(B40,Items!$A$5:$A$55,0)))</f>
        <v/>
      </c>
      <c r="F40">
        <f>IF(B40="","",INDEX(Items!$M$5:$M$55,MATCH(B40,Items!$A$5:$A$55,0)))</f>
        <v/>
      </c>
    </row>
    <row r="41">
      <c r="A41" t="n">
        <v>37</v>
      </c>
      <c r="B41">
        <f>IF(COUNT(Items!$N$5:$N$55)&lt;A41,"",INDEX(Items!$A$5:$A$55,MATCH(SMALL(Items!$N$5:$N$55,A41),Items!$N$5:$N$55,0)))</f>
        <v/>
      </c>
      <c r="C41" s="6">
        <f>IF(B41="","",INDEX(Items!$I$5:$I$55,MATCH(B41,Items!$A$5:$A$55,0)))</f>
        <v/>
      </c>
      <c r="D41">
        <f>IF(B41="","",INDEX(Items!$B$5:$B$55,MATCH(B41,Items!$A$5:$A$55,0)))</f>
        <v/>
      </c>
      <c r="E41">
        <f>IF(B41="","",INDEX(Items!$E$5:$E$55,MATCH(B41,Items!$A$5:$A$55,0)))</f>
        <v/>
      </c>
      <c r="F41">
        <f>IF(B41="","",INDEX(Items!$M$5:$M$55,MATCH(B41,Items!$A$5:$A$55,0)))</f>
        <v/>
      </c>
    </row>
    <row r="42">
      <c r="A42" t="n">
        <v>38</v>
      </c>
      <c r="B42">
        <f>IF(COUNT(Items!$N$5:$N$55)&lt;A42,"",INDEX(Items!$A$5:$A$55,MATCH(SMALL(Items!$N$5:$N$55,A42),Items!$N$5:$N$55,0)))</f>
        <v/>
      </c>
      <c r="C42" s="6">
        <f>IF(B42="","",INDEX(Items!$I$5:$I$55,MATCH(B42,Items!$A$5:$A$55,0)))</f>
        <v/>
      </c>
      <c r="D42">
        <f>IF(B42="","",INDEX(Items!$B$5:$B$55,MATCH(B42,Items!$A$5:$A$55,0)))</f>
        <v/>
      </c>
      <c r="E42">
        <f>IF(B42="","",INDEX(Items!$E$5:$E$55,MATCH(B42,Items!$A$5:$A$55,0)))</f>
        <v/>
      </c>
      <c r="F42">
        <f>IF(B42="","",INDEX(Items!$M$5:$M$55,MATCH(B42,Items!$A$5:$A$55,0)))</f>
        <v/>
      </c>
    </row>
    <row r="43">
      <c r="A43" t="n">
        <v>39</v>
      </c>
      <c r="B43">
        <f>IF(COUNT(Items!$N$5:$N$55)&lt;A43,"",INDEX(Items!$A$5:$A$55,MATCH(SMALL(Items!$N$5:$N$55,A43),Items!$N$5:$N$55,0)))</f>
        <v/>
      </c>
      <c r="C43" s="6">
        <f>IF(B43="","",INDEX(Items!$I$5:$I$55,MATCH(B43,Items!$A$5:$A$55,0)))</f>
        <v/>
      </c>
      <c r="D43">
        <f>IF(B43="","",INDEX(Items!$B$5:$B$55,MATCH(B43,Items!$A$5:$A$55,0)))</f>
        <v/>
      </c>
      <c r="E43">
        <f>IF(B43="","",INDEX(Items!$E$5:$E$55,MATCH(B43,Items!$A$5:$A$55,0)))</f>
        <v/>
      </c>
      <c r="F43">
        <f>IF(B43="","",INDEX(Items!$M$5:$M$55,MATCH(B43,Items!$A$5:$A$55,0)))</f>
        <v/>
      </c>
    </row>
    <row r="44">
      <c r="A44" t="n">
        <v>40</v>
      </c>
      <c r="B44">
        <f>IF(COUNT(Items!$N$5:$N$55)&lt;A44,"",INDEX(Items!$A$5:$A$55,MATCH(SMALL(Items!$N$5:$N$55,A44),Items!$N$5:$N$55,0)))</f>
        <v/>
      </c>
      <c r="C44" s="6">
        <f>IF(B44="","",INDEX(Items!$I$5:$I$55,MATCH(B44,Items!$A$5:$A$55,0)))</f>
        <v/>
      </c>
      <c r="D44">
        <f>IF(B44="","",INDEX(Items!$B$5:$B$55,MATCH(B44,Items!$A$5:$A$55,0)))</f>
        <v/>
      </c>
      <c r="E44">
        <f>IF(B44="","",INDEX(Items!$E$5:$E$55,MATCH(B44,Items!$A$5:$A$55,0)))</f>
        <v/>
      </c>
      <c r="F44">
        <f>IF(B44="","",INDEX(Items!$M$5:$M$55,MATCH(B44,Items!$A$5:$A$55,0)))</f>
        <v/>
      </c>
    </row>
    <row r="45">
      <c r="A45" t="n">
        <v>41</v>
      </c>
      <c r="B45">
        <f>IF(COUNT(Items!$N$5:$N$55)&lt;A45,"",INDEX(Items!$A$5:$A$55,MATCH(SMALL(Items!$N$5:$N$55,A45),Items!$N$5:$N$55,0)))</f>
        <v/>
      </c>
      <c r="C45" s="6">
        <f>IF(B45="","",INDEX(Items!$I$5:$I$55,MATCH(B45,Items!$A$5:$A$55,0)))</f>
        <v/>
      </c>
      <c r="D45">
        <f>IF(B45="","",INDEX(Items!$B$5:$B$55,MATCH(B45,Items!$A$5:$A$55,0)))</f>
        <v/>
      </c>
      <c r="E45">
        <f>IF(B45="","",INDEX(Items!$E$5:$E$55,MATCH(B45,Items!$A$5:$A$55,0)))</f>
        <v/>
      </c>
      <c r="F45">
        <f>IF(B45="","",INDEX(Items!$M$5:$M$55,MATCH(B45,Items!$A$5:$A$55,0)))</f>
        <v/>
      </c>
    </row>
    <row r="46">
      <c r="A46" t="n">
        <v>42</v>
      </c>
      <c r="B46">
        <f>IF(COUNT(Items!$N$5:$N$55)&lt;A46,"",INDEX(Items!$A$5:$A$55,MATCH(SMALL(Items!$N$5:$N$55,A46),Items!$N$5:$N$55,0)))</f>
        <v/>
      </c>
      <c r="C46" s="6">
        <f>IF(B46="","",INDEX(Items!$I$5:$I$55,MATCH(B46,Items!$A$5:$A$55,0)))</f>
        <v/>
      </c>
      <c r="D46">
        <f>IF(B46="","",INDEX(Items!$B$5:$B$55,MATCH(B46,Items!$A$5:$A$55,0)))</f>
        <v/>
      </c>
      <c r="E46">
        <f>IF(B46="","",INDEX(Items!$E$5:$E$55,MATCH(B46,Items!$A$5:$A$55,0)))</f>
        <v/>
      </c>
      <c r="F46">
        <f>IF(B46="","",INDEX(Items!$M$5:$M$55,MATCH(B46,Items!$A$5:$A$55,0)))</f>
        <v/>
      </c>
    </row>
    <row r="47">
      <c r="A47" t="n">
        <v>43</v>
      </c>
      <c r="B47">
        <f>IF(COUNT(Items!$N$5:$N$55)&lt;A47,"",INDEX(Items!$A$5:$A$55,MATCH(SMALL(Items!$N$5:$N$55,A47),Items!$N$5:$N$55,0)))</f>
        <v/>
      </c>
      <c r="C47" s="6">
        <f>IF(B47="","",INDEX(Items!$I$5:$I$55,MATCH(B47,Items!$A$5:$A$55,0)))</f>
        <v/>
      </c>
      <c r="D47">
        <f>IF(B47="","",INDEX(Items!$B$5:$B$55,MATCH(B47,Items!$A$5:$A$55,0)))</f>
        <v/>
      </c>
      <c r="E47">
        <f>IF(B47="","",INDEX(Items!$E$5:$E$55,MATCH(B47,Items!$A$5:$A$55,0)))</f>
        <v/>
      </c>
      <c r="F47">
        <f>IF(B47="","",INDEX(Items!$M$5:$M$55,MATCH(B47,Items!$A$5:$A$55,0)))</f>
        <v/>
      </c>
    </row>
    <row r="48">
      <c r="A48" t="n">
        <v>44</v>
      </c>
      <c r="B48">
        <f>IF(COUNT(Items!$N$5:$N$55)&lt;A48,"",INDEX(Items!$A$5:$A$55,MATCH(SMALL(Items!$N$5:$N$55,A48),Items!$N$5:$N$55,0)))</f>
        <v/>
      </c>
      <c r="C48" s="6">
        <f>IF(B48="","",INDEX(Items!$I$5:$I$55,MATCH(B48,Items!$A$5:$A$55,0)))</f>
        <v/>
      </c>
      <c r="D48">
        <f>IF(B48="","",INDEX(Items!$B$5:$B$55,MATCH(B48,Items!$A$5:$A$55,0)))</f>
        <v/>
      </c>
      <c r="E48">
        <f>IF(B48="","",INDEX(Items!$E$5:$E$55,MATCH(B48,Items!$A$5:$A$55,0)))</f>
        <v/>
      </c>
      <c r="F48">
        <f>IF(B48="","",INDEX(Items!$M$5:$M$55,MATCH(B48,Items!$A$5:$A$55,0)))</f>
        <v/>
      </c>
    </row>
    <row r="49">
      <c r="A49" t="n">
        <v>45</v>
      </c>
      <c r="B49">
        <f>IF(COUNT(Items!$N$5:$N$55)&lt;A49,"",INDEX(Items!$A$5:$A$55,MATCH(SMALL(Items!$N$5:$N$55,A49),Items!$N$5:$N$55,0)))</f>
        <v/>
      </c>
      <c r="C49" s="6">
        <f>IF(B49="","",INDEX(Items!$I$5:$I$55,MATCH(B49,Items!$A$5:$A$55,0)))</f>
        <v/>
      </c>
      <c r="D49">
        <f>IF(B49="","",INDEX(Items!$B$5:$B$55,MATCH(B49,Items!$A$5:$A$55,0)))</f>
        <v/>
      </c>
      <c r="E49">
        <f>IF(B49="","",INDEX(Items!$E$5:$E$55,MATCH(B49,Items!$A$5:$A$55,0)))</f>
        <v/>
      </c>
      <c r="F49">
        <f>IF(B49="","",INDEX(Items!$M$5:$M$55,MATCH(B49,Items!$A$5:$A$55,0)))</f>
        <v/>
      </c>
    </row>
    <row r="50">
      <c r="A50" t="n">
        <v>46</v>
      </c>
      <c r="B50">
        <f>IF(COUNT(Items!$N$5:$N$55)&lt;A50,"",INDEX(Items!$A$5:$A$55,MATCH(SMALL(Items!$N$5:$N$55,A50),Items!$N$5:$N$55,0)))</f>
        <v/>
      </c>
      <c r="C50" s="6">
        <f>IF(B50="","",INDEX(Items!$I$5:$I$55,MATCH(B50,Items!$A$5:$A$55,0)))</f>
        <v/>
      </c>
      <c r="D50">
        <f>IF(B50="","",INDEX(Items!$B$5:$B$55,MATCH(B50,Items!$A$5:$A$55,0)))</f>
        <v/>
      </c>
      <c r="E50">
        <f>IF(B50="","",INDEX(Items!$E$5:$E$55,MATCH(B50,Items!$A$5:$A$55,0)))</f>
        <v/>
      </c>
      <c r="F50">
        <f>IF(B50="","",INDEX(Items!$M$5:$M$55,MATCH(B50,Items!$A$5:$A$55,0)))</f>
        <v/>
      </c>
    </row>
    <row r="51">
      <c r="A51" t="n">
        <v>47</v>
      </c>
      <c r="B51">
        <f>IF(COUNT(Items!$N$5:$N$55)&lt;A51,"",INDEX(Items!$A$5:$A$55,MATCH(SMALL(Items!$N$5:$N$55,A51),Items!$N$5:$N$55,0)))</f>
        <v/>
      </c>
      <c r="C51" s="6">
        <f>IF(B51="","",INDEX(Items!$I$5:$I$55,MATCH(B51,Items!$A$5:$A$55,0)))</f>
        <v/>
      </c>
      <c r="D51">
        <f>IF(B51="","",INDEX(Items!$B$5:$B$55,MATCH(B51,Items!$A$5:$A$55,0)))</f>
        <v/>
      </c>
      <c r="E51">
        <f>IF(B51="","",INDEX(Items!$E$5:$E$55,MATCH(B51,Items!$A$5:$A$55,0)))</f>
        <v/>
      </c>
      <c r="F51">
        <f>IF(B51="","",INDEX(Items!$M$5:$M$55,MATCH(B51,Items!$A$5:$A$55,0)))</f>
        <v/>
      </c>
    </row>
    <row r="52">
      <c r="A52" t="n">
        <v>48</v>
      </c>
      <c r="B52">
        <f>IF(COUNT(Items!$N$5:$N$55)&lt;A52,"",INDEX(Items!$A$5:$A$55,MATCH(SMALL(Items!$N$5:$N$55,A52),Items!$N$5:$N$55,0)))</f>
        <v/>
      </c>
      <c r="C52" s="6">
        <f>IF(B52="","",INDEX(Items!$I$5:$I$55,MATCH(B52,Items!$A$5:$A$55,0)))</f>
        <v/>
      </c>
      <c r="D52">
        <f>IF(B52="","",INDEX(Items!$B$5:$B$55,MATCH(B52,Items!$A$5:$A$55,0)))</f>
        <v/>
      </c>
      <c r="E52">
        <f>IF(B52="","",INDEX(Items!$E$5:$E$55,MATCH(B52,Items!$A$5:$A$55,0)))</f>
        <v/>
      </c>
      <c r="F52">
        <f>IF(B52="","",INDEX(Items!$M$5:$M$55,MATCH(B52,Items!$A$5:$A$55,0)))</f>
        <v/>
      </c>
    </row>
    <row r="53">
      <c r="A53" t="n">
        <v>49</v>
      </c>
      <c r="B53">
        <f>IF(COUNT(Items!$N$5:$N$55)&lt;A53,"",INDEX(Items!$A$5:$A$55,MATCH(SMALL(Items!$N$5:$N$55,A53),Items!$N$5:$N$55,0)))</f>
        <v/>
      </c>
      <c r="C53" s="6">
        <f>IF(B53="","",INDEX(Items!$I$5:$I$55,MATCH(B53,Items!$A$5:$A$55,0)))</f>
        <v/>
      </c>
      <c r="D53">
        <f>IF(B53="","",INDEX(Items!$B$5:$B$55,MATCH(B53,Items!$A$5:$A$55,0)))</f>
        <v/>
      </c>
      <c r="E53">
        <f>IF(B53="","",INDEX(Items!$E$5:$E$55,MATCH(B53,Items!$A$5:$A$55,0)))</f>
        <v/>
      </c>
      <c r="F53">
        <f>IF(B53="","",INDEX(Items!$M$5:$M$55,MATCH(B53,Items!$A$5:$A$55,0)))</f>
        <v/>
      </c>
    </row>
    <row r="54">
      <c r="A54" t="n">
        <v>50</v>
      </c>
      <c r="B54">
        <f>IF(COUNT(Items!$N$5:$N$55)&lt;A54,"",INDEX(Items!$A$5:$A$55,MATCH(SMALL(Items!$N$5:$N$55,A54),Items!$N$5:$N$55,0)))</f>
        <v/>
      </c>
      <c r="C54" s="6">
        <f>IF(B54="","",INDEX(Items!$I$5:$I$55,MATCH(B54,Items!$A$5:$A$55,0)))</f>
        <v/>
      </c>
      <c r="D54">
        <f>IF(B54="","",INDEX(Items!$B$5:$B$55,MATCH(B54,Items!$A$5:$A$55,0)))</f>
        <v/>
      </c>
      <c r="E54">
        <f>IF(B54="","",INDEX(Items!$E$5:$E$55,MATCH(B54,Items!$A$5:$A$55,0)))</f>
        <v/>
      </c>
      <c r="F54">
        <f>IF(B54="","",INDEX(Items!$M$5:$M$55,MATCH(B54,Items!$A$5:$A$55,0)))</f>
        <v/>
      </c>
    </row>
    <row r="55">
      <c r="A55" t="n">
        <v>51</v>
      </c>
      <c r="B55">
        <f>IF(COUNT(Items!$N$5:$N$55)&lt;A55,"",INDEX(Items!$A$5:$A$55,MATCH(SMALL(Items!$N$5:$N$55,A55),Items!$N$5:$N$55,0)))</f>
        <v/>
      </c>
      <c r="C55" s="6">
        <f>IF(B55="","",INDEX(Items!$I$5:$I$55,MATCH(B55,Items!$A$5:$A$55,0)))</f>
        <v/>
      </c>
      <c r="D55">
        <f>IF(B55="","",INDEX(Items!$B$5:$B$55,MATCH(B55,Items!$A$5:$A$55,0)))</f>
        <v/>
      </c>
      <c r="E55">
        <f>IF(B55="","",INDEX(Items!$E$5:$E$55,MATCH(B55,Items!$A$5:$A$55,0)))</f>
        <v/>
      </c>
      <c r="F55">
        <f>IF(B55="","",INDEX(Items!$M$5:$M$55,MATCH(B55,Items!$A$5:$A$55,0)))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COUNTIF(Items!$E$5:$E$55,A5)</f>
        <v/>
      </c>
      <c r="D5" s="6">
        <f>IF(SUMPRODUCT((Items!$E$5:$E$55=A5)*Items!$H$5:$H$55)=0,"",SUMPRODUCT((Items!$E$5:$E$55=A5)*Items!$G$5:$G$55)/SUMPRODUCT((Items!$E$5:$E$55=A5)*Items!$H$5:$H$55))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COUNTIF(Items!$E$5:$E$55,A6)</f>
        <v/>
      </c>
      <c r="D6" s="6">
        <f>IF(SUMPRODUCT((Items!$E$5:$E$55=A6)*Items!$H$5:$H$55)=0,"",SUMPRODUCT((Items!$E$5:$E$55=A6)*Items!$G$5:$G$55)/SUMPRODUCT((Items!$E$5:$E$55=A6)*Items!$H$5:$H$55))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COUNTIF(Items!$E$5:$E$55,A7)</f>
        <v/>
      </c>
      <c r="D7" s="6">
        <f>IF(SUMPRODUCT((Items!$E$5:$E$55=A7)*Items!$H$5:$H$55)=0,"",SUMPRODUCT((Items!$E$5:$E$55=A7)*Items!$G$5:$G$55)/SUMPRODUCT((Items!$E$5:$E$55=A7)*Items!$H$5:$H$55))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COUNTIF(Items!$E$5:$E$55,A8)</f>
        <v/>
      </c>
      <c r="D8" s="6">
        <f>IF(SUMPRODUCT((Items!$E$5:$E$55=A8)*Items!$H$5:$H$55)=0,"",SUMPRODUCT((Items!$E$5:$E$55=A8)*Items!$G$5:$G$55)/SUMPRODUCT((Items!$E$5:$E$55=A8)*Items!$H$5:$H$55))</f>
        <v/>
      </c>
    </row>
    <row r="9">
      <c r="A9" t="n">
        <v>1</v>
      </c>
      <c r="B9" t="inlineStr">
        <is>
          <t>Part 1. The week's rules, cold</t>
        </is>
      </c>
      <c r="C9">
        <f>COUNTIF(Items!$B$5:$B$55,A9)</f>
        <v/>
      </c>
      <c r="D9" s="6">
        <f>IF(SUMPRODUCT((Items!$B$5:$B$55=A9)*Items!$H$5:$H$55)=0,"",SUMPRODUCT((Items!$B$5:$B$55=A9)*Items!$G$5:$G$55)/SUMPRODUCT((Items!$B$5:$B$55=A9)*Items!$H$5:$H$55))</f>
        <v/>
      </c>
    </row>
    <row r="10">
      <c r="A10" t="n">
        <v>2</v>
      </c>
      <c r="B10" t="inlineStr">
        <is>
          <t>Part 2. Where did the revenue go</t>
        </is>
      </c>
      <c r="C10">
        <f>COUNTIF(Items!$B$5:$B$55,A10)</f>
        <v/>
      </c>
      <c r="D10" s="6">
        <f>IF(SUMPRODUCT((Items!$B$5:$B$55=A10)*Items!$H$5:$H$55)=0,"",SUMPRODUCT((Items!$B$5:$B$55=A10)*Items!$G$5:$G$55)/SUMPRODUCT((Items!$B$5:$B$55=A10)*Items!$H$5:$H$55))</f>
        <v/>
      </c>
    </row>
    <row r="11">
      <c r="A11" t="n">
        <v>3</v>
      </c>
      <c r="B11" t="inlineStr">
        <is>
          <t>Part 3. Rows you can trust</t>
        </is>
      </c>
      <c r="C11">
        <f>COUNTIF(Items!$B$5:$B$55,A11)</f>
        <v/>
      </c>
      <c r="D11" s="6">
        <f>IF(SUMPRODUCT((Items!$B$5:$B$55=A11)*Items!$H$5:$H$55)=0,"",SUMPRODUCT((Items!$B$5:$B$55=A11)*Items!$G$5:$G$55)/SUMPRODUCT((Items!$B$5:$B$55=A11)*Items!$H$5:$H$55))</f>
        <v/>
      </c>
    </row>
    <row r="12">
      <c r="A12" t="n">
        <v>4</v>
      </c>
      <c r="B12" t="inlineStr">
        <is>
          <t>Part 4. Read the code, read the data</t>
        </is>
      </c>
      <c r="C12">
        <f>COUNTIF(Items!$B$5:$B$55,A12)</f>
        <v/>
      </c>
      <c r="D12" s="6">
        <f>IF(SUMPRODUCT((Items!$B$5:$B$55=A12)*Items!$H$5:$H$55)=0,"",SUMPRODUCT((Items!$B$5:$B$55=A12)*Items!$G$5:$G$55)/SUMPRODUCT((Items!$B$5:$B$55=A12)*Items!$H$5:$H$55))</f>
        <v/>
      </c>
    </row>
    <row r="13">
      <c r="A13" t="n">
        <v>5</v>
      </c>
      <c r="B13" t="inlineStr">
        <is>
          <t>Part 5. Chance and a fair test</t>
        </is>
      </c>
      <c r="C13">
        <f>COUNTIF(Items!$B$5:$B$55,A13)</f>
        <v/>
      </c>
      <c r="D13" s="6">
        <f>IF(SUMPRODUCT((Items!$B$5:$B$55=A13)*Items!$H$5:$H$55)=0,"",SUMPRODUCT((Items!$B$5:$B$55=A13)*Items!$G$5:$G$55)/SUMPRODUCT((Items!$B$5:$B$55=A13)*Items!$H$5:$H$55))</f>
        <v/>
      </c>
    </row>
    <row r="14">
      <c r="A14" t="n">
        <v>6</v>
      </c>
      <c r="B14" t="inlineStr">
        <is>
          <t>Part 6. The numbers</t>
        </is>
      </c>
      <c r="C14">
        <f>COUNTIF(Items!$B$5:$B$55,A14)</f>
        <v/>
      </c>
      <c r="D14" s="6">
        <f>IF(SUMPRODUCT((Items!$B$5:$B$55=A14)*Items!$H$5:$H$55)=0,"",SUMPRODUCT((Items!$B$5:$B$55=A14)*Items!$G$5:$G$55)/SUMPRODUCT((Items!$B$5:$B$55=A14)*Items!$H$5:$H$55))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IF(SUMPRODUCT((Marks!$B$3:$AZ$3=B$4)*ISNUMBER(Marks!$B$5:$AZ$5))=0,"",SUMPRODUCT((Marks!$B$3:$AZ$3=B$4)*(Marks!$B$5:$AZ$5=1))/SUMPRODUCT((Marks!$B$3:$AZ$3=B$4)*ISNUMBER(Marks!$B$5:$AZ$5)))</f>
        <v/>
      </c>
      <c r="C5" s="6">
        <f>IF(SUMPRODUCT((Marks!$B$3:$AZ$3=C$4)*ISNUMBER(Marks!$B$5:$AZ$5))=0,"",SUMPRODUCT((Marks!$B$3:$AZ$3=C$4)*(Marks!$B$5:$AZ$5=1))/SUMPRODUCT((Marks!$B$3:$AZ$3=C$4)*ISNUMBER(Marks!$B$5:$AZ$5)))</f>
        <v/>
      </c>
      <c r="D5" s="6">
        <f>IF(SUMPRODUCT((Marks!$B$3:$AZ$3=D$4)*ISNUMBER(Marks!$B$5:$AZ$5))=0,"",SUMPRODUCT((Marks!$B$3:$AZ$3=D$4)*(Marks!$B$5:$AZ$5=1))/SUMPRODUCT((Marks!$B$3:$AZ$3=D$4)*ISNUMBER(Marks!$B$5:$AZ$5)))</f>
        <v/>
      </c>
      <c r="E5" s="6">
        <f>IF(SUMPRODUCT((Marks!$B$3:$AZ$3=E$4)*ISNUMBER(Marks!$B$5:$AZ$5))=0,"",SUMPRODUCT((Marks!$B$3:$AZ$3=E$4)*(Marks!$B$5:$AZ$5=1))/SUMPRODUCT((Marks!$B$3:$AZ$3=E$4)*ISNUMBER(Marks!$B$5:$AZ$5)))</f>
        <v/>
      </c>
    </row>
    <row r="6">
      <c r="A6" t="n">
        <v>2</v>
      </c>
      <c r="B6" s="6">
        <f>IF(SUMPRODUCT((Marks!$B$3:$AZ$3=B$4)*ISNUMBER(Marks!$B$6:$AZ$6))=0,"",SUMPRODUCT((Marks!$B$3:$AZ$3=B$4)*(Marks!$B$6:$AZ$6=1))/SUMPRODUCT((Marks!$B$3:$AZ$3=B$4)*ISNUMBER(Marks!$B$6:$AZ$6)))</f>
        <v/>
      </c>
      <c r="C6" s="6">
        <f>IF(SUMPRODUCT((Marks!$B$3:$AZ$3=C$4)*ISNUMBER(Marks!$B$6:$AZ$6))=0,"",SUMPRODUCT((Marks!$B$3:$AZ$3=C$4)*(Marks!$B$6:$AZ$6=1))/SUMPRODUCT((Marks!$B$3:$AZ$3=C$4)*ISNUMBER(Marks!$B$6:$AZ$6)))</f>
        <v/>
      </c>
      <c r="D6" s="6">
        <f>IF(SUMPRODUCT((Marks!$B$3:$AZ$3=D$4)*ISNUMBER(Marks!$B$6:$AZ$6))=0,"",SUMPRODUCT((Marks!$B$3:$AZ$3=D$4)*(Marks!$B$6:$AZ$6=1))/SUMPRODUCT((Marks!$B$3:$AZ$3=D$4)*ISNUMBER(Marks!$B$6:$AZ$6)))</f>
        <v/>
      </c>
      <c r="E6" s="6">
        <f>IF(SUMPRODUCT((Marks!$B$3:$AZ$3=E$4)*ISNUMBER(Marks!$B$6:$AZ$6))=0,"",SUMPRODUCT((Marks!$B$3:$AZ$3=E$4)*(Marks!$B$6:$AZ$6=1))/SUMPRODUCT((Marks!$B$3:$AZ$3=E$4)*ISNUMBER(Marks!$B$6:$AZ$6)))</f>
        <v/>
      </c>
    </row>
    <row r="7">
      <c r="A7" t="n">
        <v>3</v>
      </c>
      <c r="B7" s="6">
        <f>IF(SUMPRODUCT((Marks!$B$3:$AZ$3=B$4)*ISNUMBER(Marks!$B$7:$AZ$7))=0,"",SUMPRODUCT((Marks!$B$3:$AZ$3=B$4)*(Marks!$B$7:$AZ$7=1))/SUMPRODUCT((Marks!$B$3:$AZ$3=B$4)*ISNUMBER(Marks!$B$7:$AZ$7)))</f>
        <v/>
      </c>
      <c r="C7" s="6">
        <f>IF(SUMPRODUCT((Marks!$B$3:$AZ$3=C$4)*ISNUMBER(Marks!$B$7:$AZ$7))=0,"",SUMPRODUCT((Marks!$B$3:$AZ$3=C$4)*(Marks!$B$7:$AZ$7=1))/SUMPRODUCT((Marks!$B$3:$AZ$3=C$4)*ISNUMBER(Marks!$B$7:$AZ$7)))</f>
        <v/>
      </c>
      <c r="D7" s="6">
        <f>IF(SUMPRODUCT((Marks!$B$3:$AZ$3=D$4)*ISNUMBER(Marks!$B$7:$AZ$7))=0,"",SUMPRODUCT((Marks!$B$3:$AZ$3=D$4)*(Marks!$B$7:$AZ$7=1))/SUMPRODUCT((Marks!$B$3:$AZ$3=D$4)*ISNUMBER(Marks!$B$7:$AZ$7)))</f>
        <v/>
      </c>
      <c r="E7" s="6">
        <f>IF(SUMPRODUCT((Marks!$B$3:$AZ$3=E$4)*ISNUMBER(Marks!$B$7:$AZ$7))=0,"",SUMPRODUCT((Marks!$B$3:$AZ$3=E$4)*(Marks!$B$7:$AZ$7=1))/SUMPRODUCT((Marks!$B$3:$AZ$3=E$4)*ISNUMBER(Marks!$B$7:$AZ$7)))</f>
        <v/>
      </c>
    </row>
    <row r="8">
      <c r="A8" t="n">
        <v>4</v>
      </c>
      <c r="B8" s="6">
        <f>IF(SUMPRODUCT((Marks!$B$3:$AZ$3=B$4)*ISNUMBER(Marks!$B$8:$AZ$8))=0,"",SUMPRODUCT((Marks!$B$3:$AZ$3=B$4)*(Marks!$B$8:$AZ$8=1))/SUMPRODUCT((Marks!$B$3:$AZ$3=B$4)*ISNUMBER(Marks!$B$8:$AZ$8)))</f>
        <v/>
      </c>
      <c r="C8" s="6">
        <f>IF(SUMPRODUCT((Marks!$B$3:$AZ$3=C$4)*ISNUMBER(Marks!$B$8:$AZ$8))=0,"",SUMPRODUCT((Marks!$B$3:$AZ$3=C$4)*(Marks!$B$8:$AZ$8=1))/SUMPRODUCT((Marks!$B$3:$AZ$3=C$4)*ISNUMBER(Marks!$B$8:$AZ$8)))</f>
        <v/>
      </c>
      <c r="D8" s="6">
        <f>IF(SUMPRODUCT((Marks!$B$3:$AZ$3=D$4)*ISNUMBER(Marks!$B$8:$AZ$8))=0,"",SUMPRODUCT((Marks!$B$3:$AZ$3=D$4)*(Marks!$B$8:$AZ$8=1))/SUMPRODUCT((Marks!$B$3:$AZ$3=D$4)*ISNUMBER(Marks!$B$8:$AZ$8)))</f>
        <v/>
      </c>
      <c r="E8" s="6">
        <f>IF(SUMPRODUCT((Marks!$B$3:$AZ$3=E$4)*ISNUMBER(Marks!$B$8:$AZ$8))=0,"",SUMPRODUCT((Marks!$B$3:$AZ$3=E$4)*(Marks!$B$8:$AZ$8=1))/SUMPRODUCT((Marks!$B$3:$AZ$3=E$4)*ISNUMBER(Marks!$B$8:$AZ$8)))</f>
        <v/>
      </c>
    </row>
    <row r="9">
      <c r="A9" t="n">
        <v>5</v>
      </c>
      <c r="B9" s="6">
        <f>IF(SUMPRODUCT((Marks!$B$3:$AZ$3=B$4)*ISNUMBER(Marks!$B$9:$AZ$9))=0,"",SUMPRODUCT((Marks!$B$3:$AZ$3=B$4)*(Marks!$B$9:$AZ$9=1))/SUMPRODUCT((Marks!$B$3:$AZ$3=B$4)*ISNUMBER(Marks!$B$9:$AZ$9)))</f>
        <v/>
      </c>
      <c r="C9" s="6">
        <f>IF(SUMPRODUCT((Marks!$B$3:$AZ$3=C$4)*ISNUMBER(Marks!$B$9:$AZ$9))=0,"",SUMPRODUCT((Marks!$B$3:$AZ$3=C$4)*(Marks!$B$9:$AZ$9=1))/SUMPRODUCT((Marks!$B$3:$AZ$3=C$4)*ISNUMBER(Marks!$B$9:$AZ$9)))</f>
        <v/>
      </c>
      <c r="D9" s="6">
        <f>IF(SUMPRODUCT((Marks!$B$3:$AZ$3=D$4)*ISNUMBER(Marks!$B$9:$AZ$9))=0,"",SUMPRODUCT((Marks!$B$3:$AZ$3=D$4)*(Marks!$B$9:$AZ$9=1))/SUMPRODUCT((Marks!$B$3:$AZ$3=D$4)*ISNUMBER(Marks!$B$9:$AZ$9)))</f>
        <v/>
      </c>
      <c r="E9" s="6">
        <f>IF(SUMPRODUCT((Marks!$B$3:$AZ$3=E$4)*ISNUMBER(Marks!$B$9:$AZ$9))=0,"",SUMPRODUCT((Marks!$B$3:$AZ$3=E$4)*(Marks!$B$9:$AZ$9=1))/SUMPRODUCT((Marks!$B$3:$AZ$3=E$4)*ISNUMBER(Marks!$B$9:$AZ$9)))</f>
        <v/>
      </c>
    </row>
    <row r="10">
      <c r="A10" t="n">
        <v>6</v>
      </c>
      <c r="B10" s="6">
        <f>IF(SUMPRODUCT((Marks!$B$3:$AZ$3=B$4)*ISNUMBER(Marks!$B$10:$AZ$10))=0,"",SUMPRODUCT((Marks!$B$3:$AZ$3=B$4)*(Marks!$B$10:$AZ$10=1))/SUMPRODUCT((Marks!$B$3:$AZ$3=B$4)*ISNUMBER(Marks!$B$10:$AZ$10)))</f>
        <v/>
      </c>
      <c r="C10" s="6">
        <f>IF(SUMPRODUCT((Marks!$B$3:$AZ$3=C$4)*ISNUMBER(Marks!$B$10:$AZ$10))=0,"",SUMPRODUCT((Marks!$B$3:$AZ$3=C$4)*(Marks!$B$10:$AZ$10=1))/SUMPRODUCT((Marks!$B$3:$AZ$3=C$4)*ISNUMBER(Marks!$B$10:$AZ$10)))</f>
        <v/>
      </c>
      <c r="D10" s="6">
        <f>IF(SUMPRODUCT((Marks!$B$3:$AZ$3=D$4)*ISNUMBER(Marks!$B$10:$AZ$10))=0,"",SUMPRODUCT((Marks!$B$3:$AZ$3=D$4)*(Marks!$B$10:$AZ$10=1))/SUMPRODUCT((Marks!$B$3:$AZ$3=D$4)*ISNUMBER(Marks!$B$10:$AZ$10)))</f>
        <v/>
      </c>
      <c r="E10" s="6">
        <f>IF(SUMPRODUCT((Marks!$B$3:$AZ$3=E$4)*ISNUMBER(Marks!$B$10:$AZ$10))=0,"",SUMPRODUCT((Marks!$B$3:$AZ$3=E$4)*(Marks!$B$10:$AZ$10=1))/SUMPRODUCT((Marks!$B$3:$AZ$3=E$4)*ISNUMBER(Marks!$B$10:$AZ$10)))</f>
        <v/>
      </c>
    </row>
    <row r="11">
      <c r="A11" t="n">
        <v>7</v>
      </c>
      <c r="B11" s="6">
        <f>IF(SUMPRODUCT((Marks!$B$3:$AZ$3=B$4)*ISNUMBER(Marks!$B$11:$AZ$11))=0,"",SUMPRODUCT((Marks!$B$3:$AZ$3=B$4)*(Marks!$B$11:$AZ$11=1))/SUMPRODUCT((Marks!$B$3:$AZ$3=B$4)*ISNUMBER(Marks!$B$11:$AZ$11)))</f>
        <v/>
      </c>
      <c r="C11" s="6">
        <f>IF(SUMPRODUCT((Marks!$B$3:$AZ$3=C$4)*ISNUMBER(Marks!$B$11:$AZ$11))=0,"",SUMPRODUCT((Marks!$B$3:$AZ$3=C$4)*(Marks!$B$11:$AZ$11=1))/SUMPRODUCT((Marks!$B$3:$AZ$3=C$4)*ISNUMBER(Marks!$B$11:$AZ$11)))</f>
        <v/>
      </c>
      <c r="D11" s="6">
        <f>IF(SUMPRODUCT((Marks!$B$3:$AZ$3=D$4)*ISNUMBER(Marks!$B$11:$AZ$11))=0,"",SUMPRODUCT((Marks!$B$3:$AZ$3=D$4)*(Marks!$B$11:$AZ$11=1))/SUMPRODUCT((Marks!$B$3:$AZ$3=D$4)*ISNUMBER(Marks!$B$11:$AZ$11)))</f>
        <v/>
      </c>
      <c r="E11" s="6">
        <f>IF(SUMPRODUCT((Marks!$B$3:$AZ$3=E$4)*ISNUMBER(Marks!$B$11:$AZ$11))=0,"",SUMPRODUCT((Marks!$B$3:$AZ$3=E$4)*(Marks!$B$11:$AZ$11=1))/SUMPRODUCT((Marks!$B$3:$AZ$3=E$4)*ISNUMBER(Marks!$B$11:$AZ$11)))</f>
        <v/>
      </c>
    </row>
    <row r="12">
      <c r="A12" t="n">
        <v>8</v>
      </c>
      <c r="B12" s="6">
        <f>IF(SUMPRODUCT((Marks!$B$3:$AZ$3=B$4)*ISNUMBER(Marks!$B$12:$AZ$12))=0,"",SUMPRODUCT((Marks!$B$3:$AZ$3=B$4)*(Marks!$B$12:$AZ$12=1))/SUMPRODUCT((Marks!$B$3:$AZ$3=B$4)*ISNUMBER(Marks!$B$12:$AZ$12)))</f>
        <v/>
      </c>
      <c r="C12" s="6">
        <f>IF(SUMPRODUCT((Marks!$B$3:$AZ$3=C$4)*ISNUMBER(Marks!$B$12:$AZ$12))=0,"",SUMPRODUCT((Marks!$B$3:$AZ$3=C$4)*(Marks!$B$12:$AZ$12=1))/SUMPRODUCT((Marks!$B$3:$AZ$3=C$4)*ISNUMBER(Marks!$B$12:$AZ$12)))</f>
        <v/>
      </c>
      <c r="D12" s="6">
        <f>IF(SUMPRODUCT((Marks!$B$3:$AZ$3=D$4)*ISNUMBER(Marks!$B$12:$AZ$12))=0,"",SUMPRODUCT((Marks!$B$3:$AZ$3=D$4)*(Marks!$B$12:$AZ$12=1))/SUMPRODUCT((Marks!$B$3:$AZ$3=D$4)*ISNUMBER(Marks!$B$12:$AZ$12)))</f>
        <v/>
      </c>
      <c r="E12" s="6">
        <f>IF(SUMPRODUCT((Marks!$B$3:$AZ$3=E$4)*ISNUMBER(Marks!$B$12:$AZ$12))=0,"",SUMPRODUCT((Marks!$B$3:$AZ$3=E$4)*(Marks!$B$12:$AZ$12=1))/SUMPRODUCT((Marks!$B$3:$AZ$3=E$4)*ISNUMBER(Marks!$B$12:$AZ$12)))</f>
        <v/>
      </c>
    </row>
    <row r="13">
      <c r="A13" t="n">
        <v>9</v>
      </c>
      <c r="B13" s="6">
        <f>IF(SUMPRODUCT((Marks!$B$3:$AZ$3=B$4)*ISNUMBER(Marks!$B$13:$AZ$13))=0,"",SUMPRODUCT((Marks!$B$3:$AZ$3=B$4)*(Marks!$B$13:$AZ$13=1))/SUMPRODUCT((Marks!$B$3:$AZ$3=B$4)*ISNUMBER(Marks!$B$13:$AZ$13)))</f>
        <v/>
      </c>
      <c r="C13" s="6">
        <f>IF(SUMPRODUCT((Marks!$B$3:$AZ$3=C$4)*ISNUMBER(Marks!$B$13:$AZ$13))=0,"",SUMPRODUCT((Marks!$B$3:$AZ$3=C$4)*(Marks!$B$13:$AZ$13=1))/SUMPRODUCT((Marks!$B$3:$AZ$3=C$4)*ISNUMBER(Marks!$B$13:$AZ$13)))</f>
        <v/>
      </c>
      <c r="D13" s="6">
        <f>IF(SUMPRODUCT((Marks!$B$3:$AZ$3=D$4)*ISNUMBER(Marks!$B$13:$AZ$13))=0,"",SUMPRODUCT((Marks!$B$3:$AZ$3=D$4)*(Marks!$B$13:$AZ$13=1))/SUMPRODUCT((Marks!$B$3:$AZ$3=D$4)*ISNUMBER(Marks!$B$13:$AZ$13)))</f>
        <v/>
      </c>
      <c r="E13" s="6">
        <f>IF(SUMPRODUCT((Marks!$B$3:$AZ$3=E$4)*ISNUMBER(Marks!$B$13:$AZ$13))=0,"",SUMPRODUCT((Marks!$B$3:$AZ$3=E$4)*(Marks!$B$13:$AZ$13=1))/SUMPRODUCT((Marks!$B$3:$AZ$3=E$4)*ISNUMBER(Marks!$B$13:$AZ$13)))</f>
        <v/>
      </c>
    </row>
    <row r="14">
      <c r="A14" t="n">
        <v>10</v>
      </c>
      <c r="B14" s="6">
        <f>IF(SUMPRODUCT((Marks!$B$3:$AZ$3=B$4)*ISNUMBER(Marks!$B$14:$AZ$14))=0,"",SUMPRODUCT((Marks!$B$3:$AZ$3=B$4)*(Marks!$B$14:$AZ$14=1))/SUMPRODUCT((Marks!$B$3:$AZ$3=B$4)*ISNUMBER(Marks!$B$14:$AZ$14)))</f>
        <v/>
      </c>
      <c r="C14" s="6">
        <f>IF(SUMPRODUCT((Marks!$B$3:$AZ$3=C$4)*ISNUMBER(Marks!$B$14:$AZ$14))=0,"",SUMPRODUCT((Marks!$B$3:$AZ$3=C$4)*(Marks!$B$14:$AZ$14=1))/SUMPRODUCT((Marks!$B$3:$AZ$3=C$4)*ISNUMBER(Marks!$B$14:$AZ$14)))</f>
        <v/>
      </c>
      <c r="D14" s="6">
        <f>IF(SUMPRODUCT((Marks!$B$3:$AZ$3=D$4)*ISNUMBER(Marks!$B$14:$AZ$14))=0,"",SUMPRODUCT((Marks!$B$3:$AZ$3=D$4)*(Marks!$B$14:$AZ$14=1))/SUMPRODUCT((Marks!$B$3:$AZ$3=D$4)*ISNUMBER(Marks!$B$14:$AZ$14)))</f>
        <v/>
      </c>
      <c r="E14" s="6">
        <f>IF(SUMPRODUCT((Marks!$B$3:$AZ$3=E$4)*ISNUMBER(Marks!$B$14:$AZ$14))=0,"",SUMPRODUCT((Marks!$B$3:$AZ$3=E$4)*(Marks!$B$14:$AZ$14=1))/SUMPRODUCT((Marks!$B$3:$AZ$3=E$4)*ISNUMBER(Marks!$B$14:$AZ$14)))</f>
        <v/>
      </c>
    </row>
    <row r="15">
      <c r="A15" t="n">
        <v>11</v>
      </c>
      <c r="B15" s="6">
        <f>IF(SUMPRODUCT((Marks!$B$3:$AZ$3=B$4)*ISNUMBER(Marks!$B$15:$AZ$15))=0,"",SUMPRODUCT((Marks!$B$3:$AZ$3=B$4)*(Marks!$B$15:$AZ$15=1))/SUMPRODUCT((Marks!$B$3:$AZ$3=B$4)*ISNUMBER(Marks!$B$15:$AZ$15)))</f>
        <v/>
      </c>
      <c r="C15" s="6">
        <f>IF(SUMPRODUCT((Marks!$B$3:$AZ$3=C$4)*ISNUMBER(Marks!$B$15:$AZ$15))=0,"",SUMPRODUCT((Marks!$B$3:$AZ$3=C$4)*(Marks!$B$15:$AZ$15=1))/SUMPRODUCT((Marks!$B$3:$AZ$3=C$4)*ISNUMBER(Marks!$B$15:$AZ$15)))</f>
        <v/>
      </c>
      <c r="D15" s="6">
        <f>IF(SUMPRODUCT((Marks!$B$3:$AZ$3=D$4)*ISNUMBER(Marks!$B$15:$AZ$15))=0,"",SUMPRODUCT((Marks!$B$3:$AZ$3=D$4)*(Marks!$B$15:$AZ$15=1))/SUMPRODUCT((Marks!$B$3:$AZ$3=D$4)*ISNUMBER(Marks!$B$15:$AZ$15)))</f>
        <v/>
      </c>
      <c r="E15" s="6">
        <f>IF(SUMPRODUCT((Marks!$B$3:$AZ$3=E$4)*ISNUMBER(Marks!$B$15:$AZ$15))=0,"",SUMPRODUCT((Marks!$B$3:$AZ$3=E$4)*(Marks!$B$15:$AZ$15=1))/SUMPRODUCT((Marks!$B$3:$AZ$3=E$4)*ISNUMBER(Marks!$B$15:$AZ$15)))</f>
        <v/>
      </c>
    </row>
    <row r="16">
      <c r="A16" t="n">
        <v>12</v>
      </c>
      <c r="B16" s="6">
        <f>IF(SUMPRODUCT((Marks!$B$3:$AZ$3=B$4)*ISNUMBER(Marks!$B$16:$AZ$16))=0,"",SUMPRODUCT((Marks!$B$3:$AZ$3=B$4)*(Marks!$B$16:$AZ$16=1))/SUMPRODUCT((Marks!$B$3:$AZ$3=B$4)*ISNUMBER(Marks!$B$16:$AZ$16)))</f>
        <v/>
      </c>
      <c r="C16" s="6">
        <f>IF(SUMPRODUCT((Marks!$B$3:$AZ$3=C$4)*ISNUMBER(Marks!$B$16:$AZ$16))=0,"",SUMPRODUCT((Marks!$B$3:$AZ$3=C$4)*(Marks!$B$16:$AZ$16=1))/SUMPRODUCT((Marks!$B$3:$AZ$3=C$4)*ISNUMBER(Marks!$B$16:$AZ$16)))</f>
        <v/>
      </c>
      <c r="D16" s="6">
        <f>IF(SUMPRODUCT((Marks!$B$3:$AZ$3=D$4)*ISNUMBER(Marks!$B$16:$AZ$16))=0,"",SUMPRODUCT((Marks!$B$3:$AZ$3=D$4)*(Marks!$B$16:$AZ$16=1))/SUMPRODUCT((Marks!$B$3:$AZ$3=D$4)*ISNUMBER(Marks!$B$16:$AZ$16)))</f>
        <v/>
      </c>
      <c r="E16" s="6">
        <f>IF(SUMPRODUCT((Marks!$B$3:$AZ$3=E$4)*ISNUMBER(Marks!$B$16:$AZ$16))=0,"",SUMPRODUCT((Marks!$B$3:$AZ$3=E$4)*(Marks!$B$16:$AZ$16=1))/SUMPRODUCT((Marks!$B$3:$AZ$3=E$4)*ISNUMBER(Marks!$B$16:$AZ$16)))</f>
        <v/>
      </c>
    </row>
    <row r="17">
      <c r="A17" t="n">
        <v>13</v>
      </c>
      <c r="B17" s="6">
        <f>IF(SUMPRODUCT((Marks!$B$3:$AZ$3=B$4)*ISNUMBER(Marks!$B$17:$AZ$17))=0,"",SUMPRODUCT((Marks!$B$3:$AZ$3=B$4)*(Marks!$B$17:$AZ$17=1))/SUMPRODUCT((Marks!$B$3:$AZ$3=B$4)*ISNUMBER(Marks!$B$17:$AZ$17)))</f>
        <v/>
      </c>
      <c r="C17" s="6">
        <f>IF(SUMPRODUCT((Marks!$B$3:$AZ$3=C$4)*ISNUMBER(Marks!$B$17:$AZ$17))=0,"",SUMPRODUCT((Marks!$B$3:$AZ$3=C$4)*(Marks!$B$17:$AZ$17=1))/SUMPRODUCT((Marks!$B$3:$AZ$3=C$4)*ISNUMBER(Marks!$B$17:$AZ$17)))</f>
        <v/>
      </c>
      <c r="D17" s="6">
        <f>IF(SUMPRODUCT((Marks!$B$3:$AZ$3=D$4)*ISNUMBER(Marks!$B$17:$AZ$17))=0,"",SUMPRODUCT((Marks!$B$3:$AZ$3=D$4)*(Marks!$B$17:$AZ$17=1))/SUMPRODUCT((Marks!$B$3:$AZ$3=D$4)*ISNUMBER(Marks!$B$17:$AZ$17)))</f>
        <v/>
      </c>
      <c r="E17" s="6">
        <f>IF(SUMPRODUCT((Marks!$B$3:$AZ$3=E$4)*ISNUMBER(Marks!$B$17:$AZ$17))=0,"",SUMPRODUCT((Marks!$B$3:$AZ$3=E$4)*(Marks!$B$17:$AZ$17=1))/SUMPRODUCT((Marks!$B$3:$AZ$3=E$4)*ISNUMBER(Marks!$B$17:$AZ$17)))</f>
        <v/>
      </c>
    </row>
    <row r="18">
      <c r="A18" t="n">
        <v>14</v>
      </c>
      <c r="B18" s="6">
        <f>IF(SUMPRODUCT((Marks!$B$3:$AZ$3=B$4)*ISNUMBER(Marks!$B$18:$AZ$18))=0,"",SUMPRODUCT((Marks!$B$3:$AZ$3=B$4)*(Marks!$B$18:$AZ$18=1))/SUMPRODUCT((Marks!$B$3:$AZ$3=B$4)*ISNUMBER(Marks!$B$18:$AZ$18)))</f>
        <v/>
      </c>
      <c r="C18" s="6">
        <f>IF(SUMPRODUCT((Marks!$B$3:$AZ$3=C$4)*ISNUMBER(Marks!$B$18:$AZ$18))=0,"",SUMPRODUCT((Marks!$B$3:$AZ$3=C$4)*(Marks!$B$18:$AZ$18=1))/SUMPRODUCT((Marks!$B$3:$AZ$3=C$4)*ISNUMBER(Marks!$B$18:$AZ$18)))</f>
        <v/>
      </c>
      <c r="D18" s="6">
        <f>IF(SUMPRODUCT((Marks!$B$3:$AZ$3=D$4)*ISNUMBER(Marks!$B$18:$AZ$18))=0,"",SUMPRODUCT((Marks!$B$3:$AZ$3=D$4)*(Marks!$B$18:$AZ$18=1))/SUMPRODUCT((Marks!$B$3:$AZ$3=D$4)*ISNUMBER(Marks!$B$18:$AZ$18)))</f>
        <v/>
      </c>
      <c r="E18" s="6">
        <f>IF(SUMPRODUCT((Marks!$B$3:$AZ$3=E$4)*ISNUMBER(Marks!$B$18:$AZ$18))=0,"",SUMPRODUCT((Marks!$B$3:$AZ$3=E$4)*(Marks!$B$18:$AZ$18=1))/SUMPRODUCT((Marks!$B$3:$AZ$3=E$4)*ISNUMBER(Marks!$B$18:$AZ$18)))</f>
        <v/>
      </c>
    </row>
    <row r="19">
      <c r="A19" t="n">
        <v>15</v>
      </c>
      <c r="B19" s="6">
        <f>IF(SUMPRODUCT((Marks!$B$3:$AZ$3=B$4)*ISNUMBER(Marks!$B$19:$AZ$19))=0,"",SUMPRODUCT((Marks!$B$3:$AZ$3=B$4)*(Marks!$B$19:$AZ$19=1))/SUMPRODUCT((Marks!$B$3:$AZ$3=B$4)*ISNUMBER(Marks!$B$19:$AZ$19)))</f>
        <v/>
      </c>
      <c r="C19" s="6">
        <f>IF(SUMPRODUCT((Marks!$B$3:$AZ$3=C$4)*ISNUMBER(Marks!$B$19:$AZ$19))=0,"",SUMPRODUCT((Marks!$B$3:$AZ$3=C$4)*(Marks!$B$19:$AZ$19=1))/SUMPRODUCT((Marks!$B$3:$AZ$3=C$4)*ISNUMBER(Marks!$B$19:$AZ$19)))</f>
        <v/>
      </c>
      <c r="D19" s="6">
        <f>IF(SUMPRODUCT((Marks!$B$3:$AZ$3=D$4)*ISNUMBER(Marks!$B$19:$AZ$19))=0,"",SUMPRODUCT((Marks!$B$3:$AZ$3=D$4)*(Marks!$B$19:$AZ$19=1))/SUMPRODUCT((Marks!$B$3:$AZ$3=D$4)*ISNUMBER(Marks!$B$19:$AZ$19)))</f>
        <v/>
      </c>
      <c r="E19" s="6">
        <f>IF(SUMPRODUCT((Marks!$B$3:$AZ$3=E$4)*ISNUMBER(Marks!$B$19:$AZ$19))=0,"",SUMPRODUCT((Marks!$B$3:$AZ$3=E$4)*(Marks!$B$19:$AZ$19=1))/SUMPRODUCT((Marks!$B$3:$AZ$3=E$4)*ISNUMBER(Marks!$B$19:$AZ$19)))</f>
        <v/>
      </c>
    </row>
    <row r="20">
      <c r="A20" t="n">
        <v>16</v>
      </c>
      <c r="B20" s="6">
        <f>IF(SUMPRODUCT((Marks!$B$3:$AZ$3=B$4)*ISNUMBER(Marks!$B$20:$AZ$20))=0,"",SUMPRODUCT((Marks!$B$3:$AZ$3=B$4)*(Marks!$B$20:$AZ$20=1))/SUMPRODUCT((Marks!$B$3:$AZ$3=B$4)*ISNUMBER(Marks!$B$20:$AZ$20)))</f>
        <v/>
      </c>
      <c r="C20" s="6">
        <f>IF(SUMPRODUCT((Marks!$B$3:$AZ$3=C$4)*ISNUMBER(Marks!$B$20:$AZ$20))=0,"",SUMPRODUCT((Marks!$B$3:$AZ$3=C$4)*(Marks!$B$20:$AZ$20=1))/SUMPRODUCT((Marks!$B$3:$AZ$3=C$4)*ISNUMBER(Marks!$B$20:$AZ$20)))</f>
        <v/>
      </c>
      <c r="D20" s="6">
        <f>IF(SUMPRODUCT((Marks!$B$3:$AZ$3=D$4)*ISNUMBER(Marks!$B$20:$AZ$20))=0,"",SUMPRODUCT((Marks!$B$3:$AZ$3=D$4)*(Marks!$B$20:$AZ$20=1))/SUMPRODUCT((Marks!$B$3:$AZ$3=D$4)*ISNUMBER(Marks!$B$20:$AZ$20)))</f>
        <v/>
      </c>
      <c r="E20" s="6">
        <f>IF(SUMPRODUCT((Marks!$B$3:$AZ$3=E$4)*ISNUMBER(Marks!$B$20:$AZ$20))=0,"",SUMPRODUCT((Marks!$B$3:$AZ$3=E$4)*(Marks!$B$20:$AZ$20=1))/SUMPRODUCT((Marks!$B$3:$AZ$3=E$4)*ISNUMBER(Marks!$B$20:$AZ$20)))</f>
        <v/>
      </c>
    </row>
    <row r="21">
      <c r="A21" t="n">
        <v>17</v>
      </c>
      <c r="B21" s="6">
        <f>IF(SUMPRODUCT((Marks!$B$3:$AZ$3=B$4)*ISNUMBER(Marks!$B$21:$AZ$21))=0,"",SUMPRODUCT((Marks!$B$3:$AZ$3=B$4)*(Marks!$B$21:$AZ$21=1))/SUMPRODUCT((Marks!$B$3:$AZ$3=B$4)*ISNUMBER(Marks!$B$21:$AZ$21)))</f>
        <v/>
      </c>
      <c r="C21" s="6">
        <f>IF(SUMPRODUCT((Marks!$B$3:$AZ$3=C$4)*ISNUMBER(Marks!$B$21:$AZ$21))=0,"",SUMPRODUCT((Marks!$B$3:$AZ$3=C$4)*(Marks!$B$21:$AZ$21=1))/SUMPRODUCT((Marks!$B$3:$AZ$3=C$4)*ISNUMBER(Marks!$B$21:$AZ$21)))</f>
        <v/>
      </c>
      <c r="D21" s="6">
        <f>IF(SUMPRODUCT((Marks!$B$3:$AZ$3=D$4)*ISNUMBER(Marks!$B$21:$AZ$21))=0,"",SUMPRODUCT((Marks!$B$3:$AZ$3=D$4)*(Marks!$B$21:$AZ$21=1))/SUMPRODUCT((Marks!$B$3:$AZ$3=D$4)*ISNUMBER(Marks!$B$21:$AZ$21)))</f>
        <v/>
      </c>
      <c r="E21" s="6">
        <f>IF(SUMPRODUCT((Marks!$B$3:$AZ$3=E$4)*ISNUMBER(Marks!$B$21:$AZ$21))=0,"",SUMPRODUCT((Marks!$B$3:$AZ$3=E$4)*(Marks!$B$21:$AZ$21=1))/SUMPRODUCT((Marks!$B$3:$AZ$3=E$4)*ISNUMBER(Marks!$B$21:$AZ$21)))</f>
        <v/>
      </c>
    </row>
    <row r="22">
      <c r="A22" t="n">
        <v>18</v>
      </c>
      <c r="B22" s="6">
        <f>IF(SUMPRODUCT((Marks!$B$3:$AZ$3=B$4)*ISNUMBER(Marks!$B$22:$AZ$22))=0,"",SUMPRODUCT((Marks!$B$3:$AZ$3=B$4)*(Marks!$B$22:$AZ$22=1))/SUMPRODUCT((Marks!$B$3:$AZ$3=B$4)*ISNUMBER(Marks!$B$22:$AZ$22)))</f>
        <v/>
      </c>
      <c r="C22" s="6">
        <f>IF(SUMPRODUCT((Marks!$B$3:$AZ$3=C$4)*ISNUMBER(Marks!$B$22:$AZ$22))=0,"",SUMPRODUCT((Marks!$B$3:$AZ$3=C$4)*(Marks!$B$22:$AZ$22=1))/SUMPRODUCT((Marks!$B$3:$AZ$3=C$4)*ISNUMBER(Marks!$B$22:$AZ$22)))</f>
        <v/>
      </c>
      <c r="D22" s="6">
        <f>IF(SUMPRODUCT((Marks!$B$3:$AZ$3=D$4)*ISNUMBER(Marks!$B$22:$AZ$22))=0,"",SUMPRODUCT((Marks!$B$3:$AZ$3=D$4)*(Marks!$B$22:$AZ$22=1))/SUMPRODUCT((Marks!$B$3:$AZ$3=D$4)*ISNUMBER(Marks!$B$22:$AZ$22)))</f>
        <v/>
      </c>
      <c r="E22" s="6">
        <f>IF(SUMPRODUCT((Marks!$B$3:$AZ$3=E$4)*ISNUMBER(Marks!$B$22:$AZ$22))=0,"",SUMPRODUCT((Marks!$B$3:$AZ$3=E$4)*(Marks!$B$22:$AZ$22=1))/SUMPRODUCT((Marks!$B$3:$AZ$3=E$4)*ISNUMBER(Marks!$B$22:$AZ$22)))</f>
        <v/>
      </c>
    </row>
    <row r="23">
      <c r="A23" t="n">
        <v>19</v>
      </c>
      <c r="B23" s="6">
        <f>IF(SUMPRODUCT((Marks!$B$3:$AZ$3=B$4)*ISNUMBER(Marks!$B$23:$AZ$23))=0,"",SUMPRODUCT((Marks!$B$3:$AZ$3=B$4)*(Marks!$B$23:$AZ$23=1))/SUMPRODUCT((Marks!$B$3:$AZ$3=B$4)*ISNUMBER(Marks!$B$23:$AZ$23)))</f>
        <v/>
      </c>
      <c r="C23" s="6">
        <f>IF(SUMPRODUCT((Marks!$B$3:$AZ$3=C$4)*ISNUMBER(Marks!$B$23:$AZ$23))=0,"",SUMPRODUCT((Marks!$B$3:$AZ$3=C$4)*(Marks!$B$23:$AZ$23=1))/SUMPRODUCT((Marks!$B$3:$AZ$3=C$4)*ISNUMBER(Marks!$B$23:$AZ$23)))</f>
        <v/>
      </c>
      <c r="D23" s="6">
        <f>IF(SUMPRODUCT((Marks!$B$3:$AZ$3=D$4)*ISNUMBER(Marks!$B$23:$AZ$23))=0,"",SUMPRODUCT((Marks!$B$3:$AZ$3=D$4)*(Marks!$B$23:$AZ$23=1))/SUMPRODUCT((Marks!$B$3:$AZ$3=D$4)*ISNUMBER(Marks!$B$23:$AZ$23)))</f>
        <v/>
      </c>
      <c r="E23" s="6">
        <f>IF(SUMPRODUCT((Marks!$B$3:$AZ$3=E$4)*ISNUMBER(Marks!$B$23:$AZ$23))=0,"",SUMPRODUCT((Marks!$B$3:$AZ$3=E$4)*(Marks!$B$23:$AZ$23=1))/SUMPRODUCT((Marks!$B$3:$AZ$3=E$4)*ISNUMBER(Marks!$B$23:$AZ$23)))</f>
        <v/>
      </c>
    </row>
    <row r="24">
      <c r="A24" t="n">
        <v>20</v>
      </c>
      <c r="B24" s="6">
        <f>IF(SUMPRODUCT((Marks!$B$3:$AZ$3=B$4)*ISNUMBER(Marks!$B$24:$AZ$24))=0,"",SUMPRODUCT((Marks!$B$3:$AZ$3=B$4)*(Marks!$B$24:$AZ$24=1))/SUMPRODUCT((Marks!$B$3:$AZ$3=B$4)*ISNUMBER(Marks!$B$24:$AZ$24)))</f>
        <v/>
      </c>
      <c r="C24" s="6">
        <f>IF(SUMPRODUCT((Marks!$B$3:$AZ$3=C$4)*ISNUMBER(Marks!$B$24:$AZ$24))=0,"",SUMPRODUCT((Marks!$B$3:$AZ$3=C$4)*(Marks!$B$24:$AZ$24=1))/SUMPRODUCT((Marks!$B$3:$AZ$3=C$4)*ISNUMBER(Marks!$B$24:$AZ$24)))</f>
        <v/>
      </c>
      <c r="D24" s="6">
        <f>IF(SUMPRODUCT((Marks!$B$3:$AZ$3=D$4)*ISNUMBER(Marks!$B$24:$AZ$24))=0,"",SUMPRODUCT((Marks!$B$3:$AZ$3=D$4)*(Marks!$B$24:$AZ$24=1))/SUMPRODUCT((Marks!$B$3:$AZ$3=D$4)*ISNUMBER(Marks!$B$24:$AZ$24)))</f>
        <v/>
      </c>
      <c r="E24" s="6">
        <f>IF(SUMPRODUCT((Marks!$B$3:$AZ$3=E$4)*ISNUMBER(Marks!$B$24:$AZ$24))=0,"",SUMPRODUCT((Marks!$B$3:$AZ$3=E$4)*(Marks!$B$24:$AZ$24=1))/SUMPRODUCT((Marks!$B$3:$AZ$3=E$4)*ISNUMBER(Marks!$B$24:$AZ$24)))</f>
        <v/>
      </c>
    </row>
    <row r="25">
      <c r="A25" t="n">
        <v>21</v>
      </c>
      <c r="B25" s="6">
        <f>IF(SUMPRODUCT((Marks!$B$3:$AZ$3=B$4)*ISNUMBER(Marks!$B$25:$AZ$25))=0,"",SUMPRODUCT((Marks!$B$3:$AZ$3=B$4)*(Marks!$B$25:$AZ$25=1))/SUMPRODUCT((Marks!$B$3:$AZ$3=B$4)*ISNUMBER(Marks!$B$25:$AZ$25)))</f>
        <v/>
      </c>
      <c r="C25" s="6">
        <f>IF(SUMPRODUCT((Marks!$B$3:$AZ$3=C$4)*ISNUMBER(Marks!$B$25:$AZ$25))=0,"",SUMPRODUCT((Marks!$B$3:$AZ$3=C$4)*(Marks!$B$25:$AZ$25=1))/SUMPRODUCT((Marks!$B$3:$AZ$3=C$4)*ISNUMBER(Marks!$B$25:$AZ$25)))</f>
        <v/>
      </c>
      <c r="D25" s="6">
        <f>IF(SUMPRODUCT((Marks!$B$3:$AZ$3=D$4)*ISNUMBER(Marks!$B$25:$AZ$25))=0,"",SUMPRODUCT((Marks!$B$3:$AZ$3=D$4)*(Marks!$B$25:$AZ$25=1))/SUMPRODUCT((Marks!$B$3:$AZ$3=D$4)*ISNUMBER(Marks!$B$25:$AZ$25)))</f>
        <v/>
      </c>
      <c r="E25" s="6">
        <f>IF(SUMPRODUCT((Marks!$B$3:$AZ$3=E$4)*ISNUMBER(Marks!$B$25:$AZ$25))=0,"",SUMPRODUCT((Marks!$B$3:$AZ$3=E$4)*(Marks!$B$25:$AZ$25=1))/SUMPRODUCT((Marks!$B$3:$AZ$3=E$4)*ISNUMBER(Marks!$B$25:$AZ$25)))</f>
        <v/>
      </c>
    </row>
    <row r="26">
      <c r="A26" t="n">
        <v>22</v>
      </c>
      <c r="B26" s="6">
        <f>IF(SUMPRODUCT((Marks!$B$3:$AZ$3=B$4)*ISNUMBER(Marks!$B$26:$AZ$26))=0,"",SUMPRODUCT((Marks!$B$3:$AZ$3=B$4)*(Marks!$B$26:$AZ$26=1))/SUMPRODUCT((Marks!$B$3:$AZ$3=B$4)*ISNUMBER(Marks!$B$26:$AZ$26)))</f>
        <v/>
      </c>
      <c r="C26" s="6">
        <f>IF(SUMPRODUCT((Marks!$B$3:$AZ$3=C$4)*ISNUMBER(Marks!$B$26:$AZ$26))=0,"",SUMPRODUCT((Marks!$B$3:$AZ$3=C$4)*(Marks!$B$26:$AZ$26=1))/SUMPRODUCT((Marks!$B$3:$AZ$3=C$4)*ISNUMBER(Marks!$B$26:$AZ$26)))</f>
        <v/>
      </c>
      <c r="D26" s="6">
        <f>IF(SUMPRODUCT((Marks!$B$3:$AZ$3=D$4)*ISNUMBER(Marks!$B$26:$AZ$26))=0,"",SUMPRODUCT((Marks!$B$3:$AZ$3=D$4)*(Marks!$B$26:$AZ$26=1))/SUMPRODUCT((Marks!$B$3:$AZ$3=D$4)*ISNUMBER(Marks!$B$26:$AZ$26)))</f>
        <v/>
      </c>
      <c r="E26" s="6">
        <f>IF(SUMPRODUCT((Marks!$B$3:$AZ$3=E$4)*ISNUMBER(Marks!$B$26:$AZ$26))=0,"",SUMPRODUCT((Marks!$B$3:$AZ$3=E$4)*(Marks!$B$26:$AZ$26=1))/SUMPRODUCT((Marks!$B$3:$AZ$3=E$4)*ISNUMBER(Marks!$B$26:$AZ$26)))</f>
        <v/>
      </c>
    </row>
    <row r="27">
      <c r="A27" t="n">
        <v>23</v>
      </c>
      <c r="B27" s="6">
        <f>IF(SUMPRODUCT((Marks!$B$3:$AZ$3=B$4)*ISNUMBER(Marks!$B$27:$AZ$27))=0,"",SUMPRODUCT((Marks!$B$3:$AZ$3=B$4)*(Marks!$B$27:$AZ$27=1))/SUMPRODUCT((Marks!$B$3:$AZ$3=B$4)*ISNUMBER(Marks!$B$27:$AZ$27)))</f>
        <v/>
      </c>
      <c r="C27" s="6">
        <f>IF(SUMPRODUCT((Marks!$B$3:$AZ$3=C$4)*ISNUMBER(Marks!$B$27:$AZ$27))=0,"",SUMPRODUCT((Marks!$B$3:$AZ$3=C$4)*(Marks!$B$27:$AZ$27=1))/SUMPRODUCT((Marks!$B$3:$AZ$3=C$4)*ISNUMBER(Marks!$B$27:$AZ$27)))</f>
        <v/>
      </c>
      <c r="D27" s="6">
        <f>IF(SUMPRODUCT((Marks!$B$3:$AZ$3=D$4)*ISNUMBER(Marks!$B$27:$AZ$27))=0,"",SUMPRODUCT((Marks!$B$3:$AZ$3=D$4)*(Marks!$B$27:$AZ$27=1))/SUMPRODUCT((Marks!$B$3:$AZ$3=D$4)*ISNUMBER(Marks!$B$27:$AZ$27)))</f>
        <v/>
      </c>
      <c r="E27" s="6">
        <f>IF(SUMPRODUCT((Marks!$B$3:$AZ$3=E$4)*ISNUMBER(Marks!$B$27:$AZ$27))=0,"",SUMPRODUCT((Marks!$B$3:$AZ$3=E$4)*(Marks!$B$27:$AZ$27=1))/SUMPRODUCT((Marks!$B$3:$AZ$3=E$4)*ISNUMBER(Marks!$B$27:$AZ$27)))</f>
        <v/>
      </c>
    </row>
    <row r="28">
      <c r="A28" t="n">
        <v>24</v>
      </c>
      <c r="B28" s="6">
        <f>IF(SUMPRODUCT((Marks!$B$3:$AZ$3=B$4)*ISNUMBER(Marks!$B$28:$AZ$28))=0,"",SUMPRODUCT((Marks!$B$3:$AZ$3=B$4)*(Marks!$B$28:$AZ$28=1))/SUMPRODUCT((Marks!$B$3:$AZ$3=B$4)*ISNUMBER(Marks!$B$28:$AZ$28)))</f>
        <v/>
      </c>
      <c r="C28" s="6">
        <f>IF(SUMPRODUCT((Marks!$B$3:$AZ$3=C$4)*ISNUMBER(Marks!$B$28:$AZ$28))=0,"",SUMPRODUCT((Marks!$B$3:$AZ$3=C$4)*(Marks!$B$28:$AZ$28=1))/SUMPRODUCT((Marks!$B$3:$AZ$3=C$4)*ISNUMBER(Marks!$B$28:$AZ$28)))</f>
        <v/>
      </c>
      <c r="D28" s="6">
        <f>IF(SUMPRODUCT((Marks!$B$3:$AZ$3=D$4)*ISNUMBER(Marks!$B$28:$AZ$28))=0,"",SUMPRODUCT((Marks!$B$3:$AZ$3=D$4)*(Marks!$B$28:$AZ$28=1))/SUMPRODUCT((Marks!$B$3:$AZ$3=D$4)*ISNUMBER(Marks!$B$28:$AZ$28)))</f>
        <v/>
      </c>
      <c r="E28" s="6">
        <f>IF(SUMPRODUCT((Marks!$B$3:$AZ$3=E$4)*ISNUMBER(Marks!$B$28:$AZ$28))=0,"",SUMPRODUCT((Marks!$B$3:$AZ$3=E$4)*(Marks!$B$28:$AZ$28=1))/SUMPRODUCT((Marks!$B$3:$AZ$3=E$4)*ISNUMBER(Marks!$B$28:$AZ$28)))</f>
        <v/>
      </c>
    </row>
    <row r="29">
      <c r="A29" t="n">
        <v>25</v>
      </c>
      <c r="B29" s="6">
        <f>IF(SUMPRODUCT((Marks!$B$3:$AZ$3=B$4)*ISNUMBER(Marks!$B$29:$AZ$29))=0,"",SUMPRODUCT((Marks!$B$3:$AZ$3=B$4)*(Marks!$B$29:$AZ$29=1))/SUMPRODUCT((Marks!$B$3:$AZ$3=B$4)*ISNUMBER(Marks!$B$29:$AZ$29)))</f>
        <v/>
      </c>
      <c r="C29" s="6">
        <f>IF(SUMPRODUCT((Marks!$B$3:$AZ$3=C$4)*ISNUMBER(Marks!$B$29:$AZ$29))=0,"",SUMPRODUCT((Marks!$B$3:$AZ$3=C$4)*(Marks!$B$29:$AZ$29=1))/SUMPRODUCT((Marks!$B$3:$AZ$3=C$4)*ISNUMBER(Marks!$B$29:$AZ$29)))</f>
        <v/>
      </c>
      <c r="D29" s="6">
        <f>IF(SUMPRODUCT((Marks!$B$3:$AZ$3=D$4)*ISNUMBER(Marks!$B$29:$AZ$29))=0,"",SUMPRODUCT((Marks!$B$3:$AZ$3=D$4)*(Marks!$B$29:$AZ$29=1))/SUMPRODUCT((Marks!$B$3:$AZ$3=D$4)*ISNUMBER(Marks!$B$29:$AZ$29)))</f>
        <v/>
      </c>
      <c r="E29" s="6">
        <f>IF(SUMPRODUCT((Marks!$B$3:$AZ$3=E$4)*ISNUMBER(Marks!$B$29:$AZ$29))=0,"",SUMPRODUCT((Marks!$B$3:$AZ$3=E$4)*(Marks!$B$29:$AZ$29=1))/SUMPRODUCT((Marks!$B$3:$AZ$3=E$4)*ISNUMBER(Marks!$B$29:$AZ$29)))</f>
        <v/>
      </c>
    </row>
    <row r="30">
      <c r="A30" t="n">
        <v>26</v>
      </c>
      <c r="B30" s="6">
        <f>IF(SUMPRODUCT((Marks!$B$3:$AZ$3=B$4)*ISNUMBER(Marks!$B$30:$AZ$30))=0,"",SUMPRODUCT((Marks!$B$3:$AZ$3=B$4)*(Marks!$B$30:$AZ$30=1))/SUMPRODUCT((Marks!$B$3:$AZ$3=B$4)*ISNUMBER(Marks!$B$30:$AZ$30)))</f>
        <v/>
      </c>
      <c r="C30" s="6">
        <f>IF(SUMPRODUCT((Marks!$B$3:$AZ$3=C$4)*ISNUMBER(Marks!$B$30:$AZ$30))=0,"",SUMPRODUCT((Marks!$B$3:$AZ$3=C$4)*(Marks!$B$30:$AZ$30=1))/SUMPRODUCT((Marks!$B$3:$AZ$3=C$4)*ISNUMBER(Marks!$B$30:$AZ$30)))</f>
        <v/>
      </c>
      <c r="D30" s="6">
        <f>IF(SUMPRODUCT((Marks!$B$3:$AZ$3=D$4)*ISNUMBER(Marks!$B$30:$AZ$30))=0,"",SUMPRODUCT((Marks!$B$3:$AZ$3=D$4)*(Marks!$B$30:$AZ$30=1))/SUMPRODUCT((Marks!$B$3:$AZ$3=D$4)*ISNUMBER(Marks!$B$30:$AZ$30)))</f>
        <v/>
      </c>
      <c r="E30" s="6">
        <f>IF(SUMPRODUCT((Marks!$B$3:$AZ$3=E$4)*ISNUMBER(Marks!$B$30:$AZ$30))=0,"",SUMPRODUCT((Marks!$B$3:$AZ$3=E$4)*(Marks!$B$30:$AZ$30=1))/SUMPRODUCT((Marks!$B$3:$AZ$3=E$4)*ISNUMBER(Marks!$B$30:$AZ$30)))</f>
        <v/>
      </c>
    </row>
    <row r="31">
      <c r="A31" t="n">
        <v>27</v>
      </c>
      <c r="B31" s="6">
        <f>IF(SUMPRODUCT((Marks!$B$3:$AZ$3=B$4)*ISNUMBER(Marks!$B$31:$AZ$31))=0,"",SUMPRODUCT((Marks!$B$3:$AZ$3=B$4)*(Marks!$B$31:$AZ$31=1))/SUMPRODUCT((Marks!$B$3:$AZ$3=B$4)*ISNUMBER(Marks!$B$31:$AZ$31)))</f>
        <v/>
      </c>
      <c r="C31" s="6">
        <f>IF(SUMPRODUCT((Marks!$B$3:$AZ$3=C$4)*ISNUMBER(Marks!$B$31:$AZ$31))=0,"",SUMPRODUCT((Marks!$B$3:$AZ$3=C$4)*(Marks!$B$31:$AZ$31=1))/SUMPRODUCT((Marks!$B$3:$AZ$3=C$4)*ISNUMBER(Marks!$B$31:$AZ$31)))</f>
        <v/>
      </c>
      <c r="D31" s="6">
        <f>IF(SUMPRODUCT((Marks!$B$3:$AZ$3=D$4)*ISNUMBER(Marks!$B$31:$AZ$31))=0,"",SUMPRODUCT((Marks!$B$3:$AZ$3=D$4)*(Marks!$B$31:$AZ$31=1))/SUMPRODUCT((Marks!$B$3:$AZ$3=D$4)*ISNUMBER(Marks!$B$31:$AZ$31)))</f>
        <v/>
      </c>
      <c r="E31" s="6">
        <f>IF(SUMPRODUCT((Marks!$B$3:$AZ$3=E$4)*ISNUMBER(Marks!$B$31:$AZ$31))=0,"",SUMPRODUCT((Marks!$B$3:$AZ$3=E$4)*(Marks!$B$31:$AZ$31=1))/SUMPRODUCT((Marks!$B$3:$AZ$3=E$4)*ISNUMBER(Marks!$B$31:$AZ$31)))</f>
        <v/>
      </c>
    </row>
    <row r="32">
      <c r="A32" t="n">
        <v>28</v>
      </c>
      <c r="B32" s="6">
        <f>IF(SUMPRODUCT((Marks!$B$3:$AZ$3=B$4)*ISNUMBER(Marks!$B$32:$AZ$32))=0,"",SUMPRODUCT((Marks!$B$3:$AZ$3=B$4)*(Marks!$B$32:$AZ$32=1))/SUMPRODUCT((Marks!$B$3:$AZ$3=B$4)*ISNUMBER(Marks!$B$32:$AZ$32)))</f>
        <v/>
      </c>
      <c r="C32" s="6">
        <f>IF(SUMPRODUCT((Marks!$B$3:$AZ$3=C$4)*ISNUMBER(Marks!$B$32:$AZ$32))=0,"",SUMPRODUCT((Marks!$B$3:$AZ$3=C$4)*(Marks!$B$32:$AZ$32=1))/SUMPRODUCT((Marks!$B$3:$AZ$3=C$4)*ISNUMBER(Marks!$B$32:$AZ$32)))</f>
        <v/>
      </c>
      <c r="D32" s="6">
        <f>IF(SUMPRODUCT((Marks!$B$3:$AZ$3=D$4)*ISNUMBER(Marks!$B$32:$AZ$32))=0,"",SUMPRODUCT((Marks!$B$3:$AZ$3=D$4)*(Marks!$B$32:$AZ$32=1))/SUMPRODUCT((Marks!$B$3:$AZ$3=D$4)*ISNUMBER(Marks!$B$32:$AZ$32)))</f>
        <v/>
      </c>
      <c r="E32" s="6">
        <f>IF(SUMPRODUCT((Marks!$B$3:$AZ$3=E$4)*ISNUMBER(Marks!$B$32:$AZ$32))=0,"",SUMPRODUCT((Marks!$B$3:$AZ$3=E$4)*(Marks!$B$32:$AZ$32=1))/SUMPRODUCT((Marks!$B$3:$AZ$3=E$4)*ISNUMBER(Marks!$B$32:$AZ$32)))</f>
        <v/>
      </c>
    </row>
    <row r="33">
      <c r="A33" t="n">
        <v>29</v>
      </c>
      <c r="B33" s="6">
        <f>IF(SUMPRODUCT((Marks!$B$3:$AZ$3=B$4)*ISNUMBER(Marks!$B$33:$AZ$33))=0,"",SUMPRODUCT((Marks!$B$3:$AZ$3=B$4)*(Marks!$B$33:$AZ$33=1))/SUMPRODUCT((Marks!$B$3:$AZ$3=B$4)*ISNUMBER(Marks!$B$33:$AZ$33)))</f>
        <v/>
      </c>
      <c r="C33" s="6">
        <f>IF(SUMPRODUCT((Marks!$B$3:$AZ$3=C$4)*ISNUMBER(Marks!$B$33:$AZ$33))=0,"",SUMPRODUCT((Marks!$B$3:$AZ$3=C$4)*(Marks!$B$33:$AZ$33=1))/SUMPRODUCT((Marks!$B$3:$AZ$3=C$4)*ISNUMBER(Marks!$B$33:$AZ$33)))</f>
        <v/>
      </c>
      <c r="D33" s="6">
        <f>IF(SUMPRODUCT((Marks!$B$3:$AZ$3=D$4)*ISNUMBER(Marks!$B$33:$AZ$33))=0,"",SUMPRODUCT((Marks!$B$3:$AZ$3=D$4)*(Marks!$B$33:$AZ$33=1))/SUMPRODUCT((Marks!$B$3:$AZ$3=D$4)*ISNUMBER(Marks!$B$33:$AZ$33)))</f>
        <v/>
      </c>
      <c r="E33" s="6">
        <f>IF(SUMPRODUCT((Marks!$B$3:$AZ$3=E$4)*ISNUMBER(Marks!$B$33:$AZ$33))=0,"",SUMPRODUCT((Marks!$B$3:$AZ$3=E$4)*(Marks!$B$33:$AZ$33=1))/SUMPRODUCT((Marks!$B$3:$AZ$3=E$4)*ISNUMBER(Marks!$B$33:$AZ$33)))</f>
        <v/>
      </c>
    </row>
    <row r="34">
      <c r="A34" t="n">
        <v>30</v>
      </c>
      <c r="B34" s="6">
        <f>IF(SUMPRODUCT((Marks!$B$3:$AZ$3=B$4)*ISNUMBER(Marks!$B$34:$AZ$34))=0,"",SUMPRODUCT((Marks!$B$3:$AZ$3=B$4)*(Marks!$B$34:$AZ$34=1))/SUMPRODUCT((Marks!$B$3:$AZ$3=B$4)*ISNUMBER(Marks!$B$34:$AZ$34)))</f>
        <v/>
      </c>
      <c r="C34" s="6">
        <f>IF(SUMPRODUCT((Marks!$B$3:$AZ$3=C$4)*ISNUMBER(Marks!$B$34:$AZ$34))=0,"",SUMPRODUCT((Marks!$B$3:$AZ$3=C$4)*(Marks!$B$34:$AZ$34=1))/SUMPRODUCT((Marks!$B$3:$AZ$3=C$4)*ISNUMBER(Marks!$B$34:$AZ$34)))</f>
        <v/>
      </c>
      <c r="D34" s="6">
        <f>IF(SUMPRODUCT((Marks!$B$3:$AZ$3=D$4)*ISNUMBER(Marks!$B$34:$AZ$34))=0,"",SUMPRODUCT((Marks!$B$3:$AZ$3=D$4)*(Marks!$B$34:$AZ$34=1))/SUMPRODUCT((Marks!$B$3:$AZ$3=D$4)*ISNUMBER(Marks!$B$34:$AZ$34)))</f>
        <v/>
      </c>
      <c r="E34" s="6">
        <f>IF(SUMPRODUCT((Marks!$B$3:$AZ$3=E$4)*ISNUMBER(Marks!$B$34:$AZ$34))=0,"",SUMPRODUCT((Marks!$B$3:$AZ$3=E$4)*(Marks!$B$34:$AZ$34=1))/SUMPRODUCT((Marks!$B$3:$AZ$3=E$4)*ISNUMBER(Marks!$B$34:$AZ$34)))</f>
        <v/>
      </c>
    </row>
    <row r="35">
      <c r="A35" t="n">
        <v>31</v>
      </c>
      <c r="B35" s="6">
        <f>IF(SUMPRODUCT((Marks!$B$3:$AZ$3=B$4)*ISNUMBER(Marks!$B$35:$AZ$35))=0,"",SUMPRODUCT((Marks!$B$3:$AZ$3=B$4)*(Marks!$B$35:$AZ$35=1))/SUMPRODUCT((Marks!$B$3:$AZ$3=B$4)*ISNUMBER(Marks!$B$35:$AZ$35)))</f>
        <v/>
      </c>
      <c r="C35" s="6">
        <f>IF(SUMPRODUCT((Marks!$B$3:$AZ$3=C$4)*ISNUMBER(Marks!$B$35:$AZ$35))=0,"",SUMPRODUCT((Marks!$B$3:$AZ$3=C$4)*(Marks!$B$35:$AZ$35=1))/SUMPRODUCT((Marks!$B$3:$AZ$3=C$4)*ISNUMBER(Marks!$B$35:$AZ$35)))</f>
        <v/>
      </c>
      <c r="D35" s="6">
        <f>IF(SUMPRODUCT((Marks!$B$3:$AZ$3=D$4)*ISNUMBER(Marks!$B$35:$AZ$35))=0,"",SUMPRODUCT((Marks!$B$3:$AZ$3=D$4)*(Marks!$B$35:$AZ$35=1))/SUMPRODUCT((Marks!$B$3:$AZ$3=D$4)*ISNUMBER(Marks!$B$35:$AZ$35)))</f>
        <v/>
      </c>
      <c r="E35" s="6">
        <f>IF(SUMPRODUCT((Marks!$B$3:$AZ$3=E$4)*ISNUMBER(Marks!$B$35:$AZ$35))=0,"",SUMPRODUCT((Marks!$B$3:$AZ$3=E$4)*(Marks!$B$35:$AZ$35=1))/SUMPRODUCT((Marks!$B$3:$AZ$3=E$4)*ISNUMBER(Marks!$B$35:$AZ$35)))</f>
        <v/>
      </c>
    </row>
    <row r="36">
      <c r="A36" t="n">
        <v>32</v>
      </c>
      <c r="B36" s="6">
        <f>IF(SUMPRODUCT((Marks!$B$3:$AZ$3=B$4)*ISNUMBER(Marks!$B$36:$AZ$36))=0,"",SUMPRODUCT((Marks!$B$3:$AZ$3=B$4)*(Marks!$B$36:$AZ$36=1))/SUMPRODUCT((Marks!$B$3:$AZ$3=B$4)*ISNUMBER(Marks!$B$36:$AZ$36)))</f>
        <v/>
      </c>
      <c r="C36" s="6">
        <f>IF(SUMPRODUCT((Marks!$B$3:$AZ$3=C$4)*ISNUMBER(Marks!$B$36:$AZ$36))=0,"",SUMPRODUCT((Marks!$B$3:$AZ$3=C$4)*(Marks!$B$36:$AZ$36=1))/SUMPRODUCT((Marks!$B$3:$AZ$3=C$4)*ISNUMBER(Marks!$B$36:$AZ$36)))</f>
        <v/>
      </c>
      <c r="D36" s="6">
        <f>IF(SUMPRODUCT((Marks!$B$3:$AZ$3=D$4)*ISNUMBER(Marks!$B$36:$AZ$36))=0,"",SUMPRODUCT((Marks!$B$3:$AZ$3=D$4)*(Marks!$B$36:$AZ$36=1))/SUMPRODUCT((Marks!$B$3:$AZ$3=D$4)*ISNUMBER(Marks!$B$36:$AZ$36)))</f>
        <v/>
      </c>
      <c r="E36" s="6">
        <f>IF(SUMPRODUCT((Marks!$B$3:$AZ$3=E$4)*ISNUMBER(Marks!$B$36:$AZ$36))=0,"",SUMPRODUCT((Marks!$B$3:$AZ$3=E$4)*(Marks!$B$36:$AZ$36=1))/SUMPRODUCT((Marks!$B$3:$AZ$3=E$4)*ISNUMBER(Marks!$B$36:$AZ$36)))</f>
        <v/>
      </c>
    </row>
    <row r="37">
      <c r="A37" t="n">
        <v>33</v>
      </c>
      <c r="B37" s="6">
        <f>IF(SUMPRODUCT((Marks!$B$3:$AZ$3=B$4)*ISNUMBER(Marks!$B$37:$AZ$37))=0,"",SUMPRODUCT((Marks!$B$3:$AZ$3=B$4)*(Marks!$B$37:$AZ$37=1))/SUMPRODUCT((Marks!$B$3:$AZ$3=B$4)*ISNUMBER(Marks!$B$37:$AZ$37)))</f>
        <v/>
      </c>
      <c r="C37" s="6">
        <f>IF(SUMPRODUCT((Marks!$B$3:$AZ$3=C$4)*ISNUMBER(Marks!$B$37:$AZ$37))=0,"",SUMPRODUCT((Marks!$B$3:$AZ$3=C$4)*(Marks!$B$37:$AZ$37=1))/SUMPRODUCT((Marks!$B$3:$AZ$3=C$4)*ISNUMBER(Marks!$B$37:$AZ$37)))</f>
        <v/>
      </c>
      <c r="D37" s="6">
        <f>IF(SUMPRODUCT((Marks!$B$3:$AZ$3=D$4)*ISNUMBER(Marks!$B$37:$AZ$37))=0,"",SUMPRODUCT((Marks!$B$3:$AZ$3=D$4)*(Marks!$B$37:$AZ$37=1))/SUMPRODUCT((Marks!$B$3:$AZ$3=D$4)*ISNUMBER(Marks!$B$37:$AZ$37)))</f>
        <v/>
      </c>
      <c r="E37" s="6">
        <f>IF(SUMPRODUCT((Marks!$B$3:$AZ$3=E$4)*ISNUMBER(Marks!$B$37:$AZ$37))=0,"",SUMPRODUCT((Marks!$B$3:$AZ$3=E$4)*(Marks!$B$37:$AZ$37=1))/SUMPRODUCT((Marks!$B$3:$AZ$3=E$4)*ISNUMBER(Marks!$B$37:$AZ$37)))</f>
        <v/>
      </c>
    </row>
    <row r="38">
      <c r="A38" t="n">
        <v>34</v>
      </c>
      <c r="B38" s="6">
        <f>IF(SUMPRODUCT((Marks!$B$3:$AZ$3=B$4)*ISNUMBER(Marks!$B$38:$AZ$38))=0,"",SUMPRODUCT((Marks!$B$3:$AZ$3=B$4)*(Marks!$B$38:$AZ$38=1))/SUMPRODUCT((Marks!$B$3:$AZ$3=B$4)*ISNUMBER(Marks!$B$38:$AZ$38)))</f>
        <v/>
      </c>
      <c r="C38" s="6">
        <f>IF(SUMPRODUCT((Marks!$B$3:$AZ$3=C$4)*ISNUMBER(Marks!$B$38:$AZ$38))=0,"",SUMPRODUCT((Marks!$B$3:$AZ$3=C$4)*(Marks!$B$38:$AZ$38=1))/SUMPRODUCT((Marks!$B$3:$AZ$3=C$4)*ISNUMBER(Marks!$B$38:$AZ$38)))</f>
        <v/>
      </c>
      <c r="D38" s="6">
        <f>IF(SUMPRODUCT((Marks!$B$3:$AZ$3=D$4)*ISNUMBER(Marks!$B$38:$AZ$38))=0,"",SUMPRODUCT((Marks!$B$3:$AZ$3=D$4)*(Marks!$B$38:$AZ$38=1))/SUMPRODUCT((Marks!$B$3:$AZ$3=D$4)*ISNUMBER(Marks!$B$38:$AZ$38)))</f>
        <v/>
      </c>
      <c r="E38" s="6">
        <f>IF(SUMPRODUCT((Marks!$B$3:$AZ$3=E$4)*ISNUMBER(Marks!$B$38:$AZ$38))=0,"",SUMPRODUCT((Marks!$B$3:$AZ$3=E$4)*(Marks!$B$38:$AZ$38=1))/SUMPRODUCT((Marks!$B$3:$AZ$3=E$4)*ISNUMBER(Marks!$B$38:$AZ$38)))</f>
        <v/>
      </c>
    </row>
    <row r="39">
      <c r="A39" t="n">
        <v>35</v>
      </c>
      <c r="B39" s="6">
        <f>IF(SUMPRODUCT((Marks!$B$3:$AZ$3=B$4)*ISNUMBER(Marks!$B$39:$AZ$39))=0,"",SUMPRODUCT((Marks!$B$3:$AZ$3=B$4)*(Marks!$B$39:$AZ$39=1))/SUMPRODUCT((Marks!$B$3:$AZ$3=B$4)*ISNUMBER(Marks!$B$39:$AZ$39)))</f>
        <v/>
      </c>
      <c r="C39" s="6">
        <f>IF(SUMPRODUCT((Marks!$B$3:$AZ$3=C$4)*ISNUMBER(Marks!$B$39:$AZ$39))=0,"",SUMPRODUCT((Marks!$B$3:$AZ$3=C$4)*(Marks!$B$39:$AZ$39=1))/SUMPRODUCT((Marks!$B$3:$AZ$3=C$4)*ISNUMBER(Marks!$B$39:$AZ$39)))</f>
        <v/>
      </c>
      <c r="D39" s="6">
        <f>IF(SUMPRODUCT((Marks!$B$3:$AZ$3=D$4)*ISNUMBER(Marks!$B$39:$AZ$39))=0,"",SUMPRODUCT((Marks!$B$3:$AZ$3=D$4)*(Marks!$B$39:$AZ$39=1))/SUMPRODUCT((Marks!$B$3:$AZ$3=D$4)*ISNUMBER(Marks!$B$39:$AZ$39)))</f>
        <v/>
      </c>
      <c r="E39" s="6">
        <f>IF(SUMPRODUCT((Marks!$B$3:$AZ$3=E$4)*ISNUMBER(Marks!$B$39:$AZ$39))=0,"",SUMPRODUCT((Marks!$B$3:$AZ$3=E$4)*(Marks!$B$39:$AZ$39=1))/SUMPRODUCT((Marks!$B$3:$AZ$3=E$4)*ISNUMBER(Marks!$B$39:$AZ$39)))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2026-09-30T05:01:54Z</dcterms:created>
  <dcterms:modified xmlns:dcterms="http://purl.org/dc/terms/" xmlns:xsi="http://www.w3.org/2001/XMLSchema-instance" xsi:type="dcterms:W3CDTF">2026-09-30T05:01:54Z</dcterms:modified>
</cp:coreProperties>
</file>