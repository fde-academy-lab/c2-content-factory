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ssingness" sheetId="1" state="visible" r:id="rId1"/>
    <sheet xmlns:r="http://schemas.openxmlformats.org/officeDocument/2006/relationships" name="Duplicates" sheetId="2" state="visible" r:id="rId2"/>
    <sheet xmlns:r="http://schemas.openxmlformats.org/officeDocument/2006/relationships" name="Extremes" sheetId="3" state="visible" r:id="rId3"/>
    <sheet xmlns:r="http://schemas.openxmlformats.org/officeDocument/2006/relationships" name="Ex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2B4A7D"/>
      <sz val="14"/>
    </font>
    <font>
      <name val="Calibri"/>
      <color rgb="FF1C1C1A"/>
      <sz val="11"/>
    </font>
    <font>
      <name val="Calibri"/>
      <b val="1"/>
      <color rgb="FF2B4A7D"/>
      <sz val="11"/>
    </font>
    <font>
      <name val="Calibri"/>
      <b val="1"/>
      <color rgb="FF1C1C1A"/>
      <sz val="11"/>
    </font>
    <font>
      <name val="Calibri"/>
      <i val="1"/>
      <color rgb="FF5F6360"/>
      <sz val="10"/>
    </font>
  </fonts>
  <fills count="4">
    <fill>
      <patternFill/>
    </fill>
    <fill>
      <patternFill patternType="gray125"/>
    </fill>
    <fill>
      <patternFill patternType="solid">
        <fgColor rgb="FFFFF3C4"/>
      </patternFill>
    </fill>
    <fill>
      <patternFill patternType="solid">
        <fgColor rgb="FFE4ECF7"/>
      </patternFill>
    </fill>
  </fills>
  <borders count="2">
    <border>
      <left/>
      <right/>
      <top/>
      <bottom/>
      <diagonal/>
    </border>
    <border>
      <left style="thin">
        <color rgb="FFC9C9C2"/>
      </left>
      <right style="thin">
        <color rgb="FFC9C9C2"/>
      </right>
      <top style="thin">
        <color rgb="FFC9C9C2"/>
      </top>
      <bottom style="thin">
        <color rgb="FFC9C9C2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1. A field is incomplete. What do you do with it?</t>
        </is>
      </c>
    </row>
    <row r="2" ht="30" customHeight="1">
      <c r="A2" s="2" t="inlineStr">
        <is>
          <t>Two fields in the Kalpa file are incomplete and they earn opposite treatment. What decides is what the absence means.</t>
        </is>
      </c>
    </row>
    <row r="4">
      <c r="A4" s="3" t="inlineStr">
        <is>
          <t>What you decided</t>
        </is>
      </c>
    </row>
    <row r="5">
      <c r="A5" s="2" t="inlineStr">
        <is>
          <t>The field</t>
        </is>
      </c>
      <c r="B5" s="4" t="inlineStr">
        <is>
          <t>discount</t>
        </is>
      </c>
    </row>
    <row r="6">
      <c r="A6" s="2" t="inlineStr">
        <is>
          <t>Rows carrying it</t>
        </is>
      </c>
      <c r="B6" s="4" t="n">
        <v>11</v>
      </c>
    </row>
    <row r="7">
      <c r="A7" s="2" t="inlineStr">
        <is>
          <t>Rows in the file</t>
        </is>
      </c>
      <c r="B7" s="4" t="n">
        <v>50</v>
      </c>
    </row>
    <row r="8">
      <c r="A8" s="2" t="inlineStr">
        <is>
          <t>Does the absence mean something you can name?</t>
        </is>
      </c>
      <c r="B8" s="4" t="inlineStr">
        <is>
          <t>no</t>
        </is>
      </c>
      <c r="D8" s="2" t="inlineStr">
        <is>
          <t>This is the planted defect on this tab. Absence of a discount means no discount ran, which is a fact rather than a gap.</t>
        </is>
      </c>
    </row>
    <row r="9">
      <c r="A9" s="2" t="inlineStr">
        <is>
          <t>Is the field required to compute anything?</t>
        </is>
      </c>
      <c r="B9" s="4" t="inlineStr">
        <is>
          <t>no</t>
        </is>
      </c>
    </row>
    <row r="11">
      <c r="A11" s="3" t="inlineStr">
        <is>
          <t>What that gives you</t>
        </is>
      </c>
    </row>
    <row r="12">
      <c r="A12" s="2" t="inlineStr">
        <is>
          <t>Rows the decision speaks for</t>
        </is>
      </c>
      <c r="B12" s="5">
        <f>B7-B6</f>
        <v/>
      </c>
    </row>
    <row r="13">
      <c r="A13" s="2" t="inlineStr">
        <is>
          <t>Share of the file affected</t>
        </is>
      </c>
      <c r="B13" s="5">
        <f>IF(B7=0,"none",TEXT((B7-B6)/B7,"0%"))</f>
        <v/>
      </c>
    </row>
    <row r="14">
      <c r="A14" s="3" t="inlineStr">
        <is>
          <t>The verdict</t>
        </is>
      </c>
    </row>
    <row r="15">
      <c r="A15" s="2" t="inlineStr">
        <is>
          <t>Verdict</t>
        </is>
      </c>
      <c r="B15" s="5">
        <f>IF(AND(B9="yes",B6&lt;B7),"reject the incomplete rows, with the reason on each",IF(B8="yes","keep absent as absent, flag it, and write down what the absence means","stop: say what the absence means before you decide anything"))</f>
        <v/>
      </c>
    </row>
    <row r="17">
      <c r="A17" s="6" t="inlineStr">
        <is>
          <t>Yellow cells are yours to change. Everything else is computed.</t>
        </is>
      </c>
    </row>
  </sheetData>
  <mergeCells count="2">
    <mergeCell ref="A17:D17"/>
    <mergeCell ref="A2:D2"/>
  </mergeCells>
  <dataValidations count="3">
    <dataValidation sqref="B5" showDropDown="0" showInputMessage="0" showErrorMessage="0" allowBlank="0" type="list">
      <formula1>"discount,amount,order_date"</formula1>
    </dataValidation>
    <dataValidation sqref="B8" showDropDown="0" showInputMessage="0" showErrorMessage="0" allowBlank="0" type="list">
      <formula1>"yes,no"</formula1>
    </dataValidation>
    <dataValidation sqref="B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2. Two rows share an id. Are they one record?</t>
        </is>
      </c>
    </row>
    <row r="2" ht="30" customHeight="1">
      <c r="A2" s="2" t="inlineStr">
        <is>
          <t>The data cannot tell you. An identity rule is a business decision written down, and the number of duplicates follows from the rule you chose.</t>
        </is>
      </c>
    </row>
    <row r="4">
      <c r="A4" s="3" t="inlineStr">
        <is>
          <t>What you decided</t>
        </is>
      </c>
    </row>
    <row r="5">
      <c r="A5" s="2" t="inlineStr">
        <is>
          <t>Your identity rule</t>
        </is>
      </c>
      <c r="B5" s="4" t="inlineStr">
        <is>
          <t>every field</t>
        </is>
      </c>
      <c r="D5" s="2" t="inlineStr">
        <is>
          <t>This is the planted defect on this tab. Every field is the strictest rule and it finds nothing here, which is the worst of the four answers.</t>
        </is>
      </c>
    </row>
    <row r="6">
      <c r="A6" s="2" t="inlineStr">
        <is>
          <t>Rows in the file</t>
        </is>
      </c>
      <c r="B6" s="4" t="n">
        <v>50</v>
      </c>
    </row>
    <row r="7">
      <c r="A7" s="2" t="inlineStr">
        <is>
          <t>Distinct order ids</t>
        </is>
      </c>
      <c r="B7" s="4" t="n">
        <v>49</v>
      </c>
    </row>
    <row r="8">
      <c r="A8" s="2" t="inlineStr">
        <is>
          <t>Can you tell whether the pair is one order or two?</t>
        </is>
      </c>
      <c r="B8" s="4" t="inlineStr">
        <is>
          <t>no</t>
        </is>
      </c>
    </row>
    <row r="10">
      <c r="A10" s="3" t="inlineStr">
        <is>
          <t>What that gives you</t>
        </is>
      </c>
    </row>
    <row r="11">
      <c r="A11" s="2" t="inlineStr">
        <is>
          <t>Ids shared by more than one row</t>
        </is>
      </c>
      <c r="B11" s="5">
        <f>B6-B7</f>
        <v/>
      </c>
    </row>
    <row r="12">
      <c r="A12" s="2" t="inlineStr">
        <is>
          <t>Duplicate groups your rule finds</t>
        </is>
      </c>
      <c r="B12" s="5">
        <f>IF(OR(B5="every field",B5="order_id and order_date"),0,IF(B5="order_id",B6-B7,B6-B7))</f>
        <v/>
      </c>
      <c r="D12" s="2" t="inlineStr">
        <is>
          <t>Every rule that includes a field the pair differs on finds nothing at all.</t>
        </is>
      </c>
    </row>
    <row r="13">
      <c r="A13" s="3" t="inlineStr">
        <is>
          <t>The verdict</t>
        </is>
      </c>
    </row>
    <row r="14">
      <c r="A14" s="2" t="inlineStr">
        <is>
          <t>Verdict</t>
        </is>
      </c>
      <c r="B14" s="5">
        <f>IF(AND(B6-B7&gt;0,B12=0),"stop: your rule finds nothing while the id count says otherwise",IF(B8="no","escalate to the order book owner, keep both rows and flag the pair","ship it: the rule is stated and the pair is resolved"))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dataValidations count="2">
    <dataValidation sqref="B5" showDropDown="0" showInputMessage="0" showErrorMessage="0" allowBlank="0" type="list">
      <formula1>"every field,order_id,order_id and order_date,order_id and amount"</formula1>
    </dataValidation>
    <dataValidation sqref="B8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" customWidth="1" min="3" max="3"/>
    <col width="62" customWidth="1" min="4" max="4"/>
  </cols>
  <sheetData>
    <row r="1">
      <c r="A1" s="1" t="inlineStr">
        <is>
          <t>Decision 3. One order is enormous. What happens to it?</t>
        </is>
      </c>
    </row>
    <row r="2" ht="30" customHeight="1">
      <c r="A2" s="2" t="inlineStr">
        <is>
          <t>The largest Kalpa Retail order is Rs 480,000 against a next-largest under Rs 3,000. It converts, and it has a customer, a date and a status like every other order.</t>
        </is>
      </c>
    </row>
    <row r="4">
      <c r="A4" s="3" t="inlineStr">
        <is>
          <t>What you decided</t>
        </is>
      </c>
    </row>
    <row r="5">
      <c r="A5" s="2" t="inlineStr">
        <is>
          <t>What you do with it</t>
        </is>
      </c>
      <c r="B5" s="4" t="inlineStr">
        <is>
          <t>delete it</t>
        </is>
      </c>
      <c r="D5" s="2" t="inlineStr">
        <is>
          <t>This is the planted defect on this tab.</t>
        </is>
      </c>
    </row>
    <row r="6">
      <c r="A6" s="2" t="inlineStr">
        <is>
          <t>The order's amount, in Rs</t>
        </is>
      </c>
      <c r="B6" s="4" t="n">
        <v>480000</v>
      </c>
    </row>
    <row r="7">
      <c r="A7" s="2" t="inlineStr">
        <is>
          <t>Every other order's total, in Rs</t>
        </is>
      </c>
      <c r="B7" s="4" t="n">
        <v>74000</v>
      </c>
    </row>
    <row r="8">
      <c r="A8" s="2" t="inlineStr">
        <is>
          <t>How many other orders</t>
        </is>
      </c>
      <c r="B8" s="4" t="n">
        <v>43</v>
      </c>
    </row>
    <row r="9">
      <c r="A9" s="2" t="inlineStr">
        <is>
          <t>Does anything in the record look wrong?</t>
        </is>
      </c>
      <c r="B9" s="4" t="inlineStr">
        <is>
          <t>no</t>
        </is>
      </c>
    </row>
    <row r="11">
      <c r="A11" s="3" t="inlineStr">
        <is>
          <t>What that gives you</t>
        </is>
      </c>
    </row>
    <row r="12">
      <c r="A12" s="2" t="inlineStr">
        <is>
          <t>Its share of the money</t>
        </is>
      </c>
      <c r="B12" s="5">
        <f>TEXT(B6/(B6+B7),"0%")</f>
        <v/>
      </c>
    </row>
    <row r="13">
      <c r="A13" s="2" t="inlineStr">
        <is>
          <t>Mean without it, in Rs</t>
        </is>
      </c>
      <c r="B13" s="5">
        <f>ROUND(B7/B8,0)</f>
        <v/>
      </c>
    </row>
    <row r="14">
      <c r="A14" s="2" t="inlineStr">
        <is>
          <t>Mean with it, in Rs</t>
        </is>
      </c>
      <c r="B14" s="5">
        <f>ROUND((B6+B7)/(B8+1),0)</f>
        <v/>
      </c>
    </row>
    <row r="15">
      <c r="A15" s="2" t="inlineStr">
        <is>
          <t>How far the mean moves, in Rs</t>
        </is>
      </c>
      <c r="B15" s="5">
        <f>B14-B13</f>
        <v/>
      </c>
    </row>
    <row r="16">
      <c r="A16" s="3" t="inlineStr">
        <is>
          <t>The verdict</t>
        </is>
      </c>
    </row>
    <row r="17">
      <c r="A17" s="2" t="inlineStr">
        <is>
          <t>Verdict</t>
        </is>
      </c>
      <c r="B17" s="5">
        <f>IF(AND(B5="delete it",B9="no"),"stop: deleting a real order changes the business the file describes",IF(B5="cap it at a fence","stop: a cap is an invented value and needs its own log line",IF(B9="yes","reject it, since the record itself is wrong","ship it: kept, flagged, and its share of the total stated")))</f>
        <v/>
      </c>
    </row>
    <row r="19">
      <c r="A19" s="6" t="inlineStr">
        <is>
          <t>Yellow cells are yours to change. Everything else is computed.</t>
        </is>
      </c>
    </row>
  </sheetData>
  <mergeCells count="2">
    <mergeCell ref="A19:D19"/>
    <mergeCell ref="A2:D2"/>
  </mergeCells>
  <dataValidations count="2">
    <dataValidation sqref="B5" showDropDown="0" showInputMessage="0" showErrorMessage="0" allowBlank="0" type="list">
      <formula1>"delete it,cap it at a fence,keep it and flag it"</formula1>
    </dataValidation>
    <dataValidation sqref="B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0" customWidth="1" min="2" max="2"/>
    <col width="3" customWidth="1" min="3" max="3"/>
    <col width="62" customWidth="1" min="4" max="4"/>
  </cols>
  <sheetData>
    <row r="1">
      <c r="A1" s="1" t="inlineStr">
        <is>
          <t>The decisions log, assembled by formula</t>
        </is>
      </c>
    </row>
    <row r="2" ht="30" customHeight="1">
      <c r="A2" s="2" t="inlineStr">
        <is>
          <t>Nothing here is typed. This is the log that ships beside the data, and it changes the moment a decision changes.</t>
        </is>
      </c>
    </row>
    <row r="5">
      <c r="A5" s="2" t="inlineStr">
        <is>
          <t>Missing values</t>
        </is>
      </c>
      <c r="B5" s="5">
        <f>Missingness!B15</f>
        <v/>
      </c>
    </row>
    <row r="6">
      <c r="A6" s="2" t="inlineStr">
        <is>
          <t>Duplicates</t>
        </is>
      </c>
      <c r="B6" s="5">
        <f>Duplicates!B14</f>
        <v/>
      </c>
    </row>
    <row r="7">
      <c r="A7" s="2" t="inlineStr">
        <is>
          <t>Extremes</t>
        </is>
      </c>
      <c r="B7" s="5">
        <f>Extremes!B17</f>
        <v/>
      </c>
    </row>
    <row r="9">
      <c r="A9" s="3" t="inlineStr">
        <is>
          <t>The release</t>
        </is>
      </c>
    </row>
    <row r="10">
      <c r="A10" s="2" t="inlineStr">
        <is>
          <t>Decisions still blocking</t>
        </is>
      </c>
      <c r="B10" s="5">
        <f>COUNTIF(B5:B7,"stop:*")</f>
        <v/>
      </c>
    </row>
    <row r="11">
      <c r="A11" s="2" t="inlineStr">
        <is>
          <t>Release verdict</t>
        </is>
      </c>
      <c r="B11" s="5">
        <f>IF(B10=0,"release: the profiled dataset ships with its log","hold: "&amp;B10&amp;" of 3 decisions are still blocking")</f>
        <v/>
      </c>
    </row>
    <row r="13">
      <c r="A13" s="3" t="inlineStr">
        <is>
          <t>The paragraph to paste</t>
        </is>
      </c>
    </row>
    <row r="14">
      <c r="A14" s="2" t="inlineStr">
        <is>
          <t>Brief</t>
        </is>
      </c>
      <c r="B14" s="5">
        <f>CONCATENATE("Kalpa Retail, Week 1 Day 3. 50 orders profiled. Missing values: ",Missingness!B15,". Duplicates: ",Duplicates!B14,". Extremes: ",Extremes!B17,". The largest order is ",Extremes!B12," of the money and moves the mean by Rs ",TEXT(Extremes!B15,"#,##0"),".")</f>
        <v/>
      </c>
    </row>
    <row r="16">
      <c r="A16" s="6" t="inlineStr">
        <is>
          <t>Yellow cells are yours to change. Everything else is computed.</t>
        </is>
      </c>
    </row>
  </sheetData>
  <mergeCells count="2">
    <mergeCell ref="A16:D1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2026-09-10T02:01:45Z</dcterms:created>
  <dcterms:modified xmlns:dcterms="http://purl.org/dc/terms/" xmlns:xsi="http://www.w3.org/2001/XMLSchema-instance" xsi:type="dcterms:W3CDTF">2026-09-10T02:01:45Z</dcterms:modified>
</cp:coreProperties>
</file>