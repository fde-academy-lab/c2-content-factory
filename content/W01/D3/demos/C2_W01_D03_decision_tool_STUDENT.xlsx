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file" sheetId="2" state="visible" r:id="rId2"/>
    <sheet xmlns:r="http://schemas.openxmlformats.org/officeDocument/2006/relationships" name="Identity" sheetId="3" state="visible" r:id="rId3"/>
    <sheet xmlns:r="http://schemas.openxmlformats.org/officeDocument/2006/relationships" name="Largest" sheetId="4" state="visible" r:id="rId4"/>
    <sheet xmlns:r="http://schemas.openxmlformats.org/officeDocument/2006/relationships" name="Reconcile" sheetId="5" state="visible" r:id="rId5"/>
    <sheet xmlns:r="http://schemas.openxmlformats.org/officeDocument/2006/relationships" name="Expor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color rgb="001A0F5C"/>
      <sz val="16"/>
    </font>
    <font>
      <i val="1"/>
      <color rgb="006B6690"/>
    </font>
    <font>
      <b val="1"/>
      <color rgb="00FFFFFF"/>
    </font>
    <font>
      <b val="1"/>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2">
    <border>
      <left/>
      <right/>
      <top/>
      <bottom/>
      <diagonal/>
    </border>
    <border>
      <left style="thin">
        <color rgb="00CFC9EE"/>
      </left>
      <right style="thin">
        <color rgb="00CFC9EE"/>
      </right>
      <top style="thin">
        <color rgb="00CFC9EE"/>
      </top>
      <bottom style="thin">
        <color rgb="00CFC9EE"/>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0" fillId="3" borderId="1" pivotButton="0" quotePrefix="0" xfId="0"/>
    <xf numFmtId="0" fontId="4" fillId="0" borderId="0" pivotButton="0" quotePrefix="0" xfId="0"/>
    <xf numFmtId="0" fontId="5" fillId="0" borderId="0"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Which four cleaning decisions get the export to the books?</t>
        </is>
      </c>
    </row>
    <row r="3">
      <c r="A3" s="2" t="inlineStr">
        <is>
          <t>Kalpa Retail, Week 1, Wednesday. Anand Iyer, the finance controller, acts only on a figure that matches his books to the rupee, and his analyst ties out every figure, matching it to the books line by line. Four cleaning decisions the day taught get an export there, one tab each, and an Export tab assembles the note.</t>
        </is>
      </c>
    </row>
    <row r="4">
      <c r="A4" s="2" t="inlineStr">
        <is>
          <t>Yellow cells are inputs; every other number and sentence is a live formula. Every record here is invented, so the tool works on any export you paste in.</t>
        </is>
      </c>
    </row>
    <row r="5">
      <c r="A5" s="2" t="inlineStr">
        <is>
          <t>Each tab carries one planted defect. Read the tab's check line first, find the cell, fix it, and watch the verdict change.</t>
        </is>
      </c>
    </row>
    <row r="6">
      <c r="A6" s="2" t="inlineStr">
        <is>
          <t>The Export tab releases the note only when all four tabs pass their checks, so fixing one tab does not clear it.</t>
        </is>
      </c>
    </row>
    <row r="7">
      <c r="A7" s="2" t="inlineStr">
        <is>
          <t>The Profile tab counts what converts, the Identity tab says what makes two rows one order, the Largest tab keeps a large order that is real, and the Reconcile tab ties rows and rupees to the books.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What converts, and what fails?</t>
        </is>
      </c>
    </row>
    <row r="2">
      <c r="A2" s="3" t="inlineStr">
        <is>
          <t>Ten invented amounts as the file holds them, as text. A failure is logged, never turned into a number.</t>
        </is>
      </c>
    </row>
    <row r="4">
      <c r="A4" s="4" t="inlineStr">
        <is>
          <t>Amount as text</t>
        </is>
      </c>
      <c r="B4" s="4" t="inlineStr">
        <is>
          <t>Converted</t>
        </is>
      </c>
      <c r="C4" s="4" t="inlineStr"/>
      <c r="D4" s="4" t="inlineStr">
        <is>
          <t>Count</t>
        </is>
      </c>
      <c r="E4" s="4" t="inlineStr">
        <is>
          <t>Value</t>
        </is>
      </c>
    </row>
    <row r="5">
      <c r="A5" s="5" t="inlineStr">
        <is>
          <t>2500</t>
        </is>
      </c>
      <c r="B5">
        <f>IFERROR(VALUE(A5),"")</f>
        <v/>
      </c>
      <c r="D5" t="inlineStr">
        <is>
          <t>Present</t>
        </is>
      </c>
      <c r="E5">
        <f>COUNTA(A5:A14)</f>
        <v/>
      </c>
    </row>
    <row r="6">
      <c r="A6" s="5" t="inlineStr">
        <is>
          <t>1300</t>
        </is>
      </c>
      <c r="B6">
        <f>IFERROR(VALUE(A6),"")</f>
        <v/>
      </c>
      <c r="D6" t="inlineStr">
        <is>
          <t>Convertible</t>
        </is>
      </c>
      <c r="E6">
        <f>COUNTA(B5:B14)</f>
        <v/>
      </c>
    </row>
    <row r="7">
      <c r="A7" s="5" t="inlineStr">
        <is>
          <t>n/a</t>
        </is>
      </c>
      <c r="B7">
        <f>IFERROR(VALUE(A7),"")</f>
        <v/>
      </c>
      <c r="D7" t="inlineStr">
        <is>
          <t>Failed, to the log</t>
        </is>
      </c>
      <c r="E7">
        <f>SUMPRODUCT(--(B5:B14=""))</f>
        <v/>
      </c>
    </row>
    <row r="8">
      <c r="A8" s="5" t="inlineStr">
        <is>
          <t>3100</t>
        </is>
      </c>
      <c r="B8">
        <f>IFERROR(VALUE(A8),"")</f>
        <v/>
      </c>
      <c r="D8" t="inlineStr">
        <is>
          <t>Total of what converts</t>
        </is>
      </c>
      <c r="E8">
        <f>SUM(B5:B14)</f>
        <v/>
      </c>
    </row>
    <row r="9">
      <c r="A9" s="5" t="inlineStr">
        <is>
          <t>1800</t>
        </is>
      </c>
      <c r="B9">
        <f>IFERROR(VALUE(A9),"")</f>
        <v/>
      </c>
      <c r="D9" s="6" t="inlineStr">
        <is>
          <t>The check</t>
        </is>
      </c>
      <c r="E9" s="2">
        <f>IF(E6+E7=E5,"Convertible plus failed equals present.","Convertible plus failed is more than present: the convertible count counts failures too. Fix it first.")</f>
        <v/>
      </c>
    </row>
    <row r="10">
      <c r="A10" s="5" t="inlineStr">
        <is>
          <t>2600</t>
        </is>
      </c>
      <c r="B10">
        <f>IFERROR(VALUE(A10),"")</f>
        <v/>
      </c>
    </row>
    <row r="11">
      <c r="A11" s="5" t="inlineStr">
        <is>
          <t>950</t>
        </is>
      </c>
      <c r="B11">
        <f>IFERROR(VALUE(A11),"")</f>
        <v/>
      </c>
      <c r="D11" s="7" t="inlineStr">
        <is>
          <t>Verdict</t>
        </is>
      </c>
      <c r="E11" s="8">
        <f>IF(E6+E7&lt;&gt;E5,"Fix the convertible count before any total leaves the team.","Log "&amp;E7&amp;" failure"&amp;IF(E7=1,"","s")&amp;" with its line and reason; "&amp;E6&amp;" of "&amp;E5&amp;" amounts convert, totalling "&amp;"Rs "&amp;IF(ROUND(E8,0)&gt;=100000,INT(ROUND(E8,0)/100000)&amp;","&amp;TEXT(INT(MOD(ROUND(E8,0),100000)/1000),"00")&amp;","&amp;TEXT(MOD(ROUND(E8,0),1000),"000"),IF(ROUND(E8,0)&gt;=1000,INT(ROUND(E8,0)/1000)&amp;","&amp;TEXT(MOD(ROUND(E8,0),1000),"000"),ROUND(E8,0)&amp;""))&amp;".")</f>
        <v/>
      </c>
    </row>
    <row r="12">
      <c r="A12" s="5" t="inlineStr">
        <is>
          <t>4100</t>
        </is>
      </c>
      <c r="B12">
        <f>IFERROR(VALUE(A12),"")</f>
        <v/>
      </c>
      <c r="D12" s="3" t="inlineStr">
        <is>
          <t>Fixed, for the Export tab</t>
        </is>
      </c>
      <c r="E12">
        <f>IF(E6+E7=E5,1,0)</f>
        <v/>
      </c>
    </row>
    <row r="13">
      <c r="A13" s="5" t="inlineStr">
        <is>
          <t>1750</t>
        </is>
      </c>
      <c r="B13">
        <f>IFERROR(VALUE(A13),"")</f>
        <v/>
      </c>
    </row>
    <row r="14">
      <c r="A14" s="5" t="inlineStr">
        <is>
          <t>2200</t>
        </is>
      </c>
      <c r="B14">
        <f>IFERROR(VALUE(A14),"")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What makes two rows one order?</t>
        </is>
      </c>
    </row>
    <row r="2">
      <c r="A2" s="3" t="inlineStr">
        <is>
          <t>Eight invented rows, each carrying the file line it came from. The key decides what counts as a duplicate.</t>
        </is>
      </c>
    </row>
    <row r="4">
      <c r="A4" s="4" t="inlineStr">
        <is>
          <t>order_id</t>
        </is>
      </c>
      <c r="B4" s="4" t="inlineStr">
        <is>
          <t>Amount</t>
        </is>
      </c>
      <c r="C4" s="4" t="inlineStr">
        <is>
          <t>Date</t>
        </is>
      </c>
      <c r="D4" s="4" t="inlineStr">
        <is>
          <t>Line</t>
        </is>
      </c>
      <c r="E4" s="4" t="inlineStr">
        <is>
          <t>Key used</t>
        </is>
      </c>
    </row>
    <row r="5">
      <c r="A5" s="5" t="inlineStr">
        <is>
          <t>INV-01</t>
        </is>
      </c>
      <c r="B5" s="5" t="n">
        <v>2500</v>
      </c>
      <c r="C5" s="5" t="inlineStr">
        <is>
          <t>2026-05-03</t>
        </is>
      </c>
      <c r="D5" s="5" t="n">
        <v>2</v>
      </c>
      <c r="E5">
        <f>IF($B$16="order_id",A5,A5&amp;"|"&amp;B5&amp;"|"&amp;C5&amp;"|"&amp;D5)</f>
        <v/>
      </c>
    </row>
    <row r="6">
      <c r="A6" s="5" t="inlineStr">
        <is>
          <t>INV-02</t>
        </is>
      </c>
      <c r="B6" s="5" t="n">
        <v>1300</v>
      </c>
      <c r="C6" s="5" t="inlineStr">
        <is>
          <t>2026-05-09</t>
        </is>
      </c>
      <c r="D6" s="5" t="n">
        <v>3</v>
      </c>
      <c r="E6">
        <f>IF($B$16="order_id",A6,A6&amp;"|"&amp;B6&amp;"|"&amp;C6&amp;"|"&amp;D6)</f>
        <v/>
      </c>
    </row>
    <row r="7">
      <c r="A7" s="5" t="inlineStr">
        <is>
          <t>INV-01</t>
        </is>
      </c>
      <c r="B7" s="5" t="n">
        <v>2500</v>
      </c>
      <c r="C7" s="5" t="inlineStr">
        <is>
          <t>2026-05-03</t>
        </is>
      </c>
      <c r="D7" s="5" t="n">
        <v>4</v>
      </c>
      <c r="E7">
        <f>IF($B$16="order_id",A7,A7&amp;"|"&amp;B7&amp;"|"&amp;C7&amp;"|"&amp;D7)</f>
        <v/>
      </c>
    </row>
    <row r="8">
      <c r="A8" s="5" t="inlineStr">
        <is>
          <t>INV-03</t>
        </is>
      </c>
      <c r="B8" s="5" t="n">
        <v>450000</v>
      </c>
      <c r="C8" s="5" t="inlineStr">
        <is>
          <t>2026-06-11</t>
        </is>
      </c>
      <c r="D8" s="5" t="n">
        <v>5</v>
      </c>
      <c r="E8">
        <f>IF($B$16="order_id",A8,A8&amp;"|"&amp;B8&amp;"|"&amp;C8&amp;"|"&amp;D8)</f>
        <v/>
      </c>
    </row>
    <row r="9">
      <c r="A9" s="5" t="inlineStr">
        <is>
          <t>INV-04</t>
        </is>
      </c>
      <c r="B9" s="5" t="n">
        <v>3100</v>
      </c>
      <c r="C9" s="5" t="inlineStr">
        <is>
          <t>2026-06-20</t>
        </is>
      </c>
      <c r="D9" s="5" t="n">
        <v>6</v>
      </c>
      <c r="E9">
        <f>IF($B$16="order_id",A9,A9&amp;"|"&amp;B9&amp;"|"&amp;C9&amp;"|"&amp;D9)</f>
        <v/>
      </c>
    </row>
    <row r="10">
      <c r="A10" s="5" t="inlineStr">
        <is>
          <t>INV-03</t>
        </is>
      </c>
      <c r="B10" s="5" t="n">
        <v>450000</v>
      </c>
      <c r="C10" s="5" t="inlineStr">
        <is>
          <t>2026-06-11</t>
        </is>
      </c>
      <c r="D10" s="5" t="n">
        <v>7</v>
      </c>
      <c r="E10">
        <f>IF($B$16="order_id",A10,A10&amp;"|"&amp;B10&amp;"|"&amp;C10&amp;"|"&amp;D10)</f>
        <v/>
      </c>
    </row>
    <row r="11">
      <c r="A11" s="5" t="inlineStr">
        <is>
          <t>INV-05</t>
        </is>
      </c>
      <c r="B11" s="5" t="n">
        <v>1800</v>
      </c>
      <c r="C11" s="5" t="inlineStr">
        <is>
          <t>2026-08-21</t>
        </is>
      </c>
      <c r="D11" s="5" t="n">
        <v>8</v>
      </c>
      <c r="E11">
        <f>IF($B$16="order_id",A11,A11&amp;"|"&amp;B11&amp;"|"&amp;C11&amp;"|"&amp;D11)</f>
        <v/>
      </c>
    </row>
    <row r="12">
      <c r="A12" s="5" t="inlineStr">
        <is>
          <t>INV-05</t>
        </is>
      </c>
      <c r="B12" s="5" t="n">
        <v>1800</v>
      </c>
      <c r="C12" s="5" t="inlineStr">
        <is>
          <t>2026-07-30</t>
        </is>
      </c>
      <c r="D12" s="5" t="n">
        <v>9</v>
      </c>
      <c r="E12">
        <f>IF($B$16="order_id",A12,A12&amp;"|"&amp;B12&amp;"|"&amp;C12&amp;"|"&amp;D12)</f>
        <v/>
      </c>
    </row>
    <row r="14">
      <c r="A14" t="inlineStr">
        <is>
          <t>Rows</t>
        </is>
      </c>
      <c r="B14">
        <f>COUNTA(A5:A12)</f>
        <v/>
      </c>
    </row>
    <row r="15">
      <c r="A15" t="inlineStr">
        <is>
          <t>Distinct order ids</t>
        </is>
      </c>
      <c r="B15">
        <f>SUMPRODUCT(1/COUNTIF(A5:A12,A5:A12))</f>
        <v/>
      </c>
    </row>
    <row r="16">
      <c r="A16" s="6" t="inlineStr">
        <is>
          <t>The key</t>
        </is>
      </c>
      <c r="B16" s="5" t="inlineStr">
        <is>
          <t>every field</t>
        </is>
      </c>
    </row>
    <row r="17">
      <c r="A17" t="inlineStr">
        <is>
          <t>Duplicates found</t>
        </is>
      </c>
      <c r="B17">
        <f>B14-SUMPRODUCT(1/COUNTIF(E5:E12,E5:E12))</f>
        <v/>
      </c>
    </row>
    <row r="18">
      <c r="A18" s="6" t="inlineStr">
        <is>
          <t>The check</t>
        </is>
      </c>
      <c r="B18" s="2">
        <f>IF(B17=B14-B15,"Duplicates found equals rows less distinct order ids.","Duplicates found disagrees with rows less distinct order ids: the key is not the identity rule. Fix it first.")</f>
        <v/>
      </c>
    </row>
    <row r="20">
      <c r="A20" s="7" t="inlineStr">
        <is>
          <t>Verdict</t>
        </is>
      </c>
      <c r="B20" s="8">
        <f>IF(B17&lt;&gt;B14-B15,"Fix the key before counting duplicates.","Set aside "&amp;ROUND(B17,0)&amp;" rows by the order_id rule, keep "&amp;ROUND(B15,0)&amp;" orders, and log a reason for each row set aside.")</f>
        <v/>
      </c>
    </row>
    <row r="21">
      <c r="A21" s="3" t="inlineStr">
        <is>
          <t>Fixed, for the Export tab</t>
        </is>
      </c>
      <c r="B21">
        <f>IF(ROUND(B17-(B14-B15),6)=0,1,0)</f>
        <v/>
      </c>
    </row>
  </sheetData>
  <dataValidations count="1">
    <dataValidation sqref="B16" showDropDown="0" showInputMessage="0" showErrorMessage="0" allowBlank="0" type="list">
      <formula1>"every field,order_id"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Should the large order stay in revenue?</t>
        </is>
      </c>
    </row>
    <row r="2">
      <c r="A2" s="3" t="inlineStr">
        <is>
          <t>Eight invented Business orders. A fence flags the largest for a check of their records, and revenue keeps every valid order.</t>
        </is>
      </c>
    </row>
    <row r="4">
      <c r="A4" s="4" t="inlineStr">
        <is>
          <t>Order amount (Rs)</t>
        </is>
      </c>
      <c r="B4" s="4" t="inlineStr">
        <is>
          <t>Above the fence</t>
        </is>
      </c>
    </row>
    <row r="5">
      <c r="A5" s="5" t="n">
        <v>310000</v>
      </c>
      <c r="B5">
        <f>IF(A5&gt;$E$6,"flag and check","")</f>
        <v/>
      </c>
      <c r="D5" t="inlineStr">
        <is>
          <t>Median</t>
        </is>
      </c>
      <c r="E5">
        <f>MEDIAN(A5:A12)</f>
        <v/>
      </c>
    </row>
    <row r="6">
      <c r="A6" s="5" t="n">
        <v>420000</v>
      </c>
      <c r="B6">
        <f>IF(A6&gt;$E$6,"flag and check","")</f>
        <v/>
      </c>
      <c r="D6" t="inlineStr">
        <is>
          <t>Fence</t>
        </is>
      </c>
      <c r="E6">
        <f>E5*E7</f>
        <v/>
      </c>
    </row>
    <row r="7">
      <c r="A7" s="5" t="n">
        <v>450000</v>
      </c>
      <c r="B7">
        <f>IF(A7&gt;$E$6,"flag and check","")</f>
        <v/>
      </c>
      <c r="D7" t="inlineStr">
        <is>
          <t>Fence multiple</t>
        </is>
      </c>
      <c r="E7" s="5" t="n">
        <v>3</v>
      </c>
    </row>
    <row r="8">
      <c r="A8" s="5" t="n">
        <v>520000</v>
      </c>
      <c r="B8">
        <f>IF(A8&gt;$E$6,"flag and check","")</f>
        <v/>
      </c>
      <c r="D8" t="inlineStr">
        <is>
          <t>Every order</t>
        </is>
      </c>
      <c r="E8">
        <f>SUM(A5:A12)</f>
        <v/>
      </c>
    </row>
    <row r="9">
      <c r="A9" s="5" t="n">
        <v>610000</v>
      </c>
      <c r="B9">
        <f>IF(A9&gt;$E$6,"flag and check","")</f>
        <v/>
      </c>
      <c r="D9" t="inlineStr">
        <is>
          <t>Revenue reported</t>
        </is>
      </c>
      <c r="E9">
        <f>SUMIF(A5:A12,"&lt;="&amp;E6)</f>
        <v/>
      </c>
    </row>
    <row r="10">
      <c r="A10" s="5" t="n">
        <v>700000</v>
      </c>
      <c r="B10">
        <f>IF(A10&gt;$E$6,"flag and check","")</f>
        <v/>
      </c>
      <c r="D10" t="inlineStr">
        <is>
          <t>Orders flagged</t>
        </is>
      </c>
      <c r="E10">
        <f>COUNTIF(B5:B12,"flag and check")</f>
        <v/>
      </c>
    </row>
    <row r="11">
      <c r="A11" s="5" t="n">
        <v>880000</v>
      </c>
      <c r="B11">
        <f>IF(A11&gt;$E$6,"flag and check","")</f>
        <v/>
      </c>
      <c r="D11" s="6" t="inlineStr">
        <is>
          <t>The check</t>
        </is>
      </c>
      <c r="E11" s="2">
        <f>IF(E9=E8,"Every valid order stays in revenue.","Revenue reported leaves out orders above the fence: a fence flags, it never removes. Fix it first.")</f>
        <v/>
      </c>
    </row>
    <row r="12">
      <c r="A12" s="5" t="n">
        <v>1800000</v>
      </c>
      <c r="B12">
        <f>IF(A12&gt;$E$6,"flag and check","")</f>
        <v/>
      </c>
    </row>
    <row r="13">
      <c r="D13" s="7" t="inlineStr">
        <is>
          <t>Verdict</t>
        </is>
      </c>
      <c r="E13" s="8">
        <f>IF(E9&lt;&gt;E8,"Fix the revenue that drops the largest orders before reporting it.","Keep all "&amp;COUNT(A5:A12)&amp;" orders, "&amp;"Rs "&amp;IF(ROUND(E8,0)&gt;=100000,INT(ROUND(E8,0)/100000)&amp;","&amp;TEXT(INT(MOD(ROUND(E8,0),100000)/1000),"00")&amp;","&amp;TEXT(MOD(ROUND(E8,0),1000),"000"),IF(ROUND(E8,0)&gt;=1000,INT(ROUND(E8,0)/1000)&amp;","&amp;TEXT(MOD(ROUND(E8,0),1000),"000"),ROUND(E8,0)&amp;""))&amp;"; flag "&amp;E10&amp;" above the fence for a record check, and show the total without "&amp;IF(E10=1,"it","them")&amp;" beside it.")</f>
        <v/>
      </c>
    </row>
    <row r="14">
      <c r="D14" s="3" t="inlineStr">
        <is>
          <t>Fixed, for the Export tab</t>
        </is>
      </c>
      <c r="E14">
        <f>IF(E9=E8,1,0)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Do rows and rupees both tie to the books?</t>
        </is>
      </c>
    </row>
    <row r="2">
      <c r="A2" s="3" t="inlineStr">
        <is>
          <t>Four invented rows; one pair shares an id, and the first copy's amount will not convert. The books say Rs 9,600.</t>
        </is>
      </c>
    </row>
    <row r="4">
      <c r="A4" s="4" t="inlineStr"/>
      <c r="B4" s="4" t="inlineStr">
        <is>
          <t>Value</t>
        </is>
      </c>
    </row>
    <row r="5">
      <c r="A5" t="inlineStr">
        <is>
          <t>Which copy stays</t>
        </is>
      </c>
      <c r="B5" s="5" t="inlineStr">
        <is>
          <t>the first</t>
        </is>
      </c>
    </row>
    <row r="6">
      <c r="A6" t="inlineStr">
        <is>
          <t>Rows in</t>
        </is>
      </c>
      <c r="B6" t="n">
        <v>4</v>
      </c>
    </row>
    <row r="7">
      <c r="A7" t="inlineStr">
        <is>
          <t>Rows kept</t>
        </is>
      </c>
      <c r="B7">
        <f>IF(B5="the copy that validates",3,2)</f>
        <v/>
      </c>
    </row>
    <row r="8">
      <c r="A8" t="inlineStr">
        <is>
          <t>Rows set aside</t>
        </is>
      </c>
      <c r="B8">
        <f>B6-B7</f>
        <v/>
      </c>
    </row>
    <row r="9">
      <c r="A9" t="inlineStr">
        <is>
          <t>Rupees kept</t>
        </is>
      </c>
      <c r="B9">
        <f>IF(B5="the copy that validates",9600,7000)</f>
        <v/>
      </c>
    </row>
    <row r="10">
      <c r="A10" t="inlineStr">
        <is>
          <t>The books</t>
        </is>
      </c>
      <c r="B10" s="5" t="n">
        <v>9600</v>
      </c>
    </row>
    <row r="11">
      <c r="A11" s="6" t="inlineStr">
        <is>
          <t>The check</t>
        </is>
      </c>
      <c r="B11" s="2">
        <f>IF(B9=B10,"Rupees kept equal the books.","Rupees kept miss the books by "&amp;TEXT(B10-B9,"#,##0")&amp;": a verdict that reads only the rows would ship this. Fix the verdict first.")</f>
        <v/>
      </c>
    </row>
    <row r="13">
      <c r="A13" s="7" t="inlineStr">
        <is>
          <t>Verdict</t>
        </is>
      </c>
      <c r="B13" s="8">
        <f>IF(B6=B7+B8,"Reconciled: send it to Anand.","The rows do not reconcile.")</f>
        <v/>
      </c>
    </row>
    <row r="14">
      <c r="A14" s="3" t="inlineStr">
        <is>
          <t>Fixed, for the Export tab</t>
        </is>
      </c>
      <c r="B14">
        <f>IF(ISNUMBER(SEARCH("rupees",B13)),1,0)</f>
        <v/>
      </c>
    </row>
  </sheetData>
  <dataValidations count="1">
    <dataValidation sqref="B5" showDropDown="0" showInputMessage="0" showErrorMessage="0" allowBlank="0" type="list">
      <formula1>"the first,the copy that validates"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0" customWidth="1" min="1" max="1"/>
    <col width="110"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Is the note to Anand ready to paste?</t>
        </is>
      </c>
    </row>
    <row r="2">
      <c r="A2" s="3" t="inlineStr">
        <is>
          <t>The note below is released only when every tab's check passes, and then it pastes into the note to Anand.</t>
        </is>
      </c>
    </row>
    <row r="4">
      <c r="A4" s="6" t="inlineStr">
        <is>
          <t>Tabs fixed</t>
        </is>
      </c>
      <c r="B4">
        <f>Profile!E12+Identity!B21+Largest!E14+Reconcile!B14</f>
        <v/>
      </c>
    </row>
    <row r="5">
      <c r="A5" s="7" t="inlineStr">
        <is>
          <t>Release</t>
        </is>
      </c>
      <c r="B5" s="8">
        <f>IF(B4=4,"Ready to paste into the note to Anand.","Not ready: "&amp;(4-B4)&amp;" of the four tabs still carry a defect to fix first.")</f>
        <v/>
      </c>
    </row>
    <row r="7" ht="100" customHeight="1">
      <c r="A7" s="6" t="inlineStr">
        <is>
          <t>Paste-ready note</t>
        </is>
      </c>
      <c r="B7" s="2">
        <f>IF(B4=4,"Profile: "&amp;Profile!E11&amp;CHAR(10)&amp;"Identity: "&amp;Identity!B20&amp;CHAR(10)&amp;"Largest order: "&amp;Largest!E13&amp;CHAR(10)&amp;"Reconcile: "&amp;Reconcile!B13,"The note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2026-09-30T22:03:29Z</dcterms:created>
  <dcterms:modified xmlns:dcterms="http://purl.org/dc/terms/" xmlns:xsi="http://www.w3.org/2001/XMLSchema-instance" xsi:type="dcterms:W3CDTF">2026-09-30T22:03:29Z</dcterms:modified>
</cp:coreProperties>
</file>