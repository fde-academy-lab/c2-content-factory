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Identity" sheetId="3" state="visible" r:id="rId3"/>
    <sheet xmlns:r="http://schemas.openxmlformats.org/officeDocument/2006/relationships" name="Tail" sheetId="4" state="visible" r:id="rId4"/>
    <sheet xmlns:r="http://schemas.openxmlformats.org/officeDocument/2006/relationships" name="Reconcile" sheetId="5" state="visible" r:id="rId5"/>
    <sheet xmlns:r="http://schemas.openxmlformats.org/officeDocument/2006/relationships" name="Ex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color rgb="001A0F5C"/>
      <sz val="16"/>
    </font>
    <font>
      <i val="1"/>
      <color rgb="006B6690"/>
    </font>
    <font>
      <b val="1"/>
      <color rgb="00FFFFFF"/>
    </font>
    <font>
      <b val="1"/>
      <color rgb="001A0F5C"/>
    </font>
    <font>
      <b val="1"/>
      <color rgb="001A0F5C"/>
      <sz val="12"/>
    </font>
  </fonts>
  <fills count="5">
    <fill>
      <patternFill/>
    </fill>
    <fill>
      <patternFill patternType="gray125"/>
    </fill>
    <fill>
      <patternFill patternType="solid">
        <fgColor rgb="001A0F5C"/>
      </patternFill>
    </fill>
    <fill>
      <patternFill patternType="solid">
        <fgColor rgb="00FFF4C2"/>
      </patternFill>
    </fill>
    <fill>
      <patternFill patternType="solid">
        <fgColor rgb="00EEEAFB"/>
      </patternFill>
    </fill>
  </fills>
  <borders count="2">
    <border>
      <left/>
      <right/>
      <top/>
      <bottom/>
      <diagonal/>
    </border>
    <border>
      <left style="thin">
        <color rgb="00CFC9EE"/>
      </left>
      <right style="thin">
        <color rgb="00CFC9EE"/>
      </right>
      <top style="thin">
        <color rgb="00CFC9EE"/>
      </top>
      <bottom style="thin">
        <color rgb="00CFC9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Which Q1 figure is right: the decision tool</t>
        </is>
      </c>
    </row>
    <row r="3">
      <c r="A3" s="2" t="inlineStr">
        <is>
          <t>Kalpa Retail, Week 1, Wednesday. Four cleaning decisions the day taught, one tab each, and an Export tab that assembles the note to Anand.</t>
        </is>
      </c>
    </row>
    <row r="4">
      <c r="A4" s="2" t="inlineStr">
        <is>
          <t>Yellow cells are inputs; every other number and sentence is a live formula. Every record here is invented, so the tool works on any export you paste in.</t>
        </is>
      </c>
    </row>
    <row r="5">
      <c r="A5" s="2" t="inlineStr">
        <is>
          <t>Each tab carries one planted defect. Read the tab's check line first, find the cell, fix it, and watch the verdict change.</t>
        </is>
      </c>
    </row>
    <row r="6">
      <c r="A6" s="2" t="inlineStr">
        <is>
          <t>The Export tab releases the note only when all four tabs pass their checks, so fixing one tab does not clear it.</t>
        </is>
      </c>
    </row>
    <row r="7">
      <c r="A7" s="2" t="inlineStr">
        <is>
          <t>Profile: what converts. Identity: what makes two rows one order. Tail: keep the large order. Reconcile: rows and rupees.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3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What converts, and what fails?</t>
        </is>
      </c>
    </row>
    <row r="2">
      <c r="A2" s="3" t="inlineStr">
        <is>
          <t>Ten invented amounts as the file holds them, as text. A failure is counted and logged, never turned into a number.</t>
        </is>
      </c>
    </row>
    <row r="4">
      <c r="A4" s="4" t="inlineStr">
        <is>
          <t>Amount as text</t>
        </is>
      </c>
      <c r="B4" s="4" t="inlineStr">
        <is>
          <t>Converted</t>
        </is>
      </c>
      <c r="C4" s="4" t="inlineStr"/>
      <c r="D4" s="4" t="inlineStr">
        <is>
          <t>Count</t>
        </is>
      </c>
      <c r="E4" s="4" t="inlineStr">
        <is>
          <t>Value</t>
        </is>
      </c>
    </row>
    <row r="5">
      <c r="A5" s="5" t="inlineStr">
        <is>
          <t>2400</t>
        </is>
      </c>
      <c r="B5">
        <f>IFERROR(VALUE(A5),"")</f>
        <v/>
      </c>
      <c r="D5" t="inlineStr">
        <is>
          <t>Present</t>
        </is>
      </c>
      <c r="E5">
        <f>COUNTA(A5:A14)</f>
        <v/>
      </c>
    </row>
    <row r="6">
      <c r="A6" s="5" t="inlineStr">
        <is>
          <t>1300</t>
        </is>
      </c>
      <c r="B6">
        <f>IFERROR(VALUE(A6),"")</f>
        <v/>
      </c>
      <c r="D6" t="inlineStr">
        <is>
          <t>Convertible</t>
        </is>
      </c>
      <c r="E6">
        <f>COUNTA(B5:B14)</f>
        <v/>
      </c>
    </row>
    <row r="7">
      <c r="A7" s="5" t="inlineStr">
        <is>
          <t>n/a</t>
        </is>
      </c>
      <c r="B7">
        <f>IFERROR(VALUE(A7),"")</f>
        <v/>
      </c>
      <c r="D7" t="inlineStr">
        <is>
          <t>Failed, to the log</t>
        </is>
      </c>
      <c r="E7">
        <f>SUMPRODUCT(--(B5:B14=""))</f>
        <v/>
      </c>
    </row>
    <row r="8">
      <c r="A8" s="5" t="inlineStr">
        <is>
          <t>3100</t>
        </is>
      </c>
      <c r="B8">
        <f>IFERROR(VALUE(A8),"")</f>
        <v/>
      </c>
      <c r="D8" t="inlineStr">
        <is>
          <t>Total of what converts</t>
        </is>
      </c>
      <c r="E8">
        <f>SUM(B5:B14)</f>
        <v/>
      </c>
    </row>
    <row r="9">
      <c r="A9" s="5" t="inlineStr">
        <is>
          <t>1800</t>
        </is>
      </c>
      <c r="B9">
        <f>IFERROR(VALUE(A9),"")</f>
        <v/>
      </c>
      <c r="D9" s="6" t="inlineStr">
        <is>
          <t>The check</t>
        </is>
      </c>
      <c r="E9" s="2">
        <f>IF(E6+E7=E5,"Convertible plus failed equals present.","Convertible plus failed is more than present: the convertible count counts failures too. Fix it first.")</f>
        <v/>
      </c>
    </row>
    <row r="10">
      <c r="A10" s="5" t="inlineStr">
        <is>
          <t>2600</t>
        </is>
      </c>
      <c r="B10">
        <f>IFERROR(VALUE(A10),"")</f>
        <v/>
      </c>
    </row>
    <row r="11">
      <c r="A11" s="5" t="inlineStr">
        <is>
          <t>950</t>
        </is>
      </c>
      <c r="B11">
        <f>IFERROR(VALUE(A11),"")</f>
        <v/>
      </c>
      <c r="D11" s="7" t="inlineStr">
        <is>
          <t>Verdict</t>
        </is>
      </c>
      <c r="E11" s="8">
        <f>IF(E6+E7&lt;&gt;E5,"Fix the convertible count before any total leaves the team.","Log "&amp;E7&amp;" failure"&amp;IF(E7=1,"","s")&amp;" with its line and reason; "&amp;E6&amp;" of "&amp;E5&amp;" amounts convert, totalling "&amp;"Rs "&amp;IF(ROUND(E8,0)&gt;=100000,INT(ROUND(E8,0)/100000)&amp;","&amp;TEXT(INT(MOD(ROUND(E8,0),100000)/1000),"00")&amp;","&amp;TEXT(MOD(ROUND(E8,0),1000),"000"),IF(ROUND(E8,0)&gt;=1000,INT(ROUND(E8,0)/1000)&amp;","&amp;TEXT(MOD(ROUND(E8,0),1000),"000"),ROUND(E8,0)&amp;""))&amp;".")</f>
        <v/>
      </c>
    </row>
    <row r="12">
      <c r="A12" s="5" t="inlineStr">
        <is>
          <t>4100</t>
        </is>
      </c>
      <c r="B12">
        <f>IFERROR(VALUE(A12),"")</f>
        <v/>
      </c>
      <c r="D12" s="3" t="inlineStr">
        <is>
          <t>Fixed, for the Export tab</t>
        </is>
      </c>
      <c r="E12">
        <f>IF(E6+E7=E5,1,0)</f>
        <v/>
      </c>
    </row>
    <row r="13">
      <c r="A13" s="5" t="inlineStr">
        <is>
          <t>1750</t>
        </is>
      </c>
      <c r="B13">
        <f>IFERROR(VALUE(A13),"")</f>
        <v/>
      </c>
    </row>
    <row r="14">
      <c r="A14" s="5" t="inlineStr">
        <is>
          <t>2200</t>
        </is>
      </c>
      <c r="B14">
        <f>IFERROR(VALUE(A14),"")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3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What makes two rows one order?</t>
        </is>
      </c>
    </row>
    <row r="2">
      <c r="A2" s="3" t="inlineStr">
        <is>
          <t>Eight invented rows, each carrying the file line it came from. The key decides what counts as a duplicate.</t>
        </is>
      </c>
    </row>
    <row r="4">
      <c r="A4" s="4" t="inlineStr">
        <is>
          <t>order_id</t>
        </is>
      </c>
      <c r="B4" s="4" t="inlineStr">
        <is>
          <t>Amount</t>
        </is>
      </c>
      <c r="C4" s="4" t="inlineStr">
        <is>
          <t>Date</t>
        </is>
      </c>
      <c r="D4" s="4" t="inlineStr">
        <is>
          <t>Line</t>
        </is>
      </c>
      <c r="E4" s="4" t="inlineStr">
        <is>
          <t>Key used</t>
        </is>
      </c>
    </row>
    <row r="5">
      <c r="A5" s="5" t="inlineStr">
        <is>
          <t>INV-01</t>
        </is>
      </c>
      <c r="B5" s="5" t="n">
        <v>2400</v>
      </c>
      <c r="C5" s="5" t="inlineStr">
        <is>
          <t>2026-05-03</t>
        </is>
      </c>
      <c r="D5" s="5" t="n">
        <v>2</v>
      </c>
      <c r="E5">
        <f>IF($B$16="order_id",A5,A5&amp;"|"&amp;B5&amp;"|"&amp;C5&amp;"|"&amp;D5)</f>
        <v/>
      </c>
    </row>
    <row r="6">
      <c r="A6" s="5" t="inlineStr">
        <is>
          <t>INV-02</t>
        </is>
      </c>
      <c r="B6" s="5" t="n">
        <v>1300</v>
      </c>
      <c r="C6" s="5" t="inlineStr">
        <is>
          <t>2026-05-09</t>
        </is>
      </c>
      <c r="D6" s="5" t="n">
        <v>3</v>
      </c>
      <c r="E6">
        <f>IF($B$16="order_id",A6,A6&amp;"|"&amp;B6&amp;"|"&amp;C6&amp;"|"&amp;D6)</f>
        <v/>
      </c>
    </row>
    <row r="7">
      <c r="A7" s="5" t="inlineStr">
        <is>
          <t>INV-01</t>
        </is>
      </c>
      <c r="B7" s="5" t="n">
        <v>2400</v>
      </c>
      <c r="C7" s="5" t="inlineStr">
        <is>
          <t>2026-05-03</t>
        </is>
      </c>
      <c r="D7" s="5" t="n">
        <v>4</v>
      </c>
      <c r="E7">
        <f>IF($B$16="order_id",A7,A7&amp;"|"&amp;B7&amp;"|"&amp;C7&amp;"|"&amp;D7)</f>
        <v/>
      </c>
    </row>
    <row r="8">
      <c r="A8" s="5" t="inlineStr">
        <is>
          <t>INV-03</t>
        </is>
      </c>
      <c r="B8" s="5" t="n">
        <v>450000</v>
      </c>
      <c r="C8" s="5" t="inlineStr">
        <is>
          <t>2026-06-11</t>
        </is>
      </c>
      <c r="D8" s="5" t="n">
        <v>5</v>
      </c>
      <c r="E8">
        <f>IF($B$16="order_id",A8,A8&amp;"|"&amp;B8&amp;"|"&amp;C8&amp;"|"&amp;D8)</f>
        <v/>
      </c>
    </row>
    <row r="9">
      <c r="A9" s="5" t="inlineStr">
        <is>
          <t>INV-04</t>
        </is>
      </c>
      <c r="B9" s="5" t="n">
        <v>3100</v>
      </c>
      <c r="C9" s="5" t="inlineStr">
        <is>
          <t>2026-06-20</t>
        </is>
      </c>
      <c r="D9" s="5" t="n">
        <v>6</v>
      </c>
      <c r="E9">
        <f>IF($B$16="order_id",A9,A9&amp;"|"&amp;B9&amp;"|"&amp;C9&amp;"|"&amp;D9)</f>
        <v/>
      </c>
    </row>
    <row r="10">
      <c r="A10" s="5" t="inlineStr">
        <is>
          <t>INV-03</t>
        </is>
      </c>
      <c r="B10" s="5" t="n">
        <v>450000</v>
      </c>
      <c r="C10" s="5" t="inlineStr">
        <is>
          <t>2026-06-11</t>
        </is>
      </c>
      <c r="D10" s="5" t="n">
        <v>7</v>
      </c>
      <c r="E10">
        <f>IF($B$16="order_id",A10,A10&amp;"|"&amp;B10&amp;"|"&amp;C10&amp;"|"&amp;D10)</f>
        <v/>
      </c>
    </row>
    <row r="11">
      <c r="A11" s="5" t="inlineStr">
        <is>
          <t>INV-05</t>
        </is>
      </c>
      <c r="B11" s="5" t="n">
        <v>1800</v>
      </c>
      <c r="C11" s="5" t="inlineStr">
        <is>
          <t>2026-08-21</t>
        </is>
      </c>
      <c r="D11" s="5" t="n">
        <v>8</v>
      </c>
      <c r="E11">
        <f>IF($B$16="order_id",A11,A11&amp;"|"&amp;B11&amp;"|"&amp;C11&amp;"|"&amp;D11)</f>
        <v/>
      </c>
    </row>
    <row r="12">
      <c r="A12" s="5" t="inlineStr">
        <is>
          <t>INV-05</t>
        </is>
      </c>
      <c r="B12" s="5" t="n">
        <v>1800</v>
      </c>
      <c r="C12" s="5" t="inlineStr">
        <is>
          <t>2026-07-30</t>
        </is>
      </c>
      <c r="D12" s="5" t="n">
        <v>9</v>
      </c>
      <c r="E12">
        <f>IF($B$16="order_id",A12,A12&amp;"|"&amp;B12&amp;"|"&amp;C12&amp;"|"&amp;D12)</f>
        <v/>
      </c>
    </row>
    <row r="14">
      <c r="A14" t="inlineStr">
        <is>
          <t>Rows</t>
        </is>
      </c>
      <c r="B14">
        <f>COUNTA(A5:A12)</f>
        <v/>
      </c>
    </row>
    <row r="15">
      <c r="A15" t="inlineStr">
        <is>
          <t>Distinct order ids</t>
        </is>
      </c>
      <c r="B15">
        <f>SUMPRODUCT(1/COUNTIF(A5:A12,A5:A12))</f>
        <v/>
      </c>
    </row>
    <row r="16">
      <c r="A16" s="6" t="inlineStr">
        <is>
          <t>The key</t>
        </is>
      </c>
      <c r="B16" s="5" t="inlineStr">
        <is>
          <t>every field</t>
        </is>
      </c>
    </row>
    <row r="17">
      <c r="A17" t="inlineStr">
        <is>
          <t>Duplicates found</t>
        </is>
      </c>
      <c r="B17">
        <f>B14-SUMPRODUCT(1/COUNTIF(E5:E12,E5:E12))</f>
        <v/>
      </c>
    </row>
    <row r="18">
      <c r="A18" s="6" t="inlineStr">
        <is>
          <t>The check</t>
        </is>
      </c>
      <c r="B18" s="2">
        <f>IF(B17=B14-B15,"Duplicates found equals rows less distinct order ids.","Duplicates found disagrees with rows less distinct order ids: the key is not the identity rule. Fix it first.")</f>
        <v/>
      </c>
    </row>
    <row r="20">
      <c r="A20" s="7" t="inlineStr">
        <is>
          <t>Verdict</t>
        </is>
      </c>
      <c r="B20" s="8">
        <f>IF(B17&lt;&gt;B14-B15,"Fix the key before counting duplicates.","Set aside "&amp;ROUND(B17,0)&amp;" rows by the order_id rule, keep "&amp;ROUND(B15,0)&amp;" orders, and log a reason for each row set aside.")</f>
        <v/>
      </c>
    </row>
    <row r="21">
      <c r="A21" s="3" t="inlineStr">
        <is>
          <t>Fixed, for the Export tab</t>
        </is>
      </c>
      <c r="B21">
        <f>IF(ROUND(B17-(B14-B15),6)=0,1,0)</f>
        <v/>
      </c>
    </row>
  </sheetData>
  <dataValidations count="1">
    <dataValidation sqref="B16" showDropDown="0" showInputMessage="0" showErrorMessage="0" allowBlank="0" type="list">
      <formula1>"every field,order_id"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3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Keep the large order?</t>
        </is>
      </c>
    </row>
    <row r="2">
      <c r="A2" s="3" t="inlineStr">
        <is>
          <t>Eight invented Business orders. A fence flags the tail for checking; it never removes real revenue.</t>
        </is>
      </c>
    </row>
    <row r="4">
      <c r="A4" s="4" t="inlineStr">
        <is>
          <t>Order amount (Rs)</t>
        </is>
      </c>
      <c r="B4" s="4" t="inlineStr">
        <is>
          <t>Above the fence</t>
        </is>
      </c>
    </row>
    <row r="5">
      <c r="A5" s="5" t="n">
        <v>310000</v>
      </c>
      <c r="B5">
        <f>IF(A5&gt;$E$6,"flag and check","")</f>
        <v/>
      </c>
      <c r="D5" t="inlineStr">
        <is>
          <t>Median</t>
        </is>
      </c>
      <c r="E5">
        <f>MEDIAN(A5:A12)</f>
        <v/>
      </c>
    </row>
    <row r="6">
      <c r="A6" s="5" t="n">
        <v>420000</v>
      </c>
      <c r="B6">
        <f>IF(A6&gt;$E$6,"flag and check","")</f>
        <v/>
      </c>
      <c r="D6" t="inlineStr">
        <is>
          <t>Fence</t>
        </is>
      </c>
      <c r="E6">
        <f>E5*E7</f>
        <v/>
      </c>
    </row>
    <row r="7">
      <c r="A7" s="5" t="n">
        <v>450000</v>
      </c>
      <c r="B7">
        <f>IF(A7&gt;$E$6,"flag and check","")</f>
        <v/>
      </c>
      <c r="D7" t="inlineStr">
        <is>
          <t>Fence multiple</t>
        </is>
      </c>
      <c r="E7" s="5" t="n">
        <v>3</v>
      </c>
    </row>
    <row r="8">
      <c r="A8" s="5" t="n">
        <v>520000</v>
      </c>
      <c r="B8">
        <f>IF(A8&gt;$E$6,"flag and check","")</f>
        <v/>
      </c>
      <c r="D8" t="inlineStr">
        <is>
          <t>Every order</t>
        </is>
      </c>
      <c r="E8">
        <f>SUM(A5:A12)</f>
        <v/>
      </c>
    </row>
    <row r="9">
      <c r="A9" s="5" t="n">
        <v>610000</v>
      </c>
      <c r="B9">
        <f>IF(A9&gt;$E$6,"flag and check","")</f>
        <v/>
      </c>
      <c r="D9" t="inlineStr">
        <is>
          <t>Revenue reported</t>
        </is>
      </c>
      <c r="E9">
        <f>SUMIF(A5:A12,"&lt;="&amp;E6)</f>
        <v/>
      </c>
    </row>
    <row r="10">
      <c r="A10" s="5" t="n">
        <v>700000</v>
      </c>
      <c r="B10">
        <f>IF(A10&gt;$E$6,"flag and check","")</f>
        <v/>
      </c>
      <c r="D10" t="inlineStr">
        <is>
          <t>Orders flagged</t>
        </is>
      </c>
      <c r="E10">
        <f>COUNTIF(B5:B12,"flag and check")</f>
        <v/>
      </c>
    </row>
    <row r="11">
      <c r="A11" s="5" t="n">
        <v>880000</v>
      </c>
      <c r="B11">
        <f>IF(A11&gt;$E$6,"flag and check","")</f>
        <v/>
      </c>
      <c r="D11" s="6" t="inlineStr">
        <is>
          <t>The check</t>
        </is>
      </c>
      <c r="E11" s="2">
        <f>IF(E9=E8,"Every valid order stays in revenue.","Revenue reported leaves out orders above the fence: a fence flags, it never removes. Fix it first.")</f>
        <v/>
      </c>
    </row>
    <row r="12">
      <c r="A12" s="5" t="n">
        <v>1800000</v>
      </c>
      <c r="B12">
        <f>IF(A12&gt;$E$6,"flag and check","")</f>
        <v/>
      </c>
    </row>
    <row r="13">
      <c r="D13" s="7" t="inlineStr">
        <is>
          <t>Verdict</t>
        </is>
      </c>
      <c r="E13" s="8">
        <f>IF(E9&lt;&gt;E8,"Fix the revenue that drops the tail before reporting it.","Keep all "&amp;COUNT(A5:A12)&amp;" orders, "&amp;"Rs "&amp;IF(ROUND(E8,0)&gt;=100000,INT(ROUND(E8,0)/100000)&amp;","&amp;TEXT(INT(MOD(ROUND(E8,0),100000)/1000),"00")&amp;","&amp;TEXT(MOD(ROUND(E8,0),1000),"000"),IF(ROUND(E8,0)&gt;=1000,INT(ROUND(E8,0)/1000)&amp;","&amp;TEXT(MOD(ROUND(E8,0),1000),"000"),ROUND(E8,0)&amp;""))&amp;"; flag "&amp;E10&amp;" above the fence for a record check, and show the total without "&amp;IF(E10=1,"it","them")&amp;" beside it.")</f>
        <v/>
      </c>
    </row>
    <row r="14">
      <c r="D14" s="3" t="inlineStr">
        <is>
          <t>Fixed, for the Export tab</t>
        </is>
      </c>
      <c r="E14">
        <f>IF(E9=E8,1,0)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3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Rows and rupees, to the books</t>
        </is>
      </c>
    </row>
    <row r="2">
      <c r="A2" s="3" t="inlineStr">
        <is>
          <t>Four invented rows; one pair shares an id, and the first copy's amount will not convert. The books say Rs 9,600.</t>
        </is>
      </c>
    </row>
    <row r="4">
      <c r="A4" s="4" t="inlineStr"/>
      <c r="B4" s="4" t="inlineStr">
        <is>
          <t>Value</t>
        </is>
      </c>
    </row>
    <row r="5">
      <c r="A5" t="inlineStr">
        <is>
          <t>Which copy stays</t>
        </is>
      </c>
      <c r="B5" s="5" t="inlineStr">
        <is>
          <t>the first</t>
        </is>
      </c>
    </row>
    <row r="6">
      <c r="A6" t="inlineStr">
        <is>
          <t>Rows in</t>
        </is>
      </c>
      <c r="B6" t="n">
        <v>4</v>
      </c>
    </row>
    <row r="7">
      <c r="A7" t="inlineStr">
        <is>
          <t>Rows kept</t>
        </is>
      </c>
      <c r="B7">
        <f>IF(B5="the copy that validates",3,2)</f>
        <v/>
      </c>
    </row>
    <row r="8">
      <c r="A8" t="inlineStr">
        <is>
          <t>Rows set aside</t>
        </is>
      </c>
      <c r="B8">
        <f>B6-B7</f>
        <v/>
      </c>
    </row>
    <row r="9">
      <c r="A9" t="inlineStr">
        <is>
          <t>Rupees kept</t>
        </is>
      </c>
      <c r="B9">
        <f>IF(B5="the copy that validates",9600,7000)</f>
        <v/>
      </c>
    </row>
    <row r="10">
      <c r="A10" t="inlineStr">
        <is>
          <t>The books</t>
        </is>
      </c>
      <c r="B10" s="5" t="n">
        <v>9600</v>
      </c>
    </row>
    <row r="11">
      <c r="A11" s="6" t="inlineStr">
        <is>
          <t>The check</t>
        </is>
      </c>
      <c r="B11" s="2">
        <f>IF(B9=B10,"Rupees kept equal the books.","Rupees kept miss the books by "&amp;TEXT(B10-B9,"#,##0")&amp;": a verdict that reads only the rows would ship this. Fix the verdict first.")</f>
        <v/>
      </c>
    </row>
    <row r="13">
      <c r="A13" s="7" t="inlineStr">
        <is>
          <t>Verdict</t>
        </is>
      </c>
      <c r="B13" s="8">
        <f>IF(B6=B7+B8,"Reconciled: send it to Anand.","The rows do not reconcile.")</f>
        <v/>
      </c>
    </row>
    <row r="14">
      <c r="A14" s="3" t="inlineStr">
        <is>
          <t>Fixed, for the Export tab</t>
        </is>
      </c>
      <c r="B14">
        <f>IF(ISNUMBER(SEARCH("rupees",B13)),1,0)</f>
        <v/>
      </c>
    </row>
  </sheetData>
  <dataValidations count="1">
    <dataValidation sqref="B5" showDropDown="0" showInputMessage="0" showErrorMessage="0" allowBlank="0" type="list">
      <formula1>"the first,the copy that validates"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16" customWidth="1" min="3" max="3"/>
    <col width="22" customWidth="1" min="4" max="4"/>
    <col width="3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The note, assembled</t>
        </is>
      </c>
    </row>
    <row r="2">
      <c r="A2" s="3" t="inlineStr">
        <is>
          <t>Released only when every tab's check passes. Paste it into the note to Anand.</t>
        </is>
      </c>
    </row>
    <row r="4">
      <c r="A4" s="6" t="inlineStr">
        <is>
          <t>Tabs fixed</t>
        </is>
      </c>
      <c r="B4">
        <f>Profile!E12+Identity!B21+Tail!E14+Reconcile!B14</f>
        <v/>
      </c>
    </row>
    <row r="5">
      <c r="A5" s="7" t="inlineStr">
        <is>
          <t>Release</t>
        </is>
      </c>
      <c r="B5" s="8">
        <f>IF(B4=4,"Ready to paste into the note to Anand.","Not ready: "&amp;(4-B4)&amp;" of the four tabs still carry a defect to fix first.")</f>
        <v/>
      </c>
    </row>
    <row r="7" ht="100" customHeight="1">
      <c r="A7" s="6" t="inlineStr">
        <is>
          <t>Paste-ready note</t>
        </is>
      </c>
      <c r="B7" s="2">
        <f>IF(B4=4,"Profile: "&amp;Profile!E11&amp;CHAR(10)&amp;"Identity: "&amp;Identity!B20&amp;CHAR(10)&amp;"Tail: "&amp;Tail!E13&amp;CHAR(10)&amp;"Reconcile: "&amp;Reconcile!B13,"The note assembles once every tab passes its check.")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2026-09-29T17:00:08Z</dcterms:created>
  <dcterms:modified xmlns:dcterms="http://purl.org/dc/terms/" xmlns:xsi="http://www.w3.org/2001/XMLSchema-instance" xsi:type="dcterms:W3CDTF">2026-09-29T17:00:08Z</dcterms:modified>
</cp:coreProperties>
</file>