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Profile" sheetId="2" state="visible" r:id="rId2"/>
    <sheet xmlns:r="http://schemas.openxmlformats.org/officeDocument/2006/relationships" name="Identity" sheetId="3" state="visible" r:id="rId3"/>
    <sheet xmlns:r="http://schemas.openxmlformats.org/officeDocument/2006/relationships" name="Tail" sheetId="4" state="visible" r:id="rId4"/>
    <sheet xmlns:r="http://schemas.openxmlformats.org/officeDocument/2006/relationships" name="Reconcile" sheetId="5" state="visible" r:id="rId5"/>
    <sheet xmlns:r="http://schemas.openxmlformats.org/officeDocument/2006/relationships" name="Export"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color rgb="001A0F5C"/>
      <sz val="16"/>
    </font>
    <font>
      <i val="1"/>
      <color rgb="006B6690"/>
    </font>
    <font>
      <b val="1"/>
      <color rgb="00FFFFFF"/>
    </font>
    <font>
      <b val="1"/>
      <color rgb="001A0F5C"/>
    </font>
    <font>
      <b val="1"/>
      <color rgb="001A0F5C"/>
      <sz val="12"/>
    </font>
  </fonts>
  <fills count="5">
    <fill>
      <patternFill/>
    </fill>
    <fill>
      <patternFill patternType="gray125"/>
    </fill>
    <fill>
      <patternFill patternType="solid">
        <fgColor rgb="001A0F5C"/>
      </patternFill>
    </fill>
    <fill>
      <patternFill patternType="solid">
        <fgColor rgb="00FFF4C2"/>
      </patternFill>
    </fill>
    <fill>
      <patternFill patternType="solid">
        <fgColor rgb="00EEEAFB"/>
      </patternFill>
    </fill>
  </fills>
  <borders count="2">
    <border>
      <left/>
      <right/>
      <top/>
      <bottom/>
      <diagonal/>
    </border>
    <border>
      <left style="thin">
        <color rgb="00CFC9EE"/>
      </left>
      <right style="thin">
        <color rgb="00CFC9EE"/>
      </right>
      <top style="thin">
        <color rgb="00CFC9EE"/>
      </top>
      <bottom style="thin">
        <color rgb="00CFC9EE"/>
      </bottom>
    </border>
  </borders>
  <cellStyleXfs count="1">
    <xf numFmtId="0" fontId="0" fillId="0" borderId="0"/>
  </cellStyleXfs>
  <cellXfs count="9">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pivotButton="0" quotePrefix="0" xfId="0"/>
    <xf numFmtId="0" fontId="0" fillId="3" borderId="1" pivotButton="0" quotePrefix="0" xfId="0"/>
    <xf numFmtId="0" fontId="4" fillId="0" borderId="0" pivotButton="0" quotePrefix="0" xfId="0"/>
    <xf numFmtId="0" fontId="5" fillId="0" borderId="0" pivotButton="0" quotePrefix="0" xfId="0"/>
    <xf numFmtId="0"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Which four cleaning decisions get the export to the books?</t>
        </is>
      </c>
    </row>
    <row r="3">
      <c r="A3" s="2" t="inlineStr">
        <is>
          <t>Kalpa Retail, Week 1, Wednesday. Anand Iyer, the finance controller, acts only on a figure that matches his books to the rupee, and his analyst ties out every figure, matching it to the books line by line. Four cleaning decisions the day taught get an export there, one tab each, and an Export tab assembles the note.</t>
        </is>
      </c>
    </row>
    <row r="4">
      <c r="A4" s="2" t="inlineStr">
        <is>
          <t>Yellow cells are inputs; every other number and sentence is a live formula. Every record here is invented, so the tool works on any export you paste in.</t>
        </is>
      </c>
    </row>
    <row r="5">
      <c r="A5" s="2" t="inlineStr">
        <is>
          <t>Each tab carries one planted defect. Read the tab's check line first, find the cell, fix it, and watch the verdict change.</t>
        </is>
      </c>
    </row>
    <row r="6">
      <c r="A6" s="2" t="inlineStr">
        <is>
          <t>The Export tab releases the note only when all four tabs pass their checks, so fixing one tab does not clear it.</t>
        </is>
      </c>
    </row>
    <row r="7">
      <c r="A7" s="2" t="inlineStr">
        <is>
          <t>Profile: what converts. Identity: what makes two rows one order. Tail: keep the large order. Reconcile: rows and rupees.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0" customWidth="1" min="1" max="1"/>
    <col width="22"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What converts, and what fails?</t>
        </is>
      </c>
    </row>
    <row r="2">
      <c r="A2" s="3" t="inlineStr">
        <is>
          <t>Ten invented amounts as the file holds them, as text. A failure is counted and logged, never turned into a number.</t>
        </is>
      </c>
    </row>
    <row r="4">
      <c r="A4" s="4" t="inlineStr">
        <is>
          <t>Amount as text</t>
        </is>
      </c>
      <c r="B4" s="4" t="inlineStr">
        <is>
          <t>Converted</t>
        </is>
      </c>
      <c r="C4" s="4" t="inlineStr"/>
      <c r="D4" s="4" t="inlineStr">
        <is>
          <t>Count</t>
        </is>
      </c>
      <c r="E4" s="4" t="inlineStr">
        <is>
          <t>Value</t>
        </is>
      </c>
    </row>
    <row r="5">
      <c r="A5" s="5" t="inlineStr">
        <is>
          <t>2500</t>
        </is>
      </c>
      <c r="B5">
        <f>IFERROR(VALUE(A5),"")</f>
        <v/>
      </c>
      <c r="D5" t="inlineStr">
        <is>
          <t>Present</t>
        </is>
      </c>
      <c r="E5">
        <f>COUNTA(A5:A14)</f>
        <v/>
      </c>
    </row>
    <row r="6">
      <c r="A6" s="5" t="inlineStr">
        <is>
          <t>1300</t>
        </is>
      </c>
      <c r="B6">
        <f>IFERROR(VALUE(A6),"")</f>
        <v/>
      </c>
      <c r="D6" t="inlineStr">
        <is>
          <t>Convertible</t>
        </is>
      </c>
      <c r="E6">
        <f>COUNTA(B5:B14)</f>
        <v/>
      </c>
    </row>
    <row r="7">
      <c r="A7" s="5" t="inlineStr">
        <is>
          <t>n/a</t>
        </is>
      </c>
      <c r="B7">
        <f>IFERROR(VALUE(A7),"")</f>
        <v/>
      </c>
      <c r="D7" t="inlineStr">
        <is>
          <t>Failed, to the log</t>
        </is>
      </c>
      <c r="E7">
        <f>SUMPRODUCT(--(B5:B14=""))</f>
        <v/>
      </c>
    </row>
    <row r="8">
      <c r="A8" s="5" t="inlineStr">
        <is>
          <t>3100</t>
        </is>
      </c>
      <c r="B8">
        <f>IFERROR(VALUE(A8),"")</f>
        <v/>
      </c>
      <c r="D8" t="inlineStr">
        <is>
          <t>Total of what converts</t>
        </is>
      </c>
      <c r="E8">
        <f>SUM(B5:B14)</f>
        <v/>
      </c>
    </row>
    <row r="9">
      <c r="A9" s="5" t="inlineStr">
        <is>
          <t>1800</t>
        </is>
      </c>
      <c r="B9">
        <f>IFERROR(VALUE(A9),"")</f>
        <v/>
      </c>
      <c r="D9" s="6" t="inlineStr">
        <is>
          <t>The check</t>
        </is>
      </c>
      <c r="E9" s="2">
        <f>IF(E6+E7=E5,"Convertible plus failed equals present.","Convertible plus failed is more than present: the convertible count counts failures too. Fix it first.")</f>
        <v/>
      </c>
    </row>
    <row r="10">
      <c r="A10" s="5" t="inlineStr">
        <is>
          <t>2600</t>
        </is>
      </c>
      <c r="B10">
        <f>IFERROR(VALUE(A10),"")</f>
        <v/>
      </c>
    </row>
    <row r="11">
      <c r="A11" s="5" t="inlineStr">
        <is>
          <t>950</t>
        </is>
      </c>
      <c r="B11">
        <f>IFERROR(VALUE(A11),"")</f>
        <v/>
      </c>
      <c r="D11" s="7" t="inlineStr">
        <is>
          <t>Verdict</t>
        </is>
      </c>
      <c r="E11" s="8">
        <f>IF(E6+E7&lt;&gt;E5,"Fix the convertible count before any total leaves the team.","Log "&amp;E7&amp;" failure"&amp;IF(E7=1,"","s")&amp;" with its line and reason; "&amp;E6&amp;" of "&amp;E5&amp;" amounts convert, totalling "&amp;"Rs "&amp;IF(ROUND(E8,0)&gt;=100000,INT(ROUND(E8,0)/100000)&amp;","&amp;TEXT(INT(MOD(ROUND(E8,0),100000)/1000),"00")&amp;","&amp;TEXT(MOD(ROUND(E8,0),1000),"000"),IF(ROUND(E8,0)&gt;=1000,INT(ROUND(E8,0)/1000)&amp;","&amp;TEXT(MOD(ROUND(E8,0),1000),"000"),ROUND(E8,0)&amp;""))&amp;".")</f>
        <v/>
      </c>
    </row>
    <row r="12">
      <c r="A12" s="5" t="inlineStr">
        <is>
          <t>4100</t>
        </is>
      </c>
      <c r="B12">
        <f>IFERROR(VALUE(A12),"")</f>
        <v/>
      </c>
      <c r="D12" s="3" t="inlineStr">
        <is>
          <t>Fixed, for the Export tab</t>
        </is>
      </c>
      <c r="E12">
        <f>IF(E6+E7=E5,1,0)</f>
        <v/>
      </c>
    </row>
    <row r="13">
      <c r="A13" s="5" t="inlineStr">
        <is>
          <t>1750</t>
        </is>
      </c>
      <c r="B13">
        <f>IFERROR(VALUE(A13),"")</f>
        <v/>
      </c>
    </row>
    <row r="14">
      <c r="A14" s="5" t="inlineStr">
        <is>
          <t>2200</t>
        </is>
      </c>
      <c r="B14">
        <f>IFERROR(VALUE(A14),"")</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30" customWidth="1" min="1" max="1"/>
    <col width="22"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What makes two rows one order?</t>
        </is>
      </c>
    </row>
    <row r="2">
      <c r="A2" s="3" t="inlineStr">
        <is>
          <t>Eight invented rows, each carrying the file line it came from. The key decides what counts as a duplicate.</t>
        </is>
      </c>
    </row>
    <row r="4">
      <c r="A4" s="4" t="inlineStr">
        <is>
          <t>order_id</t>
        </is>
      </c>
      <c r="B4" s="4" t="inlineStr">
        <is>
          <t>Amount</t>
        </is>
      </c>
      <c r="C4" s="4" t="inlineStr">
        <is>
          <t>Date</t>
        </is>
      </c>
      <c r="D4" s="4" t="inlineStr">
        <is>
          <t>Line</t>
        </is>
      </c>
      <c r="E4" s="4" t="inlineStr">
        <is>
          <t>Key used</t>
        </is>
      </c>
    </row>
    <row r="5">
      <c r="A5" s="5" t="inlineStr">
        <is>
          <t>INV-01</t>
        </is>
      </c>
      <c r="B5" s="5" t="n">
        <v>2500</v>
      </c>
      <c r="C5" s="5" t="inlineStr">
        <is>
          <t>2026-05-03</t>
        </is>
      </c>
      <c r="D5" s="5" t="n">
        <v>2</v>
      </c>
      <c r="E5">
        <f>IF($B$16="order_id",A5,A5&amp;"|"&amp;B5&amp;"|"&amp;C5&amp;"|"&amp;D5)</f>
        <v/>
      </c>
    </row>
    <row r="6">
      <c r="A6" s="5" t="inlineStr">
        <is>
          <t>INV-02</t>
        </is>
      </c>
      <c r="B6" s="5" t="n">
        <v>1300</v>
      </c>
      <c r="C6" s="5" t="inlineStr">
        <is>
          <t>2026-05-09</t>
        </is>
      </c>
      <c r="D6" s="5" t="n">
        <v>3</v>
      </c>
      <c r="E6">
        <f>IF($B$16="order_id",A6,A6&amp;"|"&amp;B6&amp;"|"&amp;C6&amp;"|"&amp;D6)</f>
        <v/>
      </c>
    </row>
    <row r="7">
      <c r="A7" s="5" t="inlineStr">
        <is>
          <t>INV-01</t>
        </is>
      </c>
      <c r="B7" s="5" t="n">
        <v>2500</v>
      </c>
      <c r="C7" s="5" t="inlineStr">
        <is>
          <t>2026-05-03</t>
        </is>
      </c>
      <c r="D7" s="5" t="n">
        <v>4</v>
      </c>
      <c r="E7">
        <f>IF($B$16="order_id",A7,A7&amp;"|"&amp;B7&amp;"|"&amp;C7&amp;"|"&amp;D7)</f>
        <v/>
      </c>
    </row>
    <row r="8">
      <c r="A8" s="5" t="inlineStr">
        <is>
          <t>INV-03</t>
        </is>
      </c>
      <c r="B8" s="5" t="n">
        <v>450000</v>
      </c>
      <c r="C8" s="5" t="inlineStr">
        <is>
          <t>2026-06-11</t>
        </is>
      </c>
      <c r="D8" s="5" t="n">
        <v>5</v>
      </c>
      <c r="E8">
        <f>IF($B$16="order_id",A8,A8&amp;"|"&amp;B8&amp;"|"&amp;C8&amp;"|"&amp;D8)</f>
        <v/>
      </c>
    </row>
    <row r="9">
      <c r="A9" s="5" t="inlineStr">
        <is>
          <t>INV-04</t>
        </is>
      </c>
      <c r="B9" s="5" t="n">
        <v>3100</v>
      </c>
      <c r="C9" s="5" t="inlineStr">
        <is>
          <t>2026-06-20</t>
        </is>
      </c>
      <c r="D9" s="5" t="n">
        <v>6</v>
      </c>
      <c r="E9">
        <f>IF($B$16="order_id",A9,A9&amp;"|"&amp;B9&amp;"|"&amp;C9&amp;"|"&amp;D9)</f>
        <v/>
      </c>
    </row>
    <row r="10">
      <c r="A10" s="5" t="inlineStr">
        <is>
          <t>INV-03</t>
        </is>
      </c>
      <c r="B10" s="5" t="n">
        <v>450000</v>
      </c>
      <c r="C10" s="5" t="inlineStr">
        <is>
          <t>2026-06-11</t>
        </is>
      </c>
      <c r="D10" s="5" t="n">
        <v>7</v>
      </c>
      <c r="E10">
        <f>IF($B$16="order_id",A10,A10&amp;"|"&amp;B10&amp;"|"&amp;C10&amp;"|"&amp;D10)</f>
        <v/>
      </c>
    </row>
    <row r="11">
      <c r="A11" s="5" t="inlineStr">
        <is>
          <t>INV-05</t>
        </is>
      </c>
      <c r="B11" s="5" t="n">
        <v>1800</v>
      </c>
      <c r="C11" s="5" t="inlineStr">
        <is>
          <t>2026-08-21</t>
        </is>
      </c>
      <c r="D11" s="5" t="n">
        <v>8</v>
      </c>
      <c r="E11">
        <f>IF($B$16="order_id",A11,A11&amp;"|"&amp;B11&amp;"|"&amp;C11&amp;"|"&amp;D11)</f>
        <v/>
      </c>
    </row>
    <row r="12">
      <c r="A12" s="5" t="inlineStr">
        <is>
          <t>INV-05</t>
        </is>
      </c>
      <c r="B12" s="5" t="n">
        <v>1800</v>
      </c>
      <c r="C12" s="5" t="inlineStr">
        <is>
          <t>2026-07-30</t>
        </is>
      </c>
      <c r="D12" s="5" t="n">
        <v>9</v>
      </c>
      <c r="E12">
        <f>IF($B$16="order_id",A12,A12&amp;"|"&amp;B12&amp;"|"&amp;C12&amp;"|"&amp;D12)</f>
        <v/>
      </c>
    </row>
    <row r="14">
      <c r="A14" t="inlineStr">
        <is>
          <t>Rows</t>
        </is>
      </c>
      <c r="B14">
        <f>COUNTA(A5:A12)</f>
        <v/>
      </c>
    </row>
    <row r="15">
      <c r="A15" t="inlineStr">
        <is>
          <t>Distinct order ids</t>
        </is>
      </c>
      <c r="B15">
        <f>SUMPRODUCT(1/COUNTIF(A5:A12,A5:A12))</f>
        <v/>
      </c>
    </row>
    <row r="16">
      <c r="A16" s="6" t="inlineStr">
        <is>
          <t>The key</t>
        </is>
      </c>
      <c r="B16" s="5" t="inlineStr">
        <is>
          <t>every field</t>
        </is>
      </c>
    </row>
    <row r="17">
      <c r="A17" t="inlineStr">
        <is>
          <t>Duplicates found</t>
        </is>
      </c>
      <c r="B17">
        <f>B14-SUMPRODUCT(1/COUNTIF(E5:E12,E5:E12))</f>
        <v/>
      </c>
    </row>
    <row r="18">
      <c r="A18" s="6" t="inlineStr">
        <is>
          <t>The check</t>
        </is>
      </c>
      <c r="B18" s="2">
        <f>IF(B17=B14-B15,"Duplicates found equals rows less distinct order ids.","Duplicates found disagrees with rows less distinct order ids: the key is not the identity rule. Fix it first.")</f>
        <v/>
      </c>
    </row>
    <row r="20">
      <c r="A20" s="7" t="inlineStr">
        <is>
          <t>Verdict</t>
        </is>
      </c>
      <c r="B20" s="8">
        <f>IF(B17&lt;&gt;B14-B15,"Fix the key before counting duplicates.","Set aside "&amp;ROUND(B17,0)&amp;" rows by the order_id rule, keep "&amp;ROUND(B15,0)&amp;" orders, and log a reason for each row set aside.")</f>
        <v/>
      </c>
    </row>
    <row r="21">
      <c r="A21" s="3" t="inlineStr">
        <is>
          <t>Fixed, for the Export tab</t>
        </is>
      </c>
      <c r="B21">
        <f>IF(ROUND(B17-(B14-B15),6)=0,1,0)</f>
        <v/>
      </c>
    </row>
  </sheetData>
  <dataValidations count="1">
    <dataValidation sqref="B16" showDropDown="0" showInputMessage="0" showErrorMessage="0" allowBlank="0" type="list">
      <formula1>"every field,order_id"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0" customWidth="1" min="1" max="1"/>
    <col width="22"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Should the large order stay in revenue?</t>
        </is>
      </c>
    </row>
    <row r="2">
      <c r="A2" s="3" t="inlineStr">
        <is>
          <t>Eight invented Business orders. A fence flags the tail for checking; it never removes real revenue.</t>
        </is>
      </c>
    </row>
    <row r="4">
      <c r="A4" s="4" t="inlineStr">
        <is>
          <t>Order amount (Rs)</t>
        </is>
      </c>
      <c r="B4" s="4" t="inlineStr">
        <is>
          <t>Above the fence</t>
        </is>
      </c>
    </row>
    <row r="5">
      <c r="A5" s="5" t="n">
        <v>310000</v>
      </c>
      <c r="B5">
        <f>IF(A5&gt;$E$6,"flag and check","")</f>
        <v/>
      </c>
      <c r="D5" t="inlineStr">
        <is>
          <t>Median</t>
        </is>
      </c>
      <c r="E5">
        <f>MEDIAN(A5:A12)</f>
        <v/>
      </c>
    </row>
    <row r="6">
      <c r="A6" s="5" t="n">
        <v>420000</v>
      </c>
      <c r="B6">
        <f>IF(A6&gt;$E$6,"flag and check","")</f>
        <v/>
      </c>
      <c r="D6" t="inlineStr">
        <is>
          <t>Fence</t>
        </is>
      </c>
      <c r="E6">
        <f>E5*E7</f>
        <v/>
      </c>
    </row>
    <row r="7">
      <c r="A7" s="5" t="n">
        <v>450000</v>
      </c>
      <c r="B7">
        <f>IF(A7&gt;$E$6,"flag and check","")</f>
        <v/>
      </c>
      <c r="D7" t="inlineStr">
        <is>
          <t>Fence multiple</t>
        </is>
      </c>
      <c r="E7" s="5" t="n">
        <v>3</v>
      </c>
    </row>
    <row r="8">
      <c r="A8" s="5" t="n">
        <v>520000</v>
      </c>
      <c r="B8">
        <f>IF(A8&gt;$E$6,"flag and check","")</f>
        <v/>
      </c>
      <c r="D8" t="inlineStr">
        <is>
          <t>Every order</t>
        </is>
      </c>
      <c r="E8">
        <f>SUM(A5:A12)</f>
        <v/>
      </c>
    </row>
    <row r="9">
      <c r="A9" s="5" t="n">
        <v>610000</v>
      </c>
      <c r="B9">
        <f>IF(A9&gt;$E$6,"flag and check","")</f>
        <v/>
      </c>
      <c r="D9" t="inlineStr">
        <is>
          <t>Revenue reported</t>
        </is>
      </c>
      <c r="E9">
        <f>SUMIF(A5:A12,"&lt;="&amp;E6)</f>
        <v/>
      </c>
    </row>
    <row r="10">
      <c r="A10" s="5" t="n">
        <v>700000</v>
      </c>
      <c r="B10">
        <f>IF(A10&gt;$E$6,"flag and check","")</f>
        <v/>
      </c>
      <c r="D10" t="inlineStr">
        <is>
          <t>Orders flagged</t>
        </is>
      </c>
      <c r="E10">
        <f>COUNTIF(B5:B12,"flag and check")</f>
        <v/>
      </c>
    </row>
    <row r="11">
      <c r="A11" s="5" t="n">
        <v>880000</v>
      </c>
      <c r="B11">
        <f>IF(A11&gt;$E$6,"flag and check","")</f>
        <v/>
      </c>
      <c r="D11" s="6" t="inlineStr">
        <is>
          <t>The check</t>
        </is>
      </c>
      <c r="E11" s="2">
        <f>IF(E9=E8,"Every valid order stays in revenue.","Revenue reported leaves out orders above the fence: a fence flags, it never removes. Fix it first.")</f>
        <v/>
      </c>
    </row>
    <row r="12">
      <c r="A12" s="5" t="n">
        <v>1800000</v>
      </c>
      <c r="B12">
        <f>IF(A12&gt;$E$6,"flag and check","")</f>
        <v/>
      </c>
    </row>
    <row r="13">
      <c r="D13" s="7" t="inlineStr">
        <is>
          <t>Verdict</t>
        </is>
      </c>
      <c r="E13" s="8">
        <f>IF(E9&lt;&gt;E8,"Fix the revenue that drops the tail before reporting it.","Keep all "&amp;COUNT(A5:A12)&amp;" orders, "&amp;"Rs "&amp;IF(ROUND(E8,0)&gt;=100000,INT(ROUND(E8,0)/100000)&amp;","&amp;TEXT(INT(MOD(ROUND(E8,0),100000)/1000),"00")&amp;","&amp;TEXT(MOD(ROUND(E8,0),1000),"000"),IF(ROUND(E8,0)&gt;=1000,INT(ROUND(E8,0)/1000)&amp;","&amp;TEXT(MOD(ROUND(E8,0),1000),"000"),ROUND(E8,0)&amp;""))&amp;"; flag "&amp;E10&amp;" above the fence for a record check, and show the total without "&amp;IF(E10=1,"it","them")&amp;" beside it.")</f>
        <v/>
      </c>
    </row>
    <row r="14">
      <c r="D14" s="3" t="inlineStr">
        <is>
          <t>Fixed, for the Export tab</t>
        </is>
      </c>
      <c r="E14">
        <f>IF(E9=E8,1,0)</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0" customWidth="1" min="1" max="1"/>
    <col width="22"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Do rows and rupees both tie to the books?</t>
        </is>
      </c>
    </row>
    <row r="2">
      <c r="A2" s="3" t="inlineStr">
        <is>
          <t>Four invented rows; one pair shares an id, and the first copy's amount will not convert. The books say Rs 9,600.</t>
        </is>
      </c>
    </row>
    <row r="4">
      <c r="A4" s="4" t="inlineStr"/>
      <c r="B4" s="4" t="inlineStr">
        <is>
          <t>Value</t>
        </is>
      </c>
    </row>
    <row r="5">
      <c r="A5" t="inlineStr">
        <is>
          <t>Which copy stays</t>
        </is>
      </c>
      <c r="B5" s="5" t="inlineStr">
        <is>
          <t>the first</t>
        </is>
      </c>
    </row>
    <row r="6">
      <c r="A6" t="inlineStr">
        <is>
          <t>Rows in</t>
        </is>
      </c>
      <c r="B6" t="n">
        <v>4</v>
      </c>
    </row>
    <row r="7">
      <c r="A7" t="inlineStr">
        <is>
          <t>Rows kept</t>
        </is>
      </c>
      <c r="B7">
        <f>IF(B5="the copy that validates",3,2)</f>
        <v/>
      </c>
    </row>
    <row r="8">
      <c r="A8" t="inlineStr">
        <is>
          <t>Rows set aside</t>
        </is>
      </c>
      <c r="B8">
        <f>B6-B7</f>
        <v/>
      </c>
    </row>
    <row r="9">
      <c r="A9" t="inlineStr">
        <is>
          <t>Rupees kept</t>
        </is>
      </c>
      <c r="B9">
        <f>IF(B5="the copy that validates",9600,7000)</f>
        <v/>
      </c>
    </row>
    <row r="10">
      <c r="A10" t="inlineStr">
        <is>
          <t>The books</t>
        </is>
      </c>
      <c r="B10" s="5" t="n">
        <v>9600</v>
      </c>
    </row>
    <row r="11">
      <c r="A11" s="6" t="inlineStr">
        <is>
          <t>The check</t>
        </is>
      </c>
      <c r="B11" s="2">
        <f>IF(B9=B10,"Rupees kept equal the books.","Rupees kept miss the books by "&amp;TEXT(B10-B9,"#,##0")&amp;": a verdict that reads only the rows would ship this. Fix the verdict first.")</f>
        <v/>
      </c>
    </row>
    <row r="13">
      <c r="A13" s="7" t="inlineStr">
        <is>
          <t>Verdict</t>
        </is>
      </c>
      <c r="B13" s="8">
        <f>IF(B6=B7+B8,"Reconciled: send it to Anand.","The rows do not reconcile.")</f>
        <v/>
      </c>
    </row>
    <row r="14">
      <c r="A14" s="3" t="inlineStr">
        <is>
          <t>Fixed, for the Export tab</t>
        </is>
      </c>
      <c r="B14">
        <f>IF(ISNUMBER(SEARCH("rupees",B13)),1,0)</f>
        <v/>
      </c>
    </row>
  </sheetData>
  <dataValidations count="1">
    <dataValidation sqref="B5" showDropDown="0" showInputMessage="0" showErrorMessage="0" allowBlank="0" type="list">
      <formula1>"the first,the copy that validates"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30" customWidth="1" min="1" max="1"/>
    <col width="110" customWidth="1" min="2" max="2"/>
    <col width="16" customWidth="1" min="3" max="3"/>
    <col width="22" customWidth="1" min="4" max="4"/>
    <col width="30" customWidth="1" min="5" max="5"/>
    <col width="16" customWidth="1" min="6" max="6"/>
    <col width="16" customWidth="1" min="7" max="7"/>
    <col width="16" customWidth="1" min="8" max="8"/>
  </cols>
  <sheetData>
    <row r="1">
      <c r="A1" s="1" t="inlineStr">
        <is>
          <t>Is the note to Anand ready to paste?</t>
        </is>
      </c>
    </row>
    <row r="2">
      <c r="A2" s="3" t="inlineStr">
        <is>
          <t>Released only when every tab's check passes. Paste it into the note to Anand.</t>
        </is>
      </c>
    </row>
    <row r="4">
      <c r="A4" s="6" t="inlineStr">
        <is>
          <t>Tabs fixed</t>
        </is>
      </c>
      <c r="B4">
        <f>Profile!E12+Identity!B21+Tail!E14+Reconcile!B14</f>
        <v/>
      </c>
    </row>
    <row r="5">
      <c r="A5" s="7" t="inlineStr">
        <is>
          <t>Release</t>
        </is>
      </c>
      <c r="B5" s="8">
        <f>IF(B4=4,"Ready to paste into the note to Anand.","Not ready: "&amp;(4-B4)&amp;" of the four tabs still carry a defect to fix first.")</f>
        <v/>
      </c>
    </row>
    <row r="7" ht="100" customHeight="1">
      <c r="A7" s="6" t="inlineStr">
        <is>
          <t>Paste-ready note</t>
        </is>
      </c>
      <c r="B7" s="2">
        <f>IF(B4=4,"Profile: "&amp;Profile!E11&amp;CHAR(10)&amp;"Identity: "&amp;Identity!B20&amp;CHAR(10)&amp;"Tail: "&amp;Tail!E13&amp;CHAR(10)&amp;"Reconcile: "&amp;Reconcile!B13,"The note assembles once every tab passes its check.")</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2026-09-30T15:57:55Z</dcterms:created>
  <dcterms:modified xmlns:dcterms="http://purl.org/dc/terms/" xmlns:xsi="http://www.w3.org/2001/XMLSchema-instance" xsi:type="dcterms:W3CDTF">2026-09-30T15:57:55Z</dcterms:modified>
</cp:coreProperties>
</file>