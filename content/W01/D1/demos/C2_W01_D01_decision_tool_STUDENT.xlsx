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version" sheetId="1" state="visible" r:id="rId1"/>
    <sheet xmlns:r="http://schemas.openxmlformats.org/officeDocument/2006/relationships" name="Accumulator" sheetId="2" state="visible" r:id="rId2"/>
    <sheet xmlns:r="http://schemas.openxmlformats.org/officeDocument/2006/relationships" name="MissingKey" sheetId="3" state="visible" r:id="rId3"/>
    <sheet xmlns:r="http://schemas.openxmlformats.org/officeDocument/2006/relationships" name="Expor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2B4A7D"/>
      <sz val="14"/>
    </font>
    <font>
      <name val="Calibri"/>
      <color rgb="FF1C1C1A"/>
      <sz val="11"/>
    </font>
    <font>
      <name val="Calibri"/>
      <b val="1"/>
      <color rgb="FF2B4A7D"/>
      <sz val="11"/>
    </font>
    <font>
      <name val="Calibri"/>
      <b val="1"/>
      <color rgb="FF1C1C1A"/>
      <sz val="11"/>
    </font>
    <font>
      <name val="Calibri"/>
      <i val="1"/>
      <color rgb="FF5F6360"/>
      <sz val="10"/>
    </font>
  </fonts>
  <fills count="4">
    <fill>
      <patternFill/>
    </fill>
    <fill>
      <patternFill patternType="gray125"/>
    </fill>
    <fill>
      <patternFill patternType="solid">
        <fgColor rgb="FFFFF3C4"/>
      </patternFill>
    </fill>
    <fill>
      <patternFill patternType="solid">
        <fgColor rgb="FFE4ECF7"/>
      </patternFill>
    </fill>
  </fills>
  <borders count="2">
    <border>
      <left/>
      <right/>
      <top/>
      <bottom/>
      <diagonal/>
    </border>
    <border>
      <left style="thin">
        <color rgb="FFC9C9C2"/>
      </left>
      <right style="thin">
        <color rgb="FFC9C9C2"/>
      </right>
      <top style="thin">
        <color rgb="FFC9C9C2"/>
      </top>
      <bottom style="thin">
        <color rgb="FFC9C9C2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pivotButton="0" quotePrefix="0" xfId="0"/>
    <xf numFmtId="0" fontId="4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" customWidth="1" min="3" max="3"/>
    <col width="62" customWidth="1" min="4" max="4"/>
  </cols>
  <sheetData>
    <row r="1">
      <c r="A1" s="1" t="inlineStr">
        <is>
          <t>Decision 1. A value arrived as text. Where do you convert it?</t>
        </is>
      </c>
    </row>
    <row r="2" ht="30" customHeight="1">
      <c r="A2" s="2" t="inlineStr">
        <is>
          <t>KR4200's amount arrived as the text 4500 because it crossed a system boundary. This tab decides where the conversion goes and whether the evidence survives it.</t>
        </is>
      </c>
    </row>
    <row r="4">
      <c r="A4" s="3" t="inlineStr">
        <is>
          <t>What you decided</t>
        </is>
      </c>
    </row>
    <row r="5">
      <c r="A5" s="2" t="inlineStr">
        <is>
          <t>Where does the conversion sit?</t>
        </is>
      </c>
      <c r="B5" s="4" t="inlineStr">
        <is>
          <t>in the record on load</t>
        </is>
      </c>
      <c r="D5" s="2" t="inlineStr">
        <is>
          <t>At the point of use means int() where the comparison happens. In the record means you rewrite the value as the file loads.</t>
        </is>
      </c>
    </row>
    <row r="6">
      <c r="A6" s="2" t="inlineStr">
        <is>
          <t>Does the record still hold what the source sent?</t>
        </is>
      </c>
      <c r="B6" s="4" t="inlineStr">
        <is>
          <t>no</t>
        </is>
      </c>
      <c r="D6" s="2" t="inlineStr">
        <is>
          <t>A reviewer has to be able to see what arrived, not only what you made of it.</t>
        </is>
      </c>
    </row>
    <row r="7">
      <c r="A7" s="2" t="inlineStr">
        <is>
          <t>How many values failed to convert?</t>
        </is>
      </c>
      <c r="B7" s="4" t="n">
        <v>1</v>
      </c>
      <c r="D7" s="2" t="inlineStr">
        <is>
          <t>Count them before you decide anything. One in this file.</t>
        </is>
      </c>
    </row>
    <row r="8">
      <c r="A8" s="2" t="inlineStr">
        <is>
          <t>Are conversion failures counted separately?</t>
        </is>
      </c>
      <c r="B8" s="4" t="inlineStr">
        <is>
          <t>no</t>
        </is>
      </c>
      <c r="D8" s="2" t="inlineStr">
        <is>
          <t>This is the planted defect on this tab. A pass that converts everything and counts nothing destroys the evidence of what failed.</t>
        </is>
      </c>
    </row>
    <row r="10">
      <c r="A10" s="3" t="inlineStr">
        <is>
          <t>What that gives you</t>
        </is>
      </c>
    </row>
    <row r="11">
      <c r="A11" s="2" t="inlineStr">
        <is>
          <t>Values usable after your choice</t>
        </is>
      </c>
      <c r="B11" s="5">
        <f>IF(B5="not at all",0,30-IF(B8="yes",B7,0))</f>
        <v/>
      </c>
      <c r="D11" s="2" t="inlineStr">
        <is>
          <t>Thirty orders, less anything you set aside as a counted failure.</t>
        </is>
      </c>
    </row>
    <row r="12">
      <c r="A12" s="2" t="inlineStr">
        <is>
          <t>Evidence a reviewer can still see</t>
        </is>
      </c>
      <c r="B12" s="5">
        <f>IF(AND(B6="yes",B8="yes"),"the original value and the failure count",IF(B6="yes","the original value only",IF(B8="yes","the failure count only","nothing")))</f>
        <v/>
      </c>
    </row>
    <row r="13">
      <c r="A13" s="3" t="inlineStr">
        <is>
          <t>The verdict</t>
        </is>
      </c>
    </row>
    <row r="14">
      <c r="A14" s="2" t="inlineStr">
        <is>
          <t>Verdict</t>
        </is>
      </c>
      <c r="B14" s="5">
        <f>IF(B5="not at all","stop: the comparison will refuse and the loop ends on record one",IF(AND(B5="in the record on load",B6="no"),"stop: the value the source sent is gone",IF(AND(B8="no",B7&gt;0),"stop: count the conversion failures before you convert","ship it: convert at the point of use and keep the record")))</f>
        <v/>
      </c>
      <c r="D14" s="2" t="inlineStr">
        <is>
          <t>This verdict is a sentence you can read aloud in a review. It is computed from the four yellow cells above and from nothing else.</t>
        </is>
      </c>
    </row>
    <row r="16">
      <c r="A16" s="6" t="inlineStr">
        <is>
          <t>Yellow cells are yours to change. Everything else is computed.</t>
        </is>
      </c>
    </row>
  </sheetData>
  <mergeCells count="2">
    <mergeCell ref="A16:D16"/>
    <mergeCell ref="A2:D2"/>
  </mergeCells>
  <dataValidations count="3">
    <dataValidation sqref="B5" showDropDown="0" showInputMessage="0" showErrorMessage="0" allowBlank="0" type="list">
      <formula1>"at the point of use,in the record on load,not at all"</formula1>
    </dataValidation>
    <dataValidation sqref="B6" showDropDown="0" showInputMessage="0" showErrorMessage="0" allowBlank="0" type="list">
      <formula1>"yes,no"</formula1>
    </dataValidation>
    <dataValidation sqref="B8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" customWidth="1" min="3" max="3"/>
    <col width="62" customWidth="1" min="4" max="4"/>
  </cols>
  <sheetData>
    <row r="1">
      <c r="A1" s="1" t="inlineStr">
        <is>
          <t>Decision 2. Where does the running total start?</t>
        </is>
      </c>
    </row>
    <row r="2" ht="30" customHeight="1">
      <c r="A2" s="2" t="inlineStr">
        <is>
          <t>A total that runs cleanly and comes back wrong is the failure this tab exists to catch. Two of the four inputs are numbers you can read off your own screen.</t>
        </is>
      </c>
    </row>
    <row r="4">
      <c r="A4" s="3" t="inlineStr">
        <is>
          <t>What you decided</t>
        </is>
      </c>
    </row>
    <row r="5">
      <c r="A5" s="2" t="inlineStr">
        <is>
          <t>Where does the starting value sit?</t>
        </is>
      </c>
      <c r="B5" s="4" t="inlineStr">
        <is>
          <t>inside the if, before the addition</t>
        </is>
      </c>
      <c r="D5" s="2" t="inlineStr">
        <is>
          <t>This is the planted defect on this tab. Only one of these three positions survives a review.</t>
        </is>
      </c>
    </row>
    <row r="6">
      <c r="A6" s="2" t="inlineStr">
        <is>
          <t>The total your cell printed, in Rs</t>
        </is>
      </c>
      <c r="B6" s="4" t="n">
        <v>1460</v>
      </c>
      <c r="D6" s="2" t="inlineStr">
        <is>
          <t>Whatever your screen actually says, not what you expected.</t>
        </is>
      </c>
    </row>
    <row r="7">
      <c r="A7" s="2" t="inlineStr">
        <is>
          <t>The largest single amount in that group, in Rs</t>
        </is>
      </c>
      <c r="B7" s="4" t="n">
        <v>4500</v>
      </c>
      <c r="D7" s="2" t="inlineStr">
        <is>
          <t>A group total can never be smaller than one of its own members.</t>
        </is>
      </c>
    </row>
    <row r="8">
      <c r="A8" s="2" t="inlineStr">
        <is>
          <t>How many records the condition kept</t>
        </is>
      </c>
      <c r="B8" s="4" t="n">
        <v>13</v>
      </c>
      <c r="D8" s="2" t="inlineStr">
        <is>
          <t>The denominator of every rate you go on to quote.</t>
        </is>
      </c>
    </row>
    <row r="10">
      <c r="A10" s="3" t="inlineStr">
        <is>
          <t>What that gives you</t>
        </is>
      </c>
    </row>
    <row r="11">
      <c r="A11" s="2" t="inlineStr">
        <is>
          <t>Average per record kept, in Rs</t>
        </is>
      </c>
      <c r="B11" s="5">
        <f>IF(B8=0,0,ROUND(B6/B8,0))</f>
        <v/>
      </c>
    </row>
    <row r="12">
      <c r="A12" s="2" t="inlineStr">
        <is>
          <t>The invariant, total against its largest member</t>
        </is>
      </c>
      <c r="B12" s="5">
        <f>IF(B6&gt;=B7,"holds","broken by Rs "&amp;TEXT(B7-B6,"#,##0"))</f>
        <v/>
      </c>
      <c r="D12" s="2" t="inlineStr">
        <is>
          <t>The one check you can do in your head before you send a number.</t>
        </is>
      </c>
    </row>
    <row r="13">
      <c r="A13" s="3" t="inlineStr">
        <is>
          <t>The verdict</t>
        </is>
      </c>
    </row>
    <row r="14">
      <c r="A14" s="2" t="inlineStr">
        <is>
          <t>Verdict</t>
        </is>
      </c>
      <c r="B14" s="5">
        <f>IF(B5&lt;&gt;"above the loop","stop: move the starting value above the loop",IF(B8=0,"stop: the condition kept no records at all",IF(B6&lt;B7,"stop: the total is below its own largest member","ship it: the accumulator starts once and the invariant holds")))</f>
        <v/>
      </c>
    </row>
    <row r="16">
      <c r="A16" s="6" t="inlineStr">
        <is>
          <t>Yellow cells are yours to change. Everything else is computed.</t>
        </is>
      </c>
    </row>
  </sheetData>
  <mergeCells count="2">
    <mergeCell ref="A16:D16"/>
    <mergeCell ref="A2:D2"/>
  </mergeCells>
  <dataValidations count="1">
    <dataValidation sqref="B5" showDropDown="0" showInputMessage="0" showErrorMessage="0" allowBlank="0" type="list">
      <formula1>"above the loop,inside the if, before the addition,inside the if, after the addition"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" customWidth="1" min="3" max="3"/>
    <col width="62" customWidth="1" min="4" max="4"/>
  </cols>
  <sheetData>
    <row r="1">
      <c r="A1" s="1" t="inlineStr">
        <is>
          <t>Decision 3. A field is absent. What default do you write?</t>
        </is>
      </c>
    </row>
    <row r="2" ht="30" customHeight="1">
      <c r="A2" s="2" t="inlineStr">
        <is>
          <t>Twenty-eight of the thirty orders carry no discount. The default you choose is a claim about the business, and this tab prices it.</t>
        </is>
      </c>
    </row>
    <row r="4">
      <c r="A4" s="3" t="inlineStr">
        <is>
          <t>What you decided</t>
        </is>
      </c>
    </row>
    <row r="5">
      <c r="A5" s="2" t="inlineStr">
        <is>
          <t>The default you supply</t>
        </is>
      </c>
      <c r="B5" s="4" t="n">
        <v>100</v>
      </c>
      <c r="D5" s="2" t="inlineStr">
        <is>
          <t>This is the planted defect on this tab. A hundred looks harmless until you see what it adds.</t>
        </is>
      </c>
    </row>
    <row r="6">
      <c r="A6" s="2" t="inlineStr">
        <is>
          <t>How many records carry the field</t>
        </is>
      </c>
      <c r="B6" s="4" t="n">
        <v>2</v>
      </c>
    </row>
    <row r="7">
      <c r="A7" s="2" t="inlineStr">
        <is>
          <t>How many records there are in total</t>
        </is>
      </c>
      <c r="B7" s="4" t="n">
        <v>30</v>
      </c>
    </row>
    <row r="8">
      <c r="A8" s="2" t="inlineStr">
        <is>
          <t>The sum of the values actually present, in Rs</t>
        </is>
      </c>
      <c r="B8" s="4" t="n">
        <v>250</v>
      </c>
    </row>
    <row r="9">
      <c r="A9" s="2" t="inlineStr">
        <is>
          <t>Is the default written down where the number is read?</t>
        </is>
      </c>
      <c r="B9" s="4" t="inlineStr">
        <is>
          <t>no</t>
        </is>
      </c>
    </row>
    <row r="11">
      <c r="A11" s="3" t="inlineStr">
        <is>
          <t>What that gives you</t>
        </is>
      </c>
    </row>
    <row r="12">
      <c r="A12" s="2" t="inlineStr">
        <is>
          <t>Records the default speaks for</t>
        </is>
      </c>
      <c r="B12" s="5">
        <f>B7-B6</f>
        <v/>
      </c>
    </row>
    <row r="13">
      <c r="A13" s="2" t="inlineStr">
        <is>
          <t>Rupees the default invents</t>
        </is>
      </c>
      <c r="B13" s="5">
        <f>B5*(B7-B6)</f>
        <v/>
      </c>
    </row>
    <row r="14">
      <c r="A14" s="2" t="inlineStr">
        <is>
          <t>The number you would report, in Rs</t>
        </is>
      </c>
      <c r="B14" s="5">
        <f>B8+B5*(B7-B6)</f>
        <v/>
      </c>
    </row>
    <row r="15">
      <c r="A15" s="2" t="inlineStr">
        <is>
          <t>Share of that number you invented</t>
        </is>
      </c>
      <c r="B15" s="5">
        <f>IF(B14=0,"none",TEXT(B13/B14,"0%"))</f>
        <v/>
      </c>
      <c r="D15" s="2" t="inlineStr">
        <is>
          <t>Anything above a tenth means the default is carrying the answer rather than filling a gap.</t>
        </is>
      </c>
    </row>
    <row r="16">
      <c r="A16" s="3" t="inlineStr">
        <is>
          <t>The verdict</t>
        </is>
      </c>
    </row>
    <row r="17">
      <c r="A17" s="2" t="inlineStr">
        <is>
          <t>Verdict</t>
        </is>
      </c>
      <c r="B17" s="5">
        <f>IF(B9="no","stop: write the default down beside the number it produced",IF(B14=0,"stop: there is nothing to report",IF(B13/B14&gt;0.1,"stop: the default invents more than a tenth of the number","ship it: the default is stated and it carries less than a tenth")))</f>
        <v/>
      </c>
    </row>
    <row r="19">
      <c r="A19" s="6" t="inlineStr">
        <is>
          <t>Yellow cells are yours to change. Everything else is computed.</t>
        </is>
      </c>
    </row>
  </sheetData>
  <mergeCells count="2">
    <mergeCell ref="A19:D19"/>
    <mergeCell ref="A2:D2"/>
  </mergeCells>
  <dataValidations count="1">
    <dataValidation sqref="B9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0" customWidth="1" min="2" max="2"/>
    <col width="3" customWidth="1" min="3" max="3"/>
    <col width="62" customWidth="1" min="4" max="4"/>
  </cols>
  <sheetData>
    <row r="1">
      <c r="A1" s="1" t="inlineStr">
        <is>
          <t>The brief, assembled by formula</t>
        </is>
      </c>
    </row>
    <row r="2" ht="30" customHeight="1">
      <c r="A2" s="2" t="inlineStr">
        <is>
          <t>Nothing on this tab is typed. Every line reads from the three decision tabs, so the paragraph at the bottom changes the moment a decision changes.</t>
        </is>
      </c>
    </row>
    <row r="4">
      <c r="A4" s="3" t="inlineStr">
        <is>
          <t>Each decision, and where it stands</t>
        </is>
      </c>
    </row>
    <row r="5">
      <c r="A5" s="2" t="inlineStr">
        <is>
          <t>Conversion</t>
        </is>
      </c>
      <c r="B5" s="5">
        <f>Conversion!B14</f>
        <v/>
      </c>
    </row>
    <row r="6">
      <c r="A6" s="2" t="inlineStr">
        <is>
          <t>Accumulator</t>
        </is>
      </c>
      <c r="B6" s="5">
        <f>Accumulator!B14</f>
        <v/>
      </c>
    </row>
    <row r="7">
      <c r="A7" s="2" t="inlineStr">
        <is>
          <t>Missing field</t>
        </is>
      </c>
      <c r="B7" s="5">
        <f>MissingKey!B17</f>
        <v/>
      </c>
    </row>
    <row r="9">
      <c r="A9" s="3" t="inlineStr">
        <is>
          <t>The release</t>
        </is>
      </c>
    </row>
    <row r="10">
      <c r="A10" s="2" t="inlineStr">
        <is>
          <t>Decisions still blocking</t>
        </is>
      </c>
      <c r="B10" s="5">
        <f>COUNTIF(B5:B7,"stop:*")</f>
        <v/>
      </c>
      <c r="D10" s="2" t="inlineStr">
        <is>
          <t>Fixing one tab does not clear the release. All three have to read ship it.</t>
        </is>
      </c>
    </row>
    <row r="11">
      <c r="A11" s="2" t="inlineStr">
        <is>
          <t>Release verdict</t>
        </is>
      </c>
      <c r="B11" s="5">
        <f>IF(B10=0,"release: all three decisions are defensible","hold: "&amp;B10&amp;" of 3 decisions are still blocking")</f>
        <v/>
      </c>
    </row>
    <row r="13">
      <c r="A13" s="3" t="inlineStr">
        <is>
          <t>The paragraph to paste</t>
        </is>
      </c>
    </row>
    <row r="14">
      <c r="A14" s="2" t="inlineStr">
        <is>
          <t>Brief</t>
        </is>
      </c>
      <c r="B14" s="5">
        <f>CONCATENATE("Kalpa Retail, Week 1 Day 1. We read 30 orders. ","Conversion: ",Conversion!B14,". ","Running total: ",Accumulator!B14,". ","Absent field: ",MissingKey!B17,". ","The reported discount figure is Rs ",TEXT(MissingKey!B14,"#,##0"),", of which Rs ",TEXT(MissingKey!B13,"#,##0")," was supplied by the default rather than by the file.")</f>
        <v/>
      </c>
    </row>
    <row r="16">
      <c r="A16" s="6" t="inlineStr">
        <is>
          <t>Yellow cells are yours to change. Everything else is computed.</t>
        </is>
      </c>
    </row>
  </sheetData>
  <mergeCells count="2">
    <mergeCell ref="A16:D16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2026-09-10T01:27:09Z</dcterms:created>
  <dcterms:modified xmlns:dcterms="http://purl.org/dc/terms/" xmlns:xsi="http://www.w3.org/2001/XMLSchema-instance" xsi:type="dcterms:W3CDTF">2026-09-10T01:27:09Z</dcterms:modified>
</cp:coreProperties>
</file>