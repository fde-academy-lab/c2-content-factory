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ales" sheetId="2" state="visible" r:id="rId2"/>
    <sheet xmlns:r="http://schemas.openxmlformats.org/officeDocument/2006/relationships" name="Customers" sheetId="3" state="visible" r:id="rId3"/>
    <sheet xmlns:r="http://schemas.openxmlformats.org/officeDocument/2006/relationships" name="Typical" sheetId="4" state="visible" r:id="rId4"/>
    <sheet xmlns:r="http://schemas.openxmlformats.org/officeDocument/2006/relationships" name="Lifts" sheetId="5" state="visible" r:id="rId5"/>
    <sheet xmlns:r="http://schemas.openxmlformats.org/officeDocument/2006/relationships" name="Channel" sheetId="6" state="visible" r:id="rId6"/>
    <sheet xmlns:r="http://schemas.openxmlformats.org/officeDocument/2006/relationships" name="Export"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Georgia"/>
      <color rgb="001A0F5C"/>
      <sz val="16"/>
    </font>
    <font>
      <name val="Arial"/>
      <color rgb="001A1440"/>
      <sz val="10"/>
    </font>
    <font>
      <name val="Arial"/>
      <i val="1"/>
      <color rgb="006B6690"/>
      <sz val="10"/>
    </font>
    <font>
      <name val="Arial"/>
      <b val="1"/>
      <color rgb="00FFFFFF"/>
      <sz val="10"/>
    </font>
    <font>
      <name val="Arial"/>
      <b val="1"/>
      <color rgb="001A0F5C"/>
      <sz val="10"/>
    </font>
    <font>
      <name val="Arial"/>
      <b val="1"/>
      <color rgb="001A0F5C"/>
      <sz val="11"/>
    </font>
  </fonts>
  <fills count="5">
    <fill>
      <patternFill/>
    </fill>
    <fill>
      <patternFill patternType="gray125"/>
    </fill>
    <fill>
      <patternFill patternType="solid">
        <fgColor rgb="00FFF4C2"/>
      </patternFill>
    </fill>
    <fill>
      <patternFill patternType="solid">
        <fgColor rgb="001A0F5C"/>
      </patternFill>
    </fill>
    <fill>
      <patternFill patternType="solid">
        <fgColor rgb="00EEEAFB"/>
      </patternFill>
    </fill>
  </fills>
  <borders count="6">
    <border>
      <left/>
      <right/>
      <top/>
      <bottom/>
      <diagonal/>
    </border>
    <border>
      <left style="thin">
        <color rgb="00CFC9EE"/>
      </left>
      <right style="thin">
        <color rgb="00CFC9EE"/>
      </right>
      <top style="thin">
        <color rgb="00CFC9EE"/>
      </top>
      <bottom style="thin">
        <color rgb="00CFC9EE"/>
      </bottom>
    </border>
    <border>
      <left/>
      <right/>
      <top style="thin">
        <color rgb="00CFC9EE"/>
      </top>
      <bottom/>
      <diagonal/>
    </border>
    <border>
      <left/>
      <right style="thin">
        <color rgb="00CFC9EE"/>
      </right>
      <top style="thin">
        <color rgb="00CFC9EE"/>
      </top>
      <bottom/>
      <diagonal/>
    </border>
    <border>
      <left/>
      <right/>
      <top style="thin">
        <color rgb="00CFC9EE"/>
      </top>
      <bottom style="thin">
        <color rgb="00CFC9EE"/>
      </bottom>
      <diagonal/>
    </border>
    <border>
      <left/>
      <right style="thin">
        <color rgb="00CFC9EE"/>
      </right>
      <top style="thin">
        <color rgb="00CFC9EE"/>
      </top>
      <bottom style="thin">
        <color rgb="00CFC9EE"/>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2" borderId="0" pivotButton="0" quotePrefix="0" xfId="0"/>
    <xf numFmtId="0" fontId="3" fillId="0" borderId="0" pivotButton="0" quotePrefix="0" xfId="0"/>
    <xf numFmtId="0" fontId="4" fillId="3" borderId="0" pivotButton="0" quotePrefix="0" xfId="0"/>
    <xf numFmtId="0" fontId="2" fillId="0" borderId="0" pivotButton="0" quotePrefix="0" xfId="0"/>
    <xf numFmtId="0" fontId="2" fillId="2" borderId="1" pivotButton="0" quotePrefix="0" xfId="0"/>
    <xf numFmtId="3" fontId="2" fillId="2" borderId="1" pivotButton="0" quotePrefix="0" xfId="0"/>
    <xf numFmtId="3" fontId="2" fillId="0" borderId="0" pivotButton="0" quotePrefix="0" xfId="0"/>
    <xf numFmtId="0" fontId="5" fillId="0" borderId="0" pivotButton="0" quotePrefix="0" xfId="0"/>
    <xf numFmtId="0" fontId="6" fillId="0" borderId="0" pivotButton="0" quotePrefix="0" xfId="0"/>
    <xf numFmtId="0" fontId="6" fillId="4" borderId="1" applyAlignment="1" pivotButton="0" quotePrefix="0" xfId="0">
      <alignment vertical="top" wrapText="1"/>
    </xf>
    <xf numFmtId="0" fontId="0" fillId="0" borderId="4" pivotButton="0" quotePrefix="0" xfId="0"/>
    <xf numFmtId="0" fontId="0" fillId="0" borderId="5" pivotButton="0" quotePrefix="0" xfId="0"/>
    <xf numFmtId="2" fontId="2" fillId="0" borderId="0" pivotButton="0" quotePrefix="0" xfId="0"/>
    <xf numFmtId="164" fontId="2" fillId="0" borderId="0" pivotButton="0" quotePrefix="0" xfId="0"/>
    <xf numFmtId="3"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 t="inlineStr">
        <is>
          <t>Is acquisition the short branch? The decision tool</t>
        </is>
      </c>
    </row>
    <row r="3">
      <c r="A3" s="2" t="inlineStr">
        <is>
          <t>Kalpa Retail, Week 1, Monday. Meera Raghavan, CEO, asked what sales is made of and whether acquisition is even the branch that is short, before she signs marketing's Rs 12 crore.</t>
        </is>
      </c>
    </row>
    <row r="4">
      <c r="A4" s="2" t="inlineStr">
        <is>
          <t>The workbook holds the five decisions the day taught, one tab each, and an Export tab that assembles the brief to Meera.</t>
        </is>
      </c>
    </row>
    <row r="5">
      <c r="A5" s="2" t="inlineStr">
        <is>
          <t>Yellow cells are inputs you may change; every other number and sentence is a live formula.</t>
        </is>
      </c>
    </row>
    <row r="6">
      <c r="A6" s="2" t="inlineStr">
        <is>
          <t>Each tab carries one planted defect in one formula: the day's trap, written as a spreadsheet mistake. Read the tab's check line first, find the cell, fix the formula, and watch the verdict change.</t>
        </is>
      </c>
    </row>
    <row r="7">
      <c r="A7" s="2" t="inlineStr">
        <is>
          <t>The Export tab releases the brief only when all five tabs pass their checks, so fixing one tab does not clear it.</t>
        </is>
      </c>
    </row>
    <row r="8">
      <c r="A8" s="2" t="inlineStr">
        <is>
          <t>Sales asks which total is sales. Customers asks whether customers are counted by rows or by id. Typical asks whether the typical order is the mean or the median. Lifts asks whether two lifts add or multiply. Channel asks what booked and delivered say about each channel on consumer orders.</t>
        </is>
      </c>
    </row>
    <row r="9">
      <c r="A9" s="2" t="inlineStr">
        <is>
          <t>The figures on the tabs are aggregates of the day's 30 orders from 1 July to 26 September 2026, as the notebooks compute them. The few amounts marked invented are invented to show a mechanism and are not Kalpa records.</t>
        </is>
      </c>
    </row>
    <row r="10">
      <c r="A10" s="2" t="inlineStr">
        <is>
          <t>When you finish, use the tool on your own extract: replace the yellow cells, fix nothing, and read the verdicts.</t>
        </is>
      </c>
    </row>
    <row r="12">
      <c r="A12" s="3" t="inlineStr">
        <is>
          <t>Yellow means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22" customWidth="1" min="2" max="2"/>
    <col width="18" customWidth="1" min="3" max="3"/>
    <col width="18" customWidth="1" min="4" max="4"/>
    <col width="18" customWidth="1" min="5" max="5"/>
    <col width="18" customWidth="1" min="6" max="6"/>
  </cols>
  <sheetData>
    <row r="1">
      <c r="A1" s="1" t="inlineStr">
        <is>
          <t>Which total is sales?</t>
        </is>
      </c>
    </row>
    <row r="2">
      <c r="A2" s="4" t="inlineStr">
        <is>
          <t>Three honest readings of one word. A total leaves the team with its definition beside it.</t>
        </is>
      </c>
    </row>
    <row r="4">
      <c r="A4" s="5" t="inlineStr">
        <is>
          <t>Status</t>
        </is>
      </c>
      <c r="B4" s="5" t="inlineStr">
        <is>
          <t>Orders</t>
        </is>
      </c>
      <c r="C4" s="5" t="inlineStr">
        <is>
          <t>Amount (Rs)</t>
        </is>
      </c>
    </row>
    <row r="5">
      <c r="A5" s="6" t="inlineStr">
        <is>
          <t>delivered</t>
        </is>
      </c>
      <c r="B5" s="7" t="n">
        <v>21</v>
      </c>
      <c r="C5" s="8" t="n">
        <v>520790</v>
      </c>
    </row>
    <row r="6">
      <c r="A6" s="6" t="inlineStr">
        <is>
          <t>returned</t>
        </is>
      </c>
      <c r="B6" s="7" t="n">
        <v>5</v>
      </c>
      <c r="C6" s="8" t="n">
        <v>14970</v>
      </c>
    </row>
    <row r="7">
      <c r="A7" s="6" t="inlineStr">
        <is>
          <t>cancelled</t>
        </is>
      </c>
      <c r="B7" s="7" t="n">
        <v>4</v>
      </c>
      <c r="C7" s="8" t="n">
        <v>9050</v>
      </c>
    </row>
    <row r="9">
      <c r="A9" s="5" t="inlineStr">
        <is>
          <t>Reading</t>
        </is>
      </c>
      <c r="B9" s="5" t="inlineStr">
        <is>
          <t>Orders</t>
        </is>
      </c>
      <c r="C9" s="5" t="inlineStr">
        <is>
          <t>Total (Rs)</t>
        </is>
      </c>
    </row>
    <row r="10">
      <c r="A10" s="6" t="inlineStr">
        <is>
          <t>booked</t>
        </is>
      </c>
      <c r="B10" s="6">
        <f>B5+B6+B7</f>
        <v/>
      </c>
      <c r="C10" s="9">
        <f>C5+C6+C7</f>
        <v/>
      </c>
    </row>
    <row r="11">
      <c r="A11" s="6" t="inlineStr">
        <is>
          <t>not cancelled</t>
        </is>
      </c>
      <c r="B11" s="6">
        <f>B5+B6</f>
        <v/>
      </c>
      <c r="C11" s="9">
        <f>C5+C6+C7</f>
        <v/>
      </c>
    </row>
    <row r="12">
      <c r="A12" s="6" t="inlineStr">
        <is>
          <t>delivered</t>
        </is>
      </c>
      <c r="B12" s="6">
        <f>B5</f>
        <v/>
      </c>
      <c r="C12" s="9">
        <f>C5</f>
        <v/>
      </c>
    </row>
    <row r="14">
      <c r="A14" s="10" t="inlineStr">
        <is>
          <t>The reading you give Meera</t>
        </is>
      </c>
      <c r="B14" s="7" t="inlineStr">
        <is>
          <t>not cancelled</t>
        </is>
      </c>
    </row>
    <row r="15" ht="42" customHeight="1">
      <c r="A15" s="10" t="inlineStr">
        <is>
          <t>The check</t>
        </is>
      </c>
      <c r="B15" s="2">
        <f>IF(C11=C10-C7,"The not-cancelled total is the booked total less the cancelled orders.","The not-cancelled total sits "&amp;IF(C11-(C10-C7)&lt;0,"minus ","")&amp;"Rs "&amp;IF(ROUND(ABS(C11-(C10-C7)),0)&gt;=100000,INT(ROUND(ABS(C11-(C10-C7)),0)/100000)&amp;","&amp;TEXT(INT(MOD(ROUND(ABS(C11-(C10-C7)),0),100000)/1000),"00")&amp;","&amp;TEXT(MOD(ROUND(ABS(C11-(C10-C7)),0),1000),"000"),IF(ROUND(ABS(C11-(C10-C7)),0)&gt;=1000,INT(ROUND(ABS(C11-(C10-C7)),0)/1000)&amp;","&amp;TEXT(MOD(ROUND(ABS(C11-(C10-C7)),0),1000),"000"),ROUND(ABS(C11-(C10-C7)),0)&amp;""))&amp;" above booked less cancelled: it still carries the cancelled orders, which never became sales. Fix it first.")</f>
        <v/>
      </c>
    </row>
    <row r="16">
      <c r="A16" s="6" t="inlineStr">
        <is>
          <t>Chosen total (Rs)</t>
        </is>
      </c>
      <c r="B16" s="9">
        <f>INDEX(C10:C12,MATCH(B14,A10:A12,0))</f>
        <v/>
      </c>
    </row>
    <row r="17">
      <c r="A17" s="6" t="inlineStr">
        <is>
          <t>Its orders</t>
        </is>
      </c>
      <c r="B17" s="6">
        <f>INDEX(B10:B12,MATCH(B14,A10:A12,0))</f>
        <v/>
      </c>
    </row>
    <row r="19" ht="48" customHeight="1">
      <c r="A19" s="11" t="inlineStr">
        <is>
          <t>Verdict</t>
        </is>
      </c>
      <c r="B19" s="12">
        <f>IF(C11&lt;&gt;C10-C7,"Fix the not-cancelled total before any number leaves the team.","Sales, "&amp;B14&amp;", 1 July to 26 September: "&amp;IF(B16&lt;0,"minus ","")&amp;"Rs "&amp;IF(ROUND(ABS(B16),0)&gt;=100000,INT(ROUND(ABS(B16),0)/100000)&amp;","&amp;TEXT(INT(MOD(ROUND(ABS(B16),0),100000)/1000),"00")&amp;","&amp;TEXT(MOD(ROUND(ABS(B16),0),1000),"000"),IF(ROUND(ABS(B16),0)&gt;=1000,INT(ROUND(ABS(B16),0)/1000)&amp;","&amp;TEXT(MOD(ROUND(ABS(B16),0),1000),"000"),ROUND(ABS(B16),0)&amp;""))&amp;" on "&amp;B17&amp;" orders"&amp;IF(B14="booked",", every order placed, cancelled and returned ones included.",", with "&amp;IF(C10-B16&lt;0,"minus ","")&amp;"Rs "&amp;IF(ROUND(ABS(C10-B16),0)&gt;=100000,INT(ROUND(ABS(C10-B16),0)/100000)&amp;","&amp;TEXT(INT(MOD(ROUND(ABS(C10-B16),0),100000)/1000),"00")&amp;","&amp;TEXT(MOD(ROUND(ABS(C10-B16),0),1000),"000"),IF(ROUND(ABS(C10-B16),0)&gt;=1000,INT(ROUND(ABS(C10-B16),0)/1000)&amp;","&amp;TEXT(MOD(ROUND(ABS(C10-B16),0),1000),"000"),ROUND(ABS(C10-B16),0)&amp;""))&amp;" and "&amp;(B10-B17)&amp;" orders of the booked total left out by the definition."))</f>
        <v/>
      </c>
      <c r="C19" s="13" t="n"/>
      <c r="D19" s="13" t="n"/>
      <c r="E19" s="13" t="n"/>
      <c r="F19" s="14" t="n"/>
    </row>
    <row r="20">
      <c r="A20" s="4" t="inlineStr">
        <is>
          <t>Fixed, for the Export tab</t>
        </is>
      </c>
      <c r="B20" s="6">
        <f>IF(C11=C10-C7,1,0)</f>
        <v/>
      </c>
    </row>
  </sheetData>
  <mergeCells count="2">
    <mergeCell ref="B15:F15"/>
    <mergeCell ref="B19:F19"/>
  </mergeCells>
  <dataValidations count="1">
    <dataValidation sqref="B14" showDropDown="0" showInputMessage="0" showErrorMessage="0" allowBlank="0" type="list">
      <formula1>"booked,not cancelled,delivered"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40" customWidth="1" min="1" max="1"/>
    <col width="22" customWidth="1" min="2" max="2"/>
    <col width="18" customWidth="1" min="3" max="3"/>
    <col width="18" customWidth="1" min="4" max="4"/>
    <col width="18" customWidth="1" min="5" max="5"/>
    <col width="18" customWidth="1" min="6" max="6"/>
  </cols>
  <sheetData>
    <row r="1">
      <c r="A1" s="1" t="inlineStr">
        <is>
          <t>Customers by rows or by id?</t>
        </is>
      </c>
    </row>
    <row r="2">
      <c r="A2" s="4" t="inlineStr">
        <is>
          <t>A row is an order. How many customers placed each number of orders, and what that says about frequency.</t>
        </is>
      </c>
    </row>
    <row r="4">
      <c r="A4" s="5" t="inlineStr">
        <is>
          <t>Orders placed in the window</t>
        </is>
      </c>
      <c r="B4" s="5" t="inlineStr">
        <is>
          <t>Customers</t>
        </is>
      </c>
      <c r="C4" s="5" t="inlineStr">
        <is>
          <t>Orders they account for</t>
        </is>
      </c>
    </row>
    <row r="5">
      <c r="A5" s="6" t="n">
        <v>1</v>
      </c>
      <c r="B5" s="7" t="n">
        <v>16</v>
      </c>
      <c r="C5" s="6">
        <f>A5*B5</f>
        <v/>
      </c>
    </row>
    <row r="6">
      <c r="A6" s="6" t="n">
        <v>2</v>
      </c>
      <c r="B6" s="7" t="n">
        <v>7</v>
      </c>
      <c r="C6" s="6">
        <f>A6*B6</f>
        <v/>
      </c>
    </row>
    <row r="7">
      <c r="A7" s="6" t="n">
        <v>3</v>
      </c>
      <c r="B7" s="7" t="n">
        <v>0</v>
      </c>
      <c r="C7" s="6">
        <f>A7*B7</f>
        <v/>
      </c>
    </row>
    <row r="8">
      <c r="A8" s="6" t="n">
        <v>4</v>
      </c>
      <c r="B8" s="7" t="n">
        <v>0</v>
      </c>
      <c r="C8" s="6">
        <f>A8*B8</f>
        <v/>
      </c>
    </row>
    <row r="10">
      <c r="A10" s="10" t="inlineStr">
        <is>
          <t>Orders (rows)</t>
        </is>
      </c>
      <c r="B10" s="6">
        <f>SUMPRODUCT(A5:A8,B5:B8)</f>
        <v/>
      </c>
    </row>
    <row r="11">
      <c r="A11" s="10" t="inlineStr">
        <is>
          <t>Customers</t>
        </is>
      </c>
      <c r="B11" s="6">
        <f>SUMPRODUCT(A5:A8,B5:B8)</f>
        <v/>
      </c>
    </row>
    <row r="12">
      <c r="A12" s="6" t="inlineStr">
        <is>
          <t>Orders per customer</t>
        </is>
      </c>
      <c r="B12" s="15">
        <f>ROUND(B10/B11,2)</f>
        <v/>
      </c>
    </row>
    <row r="13">
      <c r="A13" s="6" t="inlineStr">
        <is>
          <t>Customers who came back</t>
        </is>
      </c>
      <c r="B13" s="6">
        <f>SUM(B6:B8)</f>
        <v/>
      </c>
    </row>
    <row r="14">
      <c r="A14" s="6" t="inlineStr">
        <is>
          <t>Customers who bought once</t>
        </is>
      </c>
      <c r="B14" s="6">
        <f>B5</f>
        <v/>
      </c>
    </row>
    <row r="15" ht="42" customHeight="1">
      <c r="A15" s="10" t="inlineStr">
        <is>
          <t>The check</t>
        </is>
      </c>
      <c r="B15" s="2">
        <f>IF(AND(B11=B10,B13&gt;0),"Customers equal orders, yet "&amp;B13&amp;" customers bought more than once: the customer cell is counting rows. Fix it first.","Customers count each id once, so repeat buyers show.")</f>
        <v/>
      </c>
    </row>
    <row r="17" ht="48" customHeight="1">
      <c r="A17" s="11" t="inlineStr">
        <is>
          <t>Verdict</t>
        </is>
      </c>
      <c r="B17" s="12">
        <f>IF(AND(B11=B10,B13&gt;0),"Fix the customer count before you say anything about frequency.",IF(B13=0,"Every one of the "&amp;B11&amp;" customers bought once, so frequency has nothing to show yet and acquisition is the branch to test.",B11&amp;" customers placed "&amp;TEXT(B12,"0.00")&amp;" orders each; "&amp;B13&amp;" of them ("&amp;ROUND(100*B13/B11,0)&amp;" percent) came back and "&amp;B14&amp;" bought once, so frequency is a live branch before acquisition."))</f>
        <v/>
      </c>
      <c r="C17" s="13" t="n"/>
      <c r="D17" s="13" t="n"/>
      <c r="E17" s="13" t="n"/>
      <c r="F17" s="14" t="n"/>
    </row>
    <row r="18">
      <c r="A18" s="4" t="inlineStr">
        <is>
          <t>Fixed, for the Export tab</t>
        </is>
      </c>
      <c r="B18" s="6">
        <f>IF(B11=SUM(B5:B8),1,0)</f>
        <v/>
      </c>
    </row>
  </sheetData>
  <mergeCells count="2">
    <mergeCell ref="B15:F15"/>
    <mergeCell ref="B17:F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40" customWidth="1" min="1" max="1"/>
    <col width="22" customWidth="1" min="2" max="2"/>
    <col width="18" customWidth="1" min="3" max="3"/>
    <col width="18" customWidth="1" min="4" max="4"/>
    <col width="18" customWidth="1" min="5" max="5"/>
    <col width="18" customWidth="1" min="6" max="6"/>
  </cols>
  <sheetData>
    <row r="1">
      <c r="A1" s="1" t="inlineStr">
        <is>
          <t>What does a typical order look like?</t>
        </is>
      </c>
    </row>
    <row r="2">
      <c r="A2" s="4" t="inlineStr">
        <is>
          <t>Kalpa's booked orders on the left; an invented list on the right shows why one order can move a mean.</t>
        </is>
      </c>
    </row>
    <row r="4">
      <c r="A4" s="5" t="inlineStr">
        <is>
          <t>Kalpa, booked orders</t>
        </is>
      </c>
      <c r="B4" s="5" t="inlineStr">
        <is>
          <t>Value</t>
        </is>
      </c>
    </row>
    <row r="5">
      <c r="A5" s="6" t="inlineStr">
        <is>
          <t>Booked revenue (Rs)</t>
        </is>
      </c>
      <c r="B5" s="8" t="n">
        <v>544810</v>
      </c>
    </row>
    <row r="6">
      <c r="A6" s="6" t="inlineStr">
        <is>
          <t>Orders</t>
        </is>
      </c>
      <c r="B6" s="7" t="n">
        <v>30</v>
      </c>
    </row>
    <row r="7">
      <c r="A7" s="6" t="inlineStr">
        <is>
          <t>Median order from notebook 3 (Rs)</t>
        </is>
      </c>
      <c r="B7" s="8" t="n">
        <v>2205</v>
      </c>
    </row>
    <row r="8">
      <c r="A8" s="6" t="inlineStr">
        <is>
          <t>Mean order (Rs)</t>
        </is>
      </c>
      <c r="B8" s="9">
        <f>ROUND(B5/B6,0)</f>
        <v/>
      </c>
    </row>
    <row r="9">
      <c r="A9" s="10" t="inlineStr">
        <is>
          <t>The typical order you report (Rs)</t>
        </is>
      </c>
      <c r="B9" s="9">
        <f>B8</f>
        <v/>
      </c>
    </row>
    <row r="10">
      <c r="A10" s="6" t="inlineStr">
        <is>
          <t>Mean over median</t>
        </is>
      </c>
      <c r="B10" s="16">
        <f>ROUND(B8/B7,1)</f>
        <v/>
      </c>
    </row>
    <row r="11">
      <c r="A11" s="10" t="inlineStr">
        <is>
          <t>What is the number for?</t>
        </is>
      </c>
      <c r="B11" s="7" t="inlineStr">
        <is>
          <t>a typical order</t>
        </is>
      </c>
    </row>
    <row r="12" ht="42" customHeight="1">
      <c r="A12" s="10" t="inlineStr">
        <is>
          <t>The check</t>
        </is>
      </c>
      <c r="B12" s="2">
        <f>IF(AND(B9=B8,B10&gt;=2),"The typical order reads the mean, which is "&amp;TEXT(B10,"0.0")&amp;" times the median: one large order is moving it. Fix it first.","The typical order reads the median, which one order cannot drag.")</f>
        <v/>
      </c>
    </row>
    <row r="14" ht="48" customHeight="1">
      <c r="A14" s="11" t="inlineStr">
        <is>
          <t>Verdict</t>
        </is>
      </c>
      <c r="B14" s="12">
        <f>IF(AND(B9=B8,B10&gt;=2),"Fix the typical order before it values anything.",IF(B11="a typical order","Report the median, "&amp;IF(B7&lt;0,"minus ","")&amp;"Rs "&amp;IF(ROUND(ABS(B7),0)&gt;=100000,INT(ROUND(ABS(B7),0)/100000)&amp;","&amp;TEXT(INT(MOD(ROUND(ABS(B7),0),100000)/1000),"00")&amp;","&amp;TEXT(MOD(ROUND(ABS(B7),0),1000),"000"),IF(ROUND(ABS(B7),0)&gt;=1000,INT(ROUND(ABS(B7),0)/1000)&amp;","&amp;TEXT(MOD(ROUND(ABS(B7),0),1000),"000"),ROUND(ABS(B7),0)&amp;""))&amp;", as the typical order: the mean of "&amp;IF(B8&lt;0,"minus ","")&amp;"Rs "&amp;IF(ROUND(ABS(B8),0)&gt;=100000,INT(ROUND(ABS(B8),0)/100000)&amp;","&amp;TEXT(INT(MOD(ROUND(ABS(B8),0),100000)/1000),"00")&amp;","&amp;TEXT(MOD(ROUND(ABS(B8),0),1000),"000"),IF(ROUND(ABS(B8),0)&gt;=1000,INT(ROUND(ABS(B8),0)/1000)&amp;","&amp;TEXT(MOD(ROUND(ABS(B8),0),1000),"000"),ROUND(ABS(B8),0)&amp;""))&amp;" is "&amp;TEXT(B10,"0.0")&amp;" times it, so a first order is worth about "&amp;IF(B7&lt;0,"minus ","")&amp;"Rs "&amp;IF(ROUND(ABS(B7),0)&gt;=100000,INT(ROUND(ABS(B7),0)/100000)&amp;","&amp;TEXT(INT(MOD(ROUND(ABS(B7),0),100000)/1000),"00")&amp;","&amp;TEXT(MOD(ROUND(ABS(B7),0),1000),"000"),IF(ROUND(ABS(B7),0)&gt;=1000,INT(ROUND(ABS(B7),0)/1000)&amp;","&amp;TEXT(MOD(ROUND(ABS(B7),0),1000),"000"),ROUND(ABS(B7),0)&amp;""))&amp;" to the acquisition case.","Use the mean, "&amp;IF(B8&lt;0,"minus ","")&amp;"Rs "&amp;IF(ROUND(ABS(B8),0)&gt;=100000,INT(ROUND(ABS(B8),0)/100000)&amp;","&amp;TEXT(INT(MOD(ROUND(ABS(B8),0),100000)/1000),"00")&amp;","&amp;TEXT(MOD(ROUND(ABS(B8),0),1000),"000"),IF(ROUND(ABS(B8),0)&gt;=1000,INT(ROUND(ABS(B8),0)/1000)&amp;","&amp;TEXT(MOD(ROUND(ABS(B8),0),1000),"000"),ROUND(ABS(B8),0)&amp;""))&amp;", on the tree, because it multiplies back to the total; say so beside it."))</f>
        <v/>
      </c>
      <c r="C14" s="13" t="n"/>
      <c r="D14" s="13" t="n"/>
      <c r="E14" s="13" t="n"/>
      <c r="F14" s="14" t="n"/>
    </row>
    <row r="15">
      <c r="A15" s="4" t="inlineStr">
        <is>
          <t>Fixed, for the Export tab</t>
        </is>
      </c>
      <c r="B15" s="6">
        <f>IF(B9=B7,1,0)</f>
        <v/>
      </c>
    </row>
    <row r="17">
      <c r="A17" s="5" t="inlineStr">
        <is>
          <t>Invented orders (Rs)</t>
        </is>
      </c>
      <c r="B17" s="5" t="inlineStr">
        <is>
          <t>Invented list, measure</t>
        </is>
      </c>
    </row>
    <row r="18">
      <c r="A18" s="8" t="n">
        <v>1900</v>
      </c>
      <c r="C18" s="6" t="inlineStr">
        <is>
          <t>Mean</t>
        </is>
      </c>
      <c r="D18" s="9">
        <f>ROUND(AVERAGE(A18:A23),0)</f>
        <v/>
      </c>
    </row>
    <row r="19">
      <c r="A19" s="8" t="n">
        <v>2100</v>
      </c>
      <c r="C19" s="6" t="inlineStr">
        <is>
          <t>Median</t>
        </is>
      </c>
      <c r="D19" s="9">
        <f>MEDIAN(A18:A23)</f>
        <v/>
      </c>
    </row>
    <row r="20">
      <c r="A20" s="8" t="n">
        <v>2300</v>
      </c>
      <c r="C20" s="6" t="inlineStr">
        <is>
          <t>Orders above the mean</t>
        </is>
      </c>
      <c r="D20" s="6">
        <f>COUNTIF(A18:A23,"&gt;"&amp;D18)</f>
        <v/>
      </c>
    </row>
    <row r="21">
      <c r="A21" s="8" t="n">
        <v>2400</v>
      </c>
    </row>
    <row r="22">
      <c r="A22" s="8" t="n">
        <v>2600</v>
      </c>
    </row>
    <row r="23">
      <c r="A23" s="8" t="n">
        <v>90000</v>
      </c>
    </row>
    <row r="24">
      <c r="A24" s="4" t="inlineStr">
        <is>
          <t>These six amounts are invented; clear the last one to see the mean fall back while the median barely moves.</t>
        </is>
      </c>
    </row>
  </sheetData>
  <mergeCells count="2">
    <mergeCell ref="B12:F12"/>
    <mergeCell ref="B14:F14"/>
  </mergeCells>
  <dataValidations count="1">
    <dataValidation sqref="B11" showDropDown="0" showInputMessage="0" showErrorMessage="0" allowBlank="0" type="list">
      <formula1>"a typical order,a total that must add up"</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40" customWidth="1" min="1" max="1"/>
    <col width="22" customWidth="1" min="2" max="2"/>
    <col width="18" customWidth="1" min="3" max="3"/>
    <col width="18" customWidth="1" min="4" max="4"/>
    <col width="18" customWidth="1" min="5" max="5"/>
    <col width="18" customWidth="1" min="6" max="6"/>
  </cols>
  <sheetData>
    <row r="1">
      <c r="A1" s="1" t="inlineStr">
        <is>
          <t>Do two lifts add or multiply?</t>
        </is>
      </c>
    </row>
    <row r="2">
      <c r="A2" s="4" t="inlineStr">
        <is>
          <t>Revenue is customers times orders per customer times average order value, so lifts on its branches multiply.</t>
        </is>
      </c>
    </row>
    <row r="4">
      <c r="A4" s="10" t="inlineStr">
        <is>
          <t>Revenue today (Rs)</t>
        </is>
      </c>
      <c r="B4" s="8" t="n">
        <v>544810</v>
      </c>
    </row>
    <row r="5">
      <c r="A5" s="5" t="inlineStr">
        <is>
          <t>Branch</t>
        </is>
      </c>
      <c r="B5" s="5" t="inlineStr">
        <is>
          <t>Change, percent</t>
        </is>
      </c>
      <c r="C5" s="5" t="inlineStr">
        <is>
          <t>Multiplier</t>
        </is>
      </c>
    </row>
    <row r="6">
      <c r="A6" s="6" t="inlineStr">
        <is>
          <t>customers</t>
        </is>
      </c>
      <c r="B6" s="7" t="n">
        <v>10</v>
      </c>
      <c r="C6" s="6">
        <f>1+B6/100</f>
        <v/>
      </c>
    </row>
    <row r="7">
      <c r="A7" s="6" t="inlineStr">
        <is>
          <t>orders per customer</t>
        </is>
      </c>
      <c r="B7" s="7" t="n">
        <v>10</v>
      </c>
      <c r="C7" s="6">
        <f>1+B7/100</f>
        <v/>
      </c>
    </row>
    <row r="8">
      <c r="A8" s="6" t="inlineStr">
        <is>
          <t>average order value</t>
        </is>
      </c>
      <c r="B8" s="7" t="n">
        <v>0</v>
      </c>
      <c r="C8" s="6">
        <f>1+B8/100</f>
        <v/>
      </c>
    </row>
    <row r="10">
      <c r="A10" s="6" t="inlineStr">
        <is>
          <t>The growth plan, percent</t>
        </is>
      </c>
      <c r="B10" s="7" t="n">
        <v>15</v>
      </c>
    </row>
    <row r="12">
      <c r="A12" s="6" t="inlineStr">
        <is>
          <t>Revenue if the lifts were added (Rs)</t>
        </is>
      </c>
      <c r="B12" s="9">
        <f>ROUND(B4*(1+(B6+B7+B8)/100),0)</f>
        <v/>
      </c>
    </row>
    <row r="13">
      <c r="A13" s="10" t="inlineStr">
        <is>
          <t>New revenue (Rs)</t>
        </is>
      </c>
      <c r="B13" s="9">
        <f>ROUND(B4*(1+(B6+B7+B8)/100),0)</f>
        <v/>
      </c>
    </row>
    <row r="14">
      <c r="A14" s="6" t="inlineStr">
        <is>
          <t>Through the tree (Rs)</t>
        </is>
      </c>
      <c r="B14" s="9">
        <f>ROUND(B4*C6*C7*C8,0)</f>
        <v/>
      </c>
    </row>
    <row r="15">
      <c r="A15" s="6" t="inlineStr">
        <is>
          <t>Growth, percent</t>
        </is>
      </c>
      <c r="B15" s="16">
        <f>ROUND(100*(B13/B4-1),1)</f>
        <v/>
      </c>
    </row>
    <row r="16" ht="42" customHeight="1">
      <c r="A16" s="10" t="inlineStr">
        <is>
          <t>The check</t>
        </is>
      </c>
      <c r="B16" s="2">
        <f>IF(ABS(B13-B14)&gt;1,"New revenue and the product of the branches disagree by "&amp;IF(B14-B13&lt;0,"minus ","")&amp;"Rs "&amp;IF(ROUND(ABS(B14-B13),0)&gt;=100000,INT(ROUND(ABS(B14-B13),0)/100000)&amp;","&amp;TEXT(INT(MOD(ROUND(ABS(B14-B13),0),100000)/1000),"00")&amp;","&amp;TEXT(MOD(ROUND(ABS(B14-B13),0),1000),"000"),IF(ROUND(ABS(B14-B13),0)&gt;=1000,INT(ROUND(ABS(B14-B13),0)/1000)&amp;","&amp;TEXT(MOD(ROUND(ABS(B14-B13),0),1000),"000"),ROUND(ABS(B14-B13),0)&amp;""))&amp;": the new revenue adds what the tree multiplies. Fix it first.","New revenue multiplies the branches, as the tree does.")</f>
        <v/>
      </c>
    </row>
    <row r="18" ht="48" customHeight="1">
      <c r="A18" s="11" t="inlineStr">
        <is>
          <t>Verdict</t>
        </is>
      </c>
      <c r="B18" s="12">
        <f>IF(ABS(B13-B14)&gt;1,"Fix the new revenue before you quote any growth.","Through the tree, revenue moves from "&amp;IF(B4&lt;0,"minus ","")&amp;"Rs "&amp;IF(ROUND(ABS(B4),0)&gt;=100000,INT(ROUND(ABS(B4),0)/100000)&amp;","&amp;TEXT(INT(MOD(ROUND(ABS(B4),0),100000)/1000),"00")&amp;","&amp;TEXT(MOD(ROUND(ABS(B4),0),1000),"000"),IF(ROUND(ABS(B4),0)&gt;=1000,INT(ROUND(ABS(B4),0)/1000)&amp;","&amp;TEXT(MOD(ROUND(ABS(B4),0),1000),"000"),ROUND(ABS(B4),0)&amp;""))&amp;" to "&amp;IF(B13&lt;0,"minus ","")&amp;"Rs "&amp;IF(ROUND(ABS(B13),0)&gt;=100000,INT(ROUND(ABS(B13),0)/100000)&amp;","&amp;TEXT(INT(MOD(ROUND(ABS(B13),0),100000)/1000),"00")&amp;","&amp;TEXT(MOD(ROUND(ABS(B13),0),1000),"000"),IF(ROUND(ABS(B13),0)&gt;=1000,INT(ROUND(ABS(B13),0)/1000)&amp;","&amp;TEXT(MOD(ROUND(ABS(B13),0),1000),"000"),ROUND(ABS(B13),0)&amp;""))&amp;", "&amp;IF(B15&gt;=0,"up ","down ")&amp;TEXT(ABS(B15),"0.0")&amp;" percent, which "&amp;IF(B15&gt;=B10,"reaches","misses")&amp;" the "&amp;B10&amp;" percent plan; adding the lifts would have said "&amp;IF(B12&lt;0,"minus ","")&amp;"Rs "&amp;IF(ROUND(ABS(B12),0)&gt;=100000,INT(ROUND(ABS(B12),0)/100000)&amp;","&amp;TEXT(INT(MOD(ROUND(ABS(B12),0),100000)/1000),"00")&amp;","&amp;TEXT(MOD(ROUND(ABS(B12),0),1000),"000"),IF(ROUND(ABS(B12),0)&gt;=1000,INT(ROUND(ABS(B12),0)/1000)&amp;","&amp;TEXT(MOD(ROUND(ABS(B12),0),1000),"000"),ROUND(ABS(B12),0)&amp;""))&amp;".")</f>
        <v/>
      </c>
      <c r="C18" s="13" t="n"/>
      <c r="D18" s="13" t="n"/>
      <c r="E18" s="13" t="n"/>
      <c r="F18" s="14" t="n"/>
    </row>
    <row r="19">
      <c r="A19" s="4" t="inlineStr">
        <is>
          <t>Fixed, for the Export tab</t>
        </is>
      </c>
      <c r="B19" s="6">
        <f>IF(ABS(B13-B14)&lt;=1,1,0)</f>
        <v/>
      </c>
    </row>
    <row r="21">
      <c r="A21" s="4" t="inlineStr">
        <is>
          <t>Try the discount: set customers to 0, orders per customer to 10 for the extra quantity, and average order value to minus 15 for 15 percent off.</t>
        </is>
      </c>
    </row>
  </sheetData>
  <mergeCells count="2">
    <mergeCell ref="B16:F16"/>
    <mergeCell ref="B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8" customWidth="1" min="6" max="6"/>
  </cols>
  <sheetData>
    <row r="1">
      <c r="A1" s="1" t="inlineStr">
        <is>
          <t>Booked against delivered, by channel</t>
        </is>
      </c>
    </row>
    <row r="2">
      <c r="A2" s="4" t="inlineStr">
        <is>
          <t>Consumer orders only: the 29 orders outside the Business segment. Each channel split by what happened to its orders.</t>
        </is>
      </c>
    </row>
    <row r="4">
      <c r="A4" s="10" t="inlineStr">
        <is>
          <t>The view you give Meera</t>
        </is>
      </c>
      <c r="B4" s="7" t="inlineStr">
        <is>
          <t>delivered</t>
        </is>
      </c>
    </row>
    <row r="5">
      <c r="A5" s="4" t="inlineStr">
        <is>
          <t>The headline it replaces</t>
        </is>
      </c>
      <c r="B5" s="4" t="inlineStr">
        <is>
          <t>Store carried 91.6 percent of all booked revenue on 10 of the 30 orders in the file.</t>
        </is>
      </c>
    </row>
    <row r="7">
      <c r="A7" s="5" t="inlineStr">
        <is>
          <t>Channel</t>
        </is>
      </c>
      <c r="B7" s="5" t="inlineStr">
        <is>
          <t>Booked orders</t>
        </is>
      </c>
      <c r="C7" s="5" t="inlineStr">
        <is>
          <t>Booked (Rs)</t>
        </is>
      </c>
      <c r="D7" s="5" t="inlineStr">
        <is>
          <t>Cancelled (Rs)</t>
        </is>
      </c>
      <c r="E7" s="5" t="inlineStr">
        <is>
          <t>Returned (Rs)</t>
        </is>
      </c>
      <c r="F7" s="5" t="inlineStr">
        <is>
          <t>Delivered (Rs)</t>
        </is>
      </c>
    </row>
    <row r="8">
      <c r="A8" s="6" t="inlineStr">
        <is>
          <t>app</t>
        </is>
      </c>
      <c r="B8" s="7" t="n">
        <v>10</v>
      </c>
      <c r="C8" s="8" t="n">
        <v>18600</v>
      </c>
      <c r="D8" s="8" t="n">
        <v>0</v>
      </c>
      <c r="E8" s="8" t="n">
        <v>0</v>
      </c>
      <c r="F8" s="9">
        <f>C8-D8</f>
        <v/>
      </c>
    </row>
    <row r="9">
      <c r="A9" s="6" t="inlineStr">
        <is>
          <t>web</t>
        </is>
      </c>
      <c r="B9" s="7" t="n">
        <v>10</v>
      </c>
      <c r="C9" s="8" t="n">
        <v>27290</v>
      </c>
      <c r="D9" s="8" t="n">
        <v>0</v>
      </c>
      <c r="E9" s="8" t="n">
        <v>14970</v>
      </c>
      <c r="F9" s="9">
        <f>C9-D9</f>
        <v/>
      </c>
    </row>
    <row r="10">
      <c r="A10" s="6" t="inlineStr">
        <is>
          <t>store</t>
        </is>
      </c>
      <c r="B10" s="7" t="n">
        <v>9</v>
      </c>
      <c r="C10" s="8" t="n">
        <v>18920</v>
      </c>
      <c r="D10" s="8" t="n">
        <v>9050</v>
      </c>
      <c r="E10" s="8" t="n">
        <v>0</v>
      </c>
      <c r="F10" s="9">
        <f>C10-D10</f>
        <v/>
      </c>
    </row>
    <row r="11">
      <c r="A11" s="10" t="inlineStr">
        <is>
          <t>All consumer orders</t>
        </is>
      </c>
      <c r="B11" s="17">
        <f>SUM(B8:B10)</f>
        <v/>
      </c>
      <c r="C11" s="17">
        <f>SUM(C8:C10)</f>
        <v/>
      </c>
      <c r="D11" s="17">
        <f>SUM(D8:D10)</f>
        <v/>
      </c>
      <c r="E11" s="17">
        <f>SUM(E8:E10)</f>
        <v/>
      </c>
      <c r="F11" s="17">
        <f>SUM(F8:F10)</f>
        <v/>
      </c>
    </row>
    <row r="13" ht="42" customHeight="1">
      <c r="A13" s="10" t="inlineStr">
        <is>
          <t>The check</t>
        </is>
      </c>
      <c r="B13" s="2">
        <f>IF(F11+D11+E11&lt;&gt;C11,"Delivered, cancelled and returned add to "&amp;IF(F11+D11+E11&lt;0,"minus ","")&amp;"Rs "&amp;IF(ROUND(ABS(F11+D11+E11),0)&gt;=100000,INT(ROUND(ABS(F11+D11+E11),0)/100000)&amp;","&amp;TEXT(INT(MOD(ROUND(ABS(F11+D11+E11),0),100000)/1000),"00")&amp;","&amp;TEXT(MOD(ROUND(ABS(F11+D11+E11),0),1000),"000"),IF(ROUND(ABS(F11+D11+E11),0)&gt;=1000,INT(ROUND(ABS(F11+D11+E11),0)/1000)&amp;","&amp;TEXT(MOD(ROUND(ABS(F11+D11+E11),0),1000),"000"),ROUND(ABS(F11+D11+E11),0)&amp;""))&amp;" against "&amp;IF(C11&lt;0,"minus ","")&amp;"Rs "&amp;IF(ROUND(ABS(C11),0)&gt;=100000,INT(ROUND(ABS(C11),0)/100000)&amp;","&amp;TEXT(INT(MOD(ROUND(ABS(C11),0),100000)/1000),"00")&amp;","&amp;TEXT(MOD(ROUND(ABS(C11),0),1000),"000"),IF(ROUND(ABS(C11),0)&gt;=1000,INT(ROUND(ABS(C11),0)/1000)&amp;","&amp;TEXT(MOD(ROUND(ABS(C11),0),1000),"000"),ROUND(ABS(C11),0)&amp;""))&amp;" booked: the delivered column still carries the returns. Fix it first.","Delivered, cancelled and returned add back to the booked total.")</f>
        <v/>
      </c>
    </row>
    <row r="14">
      <c r="A14" s="6" t="inlineStr">
        <is>
          <t>Leader in the chosen view</t>
        </is>
      </c>
      <c r="B14" s="6">
        <f>IF(B4="booked",INDEX(A8:A10,MATCH(MAX(C8:C10),C8:C10,0)),INDEX(A8:A10,MATCH(MAX(F8:F10),F8:F10,0)))</f>
        <v/>
      </c>
    </row>
    <row r="15">
      <c r="A15" s="6" t="inlineStr">
        <is>
          <t>Its amount (Rs)</t>
        </is>
      </c>
      <c r="B15" s="9">
        <f>IF(B4="booked",MAX(C8:C10),MAX(F8:F10))</f>
        <v/>
      </c>
    </row>
    <row r="16">
      <c r="A16" s="6" t="inlineStr">
        <is>
          <t>Of (Rs)</t>
        </is>
      </c>
      <c r="B16" s="9">
        <f>IF(B4="booked",C11,F11)</f>
        <v/>
      </c>
    </row>
    <row r="18" ht="60" customHeight="1">
      <c r="A18" s="11" t="inlineStr">
        <is>
          <t>Verdict</t>
        </is>
      </c>
      <c r="B18" s="12">
        <f>IF(F11+D11+E11&lt;&gt;C11,"Fix the delivered column before you rank any channel.","On consumer orders "&amp;B4&amp;", "&amp;B14&amp;" leads with "&amp;IF(B15&lt;0,"minus ","")&amp;"Rs "&amp;IF(ROUND(ABS(B15),0)&gt;=100000,INT(ROUND(ABS(B15),0)/100000)&amp;","&amp;TEXT(INT(MOD(ROUND(ABS(B15),0),100000)/1000),"00")&amp;","&amp;TEXT(MOD(ROUND(ABS(B15),0),1000),"000"),IF(ROUND(ABS(B15),0)&gt;=1000,INT(ROUND(ABS(B15),0)/1000)&amp;","&amp;TEXT(MOD(ROUND(ABS(B15),0),1000),"000"),ROUND(ABS(B15),0)&amp;""))&amp;" of "&amp;IF(B16&lt;0,"minus ","")&amp;"Rs "&amp;IF(ROUND(ABS(B16),0)&gt;=100000,INT(ROUND(ABS(B16),0)/100000)&amp;","&amp;TEXT(INT(MOD(ROUND(ABS(B16),0),100000)/1000),"00")&amp;","&amp;TEXT(MOD(ROUND(ABS(B16),0),1000),"000"),IF(ROUND(ABS(B16),0)&gt;=1000,INT(ROUND(ABS(B16),0)/1000)&amp;","&amp;TEXT(MOD(ROUND(ABS(B16),0),1000),"000"),ROUND(ABS(B16),0)&amp;""))&amp;"; returns took "&amp;IF(E11&lt;0,"minus ","")&amp;"Rs "&amp;IF(ROUND(ABS(E11),0)&gt;=100000,INT(ROUND(ABS(E11),0)/100000)&amp;","&amp;TEXT(INT(MOD(ROUND(ABS(E11),0),100000)/1000),"00")&amp;","&amp;TEXT(MOD(ROUND(ABS(E11),0),1000),"000"),IF(ROUND(ABS(E11),0)&gt;=1000,INT(ROUND(ABS(E11),0)/1000)&amp;","&amp;TEXT(MOD(ROUND(ABS(E11),0),1000),"000"),ROUND(ABS(E11),0)&amp;""))&amp;" and cancellations "&amp;IF(D11&lt;0,"minus ","")&amp;"Rs "&amp;IF(ROUND(ABS(D11),0)&gt;=100000,INT(ROUND(ABS(D11),0)/100000)&amp;","&amp;TEXT(INT(MOD(ROUND(ABS(D11),0),100000)/1000),"00")&amp;","&amp;TEXT(MOD(ROUND(ABS(D11),0),1000),"000"),IF(ROUND(ABS(D11),0)&gt;=1000,INT(ROUND(ABS(D11),0)/1000)&amp;","&amp;TEXT(MOD(ROUND(ABS(D11),0),1000),"000"),ROUND(ABS(D11),0)&amp;""))&amp;", so the channel view adds two leaks to name and leaves frequency first standing.")</f>
        <v/>
      </c>
      <c r="C18" s="13" t="n"/>
      <c r="D18" s="13" t="n"/>
      <c r="E18" s="13" t="n"/>
      <c r="F18" s="14" t="n"/>
    </row>
    <row r="19">
      <c r="A19" s="4" t="inlineStr">
        <is>
          <t>Fixed, for the Export tab</t>
        </is>
      </c>
      <c r="B19" s="6">
        <f>IF(F11+D11+E11=C11,1,0)</f>
        <v/>
      </c>
    </row>
  </sheetData>
  <mergeCells count="2">
    <mergeCell ref="B18:F18"/>
    <mergeCell ref="B13:F13"/>
  </mergeCells>
  <dataValidations count="1">
    <dataValidation sqref="B4" showDropDown="0" showInputMessage="0" showErrorMessage="0" allowBlank="0" type="list">
      <formula1>"booked,delivered"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120" customWidth="1" min="2" max="2"/>
  </cols>
  <sheetData>
    <row r="1">
      <c r="A1" s="1" t="inlineStr">
        <is>
          <t>The brief to Meera, assembled</t>
        </is>
      </c>
    </row>
    <row r="2">
      <c r="A2" s="4" t="inlineStr">
        <is>
          <t>Released only when every tab's check passes. Paste the brief into the note to Meera.</t>
        </is>
      </c>
    </row>
    <row r="4">
      <c r="A4" s="10" t="inlineStr">
        <is>
          <t>Tabs fixed</t>
        </is>
      </c>
      <c r="B4" s="6">
        <f>Sales!B20+Customers!B18+Typical!B15+Lifts!B19+Channel!B19</f>
        <v/>
      </c>
    </row>
    <row r="5">
      <c r="A5" s="11" t="inlineStr">
        <is>
          <t>Release</t>
        </is>
      </c>
      <c r="B5" s="12">
        <f>IF(B4=5,"Ready to paste into the note to Meera.","Not ready: tabs still carrying a defect, "&amp;(5-B4)&amp;" of five.")</f>
        <v/>
      </c>
    </row>
    <row r="7" ht="170" customHeight="1">
      <c r="A7" s="10" t="inlineStr">
        <is>
          <t>Paste-ready brief</t>
        </is>
      </c>
      <c r="B7" s="2">
        <f>IF(B4=5,Sales!B19&amp;CHAR(10)&amp;"Customers: "&amp;Customers!B17&amp;CHAR(10)&amp;"Typical order: "&amp;Typical!B14&amp;CHAR(10)&amp;"Lifts: "&amp;Lifts!B18&amp;CHAR(10)&amp;"Channels: "&amp;Channel!B18&amp;CHAR(10)&amp;"Recommendation: open frequency before acquisition; one window cannot show which branch moved, so hold the Rs 12 crore until Tuesday's two quarters.","The brief assembles once every tab passes its check.")</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2026-09-29T17:38:45Z</dcterms:created>
  <dcterms:modified xmlns:dcterms="http://purl.org/dc/terms/" xmlns:xsi="http://www.w3.org/2001/XMLSchema-instance" xsi:type="dcterms:W3CDTF">2026-09-29T17:38:45Z</dcterms:modified>
</cp:coreProperties>
</file>