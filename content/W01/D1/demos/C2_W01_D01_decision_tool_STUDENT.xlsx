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Average" sheetId="4" state="visible" r:id="rId4"/>
    <sheet xmlns:r="http://schemas.openxmlformats.org/officeDocument/2006/relationships" name="Discount" sheetId="5" state="visible" r:id="rId5"/>
    <sheet xmlns:r="http://schemas.openxmlformats.org/officeDocument/2006/relationships" name="Ex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i val="1"/>
      <color rgb="006B6690"/>
    </font>
    <font>
      <b val="1"/>
      <color rgb="00FFFFFF"/>
    </font>
    <font>
      <b val="1"/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The question before the budget: the decision tool</t>
        </is>
      </c>
    </row>
    <row r="3">
      <c r="A3" s="2" t="inlineStr">
        <is>
          <t>Kalpa Retail, Week 1, Monday. Four decisions the day taught, one tab each, and an Export tab that assembles the brief.</t>
        </is>
      </c>
    </row>
    <row r="4">
      <c r="A4" s="2" t="inlineStr">
        <is>
          <t>Yellow cells are inputs; every other number and sentence is a live formula.</t>
        </is>
      </c>
    </row>
    <row r="5">
      <c r="A5" s="2" t="inlineStr">
        <is>
          <t>Each tab carries one planted defect in one formula. Read the tab's check line first, find the cell, fix it, and watch the verdict change.</t>
        </is>
      </c>
    </row>
    <row r="6">
      <c r="A6" s="2" t="inlineStr">
        <is>
          <t>The Export tab releases the paste-ready brief only when all four tabs pass their checks, so fixing one tab does not clear it.</t>
        </is>
      </c>
    </row>
    <row r="7">
      <c r="A7" s="2" t="inlineStr">
        <is>
          <t>Sales: which total is sales. Tree: do the branch moves reach the plan. Average: mean or median. Discount: does the discount pay.</t>
        </is>
      </c>
    </row>
    <row r="8">
      <c r="A8" s="2" t="inlineStr">
        <is>
          <t>The status totals on the Sales tab come from the day's thirty orders; every other number here is an input you can change.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Which total is sales?</t>
        </is>
      </c>
    </row>
    <row r="2">
      <c r="A2" s="3" t="inlineStr">
        <is>
          <t>Three honest readings of one word. The parts must add back to the whole before any total leaves the team.</t>
        </is>
      </c>
    </row>
    <row r="4">
      <c r="A4" s="4" t="inlineStr">
        <is>
          <t>Status</t>
        </is>
      </c>
      <c r="B4" s="4" t="inlineStr">
        <is>
          <t>Orders</t>
        </is>
      </c>
      <c r="C4" s="4" t="inlineStr">
        <is>
          <t>Amount (Rs)</t>
        </is>
      </c>
    </row>
    <row r="5">
      <c r="A5" t="inlineStr">
        <is>
          <t>delivered</t>
        </is>
      </c>
      <c r="B5" t="n">
        <v>21</v>
      </c>
      <c r="C5" t="n">
        <v>520790</v>
      </c>
    </row>
    <row r="6">
      <c r="A6" t="inlineStr">
        <is>
          <t>returned</t>
        </is>
      </c>
      <c r="B6" t="n">
        <v>5</v>
      </c>
      <c r="C6" t="n">
        <v>14970</v>
      </c>
    </row>
    <row r="7">
      <c r="A7" t="inlineStr">
        <is>
          <t>cancelled</t>
        </is>
      </c>
      <c r="B7" t="n">
        <v>4</v>
      </c>
      <c r="C7" t="n">
        <v>9050</v>
      </c>
    </row>
    <row r="9">
      <c r="A9" s="4" t="inlineStr">
        <is>
          <t>Reading</t>
        </is>
      </c>
      <c r="B9" s="4" t="inlineStr">
        <is>
          <t>Definition</t>
        </is>
      </c>
      <c r="C9" s="4" t="inlineStr">
        <is>
          <t>Total (Rs)</t>
        </is>
      </c>
    </row>
    <row r="10">
      <c r="A10" t="inlineStr">
        <is>
          <t>booked</t>
        </is>
      </c>
      <c r="B10" t="inlineStr">
        <is>
          <t>all booked orders</t>
        </is>
      </c>
      <c r="C10">
        <f>C5+C6</f>
        <v/>
      </c>
    </row>
    <row r="11">
      <c r="A11" t="inlineStr">
        <is>
          <t>not cancelled</t>
        </is>
      </c>
      <c r="B11" t="inlineStr">
        <is>
          <t>every order not cancelled</t>
        </is>
      </c>
      <c r="C11">
        <f>C5+C6</f>
        <v/>
      </c>
    </row>
    <row r="12">
      <c r="A12" t="inlineStr">
        <is>
          <t>delivered</t>
        </is>
      </c>
      <c r="B12" t="inlineStr">
        <is>
          <t>delivered orders only</t>
        </is>
      </c>
      <c r="C12">
        <f>C5</f>
        <v/>
      </c>
    </row>
    <row r="14">
      <c r="A14" s="5" t="inlineStr">
        <is>
          <t>Your reading</t>
        </is>
      </c>
      <c r="B14" s="6" t="inlineStr">
        <is>
          <t>booked</t>
        </is>
      </c>
    </row>
    <row r="15">
      <c r="A15" s="5" t="inlineStr">
        <is>
          <t>The check</t>
        </is>
      </c>
      <c r="B15" s="2">
        <f>IF(C10=C5+C6+C7,"The parts add up to the booked total.","The parts do not add up to the booked total: one total leaves a row out. Fix it first.")</f>
        <v/>
      </c>
    </row>
    <row r="16">
      <c r="A16" t="inlineStr">
        <is>
          <t>Chosen total</t>
        </is>
      </c>
      <c r="B16">
        <f>INDEX(C10:C12,MATCH(B14,A10:A12,0))</f>
        <v/>
      </c>
    </row>
    <row r="17">
      <c r="A17" t="inlineStr">
        <is>
          <t>Its definition</t>
        </is>
      </c>
      <c r="B17">
        <f>INDEX(B10:B12,MATCH(B14,A10:A12,0))</f>
        <v/>
      </c>
    </row>
    <row r="19">
      <c r="A19" s="7" t="inlineStr">
        <is>
          <t>Verdict</t>
        </is>
      </c>
      <c r="B19" s="8">
        <f>IF(C10&lt;&gt;C5+C6+C7,"Fix the total that leaves a row out before any number leaves the team.","Revenue, "&amp;B17&amp;", 1 July to 26 September: "&amp;"Rs "&amp;IF(ROUND(B16,0)&gt;=100000,INT(ROUND(B16,0)/100000)&amp;","&amp;TEXT(INT(MOD(ROUND(B16,0),100000)/1000),"00")&amp;","&amp;TEXT(MOD(ROUND(B16,0),1000),"000"),IF(ROUND(B16,0)&gt;=1000,INT(ROUND(B16,0)/1000)&amp;","&amp;TEXT(MOD(ROUND(B16,0),1000),"000"),ROUND(B16,0)&amp;""))&amp;".")</f>
        <v/>
      </c>
    </row>
    <row r="20">
      <c r="A20" s="3" t="inlineStr">
        <is>
          <t>Fixed, for the Export tab</t>
        </is>
      </c>
      <c r="B20">
        <f>IF(C10=C5+C6+C7,1,0)</f>
        <v/>
      </c>
    </row>
  </sheetData>
  <dataValidations count="1">
    <dataValidation sqref="B14" showDropDown="0" showInputMessage="0" showErrorMessage="0" allowBlank="0" type="list">
      <formula1>"booked,not cancelled,delivered"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Do the branch moves reach the plan?</t>
        </is>
      </c>
    </row>
    <row r="2">
      <c r="A2" s="3" t="inlineStr">
        <is>
          <t>Change each branch in percent. The tree multiplies its branches, and the extra discount comes off the top.</t>
        </is>
      </c>
    </row>
    <row r="4">
      <c r="A4" s="4" t="inlineStr">
        <is>
          <t>Branch</t>
        </is>
      </c>
      <c r="B4" s="4" t="inlineStr">
        <is>
          <t>Change, percent</t>
        </is>
      </c>
      <c r="C4" s="4" t="inlineStr">
        <is>
          <t>Multiplier</t>
        </is>
      </c>
    </row>
    <row r="5">
      <c r="A5" t="inlineStr">
        <is>
          <t>customers</t>
        </is>
      </c>
      <c r="B5" s="6" t="n">
        <v>10</v>
      </c>
      <c r="C5">
        <f>1+B5/100</f>
        <v/>
      </c>
    </row>
    <row r="6">
      <c r="A6" t="inlineStr">
        <is>
          <t>orders per customer</t>
        </is>
      </c>
      <c r="B6" s="6" t="n">
        <v>5</v>
      </c>
      <c r="C6">
        <f>1+B6/100</f>
        <v/>
      </c>
    </row>
    <row r="7">
      <c r="A7" t="inlineStr">
        <is>
          <t>items per order</t>
        </is>
      </c>
      <c r="B7" s="6" t="n">
        <v>0</v>
      </c>
      <c r="C7">
        <f>1+B7/100</f>
        <v/>
      </c>
    </row>
    <row r="8">
      <c r="A8" t="inlineStr">
        <is>
          <t>price per item</t>
        </is>
      </c>
      <c r="B8" s="6" t="n">
        <v>0</v>
      </c>
      <c r="C8">
        <f>1+B8/100</f>
        <v/>
      </c>
    </row>
    <row r="9">
      <c r="A9" t="inlineStr">
        <is>
          <t>extra discount, percent of gross</t>
        </is>
      </c>
      <c r="B9" s="6" t="n">
        <v>0</v>
      </c>
      <c r="C9">
        <f>1-B9/100</f>
        <v/>
      </c>
    </row>
    <row r="11">
      <c r="A11" s="5" t="inlineStr">
        <is>
          <t>Revenue index, today at 100</t>
        </is>
      </c>
      <c r="B11">
        <f>100+B5+B6+B7+B8-B9</f>
        <v/>
      </c>
    </row>
    <row r="12">
      <c r="A12" t="inlineStr">
        <is>
          <t>The product of the multipliers</t>
        </is>
      </c>
      <c r="B12">
        <f>100*C5*C6*C7*C8*C9</f>
        <v/>
      </c>
    </row>
    <row r="13">
      <c r="A13" s="5" t="inlineStr">
        <is>
          <t>The check</t>
        </is>
      </c>
      <c r="B13" s="2">
        <f>IF(ABS(B11-B12)&lt;0.05,"The index multiplies the branches, as the tree does.","The index and the product of the branches disagree: one formula adds what the tree multiplies. Fix it first.")</f>
        <v/>
      </c>
    </row>
    <row r="14">
      <c r="A14" t="inlineStr">
        <is>
          <t>The plan</t>
        </is>
      </c>
      <c r="B14" s="6" t="n">
        <v>115</v>
      </c>
    </row>
    <row r="16">
      <c r="A16" s="7" t="inlineStr">
        <is>
          <t>Verdict</t>
        </is>
      </c>
      <c r="B16" s="8">
        <f>IF(ABS(B11-B12)&gt;=0.05,"Fix the index that adds what the tree multiplies before reading any result.",IF(B11&gt;=B14,"The moves reach the plan: revenue index "&amp;TEXT(B11,"0.0")&amp;" against "&amp;B14&amp;".","The moves fall short: revenue index "&amp;TEXT(B11,"0.0")&amp;", "&amp;TEXT(B14-B11,"0.0")&amp;" points under the plan."))</f>
        <v/>
      </c>
    </row>
    <row r="17">
      <c r="A17" s="3" t="inlineStr">
        <is>
          <t>Fixed, for the Export tab</t>
        </is>
      </c>
      <c r="B17">
        <f>IF(ABS(B11-B12)&lt;0.05,1,0)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Mean or median?</t>
        </is>
      </c>
    </row>
    <row r="2">
      <c r="A2" s="3" t="inlineStr">
        <is>
          <t>Five invented orders in the yellow cells, room for five more. The job the number does decides the average.</t>
        </is>
      </c>
    </row>
    <row r="4">
      <c r="A4" s="4" t="inlineStr">
        <is>
          <t>Amounts (Rs)</t>
        </is>
      </c>
    </row>
    <row r="5">
      <c r="A5" s="6" t="n">
        <v>1900</v>
      </c>
      <c r="C5" t="inlineStr">
        <is>
          <t>Count</t>
        </is>
      </c>
      <c r="D5">
        <f>COUNT(A5:A14)</f>
        <v/>
      </c>
    </row>
    <row r="6">
      <c r="A6" s="6" t="n">
        <v>2100</v>
      </c>
      <c r="C6" t="inlineStr">
        <is>
          <t>Mean</t>
        </is>
      </c>
      <c r="D6">
        <f>AVERAGE(A5:A14)</f>
        <v/>
      </c>
    </row>
    <row r="7">
      <c r="A7" s="6" t="n">
        <v>2200</v>
      </c>
      <c r="C7" t="inlineStr">
        <is>
          <t>Median</t>
        </is>
      </c>
      <c r="D7">
        <f>AVERAGE(A5:A14)</f>
        <v/>
      </c>
    </row>
    <row r="8">
      <c r="A8" s="6" t="n">
        <v>2400</v>
      </c>
      <c r="C8" t="inlineStr">
        <is>
          <t>Mean over median</t>
        </is>
      </c>
      <c r="D8">
        <f>D6/D7</f>
        <v/>
      </c>
    </row>
    <row r="9">
      <c r="A9" s="6" t="n">
        <v>90000</v>
      </c>
      <c r="C9" s="5" t="inlineStr">
        <is>
          <t>The check</t>
        </is>
      </c>
      <c r="D9" s="2">
        <f>IF(AND(D7=D6,MAX(A5:A14)&gt;5*MIN(A5:A14)),"The median equals the mean on a list whose largest value is many times its smallest: check the median formula. Fix it first.","The median is the middle of the sorted list.")</f>
        <v/>
      </c>
    </row>
    <row r="10">
      <c r="A10" s="6" t="n"/>
    </row>
    <row r="11">
      <c r="A11" s="6" t="n"/>
      <c r="C11" s="5" t="inlineStr">
        <is>
          <t>What is the number for?</t>
        </is>
      </c>
      <c r="D11" s="6" t="inlineStr">
        <is>
          <t>a typical order</t>
        </is>
      </c>
    </row>
    <row r="12">
      <c r="A12" s="6" t="n"/>
    </row>
    <row r="13">
      <c r="A13" s="6" t="n"/>
      <c r="C13" s="7" t="inlineStr">
        <is>
          <t>Verdict</t>
        </is>
      </c>
      <c r="D13" s="8">
        <f>IF(AND(D7=D6,MAX(A5:A14)&gt;5*MIN(A5:A14)),"Fix the median formula before choosing an average.",IF(D11="a typical order","Report the median, "&amp;"Rs "&amp;IF(ROUND(D7,0)&gt;=100000,INT(ROUND(D7,0)/100000)&amp;","&amp;TEXT(INT(MOD(ROUND(D7,0),100000)/1000),"00")&amp;","&amp;TEXT(MOD(ROUND(D7,0),1000),"000"),IF(ROUND(D7,0)&gt;=1000,INT(ROUND(D7,0)/1000)&amp;","&amp;TEXT(MOD(ROUND(D7,0),1000),"000"),ROUND(D7,0)&amp;""))&amp;", as the typical order, and name the largest order on its own line.",IF(D11="a total that must add up","Use the mean, "&amp;"Rs "&amp;IF(ROUND(D6,0)&gt;=100000,INT(ROUND(D6,0)/100000)&amp;","&amp;TEXT(INT(MOD(ROUND(D6,0),100000)/1000),"00")&amp;","&amp;TEXT(MOD(ROUND(D6,0),1000),"000"),IF(ROUND(D6,0)&gt;=1000,INT(ROUND(D6,0)/1000)&amp;","&amp;TEXT(MOD(ROUND(D6,0),1000),"000"),ROUND(D6,0)&amp;""))&amp;", because it multiplies back to the total.","Report both: the mean "&amp;"Rs "&amp;IF(ROUND(D6,0)&gt;=100000,INT(ROUND(D6,0)/100000)&amp;","&amp;TEXT(INT(MOD(ROUND(D6,0),100000)/1000),"00")&amp;","&amp;TEXT(MOD(ROUND(D6,0),1000),"000"),IF(ROUND(D6,0)&gt;=1000,INT(ROUND(D6,0)/1000)&amp;","&amp;TEXT(MOD(ROUND(D6,0),1000),"000"),ROUND(D6,0)&amp;""))&amp;" and the median "&amp;"Rs "&amp;IF(ROUND(D7,0)&gt;=100000,INT(ROUND(D7,0)/100000)&amp;","&amp;TEXT(INT(MOD(ROUND(D7,0),100000)/1000),"00")&amp;","&amp;TEXT(MOD(ROUND(D7,0),1000),"000"),IF(ROUND(D7,0)&gt;=1000,INT(ROUND(D7,0)/1000)&amp;","&amp;TEXT(MOD(ROUND(D7,0),1000),"000"),ROUND(D7,0)&amp;""))&amp;"; a gap of "&amp;TEXT(D8,"0.0")&amp;" times is itself a finding.")))</f>
        <v/>
      </c>
    </row>
    <row r="14">
      <c r="A14" s="6" t="n"/>
      <c r="C14" s="3" t="inlineStr">
        <is>
          <t>Fixed, for the Export tab</t>
        </is>
      </c>
      <c r="D14">
        <f>IF(D7=MEDIAN(A5:A14),1,0)</f>
        <v/>
      </c>
    </row>
  </sheetData>
  <dataValidations count="1">
    <dataValidation sqref="D11" showDropDown="0" showInputMessage="0" showErrorMessage="0" allowBlank="0" type="list">
      <formula1>"a typical order,a total that must add up,a first look at a file"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Does the discount pay?</t>
        </is>
      </c>
    </row>
    <row r="2">
      <c r="A2" s="3" t="inlineStr">
        <is>
          <t>A discount trades margin for quantity. It pays only when volume rises by more than the price falls.</t>
        </is>
      </c>
    </row>
    <row r="4">
      <c r="A4" s="4" t="inlineStr">
        <is>
          <t>Input</t>
        </is>
      </c>
      <c r="B4" s="4" t="inlineStr">
        <is>
          <t>Value</t>
        </is>
      </c>
    </row>
    <row r="5">
      <c r="A5" t="inlineStr">
        <is>
          <t>Discount, percent off</t>
        </is>
      </c>
      <c r="B5" s="6" t="n">
        <v>15</v>
      </c>
    </row>
    <row r="6">
      <c r="A6" t="inlineStr">
        <is>
          <t>Expected volume lift, percent</t>
        </is>
      </c>
      <c r="B6" s="6" t="n">
        <v>10</v>
      </c>
    </row>
    <row r="8">
      <c r="A8" s="5" t="inlineStr">
        <is>
          <t>Revenue multiple against today</t>
        </is>
      </c>
      <c r="B8">
        <f>(1+B6/100)*(1-B5/100)</f>
        <v/>
      </c>
    </row>
    <row r="9">
      <c r="A9" t="inlineStr">
        <is>
          <t>Break-even volume lift, percent</t>
        </is>
      </c>
      <c r="B9">
        <f>B5</f>
        <v/>
      </c>
    </row>
    <row r="10">
      <c r="A10" s="5" t="inlineStr">
        <is>
          <t>The check</t>
        </is>
      </c>
      <c r="B10" s="2">
        <f>IF(ABS((1+B9/100)*(1-B5/100)-1)&lt;0.0005,"At the break-even lift the discount leaves revenue where it was.","At the stated break-even lift revenue still falls: the break-even formula is wrong. Fix it first.")</f>
        <v/>
      </c>
    </row>
    <row r="12">
      <c r="A12" s="7" t="inlineStr">
        <is>
          <t>Verdict</t>
        </is>
      </c>
      <c r="B12" s="8">
        <f>IF(ABS((1+B9/100)*(1-B5/100)-1)&gt;=0.0005,"Fix the break-even formula before judging the discount.",IF(B8&gt;=1,"The discount pays: revenue ends at "&amp;TEXT(B8,"0.000")&amp;" of today.","The discount loses: revenue ends at "&amp;TEXT(B8,"0.000")&amp;" of today, and it needs "&amp;TEXT(B9,"0.0")&amp;" percent more volume just to stand still."))</f>
        <v/>
      </c>
    </row>
    <row r="13">
      <c r="A13" s="3" t="inlineStr">
        <is>
          <t>Fixed, for the Export tab</t>
        </is>
      </c>
      <c r="B13">
        <f>IF(ABS((1+B9/100)*(1-B5/100)-1)&lt;0.0005,1,0)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  <col width="16" customWidth="1" min="3" max="3"/>
    <col width="60" customWidth="1" min="4" max="4"/>
  </cols>
  <sheetData>
    <row r="1">
      <c r="A1" s="1" t="inlineStr">
        <is>
          <t>The brief, assembled</t>
        </is>
      </c>
    </row>
    <row r="2">
      <c r="A2" s="3" t="inlineStr">
        <is>
          <t>Released only when every tab's check passes. Paste the brief into the note to Meera.</t>
        </is>
      </c>
    </row>
    <row r="4">
      <c r="A4" s="5" t="inlineStr">
        <is>
          <t>Tabs fixed</t>
        </is>
      </c>
      <c r="B4">
        <f>Sales!B20+Tree!B17+Average!D14+Discount!B13</f>
        <v/>
      </c>
    </row>
    <row r="5">
      <c r="A5" s="7" t="inlineStr">
        <is>
          <t>Release</t>
        </is>
      </c>
      <c r="B5" s="8">
        <f>IF(B4=4,"Ready to paste into the note to Meera.","Not ready: "&amp;(4-B4)&amp;" of the four tabs still carry a defect to fix first.")</f>
        <v/>
      </c>
    </row>
    <row r="7" ht="90" customHeight="1">
      <c r="A7" s="5" t="inlineStr">
        <is>
          <t>Paste-ready brief</t>
        </is>
      </c>
      <c r="B7" s="2">
        <f>IF(B4=4,"Sales: "&amp;Sales!B19&amp;CHAR(10)&amp;"Tree: "&amp;Tree!B16&amp;CHAR(10)&amp;"Average: "&amp;Average!D13&amp;CHAR(10)&amp;"Discount: "&amp;Discount!B12,"The brief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2026-09-28T13:53:19Z</dcterms:created>
  <dcterms:modified xmlns:dcterms="http://purl.org/dc/terms/" xmlns:xsi="http://www.w3.org/2001/XMLSchema-instance" xsi:type="dcterms:W3CDTF">2026-09-28T13:53:19Z</dcterms:modified>
</cp:coreProperties>
</file>