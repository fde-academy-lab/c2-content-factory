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ales" sheetId="2" state="visible" r:id="rId2"/>
    <sheet xmlns:r="http://schemas.openxmlformats.org/officeDocument/2006/relationships" name="Fraction" sheetId="3" state="visible" r:id="rId3"/>
    <sheet xmlns:r="http://schemas.openxmlformats.org/officeDocument/2006/relationships" name="Customers" sheetId="4" state="visible" r:id="rId4"/>
    <sheet xmlns:r="http://schemas.openxmlformats.org/officeDocument/2006/relationships" name="Typical" sheetId="5" state="visible" r:id="rId5"/>
    <sheet xmlns:r="http://schemas.openxmlformats.org/officeDocument/2006/relationships" name="Lifts" sheetId="6" state="visible" r:id="rId6"/>
    <sheet xmlns:r="http://schemas.openxmlformats.org/officeDocument/2006/relationships" name="Edge" sheetId="7" state="visible" r:id="rId7"/>
    <sheet xmlns:r="http://schemas.openxmlformats.org/officeDocument/2006/relationships" name="Channel" sheetId="8" state="visible" r:id="rId8"/>
    <sheet xmlns:r="http://schemas.openxmlformats.org/officeDocument/2006/relationships" name="Export"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Georgia"/>
      <color rgb="001A0F5C"/>
      <sz val="16"/>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0" fontId="2" fillId="2" borderId="1" pivotButton="0" quotePrefix="0" xfId="0"/>
    <xf numFmtId="3" fontId="2" fillId="2" borderId="1" pivotButton="0" quotePrefix="0" xfId="0"/>
    <xf numFmtId="3" fontId="2" fillId="0" borderId="0" pivotButton="0" quotePrefix="0" xfId="0"/>
    <xf numFmtId="0" fontId="5" fillId="0" borderId="0" pivotButton="0" quotePrefix="0" xfId="0"/>
    <xf numFmtId="0" fontId="6" fillId="0" borderId="0" pivotButton="0" quotePrefix="0" xfId="0"/>
    <xf numFmtId="0" fontId="6" fillId="4" borderId="1" applyAlignment="1" pivotButton="0" quotePrefix="0" xfId="0">
      <alignment vertical="top" wrapText="1"/>
    </xf>
    <xf numFmtId="0" fontId="0" fillId="0" borderId="4" pivotButton="0" quotePrefix="0" xfId="0"/>
    <xf numFmtId="0" fontId="0" fillId="0" borderId="5" pivotButton="0" quotePrefix="0" xfId="0"/>
    <xf numFmtId="2" fontId="2" fillId="0" borderId="0" pivotButton="0" quotePrefix="0" xfId="0"/>
    <xf numFmtId="164" fontId="2" fillId="0" borderId="0" pivotButton="0" quotePrefix="0" xfId="0"/>
    <xf numFmtId="164" fontId="5" fillId="0" borderId="0" pivotButton="0" quotePrefix="0" xfId="0"/>
    <xf numFmtId="3"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Is acquisition even the branch that is short?</t>
        </is>
      </c>
    </row>
    <row r="3">
      <c r="A3" s="2" t="inlineStr">
        <is>
          <t>This is the decision tool for Kalpa Retail, Week 1, Monday. Meera Raghavan, CEO, asked what sales is made of and whether acquisition is even the branch that is short, before she signs marketing's Rs 12 crore.</t>
        </is>
      </c>
    </row>
    <row r="4">
      <c r="A4" s="2" t="inlineStr">
        <is>
          <t>The workbook holds the seven decisions the day taught, one tab each, and an Export tab that assembles the brief to Meera.</t>
        </is>
      </c>
    </row>
    <row r="5">
      <c r="A5" s="2" t="inlineStr">
        <is>
          <t>Yellow cells are inputs you may change; every other number and sentence is a live formula.</t>
        </is>
      </c>
    </row>
    <row r="6">
      <c r="A6" s="2" t="inlineStr">
        <is>
          <t>Each tab carries one planted defect in one formula: the day's trap, written as a spreadsheet mistake. Read the tab's check line first, find the cell, fix the formula, and watch the verdict change.</t>
        </is>
      </c>
    </row>
    <row r="7">
      <c r="A7" s="2" t="inlineStr">
        <is>
          <t>The Export tab releases the brief only when all seven tabs pass their checks, so fixing one tab does not clear it.</t>
        </is>
      </c>
    </row>
    <row r="8">
      <c r="A8" s="2" t="inlineStr">
        <is>
          <t>Each tab's title is the question it answers. Sales asks which total is sales, Fraction whether the AOV is one definition over the same definition, Customers whether customers are counted by rows or by id, and Typical whether the typical order is the mean or the median. Lifts asks whether two lifts add or multiply, Edge whether a one-time buyer is lost or too recent to judge, and Channel what each channel books and keeps in the three consumer segments Meera's plan concerns, Retail-Core, Retail-Plus and Student.</t>
        </is>
      </c>
    </row>
    <row r="9">
      <c r="A9" s="2" t="inlineStr">
        <is>
          <t>The figures on the tabs are aggregates of the day's 30 orders from 1 July to 26 September 2026, as the notebooks compute them. The few amounts marked invented are invented to show a mechanism and are not Kalpa records.</t>
        </is>
      </c>
    </row>
    <row r="10">
      <c r="A10" s="2" t="inlineStr">
        <is>
          <t>When you finish, use the tool on your own extract: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Which of the file's totals should Meera call sales?</t>
        </is>
      </c>
    </row>
    <row r="2">
      <c r="A2" s="4" t="inlineStr">
        <is>
          <t>One word has three honest readings, so a total leaves the team with its definition beside it.</t>
        </is>
      </c>
    </row>
    <row r="4">
      <c r="A4" s="5" t="inlineStr">
        <is>
          <t>Status</t>
        </is>
      </c>
      <c r="B4" s="5" t="inlineStr">
        <is>
          <t>Orders</t>
        </is>
      </c>
      <c r="C4" s="5" t="inlineStr">
        <is>
          <t>Amount (Rs)</t>
        </is>
      </c>
    </row>
    <row r="5">
      <c r="A5" s="6" t="inlineStr">
        <is>
          <t>delivered</t>
        </is>
      </c>
      <c r="B5" s="7" t="n">
        <v>21</v>
      </c>
      <c r="C5" s="8" t="n">
        <v>520790</v>
      </c>
    </row>
    <row r="6">
      <c r="A6" s="6" t="inlineStr">
        <is>
          <t>returned</t>
        </is>
      </c>
      <c r="B6" s="7" t="n">
        <v>5</v>
      </c>
      <c r="C6" s="8" t="n">
        <v>14970</v>
      </c>
    </row>
    <row r="7">
      <c r="A7" s="6" t="inlineStr">
        <is>
          <t>cancelled</t>
        </is>
      </c>
      <c r="B7" s="7" t="n">
        <v>4</v>
      </c>
      <c r="C7" s="8" t="n">
        <v>9050</v>
      </c>
    </row>
    <row r="9">
      <c r="A9" s="5" t="inlineStr">
        <is>
          <t>Reading</t>
        </is>
      </c>
      <c r="B9" s="5" t="inlineStr">
        <is>
          <t>Orders</t>
        </is>
      </c>
      <c r="C9" s="5" t="inlineStr">
        <is>
          <t>Total (Rs)</t>
        </is>
      </c>
    </row>
    <row r="10">
      <c r="A10" s="6" t="inlineStr">
        <is>
          <t>booked</t>
        </is>
      </c>
      <c r="B10" s="6">
        <f>B5+B6+B7</f>
        <v/>
      </c>
      <c r="C10" s="9">
        <f>C5+C6+C7</f>
        <v/>
      </c>
    </row>
    <row r="11">
      <c r="A11" s="6" t="inlineStr">
        <is>
          <t>not cancelled</t>
        </is>
      </c>
      <c r="B11" s="6">
        <f>B5+B6</f>
        <v/>
      </c>
      <c r="C11" s="9">
        <f>C5+C6+C7</f>
        <v/>
      </c>
    </row>
    <row r="12">
      <c r="A12" s="6" t="inlineStr">
        <is>
          <t>delivered</t>
        </is>
      </c>
      <c r="B12" s="6">
        <f>B5</f>
        <v/>
      </c>
      <c r="C12" s="9">
        <f>C5</f>
        <v/>
      </c>
    </row>
    <row r="14">
      <c r="A14" s="10" t="inlineStr">
        <is>
          <t>Which reading do you give Meera?</t>
        </is>
      </c>
      <c r="B14" s="7" t="inlineStr">
        <is>
          <t>not cancelled</t>
        </is>
      </c>
    </row>
    <row r="15" ht="42" customHeight="1">
      <c r="A15" s="10" t="inlineStr">
        <is>
          <t>The check</t>
        </is>
      </c>
      <c r="B15" s="2">
        <f>IF(C11=C10-C7,"The not-cancelled total is the booked total less the cancelled orders.","The not-cancelled total sits "&amp;IF(C11-(C10-C7)&lt;0,"minus ","")&amp;"Rs "&amp;IF(ROUND(ABS(C11-(C10-C7)),0)&gt;=100000,INT(ROUND(ABS(C11-(C10-C7)),0)/100000)&amp;","&amp;TEXT(INT(MOD(ROUND(ABS(C11-(C10-C7)),0),100000)/1000),"00")&amp;","&amp;TEXT(MOD(ROUND(ABS(C11-(C10-C7)),0),1000),"000"),IF(ROUND(ABS(C11-(C10-C7)),0)&gt;=1000,INT(ROUND(ABS(C11-(C10-C7)),0)/1000)&amp;","&amp;TEXT(MOD(ROUND(ABS(C11-(C10-C7)),0),1000),"000"),ROUND(ABS(C11-(C10-C7)),0)&amp;""))&amp;" above booked less cancelled: it still carries the cancelled orders, which never became sales. Fix it first.")</f>
        <v/>
      </c>
    </row>
    <row r="16">
      <c r="A16" s="6" t="inlineStr">
        <is>
          <t>Chosen total (Rs)</t>
        </is>
      </c>
      <c r="B16" s="9">
        <f>INDEX(C10:C12,MATCH(B14,A10:A12,0))</f>
        <v/>
      </c>
    </row>
    <row r="17">
      <c r="A17" s="6" t="inlineStr">
        <is>
          <t>Its orders</t>
        </is>
      </c>
      <c r="B17" s="6">
        <f>INDEX(B10:B12,MATCH(B14,A10:A12,0))</f>
        <v/>
      </c>
    </row>
    <row r="19" ht="48" customHeight="1">
      <c r="A19" s="11" t="inlineStr">
        <is>
          <t>Verdict</t>
        </is>
      </c>
      <c r="B19" s="12">
        <f>IF(C11&lt;&gt;C10-C7,"Fix the not-cancelled total before any number leaves the team.","Sales, "&amp;B14&amp;", 1 July to 26 September: "&amp;IF(B16&lt;0,"minus ","")&amp;"Rs "&amp;IF(ROUND(ABS(B16),0)&gt;=100000,INT(ROUND(ABS(B16),0)/100000)&amp;","&amp;TEXT(INT(MOD(ROUND(ABS(B16),0),100000)/1000),"00")&amp;","&amp;TEXT(MOD(ROUND(ABS(B16),0),1000),"000"),IF(ROUND(ABS(B16),0)&gt;=1000,INT(ROUND(ABS(B16),0)/1000)&amp;","&amp;TEXT(MOD(ROUND(ABS(B16),0),1000),"000"),ROUND(ABS(B16),0)&amp;""))&amp;" on "&amp;B17&amp;" orders"&amp;IF(B14="booked",", every order placed, cancelled and returned ones included.",", with "&amp;IF(C10-B16&lt;0,"minus ","")&amp;"Rs "&amp;IF(ROUND(ABS(C10-B16),0)&gt;=100000,INT(ROUND(ABS(C10-B16),0)/100000)&amp;","&amp;TEXT(INT(MOD(ROUND(ABS(C10-B16),0),100000)/1000),"00")&amp;","&amp;TEXT(MOD(ROUND(ABS(C10-B16),0),1000),"000"),IF(ROUND(ABS(C10-B16),0)&gt;=1000,INT(ROUND(ABS(C10-B16),0)/1000)&amp;","&amp;TEXT(MOD(ROUND(ABS(C10-B16),0),1000),"000"),ROUND(ABS(C10-B16),0)&amp;""))&amp;" and "&amp;(B10-B17)&amp;" orders of the booked total left out by the definition."))</f>
        <v/>
      </c>
      <c r="C19" s="13" t="n"/>
      <c r="D19" s="13" t="n"/>
      <c r="E19" s="13" t="n"/>
      <c r="F19" s="14" t="n"/>
    </row>
    <row r="20">
      <c r="A20" s="4" t="inlineStr">
        <is>
          <t>Fixed, for the Export tab</t>
        </is>
      </c>
      <c r="B20" s="6">
        <f>IF(C11=C10-C7,1,0)</f>
        <v/>
      </c>
    </row>
  </sheetData>
  <mergeCells count="2">
    <mergeCell ref="B15:F15"/>
    <mergeCell ref="B19:F19"/>
  </mergeCells>
  <dataValidations count="1">
    <dataValidation sqref="B14" showDropDown="0" showInputMessage="0" showErrorMessage="0" allowBlank="0" type="list">
      <formula1>"booked,not cancelled,delivered"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Is the average order value one definition over the same definition?</t>
        </is>
      </c>
    </row>
    <row r="2">
      <c r="A2" s="4" t="inlineStr">
        <is>
          <t>A branch is a fraction on one definition. Orders times AOV has to land on that definition's revenue.</t>
        </is>
      </c>
    </row>
    <row r="4">
      <c r="A4" s="5" t="inlineStr">
        <is>
          <t>Definition</t>
        </is>
      </c>
      <c r="B4" s="5" t="inlineStr">
        <is>
          <t>Orders</t>
        </is>
      </c>
      <c r="C4" s="5" t="inlineStr">
        <is>
          <t>Revenue (Rs)</t>
        </is>
      </c>
    </row>
    <row r="5">
      <c r="A5" s="6" t="inlineStr">
        <is>
          <t>booked</t>
        </is>
      </c>
      <c r="B5" s="7" t="n">
        <v>30</v>
      </c>
      <c r="C5" s="8" t="n">
        <v>544810</v>
      </c>
    </row>
    <row r="6">
      <c r="A6" s="6" t="inlineStr">
        <is>
          <t>delivered</t>
        </is>
      </c>
      <c r="B6" s="7" t="n">
        <v>21</v>
      </c>
      <c r="C6" s="8" t="n">
        <v>520790</v>
      </c>
    </row>
    <row r="8">
      <c r="A8" s="10" t="inlineStr">
        <is>
          <t>Which definition do you report?</t>
        </is>
      </c>
      <c r="B8" s="7" t="inlineStr">
        <is>
          <t>delivered</t>
        </is>
      </c>
    </row>
    <row r="9">
      <c r="A9" s="6" t="inlineStr">
        <is>
          <t>Its orders</t>
        </is>
      </c>
      <c r="B9" s="6">
        <f>INDEX(B5:B6,MATCH(B8,A5:A6,0))</f>
        <v/>
      </c>
    </row>
    <row r="10">
      <c r="A10" s="6" t="inlineStr">
        <is>
          <t>Its revenue (Rs)</t>
        </is>
      </c>
      <c r="B10" s="9">
        <f>INDEX(C5:C6,MATCH(B8,A5:A6,0))</f>
        <v/>
      </c>
    </row>
    <row r="11">
      <c r="A11" s="10" t="inlineStr">
        <is>
          <t>AOV (Rs)</t>
        </is>
      </c>
      <c r="B11" s="9">
        <f>ROUND(C5/B9,0)</f>
        <v/>
      </c>
    </row>
    <row r="12">
      <c r="A12" s="6" t="inlineStr">
        <is>
          <t>Orders x AOV (Rs)</t>
        </is>
      </c>
      <c r="B12" s="9">
        <f>B9*B11</f>
        <v/>
      </c>
    </row>
    <row r="13" ht="42" customHeight="1">
      <c r="A13" s="10" t="inlineStr">
        <is>
          <t>The check</t>
        </is>
      </c>
      <c r="B13" s="2">
        <f>IF(ABS(B12-B10)&lt;=B9,"Orders times AOV lands on "&amp;B8&amp;" revenue.","Orders times AOV comes to "&amp;IF(B12&lt;0,"minus ","")&amp;"Rs "&amp;IF(ROUND(ABS(B12),0)&gt;=100000,INT(ROUND(ABS(B12),0)/100000)&amp;","&amp;TEXT(INT(MOD(ROUND(ABS(B12),0),100000)/1000),"00")&amp;","&amp;TEXT(MOD(ROUND(ABS(B12),0),1000),"000"),IF(ROUND(ABS(B12),0)&gt;=1000,INT(ROUND(ABS(B12),0)/1000)&amp;","&amp;TEXT(MOD(ROUND(ABS(B12),0),1000),"000"),ROUND(ABS(B12),0)&amp;""))&amp;", which lands on no revenue: the AOV divides one definition's rupees by another's orders. Fix it first.")</f>
        <v/>
      </c>
    </row>
    <row r="15" ht="48" customHeight="1">
      <c r="A15" s="11" t="inlineStr">
        <is>
          <t>Verdict</t>
        </is>
      </c>
      <c r="B15" s="12">
        <f>IF(ABS(B12-B10)&gt;B9,"Fix the AOV before it values any order.","AOV on the "&amp;B8&amp;" definition is "&amp;IF(B11&lt;0,"minus ","")&amp;"Rs "&amp;IF(ROUND(ABS(B11),0)&gt;=100000,INT(ROUND(ABS(B11),0)/100000)&amp;","&amp;TEXT(INT(MOD(ROUND(ABS(B11),0),100000)/1000),"00")&amp;","&amp;TEXT(MOD(ROUND(ABS(B11),0),1000),"000"),IF(ROUND(ABS(B11),0)&gt;=1000,INT(ROUND(ABS(B11),0)/1000)&amp;","&amp;TEXT(MOD(ROUND(ABS(B11),0),1000),"000"),ROUND(ABS(B11),0)&amp;""))&amp;" on "&amp;B9&amp;" orders, and it multiplies back to "&amp;IF(B10&lt;0,"minus ","")&amp;"Rs "&amp;IF(ROUND(ABS(B10),0)&gt;=100000,INT(ROUND(ABS(B10),0)/100000)&amp;","&amp;TEXT(INT(MOD(ROUND(ABS(B10),0),100000)/1000),"00")&amp;","&amp;TEXT(MOD(ROUND(ABS(B10),0),1000),"000"),IF(ROUND(ABS(B10),0)&gt;=1000,INT(ROUND(ABS(B10),0)/1000)&amp;","&amp;TEXT(MOD(ROUND(ABS(B10),0),1000),"000"),ROUND(ABS(B10),0)&amp;""))&amp;".")</f>
        <v/>
      </c>
      <c r="C15" s="13" t="n"/>
      <c r="D15" s="13" t="n"/>
      <c r="E15" s="13" t="n"/>
      <c r="F15" s="14" t="n"/>
    </row>
    <row r="16">
      <c r="A16" s="4" t="inlineStr">
        <is>
          <t>Fixed, for the Export tab</t>
        </is>
      </c>
      <c r="B16" s="6">
        <f>IF(B11=ROUND(B10/B9,0),1,0)</f>
        <v/>
      </c>
    </row>
  </sheetData>
  <mergeCells count="2">
    <mergeCell ref="B15:F15"/>
    <mergeCell ref="B13:F13"/>
  </mergeCells>
  <dataValidations count="1">
    <dataValidation sqref="B8" showDropDown="0" showInputMessage="0" showErrorMessage="0" allowBlank="0" type="list">
      <formula1>"booked,delivered"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Are Kalpa's customers counted by rows or by id?</t>
        </is>
      </c>
    </row>
    <row r="2">
      <c r="A2" s="4" t="inlineStr">
        <is>
          <t>A row is an order, so the table counts customers by how many orders each placed, which is what the frequency branch is made of.</t>
        </is>
      </c>
    </row>
    <row r="4">
      <c r="A4" s="5" t="inlineStr">
        <is>
          <t>Orders placed in the window</t>
        </is>
      </c>
      <c r="B4" s="5" t="inlineStr">
        <is>
          <t>Customers</t>
        </is>
      </c>
      <c r="C4" s="5" t="inlineStr">
        <is>
          <t>Orders they account for</t>
        </is>
      </c>
    </row>
    <row r="5">
      <c r="A5" s="6" t="n">
        <v>1</v>
      </c>
      <c r="B5" s="7" t="n">
        <v>16</v>
      </c>
      <c r="C5" s="6">
        <f>A5*B5</f>
        <v/>
      </c>
    </row>
    <row r="6">
      <c r="A6" s="6" t="n">
        <v>2</v>
      </c>
      <c r="B6" s="7" t="n">
        <v>7</v>
      </c>
      <c r="C6" s="6">
        <f>A6*B6</f>
        <v/>
      </c>
    </row>
    <row r="7">
      <c r="A7" s="6" t="n">
        <v>3</v>
      </c>
      <c r="B7" s="7" t="n">
        <v>0</v>
      </c>
      <c r="C7" s="6">
        <f>A7*B7</f>
        <v/>
      </c>
    </row>
    <row r="8">
      <c r="A8" s="6" t="n">
        <v>4</v>
      </c>
      <c r="B8" s="7" t="n">
        <v>0</v>
      </c>
      <c r="C8" s="6">
        <f>A8*B8</f>
        <v/>
      </c>
    </row>
    <row r="10">
      <c r="A10" s="10" t="inlineStr">
        <is>
          <t>Orders (rows)</t>
        </is>
      </c>
      <c r="B10" s="6">
        <f>SUMPRODUCT(A5:A8,B5:B8)</f>
        <v/>
      </c>
    </row>
    <row r="11">
      <c r="A11" s="10" t="inlineStr">
        <is>
          <t>Customers</t>
        </is>
      </c>
      <c r="B11" s="6">
        <f>SUMPRODUCT(A5:A8,B5:B8)</f>
        <v/>
      </c>
    </row>
    <row r="12">
      <c r="A12" s="6" t="inlineStr">
        <is>
          <t>Orders per customer</t>
        </is>
      </c>
      <c r="B12" s="15">
        <f>ROUND(B10/B11,2)</f>
        <v/>
      </c>
    </row>
    <row r="13">
      <c r="A13" s="6" t="inlineStr">
        <is>
          <t>Customers who came back</t>
        </is>
      </c>
      <c r="B13" s="6">
        <f>SUM(B6:B8)</f>
        <v/>
      </c>
    </row>
    <row r="14">
      <c r="A14" s="6" t="inlineStr">
        <is>
          <t>Customers who bought once</t>
        </is>
      </c>
      <c r="B14" s="6">
        <f>B5</f>
        <v/>
      </c>
    </row>
    <row r="15" ht="42" customHeight="1">
      <c r="A15" s="10" t="inlineStr">
        <is>
          <t>The check</t>
        </is>
      </c>
      <c r="B15" s="2">
        <f>IF(AND(B11=B10,B13&gt;0),"Customers equal orders, yet "&amp;B13&amp;" customers bought more than once: the customer cell is counting rows. Fix it first.","Customers count each id once, so repeat buyers show.")</f>
        <v/>
      </c>
    </row>
    <row r="17" ht="48" customHeight="1">
      <c r="A17" s="11" t="inlineStr">
        <is>
          <t>Verdict</t>
        </is>
      </c>
      <c r="B17" s="12">
        <f>IF(AND(B11=B10,B13&gt;0),"Fix the customer count before you say anything about frequency.",IF(B13=0,"Every one of the "&amp;B11&amp;" customers bought once, so frequency has nothing to show yet and acquisition is the branch to test.",B11&amp;" customers placed "&amp;TEXT(B12,"0.00")&amp;" orders each; "&amp;B13&amp;" of them ("&amp;ROUND(100*B13/B11,0)&amp;" percent) came back and "&amp;B14&amp;" bought once, so frequency is a live branch before acquisition."))</f>
        <v/>
      </c>
      <c r="C17" s="13" t="n"/>
      <c r="D17" s="13" t="n"/>
      <c r="E17" s="13" t="n"/>
      <c r="F17" s="14" t="n"/>
    </row>
    <row r="18">
      <c r="A18" s="4" t="inlineStr">
        <is>
          <t>Fixed, for the Export tab</t>
        </is>
      </c>
      <c r="B18" s="6">
        <f>IF(B11=SUM(B5:B8),1,0)</f>
        <v/>
      </c>
    </row>
  </sheetData>
  <mergeCells count="2">
    <mergeCell ref="B15:F15"/>
    <mergeCell ref="B17:F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What does a typical Kalpa order look like, so that one large order cannot move it?</t>
        </is>
      </c>
    </row>
    <row r="2">
      <c r="A2" s="4" t="inlineStr">
        <is>
          <t>Kalpa's booked orders sit at the top, and the invented list below them shows how one order can move a mean.</t>
        </is>
      </c>
    </row>
    <row r="4">
      <c r="A4" s="5" t="inlineStr">
        <is>
          <t>Kalpa, booked orders</t>
        </is>
      </c>
      <c r="B4" s="5" t="inlineStr">
        <is>
          <t>Value</t>
        </is>
      </c>
    </row>
    <row r="5">
      <c r="A5" s="6" t="inlineStr">
        <is>
          <t>Booked revenue (Rs)</t>
        </is>
      </c>
      <c r="B5" s="8" t="n">
        <v>544810</v>
      </c>
    </row>
    <row r="6">
      <c r="A6" s="6" t="inlineStr">
        <is>
          <t>Orders</t>
        </is>
      </c>
      <c r="B6" s="7" t="n">
        <v>30</v>
      </c>
    </row>
    <row r="7">
      <c r="A7" s="6" t="inlineStr">
        <is>
          <t>Median order from notebook 04 (Rs)</t>
        </is>
      </c>
      <c r="B7" s="8" t="n">
        <v>2205</v>
      </c>
    </row>
    <row r="8">
      <c r="A8" s="6" t="inlineStr">
        <is>
          <t>Mean order (Rs)</t>
        </is>
      </c>
      <c r="B8" s="9">
        <f>ROUND(B5/B6,0)</f>
        <v/>
      </c>
    </row>
    <row r="9">
      <c r="A9" s="10" t="inlineStr">
        <is>
          <t>The typical order you report (Rs)</t>
        </is>
      </c>
      <c r="B9" s="9">
        <f>B8</f>
        <v/>
      </c>
    </row>
    <row r="10">
      <c r="A10" s="6" t="inlineStr">
        <is>
          <t>Mean over median</t>
        </is>
      </c>
      <c r="B10" s="16">
        <f>ROUND(B8/B7,1)</f>
        <v/>
      </c>
    </row>
    <row r="11">
      <c r="A11" s="10" t="inlineStr">
        <is>
          <t>What is the number for?</t>
        </is>
      </c>
      <c r="B11" s="7" t="inlineStr">
        <is>
          <t>a typical order</t>
        </is>
      </c>
    </row>
    <row r="12" ht="42" customHeight="1">
      <c r="A12" s="10" t="inlineStr">
        <is>
          <t>The check</t>
        </is>
      </c>
      <c r="B12" s="2">
        <f>IF(AND(B9=B8,B10&gt;=2),"The typical order reads the mean, which is "&amp;TEXT(B10,"0.0")&amp;" times the median, so the largest orders are dragging it. Fix it first.","The typical order reads the median, which one order cannot drag.")</f>
        <v/>
      </c>
    </row>
    <row r="14" ht="48" customHeight="1">
      <c r="A14" s="11" t="inlineStr">
        <is>
          <t>Verdict</t>
        </is>
      </c>
      <c r="B14" s="12">
        <f>IF(AND(B9=B8,B10&gt;=2),"Fix the typical order before it values anything.",IF(B11="a typical order","Report the median, "&amp;IF(B7&lt;0,"minus ","")&amp;"Rs "&amp;IF(ROUND(ABS(B7),0)&gt;=100000,INT(ROUND(ABS(B7),0)/100000)&amp;","&amp;TEXT(INT(MOD(ROUND(ABS(B7),0),100000)/1000),"00")&amp;","&amp;TEXT(MOD(ROUND(ABS(B7),0),1000),"000"),IF(ROUND(ABS(B7),0)&gt;=1000,INT(ROUND(ABS(B7),0)/1000)&amp;","&amp;TEXT(MOD(ROUND(ABS(B7),0),1000),"000"),ROUND(ABS(B7),0)&amp;""))&amp;", as the typical order: the mean of "&amp;IF(B8&lt;0,"minus ","")&amp;"Rs "&amp;IF(ROUND(ABS(B8),0)&gt;=100000,INT(ROUND(ABS(B8),0)/100000)&amp;","&amp;TEXT(INT(MOD(ROUND(ABS(B8),0),100000)/1000),"00")&amp;","&amp;TEXT(MOD(ROUND(ABS(B8),0),1000),"000"),IF(ROUND(ABS(B8),0)&gt;=1000,INT(ROUND(ABS(B8),0)/1000)&amp;","&amp;TEXT(MOD(ROUND(ABS(B8),0),1000),"000"),ROUND(ABS(B8),0)&amp;""))&amp;" is "&amp;TEXT(B10,"0.0")&amp;" times it, so the mean describes no typical first order.","Use the mean, "&amp;IF(B8&lt;0,"minus ","")&amp;"Rs "&amp;IF(ROUND(ABS(B8),0)&gt;=100000,INT(ROUND(ABS(B8),0)/100000)&amp;","&amp;TEXT(INT(MOD(ROUND(ABS(B8),0),100000)/1000),"00")&amp;","&amp;TEXT(MOD(ROUND(ABS(B8),0),1000),"000"),IF(ROUND(ABS(B8),0)&gt;=1000,INT(ROUND(ABS(B8),0)/1000)&amp;","&amp;TEXT(MOD(ROUND(ABS(B8),0),1000),"000"),ROUND(ABS(B8),0)&amp;""))&amp;", on the tree, because it multiplies back to the total; say so beside it."))</f>
        <v/>
      </c>
      <c r="C14" s="13" t="n"/>
      <c r="D14" s="13" t="n"/>
      <c r="E14" s="13" t="n"/>
      <c r="F14" s="14" t="n"/>
    </row>
    <row r="15">
      <c r="A15" s="4" t="inlineStr">
        <is>
          <t>Fixed, for the Export tab</t>
        </is>
      </c>
      <c r="B15" s="6">
        <f>IF(B9=B7,1,0)</f>
        <v/>
      </c>
    </row>
    <row r="17">
      <c r="A17" s="5" t="inlineStr">
        <is>
          <t>Invented orders (Rs)</t>
        </is>
      </c>
      <c r="B17" s="5" t="inlineStr">
        <is>
          <t>Invented list, measure</t>
        </is>
      </c>
    </row>
    <row r="18">
      <c r="A18" s="8" t="n">
        <v>1900</v>
      </c>
      <c r="C18" s="6" t="inlineStr">
        <is>
          <t>Mean</t>
        </is>
      </c>
      <c r="D18" s="9">
        <f>ROUND(AVERAGE(A18:A23),0)</f>
        <v/>
      </c>
    </row>
    <row r="19">
      <c r="A19" s="8" t="n">
        <v>2100</v>
      </c>
      <c r="C19" s="6" t="inlineStr">
        <is>
          <t>Median</t>
        </is>
      </c>
      <c r="D19" s="9">
        <f>MEDIAN(A18:A23)</f>
        <v/>
      </c>
    </row>
    <row r="20">
      <c r="A20" s="8" t="n">
        <v>2300</v>
      </c>
      <c r="C20" s="6" t="inlineStr">
        <is>
          <t>Orders above the mean</t>
        </is>
      </c>
      <c r="D20" s="6">
        <f>COUNTIF(A18:A23,"&gt;"&amp;D18)</f>
        <v/>
      </c>
    </row>
    <row r="21">
      <c r="A21" s="8" t="n">
        <v>2400</v>
      </c>
    </row>
    <row r="22">
      <c r="A22" s="8" t="n">
        <v>2600</v>
      </c>
    </row>
    <row r="23">
      <c r="A23" s="8" t="n">
        <v>90000</v>
      </c>
    </row>
    <row r="24">
      <c r="A24" s="4" t="inlineStr">
        <is>
          <t>These six amounts are invented; clear the last one to see the mean fall back while the median barely moves.</t>
        </is>
      </c>
    </row>
  </sheetData>
  <mergeCells count="2">
    <mergeCell ref="B12:F12"/>
    <mergeCell ref="B14:F14"/>
  </mergeCells>
  <dataValidations count="1">
    <dataValidation sqref="B11" showDropDown="0" showInputMessage="0" showErrorMessage="0" allowBlank="0" type="list">
      <formula1>"a typical order,a total that must add up"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Do two 10 percent lifts on the tree add up, or multiply?</t>
        </is>
      </c>
    </row>
    <row r="2">
      <c r="A2" s="4" t="inlineStr">
        <is>
          <t>Revenue is customers times orders per customer times average order value, so lifts on its branches multiply.</t>
        </is>
      </c>
    </row>
    <row r="4">
      <c r="A4" s="10" t="inlineStr">
        <is>
          <t>Consumer revenue today, in the three consumer segments the plan is sized on (Rs)</t>
        </is>
      </c>
      <c r="B4" s="8" t="n">
        <v>64810</v>
      </c>
    </row>
    <row r="5">
      <c r="A5" s="5" t="inlineStr">
        <is>
          <t>Branch</t>
        </is>
      </c>
      <c r="B5" s="5" t="inlineStr">
        <is>
          <t>Change, percent</t>
        </is>
      </c>
      <c r="C5" s="5" t="inlineStr">
        <is>
          <t>Multiplier</t>
        </is>
      </c>
    </row>
    <row r="6">
      <c r="A6" s="6" t="inlineStr">
        <is>
          <t>customers</t>
        </is>
      </c>
      <c r="B6" s="7" t="n">
        <v>10</v>
      </c>
      <c r="C6" s="6">
        <f>1+B6/100</f>
        <v/>
      </c>
    </row>
    <row r="7">
      <c r="A7" s="6" t="inlineStr">
        <is>
          <t>orders per customer</t>
        </is>
      </c>
      <c r="B7" s="7" t="n">
        <v>10</v>
      </c>
      <c r="C7" s="6">
        <f>1+B7/100</f>
        <v/>
      </c>
    </row>
    <row r="8">
      <c r="A8" s="6" t="inlineStr">
        <is>
          <t>average order value</t>
        </is>
      </c>
      <c r="B8" s="7" t="n">
        <v>0</v>
      </c>
      <c r="C8" s="6">
        <f>1+B8/100</f>
        <v/>
      </c>
    </row>
    <row r="10">
      <c r="A10" s="6" t="inlineStr">
        <is>
          <t>How much growth does the plan ask for, in percent?</t>
        </is>
      </c>
      <c r="B10" s="7" t="n">
        <v>15</v>
      </c>
    </row>
    <row r="12">
      <c r="A12" s="6" t="inlineStr">
        <is>
          <t>Revenue if the lifts were added (Rs)</t>
        </is>
      </c>
      <c r="B12" s="9">
        <f>ROUND(B4*(1+(B6+B7+B8)/100),0)</f>
        <v/>
      </c>
    </row>
    <row r="13">
      <c r="A13" s="10" t="inlineStr">
        <is>
          <t>New revenue (Rs)</t>
        </is>
      </c>
      <c r="B13" s="9">
        <f>ROUND(B4*(1+(B6+B7+B8)/100),0)</f>
        <v/>
      </c>
    </row>
    <row r="14">
      <c r="A14" s="6" t="inlineStr">
        <is>
          <t>Through the tree (Rs)</t>
        </is>
      </c>
      <c r="B14" s="9">
        <f>ROUND(B4*C6*C7*C8,0)</f>
        <v/>
      </c>
    </row>
    <row r="15">
      <c r="A15" s="6" t="inlineStr">
        <is>
          <t>Growth, percent</t>
        </is>
      </c>
      <c r="B15" s="16">
        <f>ROUND(100*(B13/B4-1),1)</f>
        <v/>
      </c>
    </row>
    <row r="16" ht="42" customHeight="1">
      <c r="A16" s="10" t="inlineStr">
        <is>
          <t>The check</t>
        </is>
      </c>
      <c r="B16" s="2">
        <f>IF(ABS(B13-B14)&gt;1,"New revenue and the product of the branches disagree by "&amp;IF(B14-B13&lt;0,"minus ","")&amp;"Rs "&amp;IF(ROUND(ABS(B14-B13),0)&gt;=100000,INT(ROUND(ABS(B14-B13),0)/100000)&amp;","&amp;TEXT(INT(MOD(ROUND(ABS(B14-B13),0),100000)/1000),"00")&amp;","&amp;TEXT(MOD(ROUND(ABS(B14-B13),0),1000),"000"),IF(ROUND(ABS(B14-B13),0)&gt;=1000,INT(ROUND(ABS(B14-B13),0)/1000)&amp;","&amp;TEXT(MOD(ROUND(ABS(B14-B13),0),1000),"000"),ROUND(ABS(B14-B13),0)&amp;""))&amp;": the new revenue adds what the tree multiplies. Fix it first.","New revenue multiplies the branches, as the tree does.")</f>
        <v/>
      </c>
    </row>
    <row r="18" ht="48" customHeight="1">
      <c r="A18" s="11" t="inlineStr">
        <is>
          <t>Verdict</t>
        </is>
      </c>
      <c r="B18" s="12">
        <f>IF(ABS(B13-B14)&gt;1,"Fix the new revenue before you quote any growth.","Through the tree, revenue moves from "&amp;IF(B4&lt;0,"minus ","")&amp;"Rs "&amp;IF(ROUND(ABS(B4),0)&gt;=100000,INT(ROUND(ABS(B4),0)/100000)&amp;","&amp;TEXT(INT(MOD(ROUND(ABS(B4),0),100000)/1000),"00")&amp;","&amp;TEXT(MOD(ROUND(ABS(B4),0),1000),"000"),IF(ROUND(ABS(B4),0)&gt;=1000,INT(ROUND(ABS(B4),0)/1000)&amp;","&amp;TEXT(MOD(ROUND(ABS(B4),0),1000),"000"),ROUND(ABS(B4),0)&amp;""))&amp;" to "&amp;IF(B13&lt;0,"minus ","")&amp;"Rs "&amp;IF(ROUND(ABS(B13),0)&gt;=100000,INT(ROUND(ABS(B13),0)/100000)&amp;","&amp;TEXT(INT(MOD(ROUND(ABS(B13),0),100000)/1000),"00")&amp;","&amp;TEXT(MOD(ROUND(ABS(B13),0),1000),"000"),IF(ROUND(ABS(B13),0)&gt;=1000,INT(ROUND(ABS(B13),0)/1000)&amp;","&amp;TEXT(MOD(ROUND(ABS(B13),0),1000),"000"),ROUND(ABS(B13),0)&amp;""))&amp;", "&amp;IF(B15&gt;=0,"up ","down ")&amp;TEXT(ABS(B15),"0.0")&amp;" percent, which "&amp;IF(B15&gt;=B10,"reaches","misses")&amp;" the "&amp;B10&amp;" percent plan; adding the lifts would have said "&amp;IF(B12&lt;0,"minus ","")&amp;"Rs "&amp;IF(ROUND(ABS(B12),0)&gt;=100000,INT(ROUND(ABS(B12),0)/100000)&amp;","&amp;TEXT(INT(MOD(ROUND(ABS(B12),0),100000)/1000),"00")&amp;","&amp;TEXT(MOD(ROUND(ABS(B12),0),1000),"000"),IF(ROUND(ABS(B12),0)&gt;=1000,INT(ROUND(ABS(B12),0)/1000)&amp;","&amp;TEXT(MOD(ROUND(ABS(B12),0),1000),"000"),ROUND(ABS(B12),0)&amp;""))&amp;".")</f>
        <v/>
      </c>
      <c r="C18" s="13" t="n"/>
      <c r="D18" s="13" t="n"/>
      <c r="E18" s="13" t="n"/>
      <c r="F18" s="14" t="n"/>
    </row>
    <row r="19">
      <c r="A19" s="4" t="inlineStr">
        <is>
          <t>Fixed, for the Export tab</t>
        </is>
      </c>
      <c r="B19" s="6">
        <f>IF(ABS(B13-B14)&lt;=1,1,0)</f>
        <v/>
      </c>
    </row>
    <row r="21">
      <c r="A21" s="4" t="inlineStr">
        <is>
          <t>Try the discount: set customers to 0, orders per customer to 10 for the extra quantity, and average order value to minus 15 for 15 percent off.</t>
        </is>
      </c>
    </row>
  </sheetData>
  <mergeCells count="2">
    <mergeCell ref="B16:F16"/>
    <mergeCell ref="B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Is a one-time buyer lost, or too recent to judge?</t>
        </is>
      </c>
    </row>
    <row r="2">
      <c r="A2" s="4" t="inlineStr">
        <is>
          <t>A one-time buyer counts as lost only after they have had the usual time to come back.</t>
        </is>
      </c>
    </row>
    <row r="4">
      <c r="A4" s="5" t="inlineStr">
        <is>
          <t>Measure</t>
        </is>
      </c>
      <c r="B4" s="5" t="inlineStr">
        <is>
          <t>Value</t>
        </is>
      </c>
    </row>
    <row r="5">
      <c r="A5" s="6" t="inlineStr">
        <is>
          <t>Customers</t>
        </is>
      </c>
      <c r="B5" s="7" t="n">
        <v>23</v>
      </c>
    </row>
    <row r="6">
      <c r="A6" s="6" t="inlineStr">
        <is>
          <t>Came back</t>
        </is>
      </c>
      <c r="B6" s="7" t="n">
        <v>7</v>
      </c>
    </row>
    <row r="7">
      <c r="A7" s="6" t="inlineStr">
        <is>
          <t>Bought once</t>
        </is>
      </c>
      <c r="B7" s="7" t="n">
        <v>16</v>
      </c>
    </row>
    <row r="8">
      <c r="A8" s="6" t="inlineStr">
        <is>
          <t>Median days between a first and second order</t>
        </is>
      </c>
      <c r="B8" s="7" t="n">
        <v>45</v>
      </c>
    </row>
    <row r="9">
      <c r="A9" s="6" t="inlineStr">
        <is>
          <t>One-time buyers who bought inside the last gap</t>
        </is>
      </c>
      <c r="B9" s="7" t="n">
        <v>9</v>
      </c>
    </row>
    <row r="11">
      <c r="A11" s="10" t="inlineStr">
        <is>
          <t>Past the usual gap, no second order</t>
        </is>
      </c>
      <c r="B11" s="6">
        <f>B7</f>
        <v/>
      </c>
    </row>
    <row r="12">
      <c r="A12" s="6" t="inlineStr">
        <is>
          <t>Share of customers who look lost, percent</t>
        </is>
      </c>
      <c r="B12" s="6">
        <f>ROUND(100*B11/B5,0)</f>
        <v/>
      </c>
    </row>
    <row r="13" ht="42" customHeight="1">
      <c r="A13" s="10" t="inlineStr">
        <is>
          <t>The check</t>
        </is>
      </c>
      <c r="B13" s="2">
        <f>IF(AND(B11=B7,B9&gt;0),"The count treats all "&amp;B7&amp;" one-time buyers as lost, although "&amp;B9&amp;" bought inside the last "&amp;B8&amp;" days. Fix it first.","The count holds back the "&amp;B9&amp;" one-time buyers who have not had "&amp;B8&amp;" days.")</f>
        <v/>
      </c>
    </row>
    <row r="15" ht="48" customHeight="1">
      <c r="A15" s="11" t="inlineStr">
        <is>
          <t>Verdict</t>
        </is>
      </c>
      <c r="B15" s="12">
        <f>IF(AND(B11=B7,B9&gt;0),"Fix the lost count before the sentence calls anyone lost.",B6&amp;" came back, "&amp;B11&amp;" are past the usual gap, and "&amp;B9&amp;" bought too recently to judge, so at most "&amp;B12&amp;" percent of customers look lost.")</f>
        <v/>
      </c>
      <c r="C15" s="13" t="n"/>
      <c r="D15" s="13" t="n"/>
      <c r="E15" s="13" t="n"/>
      <c r="F15" s="14" t="n"/>
    </row>
    <row r="16">
      <c r="A16" s="4" t="inlineStr">
        <is>
          <t>Fixed, for the Export tab</t>
        </is>
      </c>
      <c r="B16" s="6">
        <f>IF(B11=B7-B9,1,0)</f>
        <v/>
      </c>
    </row>
  </sheetData>
  <mergeCells count="2">
    <mergeCell ref="B15:F15"/>
    <mergeCell ref="B13:F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20" customWidth="1" min="2" max="2"/>
    <col width="16" customWidth="1" min="3" max="3"/>
    <col width="16" customWidth="1" min="4" max="4"/>
    <col width="16" customWidth="1" min="5" max="5"/>
    <col width="18" customWidth="1" min="6" max="6"/>
  </cols>
  <sheetData>
    <row r="1">
      <c r="A1" s="1" t="inlineStr">
        <is>
          <t>What does each channel book and keep in the three consumer segments?</t>
        </is>
      </c>
    </row>
    <row r="2">
      <c r="A2" s="4" t="inlineStr">
        <is>
          <t>The consumer view keeps the orders whose segment is Retail-Core, Retail-Plus or Student, the three consumer segments Meera's plan concerns, and each channel is split by what happened to its orders.</t>
        </is>
      </c>
    </row>
    <row r="4">
      <c r="A4" s="10" t="inlineStr">
        <is>
          <t>Which view do you give Meera?</t>
        </is>
      </c>
      <c r="B4" s="7" t="inlineStr">
        <is>
          <t>delivered</t>
        </is>
      </c>
    </row>
    <row r="5">
      <c r="A5" s="4" t="inlineStr">
        <is>
          <t>The headline it replaces</t>
        </is>
      </c>
      <c r="B5" s="4" t="inlineStr">
        <is>
          <t>Store carried 91.6 percent of all booked revenue on 10 of the 30 orders in the file.</t>
        </is>
      </c>
    </row>
    <row r="7">
      <c r="A7" s="5" t="inlineStr">
        <is>
          <t>Channel</t>
        </is>
      </c>
      <c r="B7" s="5" t="inlineStr">
        <is>
          <t>Share of booked, percent</t>
        </is>
      </c>
      <c r="C7" s="5" t="inlineStr">
        <is>
          <t>Booked (Rs)</t>
        </is>
      </c>
      <c r="D7" s="5" t="inlineStr">
        <is>
          <t>Cancelled (Rs)</t>
        </is>
      </c>
      <c r="E7" s="5" t="inlineStr">
        <is>
          <t>Returned (Rs)</t>
        </is>
      </c>
      <c r="F7" s="5" t="inlineStr">
        <is>
          <t>Delivered (Rs)</t>
        </is>
      </c>
    </row>
    <row r="8">
      <c r="A8" s="6" t="inlineStr">
        <is>
          <t>app</t>
        </is>
      </c>
      <c r="B8" s="16">
        <f>ROUND(100*C8/C$11,1)</f>
        <v/>
      </c>
      <c r="C8" s="8" t="n">
        <v>18600</v>
      </c>
      <c r="D8" s="8" t="n">
        <v>0</v>
      </c>
      <c r="E8" s="8" t="n">
        <v>0</v>
      </c>
      <c r="F8" s="9">
        <f>C8-D8</f>
        <v/>
      </c>
    </row>
    <row r="9">
      <c r="A9" s="6" t="inlineStr">
        <is>
          <t>web</t>
        </is>
      </c>
      <c r="B9" s="16">
        <f>ROUND(100*C9/C$11,1)</f>
        <v/>
      </c>
      <c r="C9" s="8" t="n">
        <v>27290</v>
      </c>
      <c r="D9" s="8" t="n">
        <v>0</v>
      </c>
      <c r="E9" s="8" t="n">
        <v>14970</v>
      </c>
      <c r="F9" s="9">
        <f>C9-D9</f>
        <v/>
      </c>
    </row>
    <row r="10">
      <c r="A10" s="6" t="inlineStr">
        <is>
          <t>store</t>
        </is>
      </c>
      <c r="B10" s="16">
        <f>ROUND(100*C10/C$11,1)</f>
        <v/>
      </c>
      <c r="C10" s="8" t="n">
        <v>18920</v>
      </c>
      <c r="D10" s="8" t="n">
        <v>9050</v>
      </c>
      <c r="E10" s="8" t="n">
        <v>0</v>
      </c>
      <c r="F10" s="9">
        <f>C10-D10</f>
        <v/>
      </c>
    </row>
    <row r="11">
      <c r="A11" s="10" t="inlineStr">
        <is>
          <t>The consumer view</t>
        </is>
      </c>
      <c r="B11" s="17">
        <f>SUM(B8:B10)</f>
        <v/>
      </c>
      <c r="C11" s="18">
        <f>SUM(C8:C10)</f>
        <v/>
      </c>
      <c r="D11" s="18">
        <f>SUM(D8:D10)</f>
        <v/>
      </c>
      <c r="E11" s="18">
        <f>SUM(E8:E10)</f>
        <v/>
      </c>
      <c r="F11" s="18">
        <f>SUM(F8:F10)</f>
        <v/>
      </c>
    </row>
    <row r="13" ht="42" customHeight="1">
      <c r="A13" s="10" t="inlineStr">
        <is>
          <t>The check</t>
        </is>
      </c>
      <c r="B13" s="2">
        <f>IF(F11+D11+E11&lt;&gt;C11,"Delivered, cancelled and returned add to "&amp;IF(F11+D11+E11&lt;0,"minus ","")&amp;"Rs "&amp;IF(ROUND(ABS(F11+D11+E11),0)&gt;=100000,INT(ROUND(ABS(F11+D11+E11),0)/100000)&amp;","&amp;TEXT(INT(MOD(ROUND(ABS(F11+D11+E11),0),100000)/1000),"00")&amp;","&amp;TEXT(MOD(ROUND(ABS(F11+D11+E11),0),1000),"000"),IF(ROUND(ABS(F11+D11+E11),0)&gt;=1000,INT(ROUND(ABS(F11+D11+E11),0)/1000)&amp;","&amp;TEXT(MOD(ROUND(ABS(F11+D11+E11),0),1000),"000"),ROUND(ABS(F11+D11+E11),0)&amp;""))&amp;" against "&amp;IF(C11&lt;0,"minus ","")&amp;"Rs "&amp;IF(ROUND(ABS(C11),0)&gt;=100000,INT(ROUND(ABS(C11),0)/100000)&amp;","&amp;TEXT(INT(MOD(ROUND(ABS(C11),0),100000)/1000),"00")&amp;","&amp;TEXT(MOD(ROUND(ABS(C11),0),1000),"000"),IF(ROUND(ABS(C11),0)&gt;=1000,INT(ROUND(ABS(C11),0)/1000)&amp;","&amp;TEXT(MOD(ROUND(ABS(C11),0),1000),"000"),ROUND(ABS(C11),0)&amp;""))&amp;" booked: the delivered column still carries the returns. Fix it first.","Delivered, cancelled and returned add back to the booked total.")</f>
        <v/>
      </c>
    </row>
    <row r="14">
      <c r="A14" s="6" t="inlineStr">
        <is>
          <t>Leader in the chosen view</t>
        </is>
      </c>
      <c r="B14" s="6">
        <f>IF(B4="booked",INDEX(A8:A10,MATCH(MAX(C8:C10),C8:C10,0)),INDEX(A8:A10,MATCH(MAX(F8:F10),F8:F10,0)))</f>
        <v/>
      </c>
    </row>
    <row r="15">
      <c r="A15" s="6" t="inlineStr">
        <is>
          <t>Its amount (Rs)</t>
        </is>
      </c>
      <c r="B15" s="9">
        <f>IF(B4="booked",MAX(C8:C10),MAX(F8:F10))</f>
        <v/>
      </c>
    </row>
    <row r="16">
      <c r="A16" s="6" t="inlineStr">
        <is>
          <t>Of (Rs)</t>
        </is>
      </c>
      <c r="B16" s="9">
        <f>IF(B4="booked",C11,F11)</f>
        <v/>
      </c>
    </row>
    <row r="18" ht="60" customHeight="1">
      <c r="A18" s="11" t="inlineStr">
        <is>
          <t>Verdict</t>
        </is>
      </c>
      <c r="B18" s="12">
        <f>IF(F11+D11+E11&lt;&gt;C11,"Fix the delivered column before you rank any channel.","In the consumer view, "&amp;B4&amp;", "&amp;B14&amp;" leads with "&amp;IF(B15&lt;0,"minus ","")&amp;"Rs "&amp;IF(ROUND(ABS(B15),0)&gt;=100000,INT(ROUND(ABS(B15),0)/100000)&amp;","&amp;TEXT(INT(MOD(ROUND(ABS(B15),0),100000)/1000),"00")&amp;","&amp;TEXT(MOD(ROUND(ABS(B15),0),1000),"000"),IF(ROUND(ABS(B15),0)&gt;=1000,INT(ROUND(ABS(B15),0)/1000)&amp;","&amp;TEXT(MOD(ROUND(ABS(B15),0),1000),"000"),ROUND(ABS(B15),0)&amp;""))&amp;" of "&amp;IF(B16&lt;0,"minus ","")&amp;"Rs "&amp;IF(ROUND(ABS(B16),0)&gt;=100000,INT(ROUND(ABS(B16),0)/100000)&amp;","&amp;TEXT(INT(MOD(ROUND(ABS(B16),0),100000)/1000),"00")&amp;","&amp;TEXT(MOD(ROUND(ABS(B16),0),1000),"000"),IF(ROUND(ABS(B16),0)&gt;=1000,INT(ROUND(ABS(B16),0)/1000)&amp;","&amp;TEXT(MOD(ROUND(ABS(B16),0),1000),"000"),ROUND(ABS(B16),0)&amp;""))&amp;"; returns took "&amp;IF(E11&lt;0,"minus ","")&amp;"Rs "&amp;IF(ROUND(ABS(E11),0)&gt;=100000,INT(ROUND(ABS(E11),0)/100000)&amp;","&amp;TEXT(INT(MOD(ROUND(ABS(E11),0),100000)/1000),"00")&amp;","&amp;TEXT(MOD(ROUND(ABS(E11),0),1000),"000"),IF(ROUND(ABS(E11),0)&gt;=1000,INT(ROUND(ABS(E11),0)/1000)&amp;","&amp;TEXT(MOD(ROUND(ABS(E11),0),1000),"000"),ROUND(ABS(E11),0)&amp;""))&amp;" and cancellations "&amp;IF(D11&lt;0,"minus ","")&amp;"Rs "&amp;IF(ROUND(ABS(D11),0)&gt;=100000,INT(ROUND(ABS(D11),0)/100000)&amp;","&amp;TEXT(INT(MOD(ROUND(ABS(D11),0),100000)/1000),"00")&amp;","&amp;TEXT(MOD(ROUND(ABS(D11),0),1000),"000"),IF(ROUND(ABS(D11),0)&gt;=1000,INT(ROUND(ABS(D11),0)/1000)&amp;","&amp;TEXT(MOD(ROUND(ABS(D11),0),1000),"000"),ROUND(ABS(D11),0)&amp;""))&amp;", so the channel view adds two leaks to name and leaves frequency first standing.")</f>
        <v/>
      </c>
      <c r="C18" s="13" t="n"/>
      <c r="D18" s="13" t="n"/>
      <c r="E18" s="13" t="n"/>
      <c r="F18" s="14" t="n"/>
    </row>
    <row r="19">
      <c r="A19" s="4" t="inlineStr">
        <is>
          <t>Fixed, for the Export tab</t>
        </is>
      </c>
      <c r="B19" s="6">
        <f>IF(F11+D11+E11=C11,1,0)</f>
        <v/>
      </c>
    </row>
  </sheetData>
  <mergeCells count="2">
    <mergeCell ref="B18:F18"/>
    <mergeCell ref="B13:F13"/>
  </mergeCells>
  <dataValidations count="1">
    <dataValidation sqref="B4" showDropDown="0" showInputMessage="0" showErrorMessage="0" allowBlank="0" type="list">
      <formula1>"booked,delivered"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20" customWidth="1" min="2" max="2"/>
  </cols>
  <sheetData>
    <row r="1">
      <c r="A1" s="1" t="inlineStr">
        <is>
          <t>Is the brief to Meera ready to paste?</t>
        </is>
      </c>
    </row>
    <row r="2">
      <c r="A2" s="4" t="inlineStr">
        <is>
          <t>The brief is released only when every tab's check passes; then paste it into the note to Meera.</t>
        </is>
      </c>
    </row>
    <row r="4">
      <c r="A4" s="10" t="inlineStr">
        <is>
          <t>Tabs fixed</t>
        </is>
      </c>
      <c r="B4" s="6">
        <f>Sales!B20+Fraction!B16+Customers!B18+Typical!B15+Lifts!B19+Edge!B16+Channel!B19</f>
        <v/>
      </c>
    </row>
    <row r="5">
      <c r="A5" s="11" t="inlineStr">
        <is>
          <t>Release</t>
        </is>
      </c>
      <c r="B5" s="12">
        <f>IF(B4=7,"Ready to paste into the note to Meera.","Not ready: "&amp;IF(B4=6,"1 of 7 tabs still carries a defect.",(7-B4)&amp;" of 7 tabs still carry a defect."))</f>
        <v/>
      </c>
    </row>
    <row r="7" ht="170" customHeight="1">
      <c r="A7" s="10" t="inlineStr">
        <is>
          <t>Paste-ready brief</t>
        </is>
      </c>
      <c r="B7" s="2">
        <f>IF(B4=7,Sales!B19&amp;CHAR(10)&amp;"Order value: "&amp;Fraction!B15&amp;CHAR(10)&amp;"Customers: "&amp;Customers!B17&amp;CHAR(10)&amp;"Typical order: "&amp;Typical!B14&amp;CHAR(10)&amp;"Lifts: "&amp;Lifts!B18&amp;CHAR(10)&amp;"The window: "&amp;Edge!B15&amp;CHAR(10)&amp;"Channels: "&amp;Channel!B18&amp;CHAR(10)&amp;"Recommendation: open frequency before acquisition; one window cannot show which branch moved, so hold the Rs 12 crore until Tuesday's two quarters.","The brief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2026-09-30T15:54:50Z</dcterms:created>
  <dcterms:modified xmlns:dcterms="http://purl.org/dc/terms/" xmlns:xsi="http://www.w3.org/2001/XMLSchema-instance" xsi:type="dcterms:W3CDTF">2026-09-30T15:54:50Z</dcterms:modified>
</cp:coreProperties>
</file>